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9"/>
  <workbookPr defaultThemeVersion="166925"/>
  <mc:AlternateContent xmlns:mc="http://schemas.openxmlformats.org/markup-compatibility/2006">
    <mc:Choice Requires="x15">
      <x15ac:absPath xmlns:x15ac="http://schemas.microsoft.com/office/spreadsheetml/2010/11/ac" url="https://wartburgedu.sharepoint.com/sites/XC/Shared Documents/General/XC/2025/"/>
    </mc:Choice>
  </mc:AlternateContent>
  <xr:revisionPtr revIDLastSave="0" documentId="8_{FB448181-D52B-4A0D-8FF4-2164FDCDFEB3}" xr6:coauthVersionLast="47" xr6:coauthVersionMax="47" xr10:uidLastSave="{00000000-0000-0000-0000-000000000000}"/>
  <bookViews>
    <workbookView xWindow="-110" yWindow="-110" windowWidth="19420" windowHeight="10300" firstSheet="6" activeTab="6" xr2:uid="{CC0C94CF-447D-4698-A885-F1E660EE2EC7}"/>
  </bookViews>
  <sheets>
    <sheet name="Break" sheetId="27" r:id="rId1"/>
    <sheet name="12-2" sheetId="26" r:id="rId2"/>
    <sheet name="11-25" sheetId="25" r:id="rId3"/>
    <sheet name="11-18" sheetId="24" r:id="rId4"/>
    <sheet name="11-11" sheetId="23" r:id="rId5"/>
    <sheet name="11-7" sheetId="22" r:id="rId6"/>
    <sheet name="11-4" sheetId="21" r:id="rId7"/>
    <sheet name="10-28" sheetId="20" r:id="rId8"/>
    <sheet name="10-24" sheetId="18" r:id="rId9"/>
    <sheet name="10-21" sheetId="17" r:id="rId10"/>
    <sheet name="10-14" sheetId="16" r:id="rId11"/>
    <sheet name="10-10" sheetId="15" r:id="rId12"/>
    <sheet name="10-7" sheetId="14" r:id="rId13"/>
    <sheet name="9-30" sheetId="13" r:id="rId14"/>
    <sheet name="9-26" sheetId="12" r:id="rId15"/>
    <sheet name="9-23" sheetId="11" r:id="rId16"/>
    <sheet name="9-19" sheetId="10" r:id="rId17"/>
    <sheet name="9-16" sheetId="9" r:id="rId18"/>
    <sheet name="9-9" sheetId="8" r:id="rId19"/>
    <sheet name="9-5" sheetId="7" r:id="rId20"/>
    <sheet name="9-2" sheetId="6" r:id="rId21"/>
    <sheet name="8-30" sheetId="5" r:id="rId22"/>
    <sheet name="8-26" sheetId="4" r:id="rId23"/>
    <sheet name="8-22" sheetId="3" r:id="rId24"/>
    <sheet name="8-19" sheetId="2" r:id="rId25"/>
    <sheet name="8-20" sheetId="1" r:id="rId2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22" i="26" l="1"/>
  <c r="M122" i="26"/>
  <c r="H123" i="27"/>
  <c r="F123" i="27"/>
  <c r="D123" i="27"/>
  <c r="G123" i="27" s="1"/>
  <c r="H122" i="27"/>
  <c r="F122" i="27"/>
  <c r="D122" i="27"/>
  <c r="G122" i="27" s="1"/>
  <c r="H121" i="27"/>
  <c r="F121" i="27"/>
  <c r="D121" i="27"/>
  <c r="G121" i="27" s="1"/>
  <c r="L120" i="27"/>
  <c r="H120" i="27"/>
  <c r="F120" i="27"/>
  <c r="D120" i="27"/>
  <c r="G120" i="27" s="1"/>
  <c r="J120" i="27" s="1"/>
  <c r="H119" i="27"/>
  <c r="F119" i="27"/>
  <c r="D119" i="27"/>
  <c r="G119" i="27" s="1"/>
  <c r="H118" i="27"/>
  <c r="F118" i="27"/>
  <c r="D118" i="27"/>
  <c r="G118" i="27" s="1"/>
  <c r="L117" i="27"/>
  <c r="H117" i="27"/>
  <c r="F117" i="27"/>
  <c r="D117" i="27"/>
  <c r="G117" i="27" s="1"/>
  <c r="J117" i="27" s="1"/>
  <c r="H115" i="27"/>
  <c r="F115" i="27"/>
  <c r="D115" i="27"/>
  <c r="G115" i="27" s="1"/>
  <c r="H114" i="27"/>
  <c r="F114" i="27"/>
  <c r="D114" i="27"/>
  <c r="G114" i="27" s="1"/>
  <c r="L113" i="27"/>
  <c r="H113" i="27"/>
  <c r="F113" i="27"/>
  <c r="D113" i="27"/>
  <c r="G113" i="27" s="1"/>
  <c r="J113" i="27" s="1"/>
  <c r="H112" i="27"/>
  <c r="F112" i="27"/>
  <c r="D112" i="27"/>
  <c r="G112" i="27" s="1"/>
  <c r="H111" i="27"/>
  <c r="F111" i="27"/>
  <c r="D111" i="27"/>
  <c r="G111" i="27" s="1"/>
  <c r="J111" i="27" s="1"/>
  <c r="L110" i="27"/>
  <c r="H110" i="27"/>
  <c r="F110" i="27"/>
  <c r="D110" i="27"/>
  <c r="G110" i="27" s="1"/>
  <c r="J110" i="27" s="1"/>
  <c r="H109" i="27"/>
  <c r="F109" i="27"/>
  <c r="D109" i="27"/>
  <c r="G109" i="27" s="1"/>
  <c r="H108" i="27"/>
  <c r="F108" i="27"/>
  <c r="D108" i="27"/>
  <c r="G108" i="27" s="1"/>
  <c r="J108" i="27" s="1"/>
  <c r="L107" i="27"/>
  <c r="H107" i="27"/>
  <c r="F107" i="27"/>
  <c r="D107" i="27"/>
  <c r="G107" i="27" s="1"/>
  <c r="J107" i="27" s="1"/>
  <c r="H106" i="27"/>
  <c r="F106" i="27"/>
  <c r="D106" i="27"/>
  <c r="G106" i="27" s="1"/>
  <c r="H105" i="27"/>
  <c r="F105" i="27"/>
  <c r="D105" i="27"/>
  <c r="G105" i="27" s="1"/>
  <c r="L104" i="27"/>
  <c r="H104" i="27"/>
  <c r="F104" i="27"/>
  <c r="D104" i="27"/>
  <c r="G104" i="27" s="1"/>
  <c r="J104" i="27" s="1"/>
  <c r="H103" i="27"/>
  <c r="F103" i="27"/>
  <c r="D103" i="27"/>
  <c r="G103" i="27" s="1"/>
  <c r="H102" i="27"/>
  <c r="F102" i="27"/>
  <c r="D102" i="27"/>
  <c r="G102" i="27" s="1"/>
  <c r="J102" i="27" s="1"/>
  <c r="L101" i="27"/>
  <c r="H101" i="27"/>
  <c r="F101" i="27"/>
  <c r="D101" i="27"/>
  <c r="G101" i="27" s="1"/>
  <c r="J101" i="27" s="1"/>
  <c r="H100" i="27"/>
  <c r="F100" i="27"/>
  <c r="D100" i="27"/>
  <c r="G100" i="27" s="1"/>
  <c r="H99" i="27"/>
  <c r="F99" i="27"/>
  <c r="D99" i="27"/>
  <c r="G99" i="27" s="1"/>
  <c r="L98" i="27"/>
  <c r="H98" i="27"/>
  <c r="F98" i="27"/>
  <c r="D98" i="27"/>
  <c r="G98" i="27" s="1"/>
  <c r="J98" i="27" s="1"/>
  <c r="H97" i="27"/>
  <c r="F97" i="27"/>
  <c r="D97" i="27"/>
  <c r="G97" i="27" s="1"/>
  <c r="H96" i="27"/>
  <c r="F96" i="27"/>
  <c r="D96" i="27"/>
  <c r="G96" i="27" s="1"/>
  <c r="J96" i="27" s="1"/>
  <c r="L95" i="27"/>
  <c r="H95" i="27"/>
  <c r="F95" i="27"/>
  <c r="D95" i="27"/>
  <c r="G95" i="27" s="1"/>
  <c r="J95" i="27" s="1"/>
  <c r="H94" i="27"/>
  <c r="F94" i="27"/>
  <c r="D94" i="27"/>
  <c r="G94" i="27" s="1"/>
  <c r="H91" i="27"/>
  <c r="F91" i="27"/>
  <c r="D91" i="27"/>
  <c r="G91" i="27" s="1"/>
  <c r="J91" i="27" s="1"/>
  <c r="L90" i="27"/>
  <c r="H90" i="27"/>
  <c r="F90" i="27"/>
  <c r="D90" i="27"/>
  <c r="G90" i="27" s="1"/>
  <c r="J90" i="27" s="1"/>
  <c r="H89" i="27"/>
  <c r="F89" i="27"/>
  <c r="D89" i="27"/>
  <c r="G89" i="27" s="1"/>
  <c r="H88" i="27"/>
  <c r="F88" i="27"/>
  <c r="D88" i="27"/>
  <c r="G88" i="27" s="1"/>
  <c r="T86" i="27"/>
  <c r="H86" i="27"/>
  <c r="F86" i="27"/>
  <c r="R86" i="27" s="1"/>
  <c r="D86" i="27"/>
  <c r="G86" i="27" s="1"/>
  <c r="H85" i="27"/>
  <c r="F85" i="27"/>
  <c r="R85" i="27" s="1"/>
  <c r="D85" i="27"/>
  <c r="G85" i="27" s="1"/>
  <c r="L85" i="27" s="1"/>
  <c r="T84" i="27"/>
  <c r="Q84" i="27"/>
  <c r="P84" i="27"/>
  <c r="J84" i="27"/>
  <c r="H84" i="27"/>
  <c r="F84" i="27"/>
  <c r="O84" i="27" s="1"/>
  <c r="D84" i="27"/>
  <c r="G84" i="27" s="1"/>
  <c r="H83" i="27"/>
  <c r="F83" i="27"/>
  <c r="T83" i="27" s="1"/>
  <c r="D83" i="27"/>
  <c r="G83" i="27" s="1"/>
  <c r="J82" i="27"/>
  <c r="H82" i="27"/>
  <c r="F82" i="27"/>
  <c r="D82" i="27"/>
  <c r="G82" i="27" s="1"/>
  <c r="T81" i="27"/>
  <c r="Q81" i="27"/>
  <c r="P81" i="27"/>
  <c r="J81" i="27"/>
  <c r="H81" i="27"/>
  <c r="F81" i="27"/>
  <c r="O81" i="27" s="1"/>
  <c r="D81" i="27"/>
  <c r="G81" i="27" s="1"/>
  <c r="H80" i="27"/>
  <c r="F80" i="27"/>
  <c r="D80" i="27"/>
  <c r="G80" i="27" s="1"/>
  <c r="R79" i="27"/>
  <c r="L79" i="27"/>
  <c r="J79" i="27"/>
  <c r="H79" i="27"/>
  <c r="F79" i="27"/>
  <c r="D79" i="27"/>
  <c r="G79" i="27" s="1"/>
  <c r="T78" i="27"/>
  <c r="Q78" i="27"/>
  <c r="P78" i="27"/>
  <c r="H78" i="27"/>
  <c r="F78" i="27"/>
  <c r="O78" i="27" s="1"/>
  <c r="D78" i="27"/>
  <c r="G78" i="27" s="1"/>
  <c r="R76" i="27"/>
  <c r="H76" i="27"/>
  <c r="F76" i="27"/>
  <c r="Q76" i="27" s="1"/>
  <c r="D76" i="27"/>
  <c r="G76" i="27" s="1"/>
  <c r="H75" i="27"/>
  <c r="G75" i="27"/>
  <c r="F75" i="27"/>
  <c r="Q75" i="27" s="1"/>
  <c r="D75" i="27"/>
  <c r="H74" i="27"/>
  <c r="F74" i="27"/>
  <c r="R74" i="27" s="1"/>
  <c r="D74" i="27"/>
  <c r="G74" i="27" s="1"/>
  <c r="J74" i="27" s="1"/>
  <c r="H73" i="27"/>
  <c r="G73" i="27"/>
  <c r="I73" i="27" s="1"/>
  <c r="F73" i="27"/>
  <c r="Q73" i="27" s="1"/>
  <c r="D73" i="27"/>
  <c r="S70" i="27"/>
  <c r="J70" i="27"/>
  <c r="P70" i="27" s="1"/>
  <c r="I70" i="27"/>
  <c r="H70" i="27"/>
  <c r="R70" i="27" s="1"/>
  <c r="G70" i="27"/>
  <c r="L70" i="27" s="1"/>
  <c r="F70" i="27"/>
  <c r="D70" i="27"/>
  <c r="S69" i="27"/>
  <c r="R69" i="27"/>
  <c r="H69" i="27"/>
  <c r="F69" i="27"/>
  <c r="D69" i="27"/>
  <c r="G69" i="27" s="1"/>
  <c r="L69" i="27" s="1"/>
  <c r="S68" i="27"/>
  <c r="L68" i="27"/>
  <c r="H68" i="27"/>
  <c r="R68" i="27" s="1"/>
  <c r="G68" i="27"/>
  <c r="F68" i="27"/>
  <c r="D68" i="27"/>
  <c r="S67" i="27"/>
  <c r="R67" i="27"/>
  <c r="L67" i="27"/>
  <c r="K67" i="27"/>
  <c r="J67" i="27"/>
  <c r="P67" i="27" s="1"/>
  <c r="H67" i="27"/>
  <c r="G67" i="27"/>
  <c r="F67" i="27"/>
  <c r="D67" i="27"/>
  <c r="S66" i="27"/>
  <c r="R66" i="27"/>
  <c r="J66" i="27"/>
  <c r="P66" i="27" s="1"/>
  <c r="I66" i="27"/>
  <c r="H66" i="27"/>
  <c r="G66" i="27"/>
  <c r="L66" i="27" s="1"/>
  <c r="F66" i="27"/>
  <c r="D66" i="27"/>
  <c r="S65" i="27"/>
  <c r="R65" i="27"/>
  <c r="Q65" i="27"/>
  <c r="L65" i="27"/>
  <c r="I65" i="27"/>
  <c r="H65" i="27"/>
  <c r="F65" i="27"/>
  <c r="D65" i="27"/>
  <c r="G65" i="27" s="1"/>
  <c r="H64" i="27"/>
  <c r="R64" i="27" s="1"/>
  <c r="F64" i="27"/>
  <c r="D64" i="27"/>
  <c r="G64" i="27" s="1"/>
  <c r="S63" i="27"/>
  <c r="H63" i="27"/>
  <c r="R63" i="27" s="1"/>
  <c r="G63" i="27"/>
  <c r="J63" i="27" s="1"/>
  <c r="F63" i="27"/>
  <c r="D63" i="27"/>
  <c r="S62" i="27"/>
  <c r="R62" i="27"/>
  <c r="H62" i="27"/>
  <c r="G62" i="27"/>
  <c r="K62" i="27" s="1"/>
  <c r="F62" i="27"/>
  <c r="D62" i="27"/>
  <c r="S61" i="27"/>
  <c r="R61" i="27"/>
  <c r="H61" i="27"/>
  <c r="F61" i="27"/>
  <c r="D61" i="27"/>
  <c r="G61" i="27" s="1"/>
  <c r="K61" i="27" s="1"/>
  <c r="M61" i="27" s="1"/>
  <c r="S60" i="27"/>
  <c r="H60" i="27"/>
  <c r="R60" i="27" s="1"/>
  <c r="F60" i="27"/>
  <c r="D60" i="27"/>
  <c r="G60" i="27" s="1"/>
  <c r="S59" i="27"/>
  <c r="R59" i="27"/>
  <c r="P59" i="27"/>
  <c r="J59" i="27"/>
  <c r="O59" i="27" s="1"/>
  <c r="H59" i="27"/>
  <c r="G59" i="27"/>
  <c r="F59" i="27"/>
  <c r="D59" i="27"/>
  <c r="L51" i="27"/>
  <c r="K51" i="27"/>
  <c r="I51" i="27"/>
  <c r="H51" i="27"/>
  <c r="G51" i="27"/>
  <c r="J51" i="27" s="1"/>
  <c r="F51" i="27"/>
  <c r="D51" i="27"/>
  <c r="H50" i="27"/>
  <c r="F50" i="27"/>
  <c r="D50" i="27"/>
  <c r="G50" i="27" s="1"/>
  <c r="L49" i="27"/>
  <c r="K49" i="27"/>
  <c r="H49" i="27"/>
  <c r="G49" i="27"/>
  <c r="I49" i="27" s="1"/>
  <c r="F49" i="27"/>
  <c r="D49" i="27"/>
  <c r="H48" i="27"/>
  <c r="G48" i="27"/>
  <c r="J48" i="27" s="1"/>
  <c r="F48" i="27"/>
  <c r="D48" i="27"/>
  <c r="H47" i="27"/>
  <c r="F47" i="27"/>
  <c r="D47" i="27"/>
  <c r="G47" i="27" s="1"/>
  <c r="L46" i="27"/>
  <c r="K46" i="27"/>
  <c r="J46" i="27"/>
  <c r="H46" i="27"/>
  <c r="G46" i="27"/>
  <c r="I46" i="27" s="1"/>
  <c r="F46" i="27"/>
  <c r="D46" i="27"/>
  <c r="H45" i="27"/>
  <c r="G45" i="27"/>
  <c r="J45" i="27" s="1"/>
  <c r="F45" i="27"/>
  <c r="D45" i="27"/>
  <c r="H44" i="27"/>
  <c r="F44" i="27"/>
  <c r="D44" i="27"/>
  <c r="G44" i="27" s="1"/>
  <c r="H43" i="27"/>
  <c r="G43" i="27"/>
  <c r="I43" i="27" s="1"/>
  <c r="F43" i="27"/>
  <c r="D43" i="27"/>
  <c r="H42" i="27"/>
  <c r="G42" i="27"/>
  <c r="J42" i="27" s="1"/>
  <c r="F42" i="27"/>
  <c r="D42" i="27"/>
  <c r="H41" i="27"/>
  <c r="G41" i="27"/>
  <c r="I41" i="27" s="1"/>
  <c r="F41" i="27"/>
  <c r="D41" i="27"/>
  <c r="J40" i="27"/>
  <c r="H40" i="27"/>
  <c r="G40" i="27"/>
  <c r="I40" i="27" s="1"/>
  <c r="F40" i="27"/>
  <c r="D40" i="27"/>
  <c r="L39" i="27"/>
  <c r="K39" i="27"/>
  <c r="I39" i="27"/>
  <c r="H39" i="27"/>
  <c r="G39" i="27"/>
  <c r="J39" i="27" s="1"/>
  <c r="F39" i="27"/>
  <c r="D39" i="27"/>
  <c r="H38" i="27"/>
  <c r="F38" i="27"/>
  <c r="D38" i="27"/>
  <c r="G38" i="27" s="1"/>
  <c r="L37" i="27"/>
  <c r="K37" i="27"/>
  <c r="H37" i="27"/>
  <c r="G37" i="27"/>
  <c r="I37" i="27" s="1"/>
  <c r="F37" i="27"/>
  <c r="D37" i="27"/>
  <c r="H36" i="27"/>
  <c r="G36" i="27"/>
  <c r="J36" i="27" s="1"/>
  <c r="F36" i="27"/>
  <c r="D36" i="27"/>
  <c r="H35" i="27"/>
  <c r="F35" i="27"/>
  <c r="D35" i="27"/>
  <c r="G35" i="27" s="1"/>
  <c r="L34" i="27"/>
  <c r="K34" i="27"/>
  <c r="J34" i="27"/>
  <c r="H34" i="27"/>
  <c r="G34" i="27"/>
  <c r="I34" i="27" s="1"/>
  <c r="F34" i="27"/>
  <c r="D34" i="27"/>
  <c r="H33" i="27"/>
  <c r="G33" i="27"/>
  <c r="J33" i="27" s="1"/>
  <c r="F33" i="27"/>
  <c r="D33" i="27"/>
  <c r="H31" i="27"/>
  <c r="F31" i="27"/>
  <c r="D31" i="27"/>
  <c r="G31" i="27" s="1"/>
  <c r="H21" i="27"/>
  <c r="G21" i="27"/>
  <c r="I21" i="27" s="1"/>
  <c r="F21" i="27"/>
  <c r="D21" i="27"/>
  <c r="H20" i="27"/>
  <c r="G20" i="27"/>
  <c r="J20" i="27" s="1"/>
  <c r="F20" i="27"/>
  <c r="D20" i="27"/>
  <c r="T17" i="27"/>
  <c r="S17" i="27"/>
  <c r="R17" i="27"/>
  <c r="P17" i="27"/>
  <c r="O17" i="27"/>
  <c r="H17" i="27"/>
  <c r="G17" i="27"/>
  <c r="I17" i="27" s="1"/>
  <c r="F17" i="27"/>
  <c r="Q17" i="27" s="1"/>
  <c r="D17" i="27"/>
  <c r="T16" i="27"/>
  <c r="S16" i="27"/>
  <c r="Q16" i="27"/>
  <c r="P16" i="27"/>
  <c r="O16" i="27"/>
  <c r="H16" i="27"/>
  <c r="F16" i="27"/>
  <c r="R16" i="27" s="1"/>
  <c r="D16" i="27"/>
  <c r="G16" i="27" s="1"/>
  <c r="T15" i="27"/>
  <c r="S15" i="27"/>
  <c r="R15" i="27"/>
  <c r="H15" i="27"/>
  <c r="G15" i="27"/>
  <c r="J15" i="27" s="1"/>
  <c r="F15" i="27"/>
  <c r="Q15" i="27" s="1"/>
  <c r="D15" i="27"/>
  <c r="R12" i="27"/>
  <c r="Q12" i="27"/>
  <c r="H12" i="27"/>
  <c r="F12" i="27"/>
  <c r="D12" i="27"/>
  <c r="G12" i="27" s="1"/>
  <c r="L12" i="27" s="1"/>
  <c r="R11" i="27"/>
  <c r="H11" i="27"/>
  <c r="G11" i="27"/>
  <c r="I11" i="27" s="1"/>
  <c r="F11" i="27"/>
  <c r="Q11" i="27" s="1"/>
  <c r="D11" i="27"/>
  <c r="R10" i="27"/>
  <c r="Q10" i="27"/>
  <c r="N10" i="27"/>
  <c r="H10" i="27"/>
  <c r="F10" i="27"/>
  <c r="D10" i="27"/>
  <c r="G10" i="27" s="1"/>
  <c r="K10" i="27" s="1"/>
  <c r="M10" i="27" s="1"/>
  <c r="R7" i="27"/>
  <c r="Q7" i="27"/>
  <c r="P7" i="27"/>
  <c r="O7" i="27"/>
  <c r="H7" i="27"/>
  <c r="S7" i="27" s="1"/>
  <c r="F7" i="27"/>
  <c r="D7" i="27"/>
  <c r="G7" i="27" s="1"/>
  <c r="J7" i="27" s="1"/>
  <c r="S6" i="27"/>
  <c r="R6" i="27"/>
  <c r="N6" i="27"/>
  <c r="L6" i="27"/>
  <c r="K6" i="27"/>
  <c r="M6" i="27" s="1"/>
  <c r="H6" i="27"/>
  <c r="G6" i="27"/>
  <c r="F6" i="27"/>
  <c r="D6" i="27"/>
  <c r="S5" i="27"/>
  <c r="R5" i="27"/>
  <c r="H5" i="27"/>
  <c r="F5" i="27"/>
  <c r="D5" i="27"/>
  <c r="G5" i="27" s="1"/>
  <c r="R4" i="27"/>
  <c r="Q4" i="27"/>
  <c r="N4" i="27"/>
  <c r="M4" i="27"/>
  <c r="H4" i="27"/>
  <c r="S4" i="27" s="1"/>
  <c r="F4" i="27"/>
  <c r="D4" i="27"/>
  <c r="G4" i="27" s="1"/>
  <c r="K4" i="27" s="1"/>
  <c r="R3" i="27"/>
  <c r="Q3" i="27"/>
  <c r="P3" i="27"/>
  <c r="O3" i="27"/>
  <c r="L3" i="27"/>
  <c r="H3" i="27"/>
  <c r="S3" i="27" s="1"/>
  <c r="F3" i="27"/>
  <c r="D3" i="27"/>
  <c r="G3" i="27" s="1"/>
  <c r="J3" i="27" s="1"/>
  <c r="S2" i="27"/>
  <c r="R2" i="27"/>
  <c r="L2" i="27"/>
  <c r="K2" i="27"/>
  <c r="M2" i="27" s="1"/>
  <c r="I2" i="27"/>
  <c r="H2" i="27"/>
  <c r="G2" i="27"/>
  <c r="F2" i="27"/>
  <c r="D2" i="27"/>
  <c r="R76" i="26"/>
  <c r="Q76" i="26"/>
  <c r="P76" i="26"/>
  <c r="O76" i="26"/>
  <c r="N76" i="26"/>
  <c r="M76" i="26"/>
  <c r="T85" i="26"/>
  <c r="S85" i="26"/>
  <c r="R85" i="26"/>
  <c r="Q85" i="26"/>
  <c r="O84" i="26"/>
  <c r="T82" i="26"/>
  <c r="S82" i="26"/>
  <c r="R82" i="26"/>
  <c r="Q82" i="26"/>
  <c r="Q81" i="26"/>
  <c r="P81" i="26"/>
  <c r="O81" i="26"/>
  <c r="N79" i="26"/>
  <c r="P78" i="26"/>
  <c r="O78" i="26"/>
  <c r="R10" i="26"/>
  <c r="Q73" i="26"/>
  <c r="S70" i="26"/>
  <c r="R70" i="26"/>
  <c r="Q70" i="26"/>
  <c r="S68" i="26"/>
  <c r="R67" i="26"/>
  <c r="Q67" i="26"/>
  <c r="Q65" i="26"/>
  <c r="S63" i="26"/>
  <c r="R63" i="26"/>
  <c r="Q61" i="26"/>
  <c r="S60" i="26"/>
  <c r="R60" i="26"/>
  <c r="Q60" i="26"/>
  <c r="S59" i="26"/>
  <c r="H123" i="26"/>
  <c r="F123" i="26"/>
  <c r="D123" i="26"/>
  <c r="G123" i="26" s="1"/>
  <c r="L123" i="26" s="1"/>
  <c r="H122" i="26"/>
  <c r="F122" i="26"/>
  <c r="D122" i="26"/>
  <c r="G122" i="26" s="1"/>
  <c r="L122" i="26" s="1"/>
  <c r="H121" i="26"/>
  <c r="F121" i="26"/>
  <c r="D121" i="26"/>
  <c r="G121" i="26" s="1"/>
  <c r="H120" i="26"/>
  <c r="F120" i="26"/>
  <c r="D120" i="26"/>
  <c r="G120" i="26" s="1"/>
  <c r="H119" i="26"/>
  <c r="F119" i="26"/>
  <c r="D119" i="26"/>
  <c r="G119" i="26" s="1"/>
  <c r="H118" i="26"/>
  <c r="F118" i="26"/>
  <c r="D118" i="26"/>
  <c r="G118" i="26" s="1"/>
  <c r="H117" i="26"/>
  <c r="F117" i="26"/>
  <c r="D117" i="26"/>
  <c r="G117" i="26" s="1"/>
  <c r="L117" i="26" s="1"/>
  <c r="H115" i="26"/>
  <c r="F115" i="26"/>
  <c r="D115" i="26"/>
  <c r="G115" i="26" s="1"/>
  <c r="L115" i="26" s="1"/>
  <c r="H114" i="26"/>
  <c r="F114" i="26"/>
  <c r="D114" i="26"/>
  <c r="G114" i="26" s="1"/>
  <c r="J114" i="26" s="1"/>
  <c r="H113" i="26"/>
  <c r="F113" i="26"/>
  <c r="D113" i="26"/>
  <c r="G113" i="26" s="1"/>
  <c r="H112" i="26"/>
  <c r="F112" i="26"/>
  <c r="D112" i="26"/>
  <c r="G112" i="26" s="1"/>
  <c r="H111" i="26"/>
  <c r="F111" i="26"/>
  <c r="D111" i="26"/>
  <c r="G111" i="26" s="1"/>
  <c r="H110" i="26"/>
  <c r="F110" i="26"/>
  <c r="D110" i="26"/>
  <c r="G110" i="26" s="1"/>
  <c r="L110" i="26" s="1"/>
  <c r="H109" i="26"/>
  <c r="F109" i="26"/>
  <c r="D109" i="26"/>
  <c r="G109" i="26" s="1"/>
  <c r="L109" i="26" s="1"/>
  <c r="H108" i="26"/>
  <c r="F108" i="26"/>
  <c r="D108" i="26"/>
  <c r="G108" i="26" s="1"/>
  <c r="I108" i="26" s="1"/>
  <c r="H107" i="26"/>
  <c r="F107" i="26"/>
  <c r="D107" i="26"/>
  <c r="G107" i="26" s="1"/>
  <c r="K107" i="26" s="1"/>
  <c r="H106" i="26"/>
  <c r="F106" i="26"/>
  <c r="D106" i="26"/>
  <c r="G106" i="26" s="1"/>
  <c r="H105" i="26"/>
  <c r="F105" i="26"/>
  <c r="D105" i="26"/>
  <c r="G105" i="26" s="1"/>
  <c r="J105" i="26" s="1"/>
  <c r="H104" i="26"/>
  <c r="F104" i="26"/>
  <c r="D104" i="26"/>
  <c r="G104" i="26" s="1"/>
  <c r="H103" i="26"/>
  <c r="F103" i="26"/>
  <c r="D103" i="26"/>
  <c r="G103" i="26" s="1"/>
  <c r="H102" i="26"/>
  <c r="F102" i="26"/>
  <c r="D102" i="26"/>
  <c r="G102" i="26" s="1"/>
  <c r="J102" i="26" s="1"/>
  <c r="H101" i="26"/>
  <c r="F101" i="26"/>
  <c r="D101" i="26"/>
  <c r="G101" i="26" s="1"/>
  <c r="K101" i="26" s="1"/>
  <c r="H100" i="26"/>
  <c r="F100" i="26"/>
  <c r="D100" i="26"/>
  <c r="G100" i="26" s="1"/>
  <c r="L100" i="26" s="1"/>
  <c r="H99" i="26"/>
  <c r="F99" i="26"/>
  <c r="D99" i="26"/>
  <c r="G99" i="26" s="1"/>
  <c r="H98" i="26"/>
  <c r="F98" i="26"/>
  <c r="D98" i="26"/>
  <c r="G98" i="26" s="1"/>
  <c r="K98" i="26" s="1"/>
  <c r="H97" i="26"/>
  <c r="F97" i="26"/>
  <c r="D97" i="26"/>
  <c r="G97" i="26" s="1"/>
  <c r="H96" i="26"/>
  <c r="F96" i="26"/>
  <c r="D96" i="26"/>
  <c r="G96" i="26" s="1"/>
  <c r="H95" i="26"/>
  <c r="F95" i="26"/>
  <c r="D95" i="26"/>
  <c r="G95" i="26" s="1"/>
  <c r="L95" i="26" s="1"/>
  <c r="H94" i="26"/>
  <c r="F94" i="26"/>
  <c r="D94" i="26"/>
  <c r="G94" i="26" s="1"/>
  <c r="H91" i="26"/>
  <c r="F91" i="26"/>
  <c r="D91" i="26"/>
  <c r="G91" i="26" s="1"/>
  <c r="I91" i="26" s="1"/>
  <c r="H90" i="26"/>
  <c r="F90" i="26"/>
  <c r="D90" i="26"/>
  <c r="G90" i="26" s="1"/>
  <c r="K90" i="26" s="1"/>
  <c r="H89" i="26"/>
  <c r="F89" i="26"/>
  <c r="D89" i="26"/>
  <c r="G89" i="26" s="1"/>
  <c r="L89" i="26" s="1"/>
  <c r="H88" i="26"/>
  <c r="F88" i="26"/>
  <c r="D88" i="26"/>
  <c r="G88" i="26" s="1"/>
  <c r="I88" i="26" s="1"/>
  <c r="H86" i="26"/>
  <c r="F86" i="26"/>
  <c r="T86" i="26" s="1"/>
  <c r="D86" i="26"/>
  <c r="G86" i="26" s="1"/>
  <c r="H85" i="26"/>
  <c r="F85" i="26"/>
  <c r="P85" i="26" s="1"/>
  <c r="D85" i="26"/>
  <c r="G85" i="26" s="1"/>
  <c r="K85" i="26" s="1"/>
  <c r="N85" i="26" s="1"/>
  <c r="H84" i="26"/>
  <c r="F84" i="26"/>
  <c r="T84" i="26" s="1"/>
  <c r="D84" i="26"/>
  <c r="G84" i="26" s="1"/>
  <c r="J84" i="26" s="1"/>
  <c r="H83" i="26"/>
  <c r="F83" i="26"/>
  <c r="T83" i="26" s="1"/>
  <c r="D83" i="26"/>
  <c r="G83" i="26" s="1"/>
  <c r="L83" i="26" s="1"/>
  <c r="H82" i="26"/>
  <c r="F82" i="26"/>
  <c r="P82" i="26" s="1"/>
  <c r="D82" i="26"/>
  <c r="G82" i="26" s="1"/>
  <c r="H81" i="26"/>
  <c r="F81" i="26"/>
  <c r="T81" i="26" s="1"/>
  <c r="D81" i="26"/>
  <c r="G81" i="26" s="1"/>
  <c r="J81" i="26" s="1"/>
  <c r="H80" i="26"/>
  <c r="F80" i="26"/>
  <c r="T80" i="26" s="1"/>
  <c r="D80" i="26"/>
  <c r="G80" i="26" s="1"/>
  <c r="H79" i="26"/>
  <c r="F79" i="26"/>
  <c r="P79" i="26" s="1"/>
  <c r="D79" i="26"/>
  <c r="G79" i="26" s="1"/>
  <c r="K79" i="26" s="1"/>
  <c r="M79" i="26" s="1"/>
  <c r="H78" i="26"/>
  <c r="F78" i="26"/>
  <c r="T78" i="26" s="1"/>
  <c r="D78" i="26"/>
  <c r="G78" i="26" s="1"/>
  <c r="H76" i="26"/>
  <c r="F76" i="26"/>
  <c r="D76" i="26"/>
  <c r="G76" i="26" s="1"/>
  <c r="H75" i="26"/>
  <c r="F75" i="26"/>
  <c r="R75" i="26" s="1"/>
  <c r="D75" i="26"/>
  <c r="G75" i="26" s="1"/>
  <c r="H74" i="26"/>
  <c r="F74" i="26"/>
  <c r="R74" i="26" s="1"/>
  <c r="D74" i="26"/>
  <c r="G74" i="26" s="1"/>
  <c r="K74" i="26" s="1"/>
  <c r="N74" i="26" s="1"/>
  <c r="H73" i="26"/>
  <c r="F73" i="26"/>
  <c r="R73" i="26" s="1"/>
  <c r="D73" i="26"/>
  <c r="G73" i="26" s="1"/>
  <c r="J73" i="26" s="1"/>
  <c r="P73" i="26" s="1"/>
  <c r="H70" i="26"/>
  <c r="F70" i="26"/>
  <c r="D70" i="26"/>
  <c r="G70" i="26" s="1"/>
  <c r="H69" i="26"/>
  <c r="S69" i="26" s="1"/>
  <c r="F69" i="26"/>
  <c r="D69" i="26"/>
  <c r="G69" i="26" s="1"/>
  <c r="Q69" i="26" s="1"/>
  <c r="L68" i="26"/>
  <c r="J68" i="26"/>
  <c r="P68" i="26" s="1"/>
  <c r="H68" i="26"/>
  <c r="R68" i="26" s="1"/>
  <c r="F68" i="26"/>
  <c r="D68" i="26"/>
  <c r="G68" i="26" s="1"/>
  <c r="K68" i="26" s="1"/>
  <c r="N68" i="26" s="1"/>
  <c r="H67" i="26"/>
  <c r="S67" i="26" s="1"/>
  <c r="F67" i="26"/>
  <c r="D67" i="26"/>
  <c r="G67" i="26" s="1"/>
  <c r="L67" i="26" s="1"/>
  <c r="H66" i="26"/>
  <c r="S66" i="26" s="1"/>
  <c r="F66" i="26"/>
  <c r="D66" i="26"/>
  <c r="G66" i="26" s="1"/>
  <c r="Q66" i="26" s="1"/>
  <c r="H65" i="26"/>
  <c r="R65" i="26" s="1"/>
  <c r="F65" i="26"/>
  <c r="D65" i="26"/>
  <c r="G65" i="26" s="1"/>
  <c r="L65" i="26" s="1"/>
  <c r="H64" i="26"/>
  <c r="S64" i="26" s="1"/>
  <c r="F64" i="26"/>
  <c r="D64" i="26"/>
  <c r="G64" i="26" s="1"/>
  <c r="Q64" i="26" s="1"/>
  <c r="H63" i="26"/>
  <c r="F63" i="26"/>
  <c r="D63" i="26"/>
  <c r="G63" i="26" s="1"/>
  <c r="Q63" i="26" s="1"/>
  <c r="H62" i="26"/>
  <c r="S62" i="26" s="1"/>
  <c r="F62" i="26"/>
  <c r="D62" i="26"/>
  <c r="G62" i="26" s="1"/>
  <c r="Q62" i="26" s="1"/>
  <c r="H61" i="26"/>
  <c r="S61" i="26" s="1"/>
  <c r="F61" i="26"/>
  <c r="D61" i="26"/>
  <c r="G61" i="26" s="1"/>
  <c r="H60" i="26"/>
  <c r="F60" i="26"/>
  <c r="D60" i="26"/>
  <c r="G60" i="26" s="1"/>
  <c r="K60" i="26" s="1"/>
  <c r="N60" i="26" s="1"/>
  <c r="H59" i="26"/>
  <c r="R59" i="26" s="1"/>
  <c r="F59" i="26"/>
  <c r="D59" i="26"/>
  <c r="G59" i="26" s="1"/>
  <c r="J59" i="26" s="1"/>
  <c r="O59" i="26" s="1"/>
  <c r="H51" i="26"/>
  <c r="F51" i="26"/>
  <c r="D51" i="26"/>
  <c r="G51" i="26" s="1"/>
  <c r="H50" i="26"/>
  <c r="F50" i="26"/>
  <c r="D50" i="26"/>
  <c r="G50" i="26" s="1"/>
  <c r="I50" i="26" s="1"/>
  <c r="H49" i="26"/>
  <c r="F49" i="26"/>
  <c r="D49" i="26"/>
  <c r="G49" i="26" s="1"/>
  <c r="H48" i="26"/>
  <c r="F48" i="26"/>
  <c r="D48" i="26"/>
  <c r="G48" i="26" s="1"/>
  <c r="H47" i="26"/>
  <c r="F47" i="26"/>
  <c r="D47" i="26"/>
  <c r="G47" i="26" s="1"/>
  <c r="H46" i="26"/>
  <c r="F46" i="26"/>
  <c r="D46" i="26"/>
  <c r="G46" i="26" s="1"/>
  <c r="H45" i="26"/>
  <c r="F45" i="26"/>
  <c r="D45" i="26"/>
  <c r="G45" i="26" s="1"/>
  <c r="H44" i="26"/>
  <c r="F44" i="26"/>
  <c r="D44" i="26"/>
  <c r="G44" i="26" s="1"/>
  <c r="H43" i="26"/>
  <c r="F43" i="26"/>
  <c r="D43" i="26"/>
  <c r="G43" i="26" s="1"/>
  <c r="H42" i="26"/>
  <c r="F42" i="26"/>
  <c r="D42" i="26"/>
  <c r="G42" i="26" s="1"/>
  <c r="H41" i="26"/>
  <c r="F41" i="26"/>
  <c r="D41" i="26"/>
  <c r="G41" i="26" s="1"/>
  <c r="H40" i="26"/>
  <c r="F40" i="26"/>
  <c r="D40" i="26"/>
  <c r="G40" i="26" s="1"/>
  <c r="J40" i="26" s="1"/>
  <c r="H39" i="26"/>
  <c r="F39" i="26"/>
  <c r="D39" i="26"/>
  <c r="G39" i="26" s="1"/>
  <c r="H38" i="26"/>
  <c r="F38" i="26"/>
  <c r="D38" i="26"/>
  <c r="G38" i="26" s="1"/>
  <c r="H37" i="26"/>
  <c r="F37" i="26"/>
  <c r="D37" i="26"/>
  <c r="G37" i="26" s="1"/>
  <c r="J37" i="26" s="1"/>
  <c r="H36" i="26"/>
  <c r="F36" i="26"/>
  <c r="D36" i="26"/>
  <c r="G36" i="26" s="1"/>
  <c r="H35" i="26"/>
  <c r="F35" i="26"/>
  <c r="D35" i="26"/>
  <c r="G35" i="26" s="1"/>
  <c r="H34" i="26"/>
  <c r="F34" i="26"/>
  <c r="D34" i="26"/>
  <c r="G34" i="26" s="1"/>
  <c r="H33" i="26"/>
  <c r="F33" i="26"/>
  <c r="D33" i="26"/>
  <c r="G33" i="26" s="1"/>
  <c r="J33" i="26" s="1"/>
  <c r="H21" i="26"/>
  <c r="F21" i="26"/>
  <c r="D21" i="26"/>
  <c r="G21" i="26" s="1"/>
  <c r="H20" i="26"/>
  <c r="F20" i="26"/>
  <c r="D20" i="26"/>
  <c r="G20" i="26" s="1"/>
  <c r="H31" i="26"/>
  <c r="F31" i="26"/>
  <c r="D31" i="26"/>
  <c r="G31" i="26" s="1"/>
  <c r="H17" i="26"/>
  <c r="F17" i="26"/>
  <c r="R17" i="26" s="1"/>
  <c r="D17" i="26"/>
  <c r="G17" i="26" s="1"/>
  <c r="H16" i="26"/>
  <c r="F16" i="26"/>
  <c r="R16" i="26" s="1"/>
  <c r="D16" i="26"/>
  <c r="G16" i="26" s="1"/>
  <c r="J16" i="26" s="1"/>
  <c r="H15" i="26"/>
  <c r="F15" i="26"/>
  <c r="R15" i="26" s="1"/>
  <c r="D15" i="26"/>
  <c r="G15" i="26" s="1"/>
  <c r="J15" i="26" s="1"/>
  <c r="H12" i="26"/>
  <c r="F12" i="26"/>
  <c r="D12" i="26"/>
  <c r="G12" i="26" s="1"/>
  <c r="L12" i="26" s="1"/>
  <c r="H11" i="26"/>
  <c r="F11" i="26"/>
  <c r="R11" i="26" s="1"/>
  <c r="D11" i="26"/>
  <c r="G11" i="26" s="1"/>
  <c r="J11" i="26" s="1"/>
  <c r="H10" i="26"/>
  <c r="F10" i="26"/>
  <c r="D10" i="26"/>
  <c r="G10" i="26" s="1"/>
  <c r="L10" i="26" s="1"/>
  <c r="H7" i="26"/>
  <c r="F7" i="26"/>
  <c r="D7" i="26"/>
  <c r="G7" i="26" s="1"/>
  <c r="K7" i="26" s="1"/>
  <c r="N7" i="26" s="1"/>
  <c r="H6" i="26"/>
  <c r="R6" i="26" s="1"/>
  <c r="F6" i="26"/>
  <c r="D6" i="26"/>
  <c r="G6" i="26" s="1"/>
  <c r="J6" i="26" s="1"/>
  <c r="O6" i="26" s="1"/>
  <c r="H5" i="26"/>
  <c r="R5" i="26" s="1"/>
  <c r="F5" i="26"/>
  <c r="D5" i="26"/>
  <c r="G5" i="26" s="1"/>
  <c r="H4" i="26"/>
  <c r="S4" i="26" s="1"/>
  <c r="F4" i="26"/>
  <c r="D4" i="26"/>
  <c r="G4" i="26" s="1"/>
  <c r="L4" i="26" s="1"/>
  <c r="H3" i="26"/>
  <c r="S3" i="26" s="1"/>
  <c r="F3" i="26"/>
  <c r="D3" i="26"/>
  <c r="G3" i="26" s="1"/>
  <c r="K3" i="26" s="1"/>
  <c r="N3" i="26" s="1"/>
  <c r="H2" i="26"/>
  <c r="F2" i="26"/>
  <c r="D2" i="26"/>
  <c r="G2" i="26" s="1"/>
  <c r="I2" i="26" s="1"/>
  <c r="I47" i="27" l="1"/>
  <c r="L47" i="27"/>
  <c r="K47" i="27"/>
  <c r="J47" i="27"/>
  <c r="P63" i="27"/>
  <c r="O63" i="27"/>
  <c r="I50" i="27"/>
  <c r="L50" i="27"/>
  <c r="K50" i="27"/>
  <c r="J50" i="27"/>
  <c r="I31" i="27"/>
  <c r="K31" i="27"/>
  <c r="J31" i="27"/>
  <c r="L31" i="27"/>
  <c r="O74" i="27"/>
  <c r="P74" i="27"/>
  <c r="I35" i="27"/>
  <c r="L35" i="27"/>
  <c r="K35" i="27"/>
  <c r="J35" i="27"/>
  <c r="N62" i="27"/>
  <c r="M62" i="27"/>
  <c r="I16" i="27"/>
  <c r="K16" i="27"/>
  <c r="L16" i="27"/>
  <c r="J16" i="27"/>
  <c r="K64" i="27"/>
  <c r="J64" i="27"/>
  <c r="Q64" i="27"/>
  <c r="L64" i="27"/>
  <c r="I64" i="27"/>
  <c r="J5" i="27"/>
  <c r="L5" i="27"/>
  <c r="I5" i="27"/>
  <c r="Q5" i="27"/>
  <c r="K5" i="27"/>
  <c r="I38" i="27"/>
  <c r="L38" i="27"/>
  <c r="K38" i="27"/>
  <c r="J38" i="27"/>
  <c r="K60" i="27"/>
  <c r="J60" i="27"/>
  <c r="L60" i="27"/>
  <c r="I60" i="27"/>
  <c r="Q60" i="27"/>
  <c r="I44" i="27"/>
  <c r="L44" i="27"/>
  <c r="K44" i="27"/>
  <c r="J44" i="27"/>
  <c r="L78" i="27"/>
  <c r="K78" i="27"/>
  <c r="I78" i="27"/>
  <c r="L114" i="27"/>
  <c r="K114" i="27"/>
  <c r="I114" i="27"/>
  <c r="K48" i="27"/>
  <c r="K73" i="27"/>
  <c r="J114" i="27"/>
  <c r="K3" i="27"/>
  <c r="L4" i="27"/>
  <c r="L7" i="27"/>
  <c r="P15" i="27"/>
  <c r="L20" i="27"/>
  <c r="L42" i="27"/>
  <c r="Q61" i="27"/>
  <c r="K65" i="27"/>
  <c r="J65" i="27"/>
  <c r="L83" i="27"/>
  <c r="K83" i="27"/>
  <c r="J83" i="27"/>
  <c r="I83" i="27"/>
  <c r="L96" i="27"/>
  <c r="K96" i="27"/>
  <c r="I96" i="27"/>
  <c r="N67" i="27"/>
  <c r="M67" i="27"/>
  <c r="L105" i="27"/>
  <c r="K105" i="27"/>
  <c r="I105" i="27"/>
  <c r="O67" i="27"/>
  <c r="J21" i="27"/>
  <c r="J85" i="27"/>
  <c r="K21" i="27"/>
  <c r="L36" i="27"/>
  <c r="K43" i="27"/>
  <c r="L48" i="27"/>
  <c r="I59" i="27"/>
  <c r="Q59" i="27"/>
  <c r="I61" i="27"/>
  <c r="O66" i="27"/>
  <c r="L73" i="27"/>
  <c r="K82" i="27"/>
  <c r="I82" i="27"/>
  <c r="L84" i="27"/>
  <c r="K84" i="27"/>
  <c r="I84" i="27"/>
  <c r="L89" i="27"/>
  <c r="K89" i="27"/>
  <c r="J89" i="27"/>
  <c r="I89" i="27"/>
  <c r="L94" i="27"/>
  <c r="K94" i="27"/>
  <c r="J94" i="27"/>
  <c r="I94" i="27"/>
  <c r="L97" i="27"/>
  <c r="K97" i="27"/>
  <c r="J97" i="27"/>
  <c r="I97" i="27"/>
  <c r="L100" i="27"/>
  <c r="K100" i="27"/>
  <c r="J100" i="27"/>
  <c r="I100" i="27"/>
  <c r="L103" i="27"/>
  <c r="K103" i="27"/>
  <c r="J103" i="27"/>
  <c r="I103" i="27"/>
  <c r="L106" i="27"/>
  <c r="K106" i="27"/>
  <c r="J106" i="27"/>
  <c r="I106" i="27"/>
  <c r="L109" i="27"/>
  <c r="K109" i="27"/>
  <c r="J109" i="27"/>
  <c r="I109" i="27"/>
  <c r="L112" i="27"/>
  <c r="K112" i="27"/>
  <c r="J112" i="27"/>
  <c r="I112" i="27"/>
  <c r="L115" i="27"/>
  <c r="K115" i="27"/>
  <c r="J115" i="27"/>
  <c r="I115" i="27"/>
  <c r="L119" i="27"/>
  <c r="K119" i="27"/>
  <c r="J119" i="27"/>
  <c r="I119" i="27"/>
  <c r="L122" i="27"/>
  <c r="K122" i="27"/>
  <c r="J122" i="27"/>
  <c r="I122" i="27"/>
  <c r="L111" i="27"/>
  <c r="K111" i="27"/>
  <c r="I111" i="27"/>
  <c r="I12" i="27"/>
  <c r="I15" i="27"/>
  <c r="L21" i="27"/>
  <c r="I33" i="27"/>
  <c r="L43" i="27"/>
  <c r="I45" i="27"/>
  <c r="J61" i="27"/>
  <c r="I62" i="27"/>
  <c r="I69" i="27"/>
  <c r="R73" i="27"/>
  <c r="R75" i="27"/>
  <c r="T82" i="27"/>
  <c r="S82" i="27"/>
  <c r="Q82" i="27"/>
  <c r="P82" i="27"/>
  <c r="O82" i="27"/>
  <c r="L108" i="27"/>
  <c r="K108" i="27"/>
  <c r="I108" i="27"/>
  <c r="K41" i="27"/>
  <c r="J73" i="27"/>
  <c r="S83" i="27"/>
  <c r="Q83" i="27"/>
  <c r="P83" i="27"/>
  <c r="O83" i="27"/>
  <c r="L88" i="27"/>
  <c r="K88" i="27"/>
  <c r="I88" i="27"/>
  <c r="L102" i="27"/>
  <c r="K102" i="27"/>
  <c r="I102" i="27"/>
  <c r="L118" i="27"/>
  <c r="K118" i="27"/>
  <c r="I118" i="27"/>
  <c r="N2" i="27"/>
  <c r="R83" i="27"/>
  <c r="K36" i="27"/>
  <c r="L41" i="27"/>
  <c r="I63" i="27"/>
  <c r="Q63" i="27"/>
  <c r="S80" i="27"/>
  <c r="Q80" i="27"/>
  <c r="P80" i="27"/>
  <c r="O80" i="27"/>
  <c r="J105" i="27"/>
  <c r="J118" i="27"/>
  <c r="J12" i="27"/>
  <c r="K33" i="27"/>
  <c r="J62" i="27"/>
  <c r="L74" i="27"/>
  <c r="K74" i="27"/>
  <c r="R80" i="27"/>
  <c r="Q6" i="27"/>
  <c r="J6" i="27"/>
  <c r="I10" i="27"/>
  <c r="J11" i="27"/>
  <c r="L15" i="27"/>
  <c r="J17" i="27"/>
  <c r="L33" i="27"/>
  <c r="L45" i="27"/>
  <c r="T80" i="27"/>
  <c r="K90" i="27"/>
  <c r="I90" i="27"/>
  <c r="K98" i="27"/>
  <c r="I98" i="27"/>
  <c r="K104" i="27"/>
  <c r="I104" i="27"/>
  <c r="K110" i="27"/>
  <c r="I110" i="27"/>
  <c r="K117" i="27"/>
  <c r="I117" i="27"/>
  <c r="K120" i="27"/>
  <c r="I120" i="27"/>
  <c r="Q2" i="27"/>
  <c r="J2" i="27"/>
  <c r="I4" i="27"/>
  <c r="I7" i="27"/>
  <c r="J10" i="27"/>
  <c r="K11" i="27"/>
  <c r="K17" i="27"/>
  <c r="I20" i="27"/>
  <c r="L40" i="27"/>
  <c r="I42" i="27"/>
  <c r="L59" i="27"/>
  <c r="N61" i="27"/>
  <c r="O70" i="27"/>
  <c r="K79" i="27"/>
  <c r="I79" i="27"/>
  <c r="L81" i="27"/>
  <c r="K81" i="27"/>
  <c r="I81" i="27"/>
  <c r="L82" i="27"/>
  <c r="K85" i="27"/>
  <c r="I85" i="27"/>
  <c r="L91" i="27"/>
  <c r="K91" i="27"/>
  <c r="I91" i="27"/>
  <c r="L99" i="27"/>
  <c r="K99" i="27"/>
  <c r="I99" i="27"/>
  <c r="L121" i="27"/>
  <c r="K121" i="27"/>
  <c r="I121" i="27"/>
  <c r="J41" i="27"/>
  <c r="T85" i="27"/>
  <c r="S85" i="27"/>
  <c r="Q85" i="27"/>
  <c r="P85" i="27"/>
  <c r="O85" i="27"/>
  <c r="I36" i="27"/>
  <c r="I48" i="27"/>
  <c r="K69" i="27"/>
  <c r="J69" i="27"/>
  <c r="L75" i="27"/>
  <c r="K75" i="27"/>
  <c r="J75" i="27"/>
  <c r="I75" i="27"/>
  <c r="L80" i="27"/>
  <c r="K80" i="27"/>
  <c r="J80" i="27"/>
  <c r="I80" i="27"/>
  <c r="J43" i="27"/>
  <c r="L62" i="27"/>
  <c r="Q62" i="27"/>
  <c r="J78" i="27"/>
  <c r="J88" i="27"/>
  <c r="J99" i="27"/>
  <c r="J121" i="27"/>
  <c r="K15" i="27"/>
  <c r="K45" i="27"/>
  <c r="L61" i="27"/>
  <c r="K63" i="27"/>
  <c r="K76" i="27"/>
  <c r="J76" i="27"/>
  <c r="I76" i="27"/>
  <c r="L86" i="27"/>
  <c r="K86" i="27"/>
  <c r="J86" i="27"/>
  <c r="I86" i="27"/>
  <c r="K12" i="27"/>
  <c r="K40" i="27"/>
  <c r="K59" i="27"/>
  <c r="L63" i="27"/>
  <c r="Q68" i="27"/>
  <c r="K68" i="27"/>
  <c r="J68" i="27"/>
  <c r="S86" i="27"/>
  <c r="Q86" i="27"/>
  <c r="P86" i="27"/>
  <c r="O86" i="27"/>
  <c r="K95" i="27"/>
  <c r="I95" i="27"/>
  <c r="K101" i="27"/>
  <c r="I101" i="27"/>
  <c r="K107" i="27"/>
  <c r="I107" i="27"/>
  <c r="K113" i="27"/>
  <c r="I113" i="27"/>
  <c r="L123" i="27"/>
  <c r="K123" i="27"/>
  <c r="J123" i="27"/>
  <c r="I123" i="27"/>
  <c r="I3" i="27"/>
  <c r="J4" i="27"/>
  <c r="I6" i="27"/>
  <c r="K7" i="27"/>
  <c r="L10" i="27"/>
  <c r="L11" i="27"/>
  <c r="O15" i="27"/>
  <c r="L17" i="27"/>
  <c r="K20" i="27"/>
  <c r="J37" i="27"/>
  <c r="K42" i="27"/>
  <c r="J49" i="27"/>
  <c r="S64" i="27"/>
  <c r="I67" i="27"/>
  <c r="Q67" i="27"/>
  <c r="I68" i="27"/>
  <c r="Q69" i="27"/>
  <c r="I74" i="27"/>
  <c r="L76" i="27"/>
  <c r="T79" i="27"/>
  <c r="S79" i="27"/>
  <c r="Q79" i="27"/>
  <c r="P79" i="27"/>
  <c r="O79" i="27"/>
  <c r="R82" i="27"/>
  <c r="Q66" i="27"/>
  <c r="Q70" i="27"/>
  <c r="R78" i="27"/>
  <c r="R81" i="27"/>
  <c r="R84" i="27"/>
  <c r="S78" i="27"/>
  <c r="S81" i="27"/>
  <c r="S84" i="27"/>
  <c r="Q74" i="27"/>
  <c r="K66" i="27"/>
  <c r="K70" i="27"/>
  <c r="S65" i="26"/>
  <c r="T79" i="26"/>
  <c r="P84" i="26"/>
  <c r="Q75" i="26"/>
  <c r="Q78" i="26"/>
  <c r="Q84" i="26"/>
  <c r="R62" i="26"/>
  <c r="R78" i="26"/>
  <c r="R81" i="26"/>
  <c r="R84" i="26"/>
  <c r="I107" i="26"/>
  <c r="I123" i="26"/>
  <c r="P59" i="26"/>
  <c r="M68" i="26"/>
  <c r="R69" i="26"/>
  <c r="M74" i="26"/>
  <c r="S78" i="26"/>
  <c r="O80" i="26"/>
  <c r="S81" i="26"/>
  <c r="O83" i="26"/>
  <c r="S84" i="26"/>
  <c r="O86" i="26"/>
  <c r="S79" i="26"/>
  <c r="J107" i="26"/>
  <c r="Q59" i="26"/>
  <c r="R64" i="26"/>
  <c r="P80" i="26"/>
  <c r="P83" i="26"/>
  <c r="P86" i="26"/>
  <c r="Q79" i="26"/>
  <c r="L107" i="26"/>
  <c r="O68" i="26"/>
  <c r="Q80" i="26"/>
  <c r="Q83" i="26"/>
  <c r="M85" i="26"/>
  <c r="Q86" i="26"/>
  <c r="R66" i="26"/>
  <c r="R80" i="26"/>
  <c r="R83" i="26"/>
  <c r="R86" i="26"/>
  <c r="R79" i="26"/>
  <c r="M60" i="26"/>
  <c r="R61" i="26"/>
  <c r="Q68" i="26"/>
  <c r="Q74" i="26"/>
  <c r="O79" i="26"/>
  <c r="S80" i="26"/>
  <c r="O82" i="26"/>
  <c r="S83" i="26"/>
  <c r="O85" i="26"/>
  <c r="S86" i="26"/>
  <c r="I68" i="26"/>
  <c r="P17" i="26"/>
  <c r="Q17" i="26"/>
  <c r="I40" i="26"/>
  <c r="I65" i="26"/>
  <c r="K12" i="26"/>
  <c r="N12" i="26" s="1"/>
  <c r="Q4" i="26"/>
  <c r="Q10" i="26"/>
  <c r="J60" i="26"/>
  <c r="L60" i="26"/>
  <c r="S17" i="26"/>
  <c r="T17" i="26"/>
  <c r="I79" i="26"/>
  <c r="L16" i="26"/>
  <c r="I37" i="26"/>
  <c r="I101" i="26"/>
  <c r="O16" i="26"/>
  <c r="J85" i="26"/>
  <c r="J101" i="26"/>
  <c r="I85" i="26"/>
  <c r="P16" i="26"/>
  <c r="L85" i="26"/>
  <c r="L98" i="26"/>
  <c r="L101" i="26"/>
  <c r="Q16" i="26"/>
  <c r="S16" i="26"/>
  <c r="L79" i="26"/>
  <c r="R4" i="26"/>
  <c r="S5" i="26"/>
  <c r="L50" i="26"/>
  <c r="L90" i="26"/>
  <c r="I122" i="26"/>
  <c r="K10" i="26"/>
  <c r="N10" i="26" s="1"/>
  <c r="J78" i="26"/>
  <c r="K78" i="26"/>
  <c r="K70" i="26"/>
  <c r="J70" i="26"/>
  <c r="L7" i="26"/>
  <c r="O15" i="26"/>
  <c r="I89" i="26"/>
  <c r="J91" i="26"/>
  <c r="I114" i="26"/>
  <c r="M3" i="26"/>
  <c r="M7" i="26"/>
  <c r="Q11" i="26"/>
  <c r="P15" i="26"/>
  <c r="T16" i="26"/>
  <c r="K33" i="26"/>
  <c r="I73" i="26"/>
  <c r="I102" i="26"/>
  <c r="I3" i="26"/>
  <c r="I7" i="26"/>
  <c r="J74" i="26"/>
  <c r="I110" i="26"/>
  <c r="I117" i="26"/>
  <c r="J3" i="26"/>
  <c r="O3" i="26" s="1"/>
  <c r="J7" i="26"/>
  <c r="O7" i="26" s="1"/>
  <c r="L15" i="26"/>
  <c r="L3" i="26"/>
  <c r="Q3" i="26"/>
  <c r="Q7" i="26"/>
  <c r="Q15" i="26"/>
  <c r="L33" i="26"/>
  <c r="L59" i="26"/>
  <c r="K67" i="26"/>
  <c r="K73" i="26"/>
  <c r="N73" i="26" s="1"/>
  <c r="I81" i="26"/>
  <c r="I100" i="26"/>
  <c r="I12" i="26"/>
  <c r="L37" i="26"/>
  <c r="K40" i="26"/>
  <c r="J65" i="26"/>
  <c r="J79" i="26"/>
  <c r="K84" i="26"/>
  <c r="I90" i="26"/>
  <c r="I98" i="26"/>
  <c r="I109" i="26"/>
  <c r="I115" i="26"/>
  <c r="R3" i="26"/>
  <c r="S15" i="26"/>
  <c r="L73" i="26"/>
  <c r="T15" i="26"/>
  <c r="K37" i="26"/>
  <c r="O73" i="26"/>
  <c r="J10" i="26"/>
  <c r="P10" i="26" s="1"/>
  <c r="J12" i="26"/>
  <c r="P12" i="26" s="1"/>
  <c r="O17" i="26"/>
  <c r="L40" i="26"/>
  <c r="I60" i="26"/>
  <c r="K65" i="26"/>
  <c r="J90" i="26"/>
  <c r="J98" i="26"/>
  <c r="S7" i="26"/>
  <c r="R7" i="26"/>
  <c r="J21" i="26"/>
  <c r="K21" i="26"/>
  <c r="I21" i="26"/>
  <c r="L21" i="26"/>
  <c r="L69" i="26"/>
  <c r="K69" i="26"/>
  <c r="J69" i="26"/>
  <c r="I69" i="26"/>
  <c r="P3" i="26"/>
  <c r="J36" i="26"/>
  <c r="L36" i="26"/>
  <c r="K36" i="26"/>
  <c r="I36" i="26"/>
  <c r="J51" i="26"/>
  <c r="I51" i="26"/>
  <c r="L51" i="26"/>
  <c r="K51" i="26"/>
  <c r="L111" i="26"/>
  <c r="K111" i="26"/>
  <c r="I111" i="26"/>
  <c r="J111" i="26"/>
  <c r="K106" i="26"/>
  <c r="J106" i="26"/>
  <c r="L106" i="26"/>
  <c r="I106" i="26"/>
  <c r="O10" i="26"/>
  <c r="J20" i="26"/>
  <c r="K20" i="26"/>
  <c r="I20" i="26"/>
  <c r="L20" i="26"/>
  <c r="K38" i="26"/>
  <c r="J38" i="26"/>
  <c r="L38" i="26"/>
  <c r="I38" i="26"/>
  <c r="K47" i="26"/>
  <c r="J47" i="26"/>
  <c r="L47" i="26"/>
  <c r="I47" i="26"/>
  <c r="J48" i="26"/>
  <c r="I48" i="26"/>
  <c r="L48" i="26"/>
  <c r="K48" i="26"/>
  <c r="K63" i="26"/>
  <c r="J63" i="26"/>
  <c r="L63" i="26"/>
  <c r="I63" i="26"/>
  <c r="K103" i="26"/>
  <c r="J103" i="26"/>
  <c r="L103" i="26"/>
  <c r="I103" i="26"/>
  <c r="Q12" i="26"/>
  <c r="R12" i="26"/>
  <c r="J42" i="26"/>
  <c r="L42" i="26"/>
  <c r="K42" i="26"/>
  <c r="J45" i="26"/>
  <c r="L45" i="26"/>
  <c r="K45" i="26"/>
  <c r="I45" i="26"/>
  <c r="J2" i="26"/>
  <c r="Q2" i="26"/>
  <c r="L2" i="26"/>
  <c r="K2" i="26"/>
  <c r="L121" i="26"/>
  <c r="K121" i="26"/>
  <c r="J121" i="26"/>
  <c r="I121" i="26"/>
  <c r="R2" i="26"/>
  <c r="S2" i="26"/>
  <c r="J34" i="26"/>
  <c r="I34" i="26"/>
  <c r="L34" i="26"/>
  <c r="K34" i="26"/>
  <c r="I42" i="26"/>
  <c r="L118" i="26"/>
  <c r="K118" i="26"/>
  <c r="J43" i="26"/>
  <c r="L43" i="26"/>
  <c r="K43" i="26"/>
  <c r="J46" i="26"/>
  <c r="K46" i="26"/>
  <c r="I46" i="26"/>
  <c r="L96" i="26"/>
  <c r="K96" i="26"/>
  <c r="I96" i="26"/>
  <c r="P11" i="26"/>
  <c r="O11" i="26"/>
  <c r="L64" i="26"/>
  <c r="K64" i="26"/>
  <c r="J64" i="26"/>
  <c r="I64" i="26"/>
  <c r="L99" i="26"/>
  <c r="K99" i="26"/>
  <c r="J99" i="26"/>
  <c r="K112" i="26"/>
  <c r="J112" i="26"/>
  <c r="I112" i="26"/>
  <c r="I5" i="26"/>
  <c r="Q5" i="26"/>
  <c r="I6" i="26"/>
  <c r="M12" i="26"/>
  <c r="J49" i="26"/>
  <c r="K49" i="26"/>
  <c r="I49" i="26"/>
  <c r="I66" i="26"/>
  <c r="K66" i="26"/>
  <c r="J66" i="26"/>
  <c r="K104" i="26"/>
  <c r="J104" i="26"/>
  <c r="I104" i="26"/>
  <c r="I118" i="26"/>
  <c r="K6" i="26"/>
  <c r="I43" i="26"/>
  <c r="L46" i="26"/>
  <c r="J62" i="26"/>
  <c r="I62" i="26"/>
  <c r="L75" i="26"/>
  <c r="K75" i="26"/>
  <c r="J75" i="26"/>
  <c r="I82" i="26"/>
  <c r="K82" i="26"/>
  <c r="J82" i="26"/>
  <c r="K94" i="26"/>
  <c r="J94" i="26"/>
  <c r="J96" i="26"/>
  <c r="J118" i="26"/>
  <c r="J5" i="26"/>
  <c r="L6" i="26"/>
  <c r="I11" i="26"/>
  <c r="J31" i="26"/>
  <c r="L31" i="26"/>
  <c r="K31" i="26"/>
  <c r="K35" i="26"/>
  <c r="J35" i="26"/>
  <c r="J39" i="26"/>
  <c r="L39" i="26"/>
  <c r="K41" i="26"/>
  <c r="J41" i="26"/>
  <c r="L41" i="26"/>
  <c r="L66" i="26"/>
  <c r="J80" i="26"/>
  <c r="I80" i="26"/>
  <c r="L80" i="26"/>
  <c r="J86" i="26"/>
  <c r="I86" i="26"/>
  <c r="L86" i="26"/>
  <c r="K97" i="26"/>
  <c r="J97" i="26"/>
  <c r="L97" i="26"/>
  <c r="I97" i="26"/>
  <c r="I99" i="26"/>
  <c r="L112" i="26"/>
  <c r="I4" i="26"/>
  <c r="K5" i="26"/>
  <c r="P6" i="26"/>
  <c r="K11" i="26"/>
  <c r="J17" i="26"/>
  <c r="L17" i="26"/>
  <c r="L49" i="26"/>
  <c r="K62" i="26"/>
  <c r="I75" i="26"/>
  <c r="L82" i="26"/>
  <c r="L104" i="26"/>
  <c r="K113" i="26"/>
  <c r="J113" i="26"/>
  <c r="L113" i="26"/>
  <c r="I113" i="26"/>
  <c r="J4" i="26"/>
  <c r="L5" i="26"/>
  <c r="Q6" i="26"/>
  <c r="L11" i="26"/>
  <c r="I31" i="26"/>
  <c r="I39" i="26"/>
  <c r="I41" i="26"/>
  <c r="K44" i="26"/>
  <c r="J44" i="26"/>
  <c r="L44" i="26"/>
  <c r="I44" i="26"/>
  <c r="K50" i="26"/>
  <c r="J50" i="26"/>
  <c r="L62" i="26"/>
  <c r="J67" i="26"/>
  <c r="I67" i="26"/>
  <c r="K80" i="26"/>
  <c r="K83" i="26"/>
  <c r="J83" i="26"/>
  <c r="I83" i="26"/>
  <c r="K86" i="26"/>
  <c r="I94" i="26"/>
  <c r="L105" i="26"/>
  <c r="K105" i="26"/>
  <c r="I105" i="26"/>
  <c r="K4" i="26"/>
  <c r="S6" i="26"/>
  <c r="I15" i="26"/>
  <c r="I16" i="26"/>
  <c r="I17" i="26"/>
  <c r="I35" i="26"/>
  <c r="K39" i="26"/>
  <c r="I59" i="26"/>
  <c r="L88" i="26"/>
  <c r="K88" i="26"/>
  <c r="J88" i="26"/>
  <c r="L94" i="26"/>
  <c r="L108" i="26"/>
  <c r="K108" i="26"/>
  <c r="J108" i="26"/>
  <c r="K120" i="26"/>
  <c r="J120" i="26"/>
  <c r="L120" i="26"/>
  <c r="I120" i="26"/>
  <c r="K123" i="26"/>
  <c r="J123" i="26"/>
  <c r="K119" i="26"/>
  <c r="J119" i="26"/>
  <c r="L119" i="26"/>
  <c r="I119" i="26"/>
  <c r="I10" i="26"/>
  <c r="K15" i="26"/>
  <c r="K16" i="26"/>
  <c r="K17" i="26"/>
  <c r="I33" i="26"/>
  <c r="L35" i="26"/>
  <c r="K59" i="26"/>
  <c r="N59" i="26" s="1"/>
  <c r="L61" i="26"/>
  <c r="I61" i="26"/>
  <c r="K61" i="26"/>
  <c r="J61" i="26"/>
  <c r="K76" i="26"/>
  <c r="J76" i="26"/>
  <c r="L76" i="26"/>
  <c r="I76" i="26"/>
  <c r="K95" i="26"/>
  <c r="J95" i="26"/>
  <c r="I95" i="26"/>
  <c r="L91" i="26"/>
  <c r="K91" i="26"/>
  <c r="L102" i="26"/>
  <c r="K102" i="26"/>
  <c r="K117" i="26"/>
  <c r="J117" i="26"/>
  <c r="K122" i="26"/>
  <c r="J122" i="26"/>
  <c r="I70" i="26"/>
  <c r="L70" i="26"/>
  <c r="I84" i="26"/>
  <c r="L84" i="26"/>
  <c r="K89" i="26"/>
  <c r="J89" i="26"/>
  <c r="K100" i="26"/>
  <c r="J100" i="26"/>
  <c r="K109" i="26"/>
  <c r="J109" i="26"/>
  <c r="L81" i="26"/>
  <c r="K81" i="26"/>
  <c r="L114" i="26"/>
  <c r="K114" i="26"/>
  <c r="I74" i="26"/>
  <c r="L74" i="26"/>
  <c r="K110" i="26"/>
  <c r="J110" i="26"/>
  <c r="I78" i="26"/>
  <c r="L78" i="26"/>
  <c r="K115" i="26"/>
  <c r="J115" i="26"/>
  <c r="M83" i="27" l="1"/>
  <c r="N83" i="27"/>
  <c r="N69" i="27"/>
  <c r="M69" i="27"/>
  <c r="N68" i="27"/>
  <c r="M68" i="27"/>
  <c r="N76" i="27"/>
  <c r="M76" i="27"/>
  <c r="P62" i="27"/>
  <c r="O62" i="27"/>
  <c r="M5" i="27"/>
  <c r="N5" i="27"/>
  <c r="M16" i="27"/>
  <c r="N16" i="27"/>
  <c r="N85" i="27"/>
  <c r="M85" i="27"/>
  <c r="P4" i="27"/>
  <c r="O4" i="27"/>
  <c r="P75" i="27"/>
  <c r="O75" i="27"/>
  <c r="N17" i="27"/>
  <c r="M17" i="27"/>
  <c r="M75" i="27"/>
  <c r="N75" i="27"/>
  <c r="N11" i="27"/>
  <c r="M11" i="27"/>
  <c r="O61" i="27"/>
  <c r="P61" i="27"/>
  <c r="N65" i="27"/>
  <c r="M65" i="27"/>
  <c r="O60" i="27"/>
  <c r="P60" i="27"/>
  <c r="N3" i="27"/>
  <c r="M3" i="27"/>
  <c r="M80" i="27"/>
  <c r="N80" i="27"/>
  <c r="O12" i="27"/>
  <c r="P12" i="27"/>
  <c r="N7" i="27"/>
  <c r="M7" i="27"/>
  <c r="N73" i="27"/>
  <c r="M73" i="27"/>
  <c r="M15" i="27"/>
  <c r="N15" i="27"/>
  <c r="P5" i="27"/>
  <c r="O5" i="27"/>
  <c r="P11" i="27"/>
  <c r="O11" i="27"/>
  <c r="O65" i="27"/>
  <c r="P65" i="27"/>
  <c r="M70" i="27"/>
  <c r="N70" i="27"/>
  <c r="M81" i="27"/>
  <c r="N81" i="27"/>
  <c r="P10" i="27"/>
  <c r="O10" i="27"/>
  <c r="P6" i="27"/>
  <c r="O6" i="27"/>
  <c r="N60" i="27"/>
  <c r="M60" i="27"/>
  <c r="N66" i="27"/>
  <c r="M66" i="27"/>
  <c r="M86" i="27"/>
  <c r="N86" i="27"/>
  <c r="O69" i="27"/>
  <c r="P69" i="27"/>
  <c r="P64" i="27"/>
  <c r="O64" i="27"/>
  <c r="N79" i="27"/>
  <c r="M79" i="27"/>
  <c r="P2" i="27"/>
  <c r="O2" i="27"/>
  <c r="N74" i="27"/>
  <c r="M74" i="27"/>
  <c r="N63" i="27"/>
  <c r="M63" i="27"/>
  <c r="M84" i="27"/>
  <c r="N84" i="27"/>
  <c r="N59" i="27"/>
  <c r="M59" i="27"/>
  <c r="P73" i="27"/>
  <c r="O73" i="27"/>
  <c r="N82" i="27"/>
  <c r="M82" i="27"/>
  <c r="N12" i="27"/>
  <c r="M12" i="27"/>
  <c r="M78" i="27"/>
  <c r="N78" i="27"/>
  <c r="N64" i="27"/>
  <c r="M64" i="27"/>
  <c r="P68" i="27"/>
  <c r="O68" i="27"/>
  <c r="O76" i="27"/>
  <c r="P76" i="27"/>
  <c r="O67" i="26"/>
  <c r="P67" i="26"/>
  <c r="N69" i="26"/>
  <c r="M69" i="26"/>
  <c r="N82" i="26"/>
  <c r="M82" i="26"/>
  <c r="N84" i="26"/>
  <c r="M84" i="26"/>
  <c r="O75" i="26"/>
  <c r="P75" i="26"/>
  <c r="P66" i="26"/>
  <c r="O66" i="26"/>
  <c r="P70" i="26"/>
  <c r="O70" i="26"/>
  <c r="M75" i="26"/>
  <c r="N75" i="26"/>
  <c r="N66" i="26"/>
  <c r="M66" i="26"/>
  <c r="O65" i="26"/>
  <c r="P65" i="26"/>
  <c r="N70" i="26"/>
  <c r="M70" i="26"/>
  <c r="N78" i="26"/>
  <c r="M78" i="26"/>
  <c r="P74" i="26"/>
  <c r="O74" i="26"/>
  <c r="N86" i="26"/>
  <c r="M86" i="26"/>
  <c r="N61" i="26"/>
  <c r="M61" i="26"/>
  <c r="P69" i="26"/>
  <c r="O69" i="26"/>
  <c r="N81" i="26"/>
  <c r="M81" i="26"/>
  <c r="O62" i="26"/>
  <c r="P62" i="26"/>
  <c r="P60" i="26"/>
  <c r="O60" i="26"/>
  <c r="P64" i="26"/>
  <c r="O64" i="26"/>
  <c r="N63" i="26"/>
  <c r="M63" i="26"/>
  <c r="N83" i="26"/>
  <c r="M83" i="26"/>
  <c r="M64" i="26"/>
  <c r="N64" i="26"/>
  <c r="M67" i="26"/>
  <c r="N67" i="26"/>
  <c r="P61" i="26"/>
  <c r="O61" i="26"/>
  <c r="N80" i="26"/>
  <c r="M80" i="26"/>
  <c r="N62" i="26"/>
  <c r="M62" i="26"/>
  <c r="P63" i="26"/>
  <c r="O63" i="26"/>
  <c r="N65" i="26"/>
  <c r="M65" i="26"/>
  <c r="M10" i="26"/>
  <c r="O12" i="26"/>
  <c r="P7" i="26"/>
  <c r="M73" i="26"/>
  <c r="M59" i="26"/>
  <c r="O2" i="26"/>
  <c r="P2" i="26"/>
  <c r="P4" i="26"/>
  <c r="O4" i="26"/>
  <c r="N11" i="26"/>
  <c r="M11" i="26"/>
  <c r="N17" i="26"/>
  <c r="M17" i="26"/>
  <c r="N16" i="26"/>
  <c r="M16" i="26"/>
  <c r="M5" i="26"/>
  <c r="N5" i="26"/>
  <c r="N15" i="26"/>
  <c r="M15" i="26"/>
  <c r="O5" i="26"/>
  <c r="P5" i="26"/>
  <c r="N4" i="26"/>
  <c r="M4" i="26"/>
  <c r="N2" i="26"/>
  <c r="M2" i="26"/>
  <c r="N6" i="26"/>
  <c r="M6" i="26"/>
  <c r="H144" i="25"/>
  <c r="F144" i="25"/>
  <c r="D144" i="25"/>
  <c r="G144" i="25" s="1"/>
  <c r="L144" i="25" s="1"/>
  <c r="H143" i="25"/>
  <c r="F143" i="25"/>
  <c r="D143" i="25"/>
  <c r="G143" i="25" s="1"/>
  <c r="L143" i="25" s="1"/>
  <c r="H142" i="25"/>
  <c r="F142" i="25"/>
  <c r="D142" i="25"/>
  <c r="G142" i="25" s="1"/>
  <c r="H77" i="25"/>
  <c r="F77" i="25"/>
  <c r="D77" i="25"/>
  <c r="G77" i="25" s="1"/>
  <c r="H123" i="25"/>
  <c r="F123" i="25"/>
  <c r="D123" i="25"/>
  <c r="G123" i="25" s="1"/>
  <c r="H122" i="25"/>
  <c r="F122" i="25"/>
  <c r="D122" i="25"/>
  <c r="G122" i="25" s="1"/>
  <c r="H121" i="25"/>
  <c r="F121" i="25"/>
  <c r="D121" i="25"/>
  <c r="G121" i="25" s="1"/>
  <c r="L121" i="25" s="1"/>
  <c r="H120" i="25"/>
  <c r="F120" i="25"/>
  <c r="D120" i="25"/>
  <c r="G120" i="25" s="1"/>
  <c r="H119" i="25"/>
  <c r="F119" i="25"/>
  <c r="D119" i="25"/>
  <c r="G119" i="25" s="1"/>
  <c r="H118" i="25"/>
  <c r="F118" i="25"/>
  <c r="D118" i="25"/>
  <c r="G118" i="25" s="1"/>
  <c r="L118" i="25" s="1"/>
  <c r="H117" i="25"/>
  <c r="F117" i="25"/>
  <c r="D117" i="25"/>
  <c r="G117" i="25" s="1"/>
  <c r="H115" i="25"/>
  <c r="F115" i="25"/>
  <c r="D115" i="25"/>
  <c r="G115" i="25" s="1"/>
  <c r="H114" i="25"/>
  <c r="F114" i="25"/>
  <c r="D114" i="25"/>
  <c r="G114" i="25" s="1"/>
  <c r="L114" i="25" s="1"/>
  <c r="H113" i="25"/>
  <c r="F113" i="25"/>
  <c r="D113" i="25"/>
  <c r="G113" i="25" s="1"/>
  <c r="L113" i="25" s="1"/>
  <c r="H112" i="25"/>
  <c r="F112" i="25"/>
  <c r="D112" i="25"/>
  <c r="G112" i="25" s="1"/>
  <c r="H111" i="25"/>
  <c r="F111" i="25"/>
  <c r="D111" i="25"/>
  <c r="G111" i="25" s="1"/>
  <c r="H110" i="25"/>
  <c r="F110" i="25"/>
  <c r="D110" i="25"/>
  <c r="G110" i="25" s="1"/>
  <c r="H109" i="25"/>
  <c r="F109" i="25"/>
  <c r="D109" i="25"/>
  <c r="G109" i="25" s="1"/>
  <c r="H70" i="25"/>
  <c r="F70" i="25"/>
  <c r="D70" i="25"/>
  <c r="G70" i="25" s="1"/>
  <c r="L70" i="25" s="1"/>
  <c r="H108" i="25"/>
  <c r="F108" i="25"/>
  <c r="D108" i="25"/>
  <c r="G108" i="25" s="1"/>
  <c r="H107" i="25"/>
  <c r="F107" i="25"/>
  <c r="D107" i="25"/>
  <c r="G107" i="25" s="1"/>
  <c r="H69" i="25"/>
  <c r="F69" i="25"/>
  <c r="D69" i="25"/>
  <c r="G69" i="25" s="1"/>
  <c r="L69" i="25" s="1"/>
  <c r="H68" i="25"/>
  <c r="F68" i="25"/>
  <c r="D68" i="25"/>
  <c r="G68" i="25" s="1"/>
  <c r="H67" i="25"/>
  <c r="F67" i="25"/>
  <c r="D67" i="25"/>
  <c r="G67" i="25" s="1"/>
  <c r="H106" i="25"/>
  <c r="F106" i="25"/>
  <c r="D106" i="25"/>
  <c r="G106" i="25" s="1"/>
  <c r="L106" i="25" s="1"/>
  <c r="H105" i="25"/>
  <c r="F105" i="25"/>
  <c r="D105" i="25"/>
  <c r="G105" i="25" s="1"/>
  <c r="L105" i="25" s="1"/>
  <c r="H104" i="25"/>
  <c r="F104" i="25"/>
  <c r="D104" i="25"/>
  <c r="G104" i="25" s="1"/>
  <c r="H66" i="25"/>
  <c r="F66" i="25"/>
  <c r="D66" i="25"/>
  <c r="G66" i="25" s="1"/>
  <c r="L66" i="25" s="1"/>
  <c r="H103" i="25"/>
  <c r="F103" i="25"/>
  <c r="D103" i="25"/>
  <c r="G103" i="25" s="1"/>
  <c r="H102" i="25"/>
  <c r="F102" i="25"/>
  <c r="D102" i="25"/>
  <c r="G102" i="25" s="1"/>
  <c r="H65" i="25"/>
  <c r="F65" i="25"/>
  <c r="D65" i="25"/>
  <c r="G65" i="25" s="1"/>
  <c r="L65" i="25" s="1"/>
  <c r="H73" i="25"/>
  <c r="F73" i="25"/>
  <c r="Q73" i="25" s="1"/>
  <c r="D73" i="25"/>
  <c r="G73" i="25" s="1"/>
  <c r="H74" i="25"/>
  <c r="F74" i="25"/>
  <c r="Q74" i="25" s="1"/>
  <c r="D74" i="25"/>
  <c r="G74" i="25" s="1"/>
  <c r="H101" i="25"/>
  <c r="F101" i="25"/>
  <c r="D101" i="25"/>
  <c r="G101" i="25" s="1"/>
  <c r="H64" i="25"/>
  <c r="F64" i="25"/>
  <c r="D64" i="25"/>
  <c r="G64" i="25" s="1"/>
  <c r="H100" i="25"/>
  <c r="F100" i="25"/>
  <c r="D100" i="25"/>
  <c r="G100" i="25" s="1"/>
  <c r="H79" i="25"/>
  <c r="F79" i="25"/>
  <c r="D79" i="25"/>
  <c r="G79" i="25" s="1"/>
  <c r="L79" i="25" s="1"/>
  <c r="H83" i="25"/>
  <c r="F83" i="25"/>
  <c r="D83" i="25"/>
  <c r="G83" i="25" s="1"/>
  <c r="L83" i="25" s="1"/>
  <c r="H82" i="25"/>
  <c r="F82" i="25"/>
  <c r="D82" i="25"/>
  <c r="G82" i="25" s="1"/>
  <c r="H99" i="25"/>
  <c r="F99" i="25"/>
  <c r="D99" i="25"/>
  <c r="G99" i="25" s="1"/>
  <c r="L99" i="25" s="1"/>
  <c r="H98" i="25"/>
  <c r="F98" i="25"/>
  <c r="D98" i="25"/>
  <c r="G98" i="25" s="1"/>
  <c r="H84" i="25"/>
  <c r="F84" i="25"/>
  <c r="D84" i="25"/>
  <c r="G84" i="25" s="1"/>
  <c r="H86" i="25"/>
  <c r="F86" i="25"/>
  <c r="D86" i="25"/>
  <c r="G86" i="25" s="1"/>
  <c r="L86" i="25" s="1"/>
  <c r="H81" i="25"/>
  <c r="F81" i="25"/>
  <c r="D81" i="25"/>
  <c r="G81" i="25" s="1"/>
  <c r="H85" i="25"/>
  <c r="F85" i="25"/>
  <c r="D85" i="25"/>
  <c r="G85" i="25" s="1"/>
  <c r="H80" i="25"/>
  <c r="F80" i="25"/>
  <c r="D80" i="25"/>
  <c r="G80" i="25" s="1"/>
  <c r="L80" i="25" s="1"/>
  <c r="H78" i="25"/>
  <c r="F78" i="25"/>
  <c r="D78" i="25"/>
  <c r="G78" i="25" s="1"/>
  <c r="H75" i="25"/>
  <c r="F75" i="25"/>
  <c r="Q75" i="25" s="1"/>
  <c r="D75" i="25"/>
  <c r="G75" i="25" s="1"/>
  <c r="H91" i="25"/>
  <c r="F91" i="25"/>
  <c r="D91" i="25"/>
  <c r="G91" i="25" s="1"/>
  <c r="L91" i="25" s="1"/>
  <c r="H90" i="25"/>
  <c r="F90" i="25"/>
  <c r="D90" i="25"/>
  <c r="G90" i="25" s="1"/>
  <c r="H89" i="25"/>
  <c r="F89" i="25"/>
  <c r="D89" i="25"/>
  <c r="G89" i="25" s="1"/>
  <c r="H97" i="25"/>
  <c r="F97" i="25"/>
  <c r="D97" i="25"/>
  <c r="G97" i="25" s="1"/>
  <c r="H88" i="25"/>
  <c r="F88" i="25"/>
  <c r="D88" i="25"/>
  <c r="G88" i="25" s="1"/>
  <c r="I88" i="25" s="1"/>
  <c r="H96" i="25"/>
  <c r="F96" i="25"/>
  <c r="D96" i="25"/>
  <c r="G96" i="25" s="1"/>
  <c r="H63" i="25"/>
  <c r="F63" i="25"/>
  <c r="D63" i="25"/>
  <c r="G63" i="25" s="1"/>
  <c r="K63" i="25" s="1"/>
  <c r="N63" i="25" s="1"/>
  <c r="H95" i="25"/>
  <c r="F95" i="25"/>
  <c r="D95" i="25"/>
  <c r="G95" i="25" s="1"/>
  <c r="H62" i="25"/>
  <c r="F62" i="25"/>
  <c r="D62" i="25"/>
  <c r="G62" i="25" s="1"/>
  <c r="K62" i="25" s="1"/>
  <c r="N62" i="25" s="1"/>
  <c r="H61" i="25"/>
  <c r="F61" i="25"/>
  <c r="D61" i="25"/>
  <c r="G61" i="25" s="1"/>
  <c r="L61" i="25" s="1"/>
  <c r="H60" i="25"/>
  <c r="F60" i="25"/>
  <c r="D60" i="25"/>
  <c r="G60" i="25" s="1"/>
  <c r="L60" i="25" s="1"/>
  <c r="H94" i="25"/>
  <c r="F94" i="25"/>
  <c r="D94" i="25"/>
  <c r="G94" i="25" s="1"/>
  <c r="H59" i="25"/>
  <c r="F59" i="25"/>
  <c r="D59" i="25"/>
  <c r="G59" i="25" s="1"/>
  <c r="H50" i="25"/>
  <c r="F50" i="25"/>
  <c r="D50" i="25"/>
  <c r="G50" i="25" s="1"/>
  <c r="K50" i="25" s="1"/>
  <c r="H49" i="25"/>
  <c r="F49" i="25"/>
  <c r="D49" i="25"/>
  <c r="G49" i="25" s="1"/>
  <c r="H48" i="25"/>
  <c r="F48" i="25"/>
  <c r="D48" i="25"/>
  <c r="G48" i="25" s="1"/>
  <c r="H47" i="25"/>
  <c r="F47" i="25"/>
  <c r="D47" i="25"/>
  <c r="G47" i="25" s="1"/>
  <c r="K47" i="25" s="1"/>
  <c r="H46" i="25"/>
  <c r="F46" i="25"/>
  <c r="D46" i="25"/>
  <c r="G46" i="25" s="1"/>
  <c r="I46" i="25" s="1"/>
  <c r="H45" i="25"/>
  <c r="F45" i="25"/>
  <c r="D45" i="25"/>
  <c r="G45" i="25" s="1"/>
  <c r="H44" i="25"/>
  <c r="F44" i="25"/>
  <c r="D44" i="25"/>
  <c r="G44" i="25" s="1"/>
  <c r="L44" i="25" s="1"/>
  <c r="H43" i="25"/>
  <c r="F43" i="25"/>
  <c r="D43" i="25"/>
  <c r="G43" i="25" s="1"/>
  <c r="H42" i="25"/>
  <c r="F42" i="25"/>
  <c r="D42" i="25"/>
  <c r="G42" i="25" s="1"/>
  <c r="H41" i="25"/>
  <c r="F41" i="25"/>
  <c r="D41" i="25"/>
  <c r="G41" i="25" s="1"/>
  <c r="H40" i="25"/>
  <c r="F40" i="25"/>
  <c r="D40" i="25"/>
  <c r="G40" i="25" s="1"/>
  <c r="I40" i="25" s="1"/>
  <c r="H39" i="25"/>
  <c r="F39" i="25"/>
  <c r="D39" i="25"/>
  <c r="G39" i="25" s="1"/>
  <c r="H16" i="25"/>
  <c r="F16" i="25"/>
  <c r="D16" i="25"/>
  <c r="G16" i="25" s="1"/>
  <c r="K16" i="25" s="1"/>
  <c r="H38" i="25"/>
  <c r="F38" i="25"/>
  <c r="D38" i="25"/>
  <c r="G38" i="25" s="1"/>
  <c r="I38" i="25" s="1"/>
  <c r="H37" i="25"/>
  <c r="F37" i="25"/>
  <c r="D37" i="25"/>
  <c r="G37" i="25" s="1"/>
  <c r="H36" i="25"/>
  <c r="F36" i="25"/>
  <c r="D36" i="25"/>
  <c r="G36" i="25" s="1"/>
  <c r="H7" i="25"/>
  <c r="F7" i="25"/>
  <c r="D7" i="25"/>
  <c r="G7" i="25" s="1"/>
  <c r="Q7" i="25" s="1"/>
  <c r="H12" i="25"/>
  <c r="F12" i="25"/>
  <c r="D12" i="25"/>
  <c r="G12" i="25" s="1"/>
  <c r="H17" i="25"/>
  <c r="F17" i="25"/>
  <c r="D17" i="25"/>
  <c r="G17" i="25" s="1"/>
  <c r="K17" i="25" s="1"/>
  <c r="H11" i="25"/>
  <c r="F11" i="25"/>
  <c r="D11" i="25"/>
  <c r="G11" i="25" s="1"/>
  <c r="H15" i="25"/>
  <c r="F15" i="25"/>
  <c r="D15" i="25"/>
  <c r="G15" i="25" s="1"/>
  <c r="H35" i="25"/>
  <c r="F35" i="25"/>
  <c r="D35" i="25"/>
  <c r="G35" i="25" s="1"/>
  <c r="L35" i="25" s="1"/>
  <c r="H33" i="25"/>
  <c r="F33" i="25"/>
  <c r="D33" i="25"/>
  <c r="G33" i="25" s="1"/>
  <c r="I33" i="25" s="1"/>
  <c r="H32" i="25"/>
  <c r="F32" i="25"/>
  <c r="D32" i="25"/>
  <c r="G32" i="25" s="1"/>
  <c r="H24" i="25"/>
  <c r="F24" i="25"/>
  <c r="D24" i="25"/>
  <c r="G24" i="25" s="1"/>
  <c r="L24" i="25" s="1"/>
  <c r="H23" i="25"/>
  <c r="F23" i="25"/>
  <c r="D23" i="25"/>
  <c r="G23" i="25" s="1"/>
  <c r="I23" i="25" s="1"/>
  <c r="H6" i="25"/>
  <c r="F6" i="25"/>
  <c r="D6" i="25"/>
  <c r="G6" i="25" s="1"/>
  <c r="H5" i="25"/>
  <c r="F5" i="25"/>
  <c r="D5" i="25"/>
  <c r="G5" i="25" s="1"/>
  <c r="Q5" i="25" s="1"/>
  <c r="H20" i="25"/>
  <c r="F20" i="25"/>
  <c r="D20" i="25"/>
  <c r="G20" i="25" s="1"/>
  <c r="H4" i="25"/>
  <c r="F4" i="25"/>
  <c r="D4" i="25"/>
  <c r="G4" i="25" s="1"/>
  <c r="H3" i="25"/>
  <c r="F3" i="25"/>
  <c r="D3" i="25"/>
  <c r="G3" i="25" s="1"/>
  <c r="Q3" i="25" s="1"/>
  <c r="H34" i="25"/>
  <c r="F34" i="25"/>
  <c r="D34" i="25"/>
  <c r="G34" i="25" s="1"/>
  <c r="H2" i="25"/>
  <c r="F2" i="25"/>
  <c r="D2" i="25"/>
  <c r="G2" i="25" s="1"/>
  <c r="H10" i="25"/>
  <c r="F10" i="25"/>
  <c r="D10" i="25"/>
  <c r="G10" i="25" s="1"/>
  <c r="O69" i="24"/>
  <c r="N69" i="24"/>
  <c r="H144" i="24"/>
  <c r="F144" i="24"/>
  <c r="D144" i="24"/>
  <c r="G144" i="24" s="1"/>
  <c r="L144" i="24" s="1"/>
  <c r="H143" i="24"/>
  <c r="F143" i="24"/>
  <c r="D143" i="24"/>
  <c r="G143" i="24" s="1"/>
  <c r="H142" i="24"/>
  <c r="F142" i="24"/>
  <c r="D142" i="24"/>
  <c r="G142" i="24" s="1"/>
  <c r="L133" i="24"/>
  <c r="H133" i="24"/>
  <c r="F133" i="24"/>
  <c r="D133" i="24"/>
  <c r="G133" i="24" s="1"/>
  <c r="H132" i="24"/>
  <c r="F132" i="24"/>
  <c r="D132" i="24"/>
  <c r="G132" i="24" s="1"/>
  <c r="I132" i="24" s="1"/>
  <c r="H131" i="24"/>
  <c r="F131" i="24"/>
  <c r="D131" i="24"/>
  <c r="G131" i="24" s="1"/>
  <c r="I131" i="24" s="1"/>
  <c r="H130" i="24"/>
  <c r="F130" i="24"/>
  <c r="D130" i="24"/>
  <c r="G130" i="24" s="1"/>
  <c r="L130" i="24" s="1"/>
  <c r="H129" i="24"/>
  <c r="F129" i="24"/>
  <c r="D129" i="24"/>
  <c r="G129" i="24" s="1"/>
  <c r="I129" i="24" s="1"/>
  <c r="H128" i="24"/>
  <c r="F128" i="24"/>
  <c r="D128" i="24"/>
  <c r="G128" i="24" s="1"/>
  <c r="H127" i="24"/>
  <c r="F127" i="24"/>
  <c r="D127" i="24"/>
  <c r="G127" i="24" s="1"/>
  <c r="L127" i="24" s="1"/>
  <c r="H126" i="24"/>
  <c r="F126" i="24"/>
  <c r="D126" i="24"/>
  <c r="G126" i="24" s="1"/>
  <c r="I126" i="24" s="1"/>
  <c r="H125" i="24"/>
  <c r="F125" i="24"/>
  <c r="D125" i="24"/>
  <c r="G125" i="24" s="1"/>
  <c r="H124" i="24"/>
  <c r="F124" i="24"/>
  <c r="D124" i="24"/>
  <c r="G124" i="24" s="1"/>
  <c r="L124" i="24" s="1"/>
  <c r="H123" i="24"/>
  <c r="F123" i="24"/>
  <c r="D123" i="24"/>
  <c r="G123" i="24" s="1"/>
  <c r="I123" i="24" s="1"/>
  <c r="H122" i="24"/>
  <c r="F122" i="24"/>
  <c r="D122" i="24"/>
  <c r="G122" i="24" s="1"/>
  <c r="H121" i="24"/>
  <c r="F121" i="24"/>
  <c r="D121" i="24"/>
  <c r="G121" i="24" s="1"/>
  <c r="L121" i="24" s="1"/>
  <c r="H120" i="24"/>
  <c r="F120" i="24"/>
  <c r="D120" i="24"/>
  <c r="G120" i="24" s="1"/>
  <c r="H119" i="24"/>
  <c r="F119" i="24"/>
  <c r="D119" i="24"/>
  <c r="G119" i="24" s="1"/>
  <c r="J119" i="24" s="1"/>
  <c r="H118" i="24"/>
  <c r="F118" i="24"/>
  <c r="D118" i="24"/>
  <c r="G118" i="24" s="1"/>
  <c r="H117" i="24"/>
  <c r="F117" i="24"/>
  <c r="D117" i="24"/>
  <c r="G117" i="24" s="1"/>
  <c r="H115" i="24"/>
  <c r="F115" i="24"/>
  <c r="D115" i="24"/>
  <c r="G115" i="24" s="1"/>
  <c r="J115" i="24" s="1"/>
  <c r="H114" i="24"/>
  <c r="F114" i="24"/>
  <c r="D114" i="24"/>
  <c r="G114" i="24" s="1"/>
  <c r="L114" i="24" s="1"/>
  <c r="H113" i="24"/>
  <c r="F113" i="24"/>
  <c r="D113" i="24"/>
  <c r="G113" i="24" s="1"/>
  <c r="H112" i="24"/>
  <c r="F112" i="24"/>
  <c r="D112" i="24"/>
  <c r="G112" i="24" s="1"/>
  <c r="J112" i="24" s="1"/>
  <c r="H111" i="24"/>
  <c r="F111" i="24"/>
  <c r="D111" i="24"/>
  <c r="G111" i="24" s="1"/>
  <c r="L111" i="24" s="1"/>
  <c r="H110" i="24"/>
  <c r="F110" i="24"/>
  <c r="D110" i="24"/>
  <c r="G110" i="24" s="1"/>
  <c r="H109" i="24"/>
  <c r="F109" i="24"/>
  <c r="D109" i="24"/>
  <c r="G109" i="24" s="1"/>
  <c r="I109" i="24" s="1"/>
  <c r="H108" i="24"/>
  <c r="F108" i="24"/>
  <c r="D108" i="24"/>
  <c r="G108" i="24" s="1"/>
  <c r="H107" i="24"/>
  <c r="F107" i="24"/>
  <c r="D107" i="24"/>
  <c r="G107" i="24" s="1"/>
  <c r="H106" i="24"/>
  <c r="F106" i="24"/>
  <c r="D106" i="24"/>
  <c r="G106" i="24" s="1"/>
  <c r="H105" i="24"/>
  <c r="F105" i="24"/>
  <c r="D105" i="24"/>
  <c r="G105" i="24" s="1"/>
  <c r="I104" i="24"/>
  <c r="H104" i="24"/>
  <c r="F104" i="24"/>
  <c r="D104" i="24"/>
  <c r="G104" i="24" s="1"/>
  <c r="H103" i="24"/>
  <c r="F103" i="24"/>
  <c r="D103" i="24"/>
  <c r="G103" i="24" s="1"/>
  <c r="I103" i="24" s="1"/>
  <c r="H102" i="24"/>
  <c r="F102" i="24"/>
  <c r="D102" i="24"/>
  <c r="G102" i="24" s="1"/>
  <c r="H101" i="24"/>
  <c r="F101" i="24"/>
  <c r="D101" i="24"/>
  <c r="G101" i="24" s="1"/>
  <c r="I101" i="24" s="1"/>
  <c r="H100" i="24"/>
  <c r="F100" i="24"/>
  <c r="D100" i="24"/>
  <c r="G100" i="24" s="1"/>
  <c r="J100" i="24" s="1"/>
  <c r="H99" i="24"/>
  <c r="F99" i="24"/>
  <c r="D99" i="24"/>
  <c r="G99" i="24" s="1"/>
  <c r="H98" i="24"/>
  <c r="F98" i="24"/>
  <c r="D98" i="24"/>
  <c r="G98" i="24" s="1"/>
  <c r="I98" i="24" s="1"/>
  <c r="H97" i="24"/>
  <c r="F97" i="24"/>
  <c r="D97" i="24"/>
  <c r="G97" i="24" s="1"/>
  <c r="J97" i="24" s="1"/>
  <c r="H96" i="24"/>
  <c r="F96" i="24"/>
  <c r="D96" i="24"/>
  <c r="G96" i="24" s="1"/>
  <c r="H95" i="24"/>
  <c r="F95" i="24"/>
  <c r="D95" i="24"/>
  <c r="G95" i="24" s="1"/>
  <c r="I95" i="24" s="1"/>
  <c r="H94" i="24"/>
  <c r="F94" i="24"/>
  <c r="D94" i="24"/>
  <c r="G94" i="24" s="1"/>
  <c r="H76" i="24"/>
  <c r="F76" i="24"/>
  <c r="D76" i="24"/>
  <c r="G76" i="24" s="1"/>
  <c r="L76" i="24" s="1"/>
  <c r="H75" i="24"/>
  <c r="F75" i="24"/>
  <c r="D75" i="24"/>
  <c r="G75" i="24" s="1"/>
  <c r="H74" i="24"/>
  <c r="F74" i="24"/>
  <c r="D74" i="24"/>
  <c r="G74" i="24" s="1"/>
  <c r="H73" i="24"/>
  <c r="F73" i="24"/>
  <c r="D73" i="24"/>
  <c r="G73" i="24" s="1"/>
  <c r="L73" i="24" s="1"/>
  <c r="H72" i="24"/>
  <c r="F72" i="24"/>
  <c r="D72" i="24"/>
  <c r="G72" i="24" s="1"/>
  <c r="I72" i="24" s="1"/>
  <c r="H69" i="24"/>
  <c r="F69" i="24"/>
  <c r="D69" i="24"/>
  <c r="G69" i="24" s="1"/>
  <c r="H93" i="24"/>
  <c r="F93" i="24"/>
  <c r="D93" i="24"/>
  <c r="G93" i="24" s="1"/>
  <c r="L93" i="24" s="1"/>
  <c r="H92" i="24"/>
  <c r="F92" i="24"/>
  <c r="D92" i="24"/>
  <c r="G92" i="24" s="1"/>
  <c r="H91" i="24"/>
  <c r="F91" i="24"/>
  <c r="D91" i="24"/>
  <c r="G91" i="24" s="1"/>
  <c r="I91" i="24" s="1"/>
  <c r="H90" i="24"/>
  <c r="F90" i="24"/>
  <c r="D90" i="24"/>
  <c r="G90" i="24" s="1"/>
  <c r="I90" i="24" s="1"/>
  <c r="H89" i="24"/>
  <c r="F89" i="24"/>
  <c r="D89" i="24"/>
  <c r="G89" i="24" s="1"/>
  <c r="H88" i="24"/>
  <c r="F88" i="24"/>
  <c r="D88" i="24"/>
  <c r="G88" i="24" s="1"/>
  <c r="H66" i="24"/>
  <c r="F66" i="24"/>
  <c r="D66" i="24"/>
  <c r="G66" i="24" s="1"/>
  <c r="H65" i="24"/>
  <c r="F65" i="24"/>
  <c r="D65" i="24"/>
  <c r="G65" i="24" s="1"/>
  <c r="H64" i="24"/>
  <c r="F64" i="24"/>
  <c r="D64" i="24"/>
  <c r="G64" i="24" s="1"/>
  <c r="J64" i="24" s="1"/>
  <c r="H63" i="24"/>
  <c r="F63" i="24"/>
  <c r="D63" i="24"/>
  <c r="G63" i="24" s="1"/>
  <c r="K63" i="24" s="1"/>
  <c r="H62" i="24"/>
  <c r="F62" i="24"/>
  <c r="D62" i="24"/>
  <c r="G62" i="24" s="1"/>
  <c r="H61" i="24"/>
  <c r="F61" i="24"/>
  <c r="D61" i="24"/>
  <c r="G61" i="24" s="1"/>
  <c r="H60" i="24"/>
  <c r="F60" i="24"/>
  <c r="D60" i="24"/>
  <c r="G60" i="24" s="1"/>
  <c r="Q60" i="24" s="1"/>
  <c r="H59" i="24"/>
  <c r="F59" i="24"/>
  <c r="D59" i="24"/>
  <c r="G59" i="24" s="1"/>
  <c r="Q59" i="24" s="1"/>
  <c r="H51" i="24"/>
  <c r="F51" i="24"/>
  <c r="D51" i="24"/>
  <c r="G51" i="24" s="1"/>
  <c r="H50" i="24"/>
  <c r="F50" i="24"/>
  <c r="D50" i="24"/>
  <c r="G50" i="24" s="1"/>
  <c r="H49" i="24"/>
  <c r="F49" i="24"/>
  <c r="D49" i="24"/>
  <c r="G49" i="24" s="1"/>
  <c r="H48" i="24"/>
  <c r="F48" i="24"/>
  <c r="D48" i="24"/>
  <c r="G48" i="24" s="1"/>
  <c r="H47" i="24"/>
  <c r="F47" i="24"/>
  <c r="D47" i="24"/>
  <c r="G47" i="24" s="1"/>
  <c r="H46" i="24"/>
  <c r="F46" i="24"/>
  <c r="D46" i="24"/>
  <c r="G46" i="24" s="1"/>
  <c r="L46" i="24" s="1"/>
  <c r="H45" i="24"/>
  <c r="F45" i="24"/>
  <c r="D45" i="24"/>
  <c r="G45" i="24" s="1"/>
  <c r="H44" i="24"/>
  <c r="F44" i="24"/>
  <c r="D44" i="24"/>
  <c r="G44" i="24" s="1"/>
  <c r="L44" i="24" s="1"/>
  <c r="H43" i="24"/>
  <c r="F43" i="24"/>
  <c r="D43" i="24"/>
  <c r="G43" i="24" s="1"/>
  <c r="L43" i="24" s="1"/>
  <c r="H42" i="24"/>
  <c r="F42" i="24"/>
  <c r="D42" i="24"/>
  <c r="G42" i="24" s="1"/>
  <c r="H41" i="24"/>
  <c r="F41" i="24"/>
  <c r="D41" i="24"/>
  <c r="G41" i="24" s="1"/>
  <c r="H40" i="24"/>
  <c r="F40" i="24"/>
  <c r="D40" i="24"/>
  <c r="G40" i="24" s="1"/>
  <c r="L40" i="24" s="1"/>
  <c r="H39" i="24"/>
  <c r="F39" i="24"/>
  <c r="D39" i="24"/>
  <c r="G39" i="24" s="1"/>
  <c r="H38" i="24"/>
  <c r="F38" i="24"/>
  <c r="D38" i="24"/>
  <c r="G38" i="24" s="1"/>
  <c r="H37" i="24"/>
  <c r="F37" i="24"/>
  <c r="D37" i="24"/>
  <c r="G37" i="24" s="1"/>
  <c r="H36" i="24"/>
  <c r="F36" i="24"/>
  <c r="D36" i="24"/>
  <c r="G36" i="24" s="1"/>
  <c r="H35" i="24"/>
  <c r="F35" i="24"/>
  <c r="D35" i="24"/>
  <c r="G35" i="24" s="1"/>
  <c r="H34" i="24"/>
  <c r="F34" i="24"/>
  <c r="D34" i="24"/>
  <c r="G34" i="24" s="1"/>
  <c r="L34" i="24" s="1"/>
  <c r="H33" i="24"/>
  <c r="F33" i="24"/>
  <c r="D33" i="24"/>
  <c r="G33" i="24" s="1"/>
  <c r="H32" i="24"/>
  <c r="F32" i="24"/>
  <c r="D32" i="24"/>
  <c r="G32" i="24" s="1"/>
  <c r="H17" i="24"/>
  <c r="F17" i="24"/>
  <c r="D17" i="24"/>
  <c r="G17" i="24" s="1"/>
  <c r="K17" i="24" s="1"/>
  <c r="H16" i="24"/>
  <c r="F16" i="24"/>
  <c r="D16" i="24"/>
  <c r="G16" i="24" s="1"/>
  <c r="H15" i="24"/>
  <c r="F15" i="24"/>
  <c r="D15" i="24"/>
  <c r="G15" i="24" s="1"/>
  <c r="H14" i="24"/>
  <c r="F14" i="24"/>
  <c r="D14" i="24"/>
  <c r="G14" i="24" s="1"/>
  <c r="L14" i="24" s="1"/>
  <c r="H12" i="24"/>
  <c r="F12" i="24"/>
  <c r="D12" i="24"/>
  <c r="G12" i="24" s="1"/>
  <c r="J12" i="24" s="1"/>
  <c r="H31" i="24"/>
  <c r="F31" i="24"/>
  <c r="D31" i="24"/>
  <c r="G31" i="24" s="1"/>
  <c r="K31" i="24" s="1"/>
  <c r="H9" i="24"/>
  <c r="F9" i="24"/>
  <c r="D9" i="24"/>
  <c r="G9" i="24" s="1"/>
  <c r="S9" i="24" s="1"/>
  <c r="H8" i="24"/>
  <c r="Q8" i="24" s="1"/>
  <c r="F8" i="24"/>
  <c r="D8" i="24"/>
  <c r="G8" i="24" s="1"/>
  <c r="I8" i="24" s="1"/>
  <c r="H7" i="24"/>
  <c r="Q7" i="24" s="1"/>
  <c r="F7" i="24"/>
  <c r="D7" i="24"/>
  <c r="G7" i="24" s="1"/>
  <c r="H6" i="24"/>
  <c r="R6" i="24" s="1"/>
  <c r="F6" i="24"/>
  <c r="D6" i="24"/>
  <c r="G6" i="24" s="1"/>
  <c r="H5" i="24"/>
  <c r="F5" i="24"/>
  <c r="D5" i="24"/>
  <c r="G5" i="24" s="1"/>
  <c r="H4" i="24"/>
  <c r="Q4" i="24" s="1"/>
  <c r="F4" i="24"/>
  <c r="D4" i="24"/>
  <c r="G4" i="24" s="1"/>
  <c r="H3" i="24"/>
  <c r="R3" i="24" s="1"/>
  <c r="F3" i="24"/>
  <c r="D3" i="24"/>
  <c r="G3" i="24" s="1"/>
  <c r="R2" i="24"/>
  <c r="Q2" i="24"/>
  <c r="H2" i="24"/>
  <c r="F2" i="24"/>
  <c r="D2" i="24"/>
  <c r="G2" i="24" s="1"/>
  <c r="H144" i="23"/>
  <c r="F144" i="23"/>
  <c r="D144" i="23"/>
  <c r="G144" i="23" s="1"/>
  <c r="H143" i="23"/>
  <c r="F143" i="23"/>
  <c r="D143" i="23"/>
  <c r="G143" i="23" s="1"/>
  <c r="H142" i="23"/>
  <c r="F142" i="23"/>
  <c r="D142" i="23"/>
  <c r="G142" i="23" s="1"/>
  <c r="H84" i="23"/>
  <c r="F84" i="23"/>
  <c r="D84" i="23"/>
  <c r="G84" i="23" s="1"/>
  <c r="H83" i="23"/>
  <c r="F83" i="23"/>
  <c r="D83" i="23"/>
  <c r="G83" i="23" s="1"/>
  <c r="H82" i="23"/>
  <c r="F82" i="23"/>
  <c r="D82" i="23"/>
  <c r="G82" i="23" s="1"/>
  <c r="H127" i="23"/>
  <c r="F127" i="23"/>
  <c r="D127" i="23"/>
  <c r="G127" i="23" s="1"/>
  <c r="H126" i="23"/>
  <c r="F126" i="23"/>
  <c r="D126" i="23"/>
  <c r="G126" i="23" s="1"/>
  <c r="H125" i="23"/>
  <c r="F125" i="23"/>
  <c r="D125" i="23"/>
  <c r="G125" i="23" s="1"/>
  <c r="H124" i="23"/>
  <c r="F124" i="23"/>
  <c r="D124" i="23"/>
  <c r="G124" i="23" s="1"/>
  <c r="H123" i="23"/>
  <c r="F123" i="23"/>
  <c r="D123" i="23"/>
  <c r="G123" i="23" s="1"/>
  <c r="H122" i="23"/>
  <c r="F122" i="23"/>
  <c r="D122" i="23"/>
  <c r="G122" i="23" s="1"/>
  <c r="H121" i="23"/>
  <c r="F121" i="23"/>
  <c r="D121" i="23"/>
  <c r="G121" i="23" s="1"/>
  <c r="H120" i="23"/>
  <c r="F120" i="23"/>
  <c r="D120" i="23"/>
  <c r="G120" i="23" s="1"/>
  <c r="H119" i="23"/>
  <c r="F119" i="23"/>
  <c r="D119" i="23"/>
  <c r="G119" i="23" s="1"/>
  <c r="H118" i="23"/>
  <c r="F118" i="23"/>
  <c r="D118" i="23"/>
  <c r="G118" i="23" s="1"/>
  <c r="H117" i="23"/>
  <c r="F117" i="23"/>
  <c r="D117" i="23"/>
  <c r="G117" i="23" s="1"/>
  <c r="H115" i="23"/>
  <c r="F115" i="23"/>
  <c r="D115" i="23"/>
  <c r="G115" i="23" s="1"/>
  <c r="H114" i="23"/>
  <c r="F114" i="23"/>
  <c r="D114" i="23"/>
  <c r="G114" i="23" s="1"/>
  <c r="H113" i="23"/>
  <c r="F113" i="23"/>
  <c r="D113" i="23"/>
  <c r="G113" i="23" s="1"/>
  <c r="H112" i="23"/>
  <c r="F112" i="23"/>
  <c r="D112" i="23"/>
  <c r="G112" i="23" s="1"/>
  <c r="H111" i="23"/>
  <c r="F111" i="23"/>
  <c r="D111" i="23"/>
  <c r="G111" i="23" s="1"/>
  <c r="H110" i="23"/>
  <c r="F110" i="23"/>
  <c r="D110" i="23"/>
  <c r="G110" i="23" s="1"/>
  <c r="H81" i="23"/>
  <c r="F81" i="23"/>
  <c r="D81" i="23"/>
  <c r="G81" i="23" s="1"/>
  <c r="H109" i="23"/>
  <c r="F109" i="23"/>
  <c r="D109" i="23"/>
  <c r="G109" i="23" s="1"/>
  <c r="H108" i="23"/>
  <c r="F108" i="23"/>
  <c r="D108" i="23"/>
  <c r="G108" i="23" s="1"/>
  <c r="H107" i="23"/>
  <c r="F107" i="23"/>
  <c r="D107" i="23"/>
  <c r="G107" i="23" s="1"/>
  <c r="H106" i="23"/>
  <c r="F106" i="23"/>
  <c r="D106" i="23"/>
  <c r="G106" i="23" s="1"/>
  <c r="H105" i="23"/>
  <c r="F105" i="23"/>
  <c r="D105" i="23"/>
  <c r="G105" i="23" s="1"/>
  <c r="H104" i="23"/>
  <c r="F104" i="23"/>
  <c r="D104" i="23"/>
  <c r="G104" i="23" s="1"/>
  <c r="H103" i="23"/>
  <c r="F103" i="23"/>
  <c r="D103" i="23"/>
  <c r="G103" i="23" s="1"/>
  <c r="H102" i="23"/>
  <c r="F102" i="23"/>
  <c r="D102" i="23"/>
  <c r="G102" i="23" s="1"/>
  <c r="H101" i="23"/>
  <c r="F101" i="23"/>
  <c r="D101" i="23"/>
  <c r="G101" i="23" s="1"/>
  <c r="H100" i="23"/>
  <c r="F100" i="23"/>
  <c r="D100" i="23"/>
  <c r="G100" i="23" s="1"/>
  <c r="H99" i="23"/>
  <c r="F99" i="23"/>
  <c r="D99" i="23"/>
  <c r="G99" i="23" s="1"/>
  <c r="H98" i="23"/>
  <c r="F98" i="23"/>
  <c r="D98" i="23"/>
  <c r="G98" i="23" s="1"/>
  <c r="H97" i="23"/>
  <c r="F97" i="23"/>
  <c r="D97" i="23"/>
  <c r="G97" i="23" s="1"/>
  <c r="H96" i="23"/>
  <c r="F96" i="23"/>
  <c r="D96" i="23"/>
  <c r="G96" i="23" s="1"/>
  <c r="H80" i="23"/>
  <c r="F80" i="23"/>
  <c r="D80" i="23"/>
  <c r="G80" i="23" s="1"/>
  <c r="H95" i="23"/>
  <c r="F95" i="23"/>
  <c r="D95" i="23"/>
  <c r="G95" i="23" s="1"/>
  <c r="H90" i="23"/>
  <c r="F90" i="23"/>
  <c r="D90" i="23"/>
  <c r="G90" i="23" s="1"/>
  <c r="H89" i="23"/>
  <c r="F89" i="23"/>
  <c r="D89" i="23"/>
  <c r="G89" i="23" s="1"/>
  <c r="H77" i="23"/>
  <c r="F77" i="23"/>
  <c r="D77" i="23"/>
  <c r="G77" i="23" s="1"/>
  <c r="H74" i="23"/>
  <c r="F74" i="23"/>
  <c r="P74" i="23" s="1"/>
  <c r="Q74" i="23" s="1"/>
  <c r="D74" i="23"/>
  <c r="G74" i="23" s="1"/>
  <c r="H88" i="23"/>
  <c r="F88" i="23"/>
  <c r="D88" i="23"/>
  <c r="G88" i="23" s="1"/>
  <c r="H73" i="23"/>
  <c r="F73" i="23"/>
  <c r="P73" i="23" s="1"/>
  <c r="Q73" i="23" s="1"/>
  <c r="D73" i="23"/>
  <c r="G73" i="23" s="1"/>
  <c r="H72" i="23"/>
  <c r="F72" i="23"/>
  <c r="P72" i="23" s="1"/>
  <c r="Q72" i="23" s="1"/>
  <c r="D72" i="23"/>
  <c r="G72" i="23" s="1"/>
  <c r="H71" i="23"/>
  <c r="F71" i="23"/>
  <c r="P71" i="23" s="1"/>
  <c r="Q71" i="23" s="1"/>
  <c r="D71" i="23"/>
  <c r="G71" i="23" s="1"/>
  <c r="H92" i="23"/>
  <c r="F92" i="23"/>
  <c r="D92" i="23"/>
  <c r="G92" i="23" s="1"/>
  <c r="H91" i="23"/>
  <c r="F91" i="23"/>
  <c r="D91" i="23"/>
  <c r="G91" i="23" s="1"/>
  <c r="H93" i="23"/>
  <c r="F93" i="23"/>
  <c r="D93" i="23"/>
  <c r="G93" i="23" s="1"/>
  <c r="H70" i="23"/>
  <c r="F70" i="23"/>
  <c r="P70" i="23" s="1"/>
  <c r="Q70" i="23" s="1"/>
  <c r="D70" i="23"/>
  <c r="G70" i="23" s="1"/>
  <c r="H94" i="23"/>
  <c r="F94" i="23"/>
  <c r="D94" i="23"/>
  <c r="G94" i="23" s="1"/>
  <c r="H69" i="23"/>
  <c r="F69" i="23"/>
  <c r="P69" i="23" s="1"/>
  <c r="Q69" i="23" s="1"/>
  <c r="D69" i="23"/>
  <c r="G69" i="23" s="1"/>
  <c r="H66" i="23"/>
  <c r="F66" i="23"/>
  <c r="D66" i="23"/>
  <c r="G66" i="23" s="1"/>
  <c r="Q66" i="23" s="1"/>
  <c r="H65" i="23"/>
  <c r="F65" i="23"/>
  <c r="D65" i="23"/>
  <c r="G65" i="23" s="1"/>
  <c r="Q65" i="23" s="1"/>
  <c r="H64" i="23"/>
  <c r="F64" i="23"/>
  <c r="D64" i="23"/>
  <c r="G64" i="23" s="1"/>
  <c r="L64" i="23" s="1"/>
  <c r="H63" i="23"/>
  <c r="F63" i="23"/>
  <c r="D63" i="23"/>
  <c r="G63" i="23" s="1"/>
  <c r="Q63" i="23" s="1"/>
  <c r="H62" i="23"/>
  <c r="F62" i="23"/>
  <c r="D62" i="23"/>
  <c r="G62" i="23" s="1"/>
  <c r="Q62" i="23" s="1"/>
  <c r="H61" i="23"/>
  <c r="F61" i="23"/>
  <c r="D61" i="23"/>
  <c r="G61" i="23" s="1"/>
  <c r="Q61" i="23" s="1"/>
  <c r="H60" i="23"/>
  <c r="F60" i="23"/>
  <c r="D60" i="23"/>
  <c r="G60" i="23" s="1"/>
  <c r="Q60" i="23" s="1"/>
  <c r="H59" i="23"/>
  <c r="F59" i="23"/>
  <c r="D59" i="23"/>
  <c r="G59" i="23" s="1"/>
  <c r="Q59" i="23" s="1"/>
  <c r="H50" i="23"/>
  <c r="F50" i="23"/>
  <c r="D50" i="23"/>
  <c r="G50" i="23" s="1"/>
  <c r="H49" i="23"/>
  <c r="F49" i="23"/>
  <c r="D49" i="23"/>
  <c r="G49" i="23" s="1"/>
  <c r="L49" i="23" s="1"/>
  <c r="H48" i="23"/>
  <c r="F48" i="23"/>
  <c r="D48" i="23"/>
  <c r="G48" i="23" s="1"/>
  <c r="H47" i="23"/>
  <c r="F47" i="23"/>
  <c r="D47" i="23"/>
  <c r="G47" i="23" s="1"/>
  <c r="H46" i="23"/>
  <c r="F46" i="23"/>
  <c r="D46" i="23"/>
  <c r="G46" i="23" s="1"/>
  <c r="H45" i="23"/>
  <c r="F45" i="23"/>
  <c r="D45" i="23"/>
  <c r="G45" i="23" s="1"/>
  <c r="H44" i="23"/>
  <c r="F44" i="23"/>
  <c r="D44" i="23"/>
  <c r="G44" i="23" s="1"/>
  <c r="H43" i="23"/>
  <c r="F43" i="23"/>
  <c r="D43" i="23"/>
  <c r="G43" i="23" s="1"/>
  <c r="H42" i="23"/>
  <c r="F42" i="23"/>
  <c r="D42" i="23"/>
  <c r="G42" i="23" s="1"/>
  <c r="H41" i="23"/>
  <c r="F41" i="23"/>
  <c r="D41" i="23"/>
  <c r="G41" i="23" s="1"/>
  <c r="H40" i="23"/>
  <c r="F40" i="23"/>
  <c r="D40" i="23"/>
  <c r="G40" i="23" s="1"/>
  <c r="K40" i="23" s="1"/>
  <c r="H39" i="23"/>
  <c r="F39" i="23"/>
  <c r="D39" i="23"/>
  <c r="G39" i="23" s="1"/>
  <c r="H38" i="23"/>
  <c r="F38" i="23"/>
  <c r="D38" i="23"/>
  <c r="G38" i="23" s="1"/>
  <c r="H37" i="23"/>
  <c r="F37" i="23"/>
  <c r="D37" i="23"/>
  <c r="G37" i="23" s="1"/>
  <c r="H36" i="23"/>
  <c r="F36" i="23"/>
  <c r="D36" i="23"/>
  <c r="G36" i="23" s="1"/>
  <c r="H35" i="23"/>
  <c r="F35" i="23"/>
  <c r="D35" i="23"/>
  <c r="G35" i="23" s="1"/>
  <c r="H34" i="23"/>
  <c r="F34" i="23"/>
  <c r="D34" i="23"/>
  <c r="G34" i="23" s="1"/>
  <c r="H33" i="23"/>
  <c r="F33" i="23"/>
  <c r="D33" i="23"/>
  <c r="G33" i="23" s="1"/>
  <c r="H19" i="23"/>
  <c r="F19" i="23"/>
  <c r="D19" i="23"/>
  <c r="G19" i="23" s="1"/>
  <c r="H20" i="23"/>
  <c r="F20" i="23"/>
  <c r="D20" i="23"/>
  <c r="G20" i="23" s="1"/>
  <c r="L20" i="23" s="1"/>
  <c r="H18" i="23"/>
  <c r="F18" i="23"/>
  <c r="D18" i="23"/>
  <c r="G18" i="23" s="1"/>
  <c r="H17" i="23"/>
  <c r="F17" i="23"/>
  <c r="D17" i="23"/>
  <c r="G17" i="23" s="1"/>
  <c r="H15" i="23"/>
  <c r="F15" i="23"/>
  <c r="D15" i="23"/>
  <c r="G15" i="23" s="1"/>
  <c r="H12" i="23"/>
  <c r="F12" i="23"/>
  <c r="P12" i="23" s="1"/>
  <c r="Q12" i="23" s="1"/>
  <c r="D12" i="23"/>
  <c r="G12" i="23" s="1"/>
  <c r="H32" i="23"/>
  <c r="F32" i="23"/>
  <c r="D32" i="23"/>
  <c r="G32" i="23" s="1"/>
  <c r="L32" i="23" s="1"/>
  <c r="H31" i="23"/>
  <c r="F31" i="23"/>
  <c r="D31" i="23"/>
  <c r="G31" i="23" s="1"/>
  <c r="J31" i="23" s="1"/>
  <c r="H9" i="23"/>
  <c r="R9" i="23" s="1"/>
  <c r="F9" i="23"/>
  <c r="D9" i="23"/>
  <c r="G9" i="23" s="1"/>
  <c r="H8" i="23"/>
  <c r="R8" i="23" s="1"/>
  <c r="F8" i="23"/>
  <c r="D8" i="23"/>
  <c r="G8" i="23" s="1"/>
  <c r="S8" i="23" s="1"/>
  <c r="H7" i="23"/>
  <c r="Q7" i="23" s="1"/>
  <c r="F7" i="23"/>
  <c r="D7" i="23"/>
  <c r="G7" i="23" s="1"/>
  <c r="H6" i="23"/>
  <c r="R6" i="23" s="1"/>
  <c r="F6" i="23"/>
  <c r="D6" i="23"/>
  <c r="G6" i="23" s="1"/>
  <c r="H5" i="23"/>
  <c r="R5" i="23" s="1"/>
  <c r="F5" i="23"/>
  <c r="D5" i="23"/>
  <c r="G5" i="23" s="1"/>
  <c r="S5" i="23" s="1"/>
  <c r="H4" i="23"/>
  <c r="Q4" i="23" s="1"/>
  <c r="F4" i="23"/>
  <c r="D4" i="23"/>
  <c r="G4" i="23" s="1"/>
  <c r="S4" i="23" s="1"/>
  <c r="H3" i="23"/>
  <c r="Q3" i="23" s="1"/>
  <c r="F3" i="23"/>
  <c r="D3" i="23"/>
  <c r="G3" i="23" s="1"/>
  <c r="S3" i="23" s="1"/>
  <c r="H2" i="23"/>
  <c r="R2" i="23" s="1"/>
  <c r="F2" i="23"/>
  <c r="D2" i="23"/>
  <c r="G2" i="23" s="1"/>
  <c r="J2" i="23" s="1"/>
  <c r="P2" i="23" s="1"/>
  <c r="H144" i="22"/>
  <c r="F144" i="22"/>
  <c r="D144" i="22"/>
  <c r="G144" i="22" s="1"/>
  <c r="H143" i="22"/>
  <c r="F143" i="22"/>
  <c r="D143" i="22"/>
  <c r="G143" i="22" s="1"/>
  <c r="H142" i="22"/>
  <c r="F142" i="22"/>
  <c r="D142" i="22"/>
  <c r="G142" i="22" s="1"/>
  <c r="L142" i="22" s="1"/>
  <c r="H82" i="22"/>
  <c r="F82" i="22"/>
  <c r="D82" i="22"/>
  <c r="G82" i="22" s="1"/>
  <c r="H127" i="22"/>
  <c r="F127" i="22"/>
  <c r="D127" i="22"/>
  <c r="G127" i="22" s="1"/>
  <c r="H126" i="22"/>
  <c r="F126" i="22"/>
  <c r="D126" i="22"/>
  <c r="G126" i="22" s="1"/>
  <c r="I126" i="22" s="1"/>
  <c r="H125" i="22"/>
  <c r="F125" i="22"/>
  <c r="D125" i="22"/>
  <c r="G125" i="22" s="1"/>
  <c r="H119" i="22"/>
  <c r="F119" i="22"/>
  <c r="D119" i="22"/>
  <c r="G119" i="22" s="1"/>
  <c r="H118" i="22"/>
  <c r="F118" i="22"/>
  <c r="D118" i="22"/>
  <c r="G118" i="22" s="1"/>
  <c r="H84" i="22"/>
  <c r="F84" i="22"/>
  <c r="D84" i="22"/>
  <c r="G84" i="22" s="1"/>
  <c r="H117" i="22"/>
  <c r="F117" i="22"/>
  <c r="D117" i="22"/>
  <c r="G117" i="22" s="1"/>
  <c r="H115" i="22"/>
  <c r="F115" i="22"/>
  <c r="D115" i="22"/>
  <c r="G115" i="22" s="1"/>
  <c r="H83" i="22"/>
  <c r="F83" i="22"/>
  <c r="D83" i="22"/>
  <c r="G83" i="22" s="1"/>
  <c r="H114" i="22"/>
  <c r="F114" i="22"/>
  <c r="D114" i="22"/>
  <c r="G114" i="22" s="1"/>
  <c r="H113" i="22"/>
  <c r="F113" i="22"/>
  <c r="D113" i="22"/>
  <c r="G113" i="22" s="1"/>
  <c r="H112" i="22"/>
  <c r="F112" i="22"/>
  <c r="D112" i="22"/>
  <c r="G112" i="22" s="1"/>
  <c r="H111" i="22"/>
  <c r="F111" i="22"/>
  <c r="D111" i="22"/>
  <c r="G111" i="22" s="1"/>
  <c r="H110" i="22"/>
  <c r="F110" i="22"/>
  <c r="D110" i="22"/>
  <c r="G110" i="22" s="1"/>
  <c r="H109" i="22"/>
  <c r="F109" i="22"/>
  <c r="D109" i="22"/>
  <c r="G109" i="22" s="1"/>
  <c r="H108" i="22"/>
  <c r="F108" i="22"/>
  <c r="D108" i="22"/>
  <c r="G108" i="22" s="1"/>
  <c r="H107" i="22"/>
  <c r="F107" i="22"/>
  <c r="D107" i="22"/>
  <c r="G107" i="22" s="1"/>
  <c r="H106" i="22"/>
  <c r="F106" i="22"/>
  <c r="D106" i="22"/>
  <c r="G106" i="22" s="1"/>
  <c r="H105" i="22"/>
  <c r="F105" i="22"/>
  <c r="D105" i="22"/>
  <c r="G105" i="22" s="1"/>
  <c r="H104" i="22"/>
  <c r="F104" i="22"/>
  <c r="D104" i="22"/>
  <c r="G104" i="22" s="1"/>
  <c r="H103" i="22"/>
  <c r="F103" i="22"/>
  <c r="D103" i="22"/>
  <c r="G103" i="22" s="1"/>
  <c r="H102" i="22"/>
  <c r="F102" i="22"/>
  <c r="D102" i="22"/>
  <c r="G102" i="22" s="1"/>
  <c r="H101" i="22"/>
  <c r="F101" i="22"/>
  <c r="D101" i="22"/>
  <c r="G101" i="22" s="1"/>
  <c r="H100" i="22"/>
  <c r="F100" i="22"/>
  <c r="D100" i="22"/>
  <c r="G100" i="22" s="1"/>
  <c r="H99" i="22"/>
  <c r="F99" i="22"/>
  <c r="D99" i="22"/>
  <c r="G99" i="22" s="1"/>
  <c r="H98" i="22"/>
  <c r="F98" i="22"/>
  <c r="D98" i="22"/>
  <c r="G98" i="22" s="1"/>
  <c r="H97" i="22"/>
  <c r="F97" i="22"/>
  <c r="D97" i="22"/>
  <c r="G97" i="22" s="1"/>
  <c r="H96" i="22"/>
  <c r="F96" i="22"/>
  <c r="D96" i="22"/>
  <c r="G96" i="22" s="1"/>
  <c r="H95" i="22"/>
  <c r="F95" i="22"/>
  <c r="D95" i="22"/>
  <c r="G95" i="22" s="1"/>
  <c r="H94" i="22"/>
  <c r="F94" i="22"/>
  <c r="D94" i="22"/>
  <c r="G94" i="22" s="1"/>
  <c r="H93" i="22"/>
  <c r="F93" i="22"/>
  <c r="D93" i="22"/>
  <c r="G93" i="22" s="1"/>
  <c r="H92" i="22"/>
  <c r="F92" i="22"/>
  <c r="D92" i="22"/>
  <c r="G92" i="22" s="1"/>
  <c r="H91" i="22"/>
  <c r="F91" i="22"/>
  <c r="D91" i="22"/>
  <c r="G91" i="22" s="1"/>
  <c r="H90" i="22"/>
  <c r="F90" i="22"/>
  <c r="D90" i="22"/>
  <c r="G90" i="22" s="1"/>
  <c r="H89" i="22"/>
  <c r="F89" i="22"/>
  <c r="D89" i="22"/>
  <c r="G89" i="22" s="1"/>
  <c r="H88" i="22"/>
  <c r="F88" i="22"/>
  <c r="D88" i="22"/>
  <c r="G88" i="22" s="1"/>
  <c r="H79" i="22"/>
  <c r="F79" i="22"/>
  <c r="T79" i="22" s="1"/>
  <c r="D79" i="22"/>
  <c r="G79" i="22" s="1"/>
  <c r="H78" i="22"/>
  <c r="F78" i="22"/>
  <c r="T78" i="22" s="1"/>
  <c r="D78" i="22"/>
  <c r="G78" i="22" s="1"/>
  <c r="H77" i="22"/>
  <c r="F77" i="22"/>
  <c r="T77" i="22" s="1"/>
  <c r="D77" i="22"/>
  <c r="G77" i="22" s="1"/>
  <c r="Q77" i="22" s="1"/>
  <c r="H120" i="22"/>
  <c r="F120" i="22"/>
  <c r="D120" i="22"/>
  <c r="G120" i="22" s="1"/>
  <c r="H76" i="22"/>
  <c r="F76" i="22"/>
  <c r="T76" i="22" s="1"/>
  <c r="D76" i="22"/>
  <c r="G76" i="22" s="1"/>
  <c r="S76" i="22" s="1"/>
  <c r="H75" i="22"/>
  <c r="F75" i="22"/>
  <c r="T75" i="22" s="1"/>
  <c r="D75" i="22"/>
  <c r="G75" i="22" s="1"/>
  <c r="L75" i="22" s="1"/>
  <c r="H74" i="22"/>
  <c r="F74" i="22"/>
  <c r="T74" i="22" s="1"/>
  <c r="D74" i="22"/>
  <c r="G74" i="22" s="1"/>
  <c r="H73" i="22"/>
  <c r="F73" i="22"/>
  <c r="T73" i="22" s="1"/>
  <c r="D73" i="22"/>
  <c r="G73" i="22" s="1"/>
  <c r="S73" i="22" s="1"/>
  <c r="H121" i="22"/>
  <c r="F121" i="22"/>
  <c r="D121" i="22"/>
  <c r="G121" i="22" s="1"/>
  <c r="I121" i="22" s="1"/>
  <c r="H72" i="22"/>
  <c r="F72" i="22"/>
  <c r="T72" i="22" s="1"/>
  <c r="D72" i="22"/>
  <c r="G72" i="22" s="1"/>
  <c r="H71" i="22"/>
  <c r="F71" i="22"/>
  <c r="T71" i="22" s="1"/>
  <c r="D71" i="22"/>
  <c r="G71" i="22" s="1"/>
  <c r="J71" i="22" s="1"/>
  <c r="P71" i="22" s="1"/>
  <c r="H70" i="22"/>
  <c r="F70" i="22"/>
  <c r="T70" i="22" s="1"/>
  <c r="D70" i="22"/>
  <c r="G70" i="22" s="1"/>
  <c r="S70" i="22" s="1"/>
  <c r="H69" i="22"/>
  <c r="F69" i="22"/>
  <c r="T69" i="22" s="1"/>
  <c r="D69" i="22"/>
  <c r="G69" i="22" s="1"/>
  <c r="H122" i="22"/>
  <c r="F122" i="22"/>
  <c r="D122" i="22"/>
  <c r="G122" i="22" s="1"/>
  <c r="H66" i="22"/>
  <c r="Q66" i="22" s="1"/>
  <c r="F66" i="22"/>
  <c r="D66" i="22"/>
  <c r="G66" i="22" s="1"/>
  <c r="H65" i="22"/>
  <c r="R65" i="22" s="1"/>
  <c r="F65" i="22"/>
  <c r="D65" i="22"/>
  <c r="G65" i="22" s="1"/>
  <c r="H64" i="22"/>
  <c r="Q64" i="22" s="1"/>
  <c r="F64" i="22"/>
  <c r="D64" i="22"/>
  <c r="G64" i="22" s="1"/>
  <c r="H63" i="22"/>
  <c r="R63" i="22" s="1"/>
  <c r="F63" i="22"/>
  <c r="D63" i="22"/>
  <c r="G63" i="22" s="1"/>
  <c r="J63" i="22" s="1"/>
  <c r="H62" i="22"/>
  <c r="Q62" i="22" s="1"/>
  <c r="F62" i="22"/>
  <c r="D62" i="22"/>
  <c r="G62" i="22" s="1"/>
  <c r="J62" i="22" s="1"/>
  <c r="O62" i="22" s="1"/>
  <c r="H61" i="22"/>
  <c r="R61" i="22" s="1"/>
  <c r="F61" i="22"/>
  <c r="D61" i="22"/>
  <c r="G61" i="22" s="1"/>
  <c r="H60" i="22"/>
  <c r="Q60" i="22" s="1"/>
  <c r="F60" i="22"/>
  <c r="D60" i="22"/>
  <c r="G60" i="22" s="1"/>
  <c r="H59" i="22"/>
  <c r="Q59" i="22" s="1"/>
  <c r="F59" i="22"/>
  <c r="D59" i="22"/>
  <c r="G59" i="22" s="1"/>
  <c r="L59" i="22" s="1"/>
  <c r="H22" i="22"/>
  <c r="F22" i="22"/>
  <c r="D22" i="22"/>
  <c r="G22" i="22" s="1"/>
  <c r="J22" i="22" s="1"/>
  <c r="H21" i="22"/>
  <c r="F21" i="22"/>
  <c r="D21" i="22"/>
  <c r="G21" i="22" s="1"/>
  <c r="H20" i="22"/>
  <c r="F20" i="22"/>
  <c r="D20" i="22"/>
  <c r="G20" i="22" s="1"/>
  <c r="H19" i="22"/>
  <c r="F19" i="22"/>
  <c r="D19" i="22"/>
  <c r="G19" i="22" s="1"/>
  <c r="L19" i="22" s="1"/>
  <c r="H48" i="22"/>
  <c r="F48" i="22"/>
  <c r="D48" i="22"/>
  <c r="G48" i="22" s="1"/>
  <c r="H17" i="22"/>
  <c r="F17" i="22"/>
  <c r="D17" i="22"/>
  <c r="G17" i="22" s="1"/>
  <c r="H47" i="22"/>
  <c r="F47" i="22"/>
  <c r="D47" i="22"/>
  <c r="G47" i="22" s="1"/>
  <c r="J47" i="22" s="1"/>
  <c r="H46" i="22"/>
  <c r="F46" i="22"/>
  <c r="D46" i="22"/>
  <c r="G46" i="22" s="1"/>
  <c r="L46" i="22" s="1"/>
  <c r="H14" i="22"/>
  <c r="F14" i="22"/>
  <c r="S14" i="22" s="1"/>
  <c r="D14" i="22"/>
  <c r="G14" i="22" s="1"/>
  <c r="R14" i="22" s="1"/>
  <c r="H13" i="22"/>
  <c r="F13" i="22"/>
  <c r="S13" i="22" s="1"/>
  <c r="D13" i="22"/>
  <c r="G13" i="22" s="1"/>
  <c r="R13" i="22" s="1"/>
  <c r="H12" i="22"/>
  <c r="F12" i="22"/>
  <c r="S12" i="22" s="1"/>
  <c r="D12" i="22"/>
  <c r="G12" i="22" s="1"/>
  <c r="I12" i="22" s="1"/>
  <c r="H45" i="22"/>
  <c r="F45" i="22"/>
  <c r="D45" i="22"/>
  <c r="G45" i="22" s="1"/>
  <c r="H44" i="22"/>
  <c r="F44" i="22"/>
  <c r="D44" i="22"/>
  <c r="G44" i="22" s="1"/>
  <c r="H43" i="22"/>
  <c r="F43" i="22"/>
  <c r="D43" i="22"/>
  <c r="G43" i="22" s="1"/>
  <c r="H42" i="22"/>
  <c r="F42" i="22"/>
  <c r="D42" i="22"/>
  <c r="G42" i="22" s="1"/>
  <c r="J42" i="22" s="1"/>
  <c r="H41" i="22"/>
  <c r="F41" i="22"/>
  <c r="D41" i="22"/>
  <c r="G41" i="22" s="1"/>
  <c r="H40" i="22"/>
  <c r="F40" i="22"/>
  <c r="D40" i="22"/>
  <c r="G40" i="22" s="1"/>
  <c r="L40" i="22" s="1"/>
  <c r="H39" i="22"/>
  <c r="F39" i="22"/>
  <c r="D39" i="22"/>
  <c r="G39" i="22" s="1"/>
  <c r="I39" i="22" s="1"/>
  <c r="H38" i="22"/>
  <c r="F38" i="22"/>
  <c r="D38" i="22"/>
  <c r="G38" i="22" s="1"/>
  <c r="H37" i="22"/>
  <c r="F37" i="22"/>
  <c r="D37" i="22"/>
  <c r="G37" i="22" s="1"/>
  <c r="H36" i="22"/>
  <c r="F36" i="22"/>
  <c r="D36" i="22"/>
  <c r="G36" i="22" s="1"/>
  <c r="K36" i="22" s="1"/>
  <c r="H35" i="22"/>
  <c r="F35" i="22"/>
  <c r="D35" i="22"/>
  <c r="G35" i="22" s="1"/>
  <c r="H34" i="22"/>
  <c r="F34" i="22"/>
  <c r="D34" i="22"/>
  <c r="G34" i="22" s="1"/>
  <c r="I34" i="22" s="1"/>
  <c r="H33" i="22"/>
  <c r="F33" i="22"/>
  <c r="D33" i="22"/>
  <c r="G33" i="22" s="1"/>
  <c r="H32" i="22"/>
  <c r="F32" i="22"/>
  <c r="D32" i="22"/>
  <c r="G32" i="22" s="1"/>
  <c r="H31" i="22"/>
  <c r="F31" i="22"/>
  <c r="D31" i="22"/>
  <c r="G31" i="22" s="1"/>
  <c r="H9" i="22"/>
  <c r="F9" i="22"/>
  <c r="Q9" i="22" s="1"/>
  <c r="D9" i="22"/>
  <c r="G9" i="22" s="1"/>
  <c r="H8" i="22"/>
  <c r="F8" i="22"/>
  <c r="Q8" i="22" s="1"/>
  <c r="D8" i="22"/>
  <c r="G8" i="22" s="1"/>
  <c r="H7" i="22"/>
  <c r="F7" i="22"/>
  <c r="Q7" i="22" s="1"/>
  <c r="D7" i="22"/>
  <c r="G7" i="22" s="1"/>
  <c r="H6" i="22"/>
  <c r="F6" i="22"/>
  <c r="Q6" i="22" s="1"/>
  <c r="D6" i="22"/>
  <c r="G6" i="22" s="1"/>
  <c r="H5" i="22"/>
  <c r="F5" i="22"/>
  <c r="Q5" i="22" s="1"/>
  <c r="D5" i="22"/>
  <c r="G5" i="22" s="1"/>
  <c r="H4" i="22"/>
  <c r="F4" i="22"/>
  <c r="Q4" i="22" s="1"/>
  <c r="D4" i="22"/>
  <c r="G4" i="22" s="1"/>
  <c r="H3" i="22"/>
  <c r="F3" i="22"/>
  <c r="Q3" i="22" s="1"/>
  <c r="D3" i="22"/>
  <c r="G3" i="22" s="1"/>
  <c r="H2" i="22"/>
  <c r="F2" i="22"/>
  <c r="Q2" i="22" s="1"/>
  <c r="D2" i="22"/>
  <c r="G2" i="22" s="1"/>
  <c r="H144" i="21"/>
  <c r="F144" i="21"/>
  <c r="D144" i="21"/>
  <c r="G144" i="21" s="1"/>
  <c r="H143" i="21"/>
  <c r="F143" i="21"/>
  <c r="D143" i="21"/>
  <c r="G143" i="21" s="1"/>
  <c r="H142" i="21"/>
  <c r="F142" i="21"/>
  <c r="D142" i="21"/>
  <c r="G142" i="21" s="1"/>
  <c r="H82" i="21"/>
  <c r="F82" i="21"/>
  <c r="R82" i="21" s="1"/>
  <c r="D82" i="21"/>
  <c r="G82" i="21" s="1"/>
  <c r="H81" i="21"/>
  <c r="F81" i="21"/>
  <c r="R81" i="21" s="1"/>
  <c r="D81" i="21"/>
  <c r="G81" i="21" s="1"/>
  <c r="H80" i="21"/>
  <c r="F80" i="21"/>
  <c r="R80" i="21" s="1"/>
  <c r="D80" i="21"/>
  <c r="G80" i="21" s="1"/>
  <c r="H79" i="21"/>
  <c r="F79" i="21"/>
  <c r="R79" i="21" s="1"/>
  <c r="D79" i="21"/>
  <c r="G79" i="21" s="1"/>
  <c r="H78" i="21"/>
  <c r="F78" i="21"/>
  <c r="R78" i="21" s="1"/>
  <c r="D78" i="21"/>
  <c r="G78" i="21" s="1"/>
  <c r="H77" i="21"/>
  <c r="F77" i="21"/>
  <c r="R77" i="21" s="1"/>
  <c r="D77" i="21"/>
  <c r="G77" i="21" s="1"/>
  <c r="H76" i="21"/>
  <c r="F76" i="21"/>
  <c r="R76" i="21" s="1"/>
  <c r="D76" i="21"/>
  <c r="G76" i="21" s="1"/>
  <c r="H119" i="21"/>
  <c r="R119" i="21" s="1"/>
  <c r="F119" i="21"/>
  <c r="D119" i="21"/>
  <c r="G119" i="21" s="1"/>
  <c r="S119" i="21" s="1"/>
  <c r="H75" i="21"/>
  <c r="F75" i="21"/>
  <c r="R75" i="21" s="1"/>
  <c r="D75" i="21"/>
  <c r="G75" i="21" s="1"/>
  <c r="H74" i="21"/>
  <c r="F74" i="21"/>
  <c r="R74" i="21" s="1"/>
  <c r="D74" i="21"/>
  <c r="G74" i="21" s="1"/>
  <c r="H73" i="21"/>
  <c r="F73" i="21"/>
  <c r="R73" i="21" s="1"/>
  <c r="D73" i="21"/>
  <c r="G73" i="21" s="1"/>
  <c r="H72" i="21"/>
  <c r="F72" i="21"/>
  <c r="R72" i="21" s="1"/>
  <c r="D72" i="21"/>
  <c r="G72" i="21" s="1"/>
  <c r="H70" i="21"/>
  <c r="F70" i="21"/>
  <c r="R70" i="21" s="1"/>
  <c r="D70" i="21"/>
  <c r="G70" i="21" s="1"/>
  <c r="H69" i="21"/>
  <c r="F69" i="21"/>
  <c r="R69" i="21" s="1"/>
  <c r="D69" i="21"/>
  <c r="G69" i="21" s="1"/>
  <c r="H127" i="21"/>
  <c r="F127" i="21"/>
  <c r="D127" i="21"/>
  <c r="G127" i="21" s="1"/>
  <c r="K127" i="21" s="1"/>
  <c r="H126" i="21"/>
  <c r="F126" i="21"/>
  <c r="D126" i="21"/>
  <c r="G126" i="21" s="1"/>
  <c r="H125" i="21"/>
  <c r="F125" i="21"/>
  <c r="D125" i="21"/>
  <c r="G125" i="21" s="1"/>
  <c r="H124" i="21"/>
  <c r="F124" i="21"/>
  <c r="D124" i="21"/>
  <c r="G124" i="21" s="1"/>
  <c r="K124" i="21" s="1"/>
  <c r="H121" i="21"/>
  <c r="R121" i="21" s="1"/>
  <c r="F121" i="21"/>
  <c r="D121" i="21"/>
  <c r="G121" i="21" s="1"/>
  <c r="S121" i="21" s="1"/>
  <c r="H120" i="21"/>
  <c r="R120" i="21" s="1"/>
  <c r="F120" i="21"/>
  <c r="D120" i="21"/>
  <c r="G120" i="21" s="1"/>
  <c r="K120" i="21" s="1"/>
  <c r="N120" i="21" s="1"/>
  <c r="H118" i="21"/>
  <c r="R118" i="21" s="1"/>
  <c r="F118" i="21"/>
  <c r="D118" i="21"/>
  <c r="G118" i="21" s="1"/>
  <c r="K118" i="21" s="1"/>
  <c r="N118" i="21" s="1"/>
  <c r="H117" i="21"/>
  <c r="R117" i="21" s="1"/>
  <c r="F117" i="21"/>
  <c r="D117" i="21"/>
  <c r="G117" i="21" s="1"/>
  <c r="S117" i="21" s="1"/>
  <c r="H116" i="21"/>
  <c r="R116" i="21" s="1"/>
  <c r="F116" i="21"/>
  <c r="D116" i="21"/>
  <c r="G116" i="21" s="1"/>
  <c r="K116" i="21" s="1"/>
  <c r="N116" i="21" s="1"/>
  <c r="H114" i="21"/>
  <c r="R114" i="21" s="1"/>
  <c r="F114" i="21"/>
  <c r="D114" i="21"/>
  <c r="G114" i="21" s="1"/>
  <c r="K114" i="21" s="1"/>
  <c r="M114" i="21" s="1"/>
  <c r="H113" i="21"/>
  <c r="R113" i="21" s="1"/>
  <c r="F113" i="21"/>
  <c r="D113" i="21"/>
  <c r="G113" i="21" s="1"/>
  <c r="S113" i="21" s="1"/>
  <c r="H112" i="21"/>
  <c r="R112" i="21" s="1"/>
  <c r="F112" i="21"/>
  <c r="D112" i="21"/>
  <c r="G112" i="21" s="1"/>
  <c r="K112" i="21" s="1"/>
  <c r="M112" i="21" s="1"/>
  <c r="H111" i="21"/>
  <c r="R111" i="21" s="1"/>
  <c r="F111" i="21"/>
  <c r="D111" i="21"/>
  <c r="G111" i="21" s="1"/>
  <c r="K111" i="21" s="1"/>
  <c r="N111" i="21" s="1"/>
  <c r="H110" i="21"/>
  <c r="R110" i="21" s="1"/>
  <c r="F110" i="21"/>
  <c r="D110" i="21"/>
  <c r="G110" i="21" s="1"/>
  <c r="K110" i="21" s="1"/>
  <c r="N110" i="21" s="1"/>
  <c r="H109" i="21"/>
  <c r="Q109" i="21" s="1"/>
  <c r="F109" i="21"/>
  <c r="D109" i="21"/>
  <c r="G109" i="21" s="1"/>
  <c r="S109" i="21" s="1"/>
  <c r="H108" i="21"/>
  <c r="Q108" i="21" s="1"/>
  <c r="F108" i="21"/>
  <c r="D108" i="21"/>
  <c r="G108" i="21" s="1"/>
  <c r="S108" i="21" s="1"/>
  <c r="H107" i="21"/>
  <c r="R107" i="21" s="1"/>
  <c r="F107" i="21"/>
  <c r="D107" i="21"/>
  <c r="G107" i="21" s="1"/>
  <c r="L107" i="21" s="1"/>
  <c r="H106" i="21"/>
  <c r="R106" i="21" s="1"/>
  <c r="F106" i="21"/>
  <c r="D106" i="21"/>
  <c r="G106" i="21" s="1"/>
  <c r="S106" i="21" s="1"/>
  <c r="H105" i="21"/>
  <c r="R105" i="21" s="1"/>
  <c r="F105" i="21"/>
  <c r="D105" i="21"/>
  <c r="G105" i="21" s="1"/>
  <c r="L105" i="21" s="1"/>
  <c r="H104" i="21"/>
  <c r="R104" i="21" s="1"/>
  <c r="F104" i="21"/>
  <c r="D104" i="21"/>
  <c r="G104" i="21" s="1"/>
  <c r="S104" i="21" s="1"/>
  <c r="H103" i="21"/>
  <c r="R103" i="21" s="1"/>
  <c r="F103" i="21"/>
  <c r="D103" i="21"/>
  <c r="G103" i="21" s="1"/>
  <c r="L103" i="21" s="1"/>
  <c r="H102" i="21"/>
  <c r="R102" i="21" s="1"/>
  <c r="F102" i="21"/>
  <c r="D102" i="21"/>
  <c r="G102" i="21" s="1"/>
  <c r="S102" i="21" s="1"/>
  <c r="H99" i="21"/>
  <c r="R99" i="21" s="1"/>
  <c r="F99" i="21"/>
  <c r="D99" i="21"/>
  <c r="G99" i="21" s="1"/>
  <c r="L99" i="21" s="1"/>
  <c r="H101" i="21"/>
  <c r="R101" i="21" s="1"/>
  <c r="F101" i="21"/>
  <c r="D101" i="21"/>
  <c r="G101" i="21" s="1"/>
  <c r="S101" i="21" s="1"/>
  <c r="H100" i="21"/>
  <c r="R100" i="21" s="1"/>
  <c r="F100" i="21"/>
  <c r="D100" i="21"/>
  <c r="G100" i="21" s="1"/>
  <c r="L100" i="21" s="1"/>
  <c r="H71" i="21"/>
  <c r="F71" i="21"/>
  <c r="R71" i="21" s="1"/>
  <c r="D71" i="21"/>
  <c r="G71" i="21" s="1"/>
  <c r="L71" i="21" s="1"/>
  <c r="H98" i="21"/>
  <c r="Q98" i="21" s="1"/>
  <c r="F98" i="21"/>
  <c r="D98" i="21"/>
  <c r="G98" i="21" s="1"/>
  <c r="J98" i="21" s="1"/>
  <c r="P98" i="21" s="1"/>
  <c r="H97" i="21"/>
  <c r="Q97" i="21" s="1"/>
  <c r="F97" i="21"/>
  <c r="D97" i="21"/>
  <c r="G97" i="21" s="1"/>
  <c r="J97" i="21" s="1"/>
  <c r="P97" i="21" s="1"/>
  <c r="H96" i="21"/>
  <c r="R96" i="21" s="1"/>
  <c r="F96" i="21"/>
  <c r="D96" i="21"/>
  <c r="G96" i="21" s="1"/>
  <c r="S96" i="21" s="1"/>
  <c r="H95" i="21"/>
  <c r="R95" i="21" s="1"/>
  <c r="F95" i="21"/>
  <c r="D95" i="21"/>
  <c r="G95" i="21" s="1"/>
  <c r="S95" i="21" s="1"/>
  <c r="H94" i="21"/>
  <c r="R94" i="21" s="1"/>
  <c r="F94" i="21"/>
  <c r="D94" i="21"/>
  <c r="G94" i="21" s="1"/>
  <c r="S94" i="21" s="1"/>
  <c r="H93" i="21"/>
  <c r="R93" i="21" s="1"/>
  <c r="F93" i="21"/>
  <c r="D93" i="21"/>
  <c r="G93" i="21" s="1"/>
  <c r="S93" i="21" s="1"/>
  <c r="H92" i="21"/>
  <c r="R92" i="21" s="1"/>
  <c r="F92" i="21"/>
  <c r="D92" i="21"/>
  <c r="G92" i="21" s="1"/>
  <c r="L92" i="21" s="1"/>
  <c r="H91" i="21"/>
  <c r="R91" i="21" s="1"/>
  <c r="F91" i="21"/>
  <c r="D91" i="21"/>
  <c r="G91" i="21" s="1"/>
  <c r="L91" i="21" s="1"/>
  <c r="H90" i="21"/>
  <c r="R90" i="21" s="1"/>
  <c r="F90" i="21"/>
  <c r="D90" i="21"/>
  <c r="G90" i="21" s="1"/>
  <c r="J90" i="21" s="1"/>
  <c r="O90" i="21" s="1"/>
  <c r="H89" i="21"/>
  <c r="R89" i="21" s="1"/>
  <c r="F89" i="21"/>
  <c r="D89" i="21"/>
  <c r="G89" i="21" s="1"/>
  <c r="S89" i="21" s="1"/>
  <c r="H66" i="21"/>
  <c r="T66" i="21" s="1"/>
  <c r="F66" i="21"/>
  <c r="D66" i="21"/>
  <c r="G66" i="21" s="1"/>
  <c r="L66" i="21" s="1"/>
  <c r="H65" i="21"/>
  <c r="T65" i="21" s="1"/>
  <c r="F65" i="21"/>
  <c r="D65" i="21"/>
  <c r="G65" i="21" s="1"/>
  <c r="U65" i="21" s="1"/>
  <c r="H64" i="21"/>
  <c r="T64" i="21" s="1"/>
  <c r="F64" i="21"/>
  <c r="D64" i="21"/>
  <c r="G64" i="21" s="1"/>
  <c r="U64" i="21" s="1"/>
  <c r="H88" i="21"/>
  <c r="R88" i="21" s="1"/>
  <c r="F88" i="21"/>
  <c r="D88" i="21"/>
  <c r="G88" i="21" s="1"/>
  <c r="K88" i="21" s="1"/>
  <c r="N88" i="21" s="1"/>
  <c r="H63" i="21"/>
  <c r="T63" i="21" s="1"/>
  <c r="F63" i="21"/>
  <c r="D63" i="21"/>
  <c r="G63" i="21" s="1"/>
  <c r="J63" i="21" s="1"/>
  <c r="R63" i="21" s="1"/>
  <c r="H62" i="21"/>
  <c r="T62" i="21" s="1"/>
  <c r="F62" i="21"/>
  <c r="D62" i="21"/>
  <c r="G62" i="21" s="1"/>
  <c r="L62" i="21" s="1"/>
  <c r="H61" i="21"/>
  <c r="S61" i="21" s="1"/>
  <c r="F61" i="21"/>
  <c r="D61" i="21"/>
  <c r="G61" i="21" s="1"/>
  <c r="L61" i="21" s="1"/>
  <c r="H60" i="21"/>
  <c r="T60" i="21" s="1"/>
  <c r="F60" i="21"/>
  <c r="D60" i="21"/>
  <c r="G60" i="21" s="1"/>
  <c r="L60" i="21" s="1"/>
  <c r="H59" i="21"/>
  <c r="T59" i="21" s="1"/>
  <c r="F59" i="21"/>
  <c r="D59" i="21"/>
  <c r="G59" i="21" s="1"/>
  <c r="H41" i="21"/>
  <c r="F41" i="21"/>
  <c r="D41" i="21"/>
  <c r="G41" i="21" s="1"/>
  <c r="L41" i="21" s="1"/>
  <c r="H43" i="21"/>
  <c r="F43" i="21"/>
  <c r="D43" i="21"/>
  <c r="G43" i="21" s="1"/>
  <c r="H39" i="21"/>
  <c r="F39" i="21"/>
  <c r="D39" i="21"/>
  <c r="G39" i="21" s="1"/>
  <c r="J39" i="21" s="1"/>
  <c r="H38" i="21"/>
  <c r="F38" i="21"/>
  <c r="D38" i="21"/>
  <c r="G38" i="21" s="1"/>
  <c r="H35" i="21"/>
  <c r="F35" i="21"/>
  <c r="D35" i="21"/>
  <c r="G35" i="21" s="1"/>
  <c r="K35" i="21" s="1"/>
  <c r="N35" i="21" s="1"/>
  <c r="H34" i="21"/>
  <c r="F34" i="21"/>
  <c r="R34" i="21" s="1"/>
  <c r="D34" i="21"/>
  <c r="G34" i="21" s="1"/>
  <c r="H33" i="21"/>
  <c r="F33" i="21"/>
  <c r="R33" i="21" s="1"/>
  <c r="D33" i="21"/>
  <c r="G33" i="21" s="1"/>
  <c r="L33" i="21" s="1"/>
  <c r="H32" i="21"/>
  <c r="F32" i="21"/>
  <c r="R32" i="21" s="1"/>
  <c r="D32" i="21"/>
  <c r="G32" i="21" s="1"/>
  <c r="J32" i="21" s="1"/>
  <c r="P32" i="21" s="1"/>
  <c r="H31" i="21"/>
  <c r="F31" i="21"/>
  <c r="D31" i="21"/>
  <c r="G31" i="21" s="1"/>
  <c r="I31" i="21" s="1"/>
  <c r="H26" i="21"/>
  <c r="R26" i="21" s="1"/>
  <c r="F26" i="21"/>
  <c r="D26" i="21"/>
  <c r="G26" i="21" s="1"/>
  <c r="S26" i="21" s="1"/>
  <c r="H25" i="21"/>
  <c r="F25" i="21"/>
  <c r="D25" i="21"/>
  <c r="G25" i="21" s="1"/>
  <c r="S25" i="21" s="1"/>
  <c r="H24" i="21"/>
  <c r="R24" i="21" s="1"/>
  <c r="F24" i="21"/>
  <c r="D24" i="21"/>
  <c r="G24" i="21" s="1"/>
  <c r="S24" i="21" s="1"/>
  <c r="H23" i="21"/>
  <c r="R23" i="21" s="1"/>
  <c r="F23" i="21"/>
  <c r="D23" i="21"/>
  <c r="G23" i="21" s="1"/>
  <c r="S23" i="21" s="1"/>
  <c r="H22" i="21"/>
  <c r="R22" i="21" s="1"/>
  <c r="F22" i="21"/>
  <c r="D22" i="21"/>
  <c r="G22" i="21" s="1"/>
  <c r="S22" i="21" s="1"/>
  <c r="H21" i="21"/>
  <c r="F21" i="21"/>
  <c r="D21" i="21"/>
  <c r="G21" i="21" s="1"/>
  <c r="S21" i="21" s="1"/>
  <c r="H42" i="21"/>
  <c r="F42" i="21"/>
  <c r="D42" i="21"/>
  <c r="G42" i="21" s="1"/>
  <c r="H20" i="21"/>
  <c r="R20" i="21" s="1"/>
  <c r="F20" i="21"/>
  <c r="D20" i="21"/>
  <c r="G20" i="21" s="1"/>
  <c r="L20" i="21" s="1"/>
  <c r="H19" i="21"/>
  <c r="R19" i="21" s="1"/>
  <c r="F19" i="21"/>
  <c r="D19" i="21"/>
  <c r="G19" i="21" s="1"/>
  <c r="S19" i="21" s="1"/>
  <c r="H18" i="21"/>
  <c r="Q18" i="21" s="1"/>
  <c r="F18" i="21"/>
  <c r="D18" i="21"/>
  <c r="G18" i="21" s="1"/>
  <c r="S18" i="21" s="1"/>
  <c r="H17" i="21"/>
  <c r="Q17" i="21" s="1"/>
  <c r="F17" i="21"/>
  <c r="D17" i="21"/>
  <c r="G17" i="21" s="1"/>
  <c r="S17" i="21" s="1"/>
  <c r="H16" i="21"/>
  <c r="R16" i="21" s="1"/>
  <c r="F16" i="21"/>
  <c r="D16" i="21"/>
  <c r="G16" i="21" s="1"/>
  <c r="I16" i="21" s="1"/>
  <c r="H15" i="21"/>
  <c r="R15" i="21" s="1"/>
  <c r="F15" i="21"/>
  <c r="D15" i="21"/>
  <c r="G15" i="21" s="1"/>
  <c r="J15" i="21" s="1"/>
  <c r="P15" i="21" s="1"/>
  <c r="H9" i="21"/>
  <c r="F9" i="21"/>
  <c r="D9" i="21"/>
  <c r="G9" i="21" s="1"/>
  <c r="S9" i="21" s="1"/>
  <c r="H8" i="21"/>
  <c r="R8" i="21" s="1"/>
  <c r="F8" i="21"/>
  <c r="D8" i="21"/>
  <c r="G8" i="21" s="1"/>
  <c r="S8" i="21" s="1"/>
  <c r="H7" i="21"/>
  <c r="R7" i="21" s="1"/>
  <c r="F7" i="21"/>
  <c r="D7" i="21"/>
  <c r="G7" i="21" s="1"/>
  <c r="K7" i="21" s="1"/>
  <c r="M7" i="21" s="1"/>
  <c r="H44" i="21"/>
  <c r="F44" i="21"/>
  <c r="D44" i="21"/>
  <c r="G44" i="21" s="1"/>
  <c r="H14" i="21"/>
  <c r="R14" i="21" s="1"/>
  <c r="F14" i="21"/>
  <c r="D14" i="21"/>
  <c r="G14" i="21" s="1"/>
  <c r="S14" i="21" s="1"/>
  <c r="H6" i="21"/>
  <c r="R6" i="21" s="1"/>
  <c r="F6" i="21"/>
  <c r="D6" i="21"/>
  <c r="G6" i="21" s="1"/>
  <c r="S6" i="21" s="1"/>
  <c r="H13" i="21"/>
  <c r="F13" i="21"/>
  <c r="D13" i="21"/>
  <c r="G13" i="21" s="1"/>
  <c r="S13" i="21" s="1"/>
  <c r="H12" i="21"/>
  <c r="R12" i="21" s="1"/>
  <c r="F12" i="21"/>
  <c r="D12" i="21"/>
  <c r="G12" i="21" s="1"/>
  <c r="S12" i="21" s="1"/>
  <c r="H5" i="21"/>
  <c r="R5" i="21" s="1"/>
  <c r="F5" i="21"/>
  <c r="D5" i="21"/>
  <c r="G5" i="21" s="1"/>
  <c r="S5" i="21" s="1"/>
  <c r="H4" i="21"/>
  <c r="R4" i="21" s="1"/>
  <c r="F4" i="21"/>
  <c r="D4" i="21"/>
  <c r="G4" i="21" s="1"/>
  <c r="L4" i="21" s="1"/>
  <c r="H3" i="21"/>
  <c r="Q3" i="21" s="1"/>
  <c r="F3" i="21"/>
  <c r="D3" i="21"/>
  <c r="G3" i="21" s="1"/>
  <c r="S3" i="21" s="1"/>
  <c r="H2" i="21"/>
  <c r="R2" i="21" s="1"/>
  <c r="F2" i="21"/>
  <c r="D2" i="21"/>
  <c r="G2" i="21" s="1"/>
  <c r="S2" i="21" s="1"/>
  <c r="Q28" i="20"/>
  <c r="P28" i="20"/>
  <c r="H144" i="20"/>
  <c r="F144" i="20"/>
  <c r="D144" i="20"/>
  <c r="G144" i="20" s="1"/>
  <c r="H143" i="20"/>
  <c r="F143" i="20"/>
  <c r="D143" i="20"/>
  <c r="G143" i="20" s="1"/>
  <c r="J143" i="20" s="1"/>
  <c r="H142" i="20"/>
  <c r="F142" i="20"/>
  <c r="D142" i="20"/>
  <c r="G142" i="20" s="1"/>
  <c r="H127" i="20"/>
  <c r="F127" i="20"/>
  <c r="O127" i="20" s="1"/>
  <c r="D127" i="20"/>
  <c r="G127" i="20" s="1"/>
  <c r="P127" i="20" s="1"/>
  <c r="H126" i="20"/>
  <c r="F126" i="20"/>
  <c r="O126" i="20" s="1"/>
  <c r="D126" i="20"/>
  <c r="G126" i="20" s="1"/>
  <c r="P126" i="20" s="1"/>
  <c r="H125" i="20"/>
  <c r="F125" i="20"/>
  <c r="O125" i="20" s="1"/>
  <c r="D125" i="20"/>
  <c r="G125" i="20" s="1"/>
  <c r="P125" i="20" s="1"/>
  <c r="H101" i="20"/>
  <c r="R101" i="20" s="1"/>
  <c r="F101" i="20"/>
  <c r="D101" i="20"/>
  <c r="G101" i="20" s="1"/>
  <c r="S101" i="20" s="1"/>
  <c r="H124" i="20"/>
  <c r="F124" i="20"/>
  <c r="O124" i="20" s="1"/>
  <c r="D124" i="20"/>
  <c r="G124" i="20" s="1"/>
  <c r="P124" i="20" s="1"/>
  <c r="H123" i="20"/>
  <c r="F123" i="20"/>
  <c r="O123" i="20" s="1"/>
  <c r="D123" i="20"/>
  <c r="G123" i="20" s="1"/>
  <c r="P123" i="20" s="1"/>
  <c r="H122" i="20"/>
  <c r="F122" i="20"/>
  <c r="O122" i="20" s="1"/>
  <c r="D122" i="20"/>
  <c r="G122" i="20" s="1"/>
  <c r="P122" i="20" s="1"/>
  <c r="H121" i="20"/>
  <c r="F121" i="20"/>
  <c r="O121" i="20" s="1"/>
  <c r="D121" i="20"/>
  <c r="G121" i="20" s="1"/>
  <c r="P121" i="20" s="1"/>
  <c r="H100" i="20"/>
  <c r="Q100" i="20" s="1"/>
  <c r="F100" i="20"/>
  <c r="D100" i="20"/>
  <c r="G100" i="20" s="1"/>
  <c r="S100" i="20" s="1"/>
  <c r="H99" i="20"/>
  <c r="Q99" i="20" s="1"/>
  <c r="F99" i="20"/>
  <c r="D99" i="20"/>
  <c r="G99" i="20" s="1"/>
  <c r="S99" i="20" s="1"/>
  <c r="H120" i="20"/>
  <c r="F120" i="20"/>
  <c r="O120" i="20" s="1"/>
  <c r="D120" i="20"/>
  <c r="G120" i="20" s="1"/>
  <c r="P120" i="20" s="1"/>
  <c r="H119" i="20"/>
  <c r="F119" i="20"/>
  <c r="O119" i="20" s="1"/>
  <c r="D119" i="20"/>
  <c r="G119" i="20" s="1"/>
  <c r="P119" i="20" s="1"/>
  <c r="H118" i="20"/>
  <c r="F118" i="20"/>
  <c r="O118" i="20" s="1"/>
  <c r="D118" i="20"/>
  <c r="G118" i="20" s="1"/>
  <c r="P118" i="20" s="1"/>
  <c r="H117" i="20"/>
  <c r="F117" i="20"/>
  <c r="O117" i="20" s="1"/>
  <c r="D117" i="20"/>
  <c r="G117" i="20" s="1"/>
  <c r="P117" i="20" s="1"/>
  <c r="H109" i="20"/>
  <c r="F109" i="20"/>
  <c r="D109" i="20"/>
  <c r="G109" i="20" s="1"/>
  <c r="H108" i="20"/>
  <c r="F108" i="20"/>
  <c r="D108" i="20"/>
  <c r="G108" i="20" s="1"/>
  <c r="J108" i="20" s="1"/>
  <c r="H107" i="20"/>
  <c r="F107" i="20"/>
  <c r="D107" i="20"/>
  <c r="G107" i="20" s="1"/>
  <c r="H106" i="20"/>
  <c r="F106" i="20"/>
  <c r="D106" i="20"/>
  <c r="G106" i="20" s="1"/>
  <c r="H103" i="20"/>
  <c r="Q103" i="20" s="1"/>
  <c r="F103" i="20"/>
  <c r="D103" i="20"/>
  <c r="G103" i="20" s="1"/>
  <c r="S103" i="20" s="1"/>
  <c r="H102" i="20"/>
  <c r="R102" i="20" s="1"/>
  <c r="F102" i="20"/>
  <c r="D102" i="20"/>
  <c r="G102" i="20" s="1"/>
  <c r="S102" i="20" s="1"/>
  <c r="H98" i="20"/>
  <c r="F98" i="20"/>
  <c r="D98" i="20"/>
  <c r="G98" i="20" s="1"/>
  <c r="S98" i="20" s="1"/>
  <c r="H97" i="20"/>
  <c r="Q97" i="20" s="1"/>
  <c r="F97" i="20"/>
  <c r="D97" i="20"/>
  <c r="G97" i="20" s="1"/>
  <c r="S97" i="20" s="1"/>
  <c r="H96" i="20"/>
  <c r="R96" i="20" s="1"/>
  <c r="F96" i="20"/>
  <c r="D96" i="20"/>
  <c r="G96" i="20" s="1"/>
  <c r="S96" i="20" s="1"/>
  <c r="H95" i="20"/>
  <c r="R95" i="20" s="1"/>
  <c r="F95" i="20"/>
  <c r="D95" i="20"/>
  <c r="G95" i="20" s="1"/>
  <c r="S95" i="20" s="1"/>
  <c r="H94" i="20"/>
  <c r="Q94" i="20" s="1"/>
  <c r="F94" i="20"/>
  <c r="D94" i="20"/>
  <c r="G94" i="20" s="1"/>
  <c r="L94" i="20" s="1"/>
  <c r="H93" i="20"/>
  <c r="R93" i="20" s="1"/>
  <c r="F93" i="20"/>
  <c r="D93" i="20"/>
  <c r="G93" i="20" s="1"/>
  <c r="S93" i="20" s="1"/>
  <c r="H92" i="20"/>
  <c r="R92" i="20" s="1"/>
  <c r="F92" i="20"/>
  <c r="D92" i="20"/>
  <c r="G92" i="20" s="1"/>
  <c r="L92" i="20" s="1"/>
  <c r="H91" i="20"/>
  <c r="F91" i="20"/>
  <c r="D91" i="20"/>
  <c r="G91" i="20" s="1"/>
  <c r="S91" i="20" s="1"/>
  <c r="H90" i="20"/>
  <c r="R90" i="20" s="1"/>
  <c r="F90" i="20"/>
  <c r="D90" i="20"/>
  <c r="G90" i="20" s="1"/>
  <c r="L90" i="20" s="1"/>
  <c r="H89" i="20"/>
  <c r="R89" i="20" s="1"/>
  <c r="F89" i="20"/>
  <c r="D89" i="20"/>
  <c r="G89" i="20" s="1"/>
  <c r="S89" i="20" s="1"/>
  <c r="H88" i="20"/>
  <c r="Q88" i="20" s="1"/>
  <c r="F88" i="20"/>
  <c r="D88" i="20"/>
  <c r="G88" i="20" s="1"/>
  <c r="H86" i="20"/>
  <c r="R86" i="20" s="1"/>
  <c r="F86" i="20"/>
  <c r="D86" i="20"/>
  <c r="G86" i="20" s="1"/>
  <c r="S86" i="20" s="1"/>
  <c r="H85" i="20"/>
  <c r="F85" i="20"/>
  <c r="D85" i="20"/>
  <c r="G85" i="20" s="1"/>
  <c r="S85" i="20" s="1"/>
  <c r="H84" i="20"/>
  <c r="Q84" i="20" s="1"/>
  <c r="F84" i="20"/>
  <c r="D84" i="20"/>
  <c r="G84" i="20" s="1"/>
  <c r="S84" i="20" s="1"/>
  <c r="H83" i="20"/>
  <c r="F83" i="20"/>
  <c r="D83" i="20"/>
  <c r="G83" i="20" s="1"/>
  <c r="S83" i="20" s="1"/>
  <c r="H82" i="20"/>
  <c r="Q82" i="20" s="1"/>
  <c r="F82" i="20"/>
  <c r="D82" i="20"/>
  <c r="G82" i="20" s="1"/>
  <c r="S82" i="20" s="1"/>
  <c r="H81" i="20"/>
  <c r="R81" i="20" s="1"/>
  <c r="F81" i="20"/>
  <c r="D81" i="20"/>
  <c r="G81" i="20" s="1"/>
  <c r="L81" i="20" s="1"/>
  <c r="H80" i="20"/>
  <c r="F80" i="20"/>
  <c r="D80" i="20"/>
  <c r="G80" i="20" s="1"/>
  <c r="S80" i="20" s="1"/>
  <c r="H79" i="20"/>
  <c r="Q79" i="20" s="1"/>
  <c r="F79" i="20"/>
  <c r="D79" i="20"/>
  <c r="G79" i="20" s="1"/>
  <c r="L79" i="20" s="1"/>
  <c r="H78" i="20"/>
  <c r="F78" i="20"/>
  <c r="D78" i="20"/>
  <c r="G78" i="20" s="1"/>
  <c r="S78" i="20" s="1"/>
  <c r="H77" i="20"/>
  <c r="R77" i="20" s="1"/>
  <c r="F77" i="20"/>
  <c r="D77" i="20"/>
  <c r="G77" i="20" s="1"/>
  <c r="L77" i="20" s="1"/>
  <c r="H76" i="20"/>
  <c r="Q76" i="20" s="1"/>
  <c r="F76" i="20"/>
  <c r="D76" i="20"/>
  <c r="G76" i="20" s="1"/>
  <c r="S76" i="20" s="1"/>
  <c r="H75" i="20"/>
  <c r="Q75" i="20" s="1"/>
  <c r="F75" i="20"/>
  <c r="D75" i="20"/>
  <c r="G75" i="20" s="1"/>
  <c r="L75" i="20" s="1"/>
  <c r="H74" i="20"/>
  <c r="R74" i="20" s="1"/>
  <c r="F74" i="20"/>
  <c r="D74" i="20"/>
  <c r="G74" i="20" s="1"/>
  <c r="S74" i="20" s="1"/>
  <c r="H73" i="20"/>
  <c r="F73" i="20"/>
  <c r="D73" i="20"/>
  <c r="G73" i="20" s="1"/>
  <c r="S73" i="20" s="1"/>
  <c r="H72" i="20"/>
  <c r="Q72" i="20" s="1"/>
  <c r="F72" i="20"/>
  <c r="D72" i="20"/>
  <c r="G72" i="20" s="1"/>
  <c r="S72" i="20" s="1"/>
  <c r="H71" i="20"/>
  <c r="R71" i="20" s="1"/>
  <c r="F71" i="20"/>
  <c r="D71" i="20"/>
  <c r="G71" i="20" s="1"/>
  <c r="S71" i="20" s="1"/>
  <c r="H70" i="20"/>
  <c r="R70" i="20" s="1"/>
  <c r="F70" i="20"/>
  <c r="D70" i="20"/>
  <c r="G70" i="20" s="1"/>
  <c r="S70" i="20" s="1"/>
  <c r="H69" i="20"/>
  <c r="R69" i="20" s="1"/>
  <c r="F69" i="20"/>
  <c r="D69" i="20"/>
  <c r="G69" i="20" s="1"/>
  <c r="S69" i="20" s="1"/>
  <c r="H68" i="20"/>
  <c r="R68" i="20" s="1"/>
  <c r="F68" i="20"/>
  <c r="D68" i="20"/>
  <c r="G68" i="20" s="1"/>
  <c r="S68" i="20" s="1"/>
  <c r="H67" i="20"/>
  <c r="R67" i="20" s="1"/>
  <c r="F67" i="20"/>
  <c r="D67" i="20"/>
  <c r="G67" i="20" s="1"/>
  <c r="L67" i="20" s="1"/>
  <c r="H66" i="20"/>
  <c r="F66" i="20"/>
  <c r="D66" i="20"/>
  <c r="G66" i="20" s="1"/>
  <c r="S66" i="20" s="1"/>
  <c r="H65" i="20"/>
  <c r="R65" i="20" s="1"/>
  <c r="F65" i="20"/>
  <c r="D65" i="20"/>
  <c r="G65" i="20" s="1"/>
  <c r="S65" i="20" s="1"/>
  <c r="H64" i="20"/>
  <c r="Q64" i="20" s="1"/>
  <c r="F64" i="20"/>
  <c r="D64" i="20"/>
  <c r="G64" i="20" s="1"/>
  <c r="S64" i="20" s="1"/>
  <c r="H63" i="20"/>
  <c r="Q63" i="20" s="1"/>
  <c r="F63" i="20"/>
  <c r="D63" i="20"/>
  <c r="G63" i="20" s="1"/>
  <c r="H62" i="20"/>
  <c r="R62" i="20" s="1"/>
  <c r="F62" i="20"/>
  <c r="D62" i="20"/>
  <c r="G62" i="20" s="1"/>
  <c r="L62" i="20" s="1"/>
  <c r="H61" i="20"/>
  <c r="R61" i="20" s="1"/>
  <c r="F61" i="20"/>
  <c r="D61" i="20"/>
  <c r="G61" i="20" s="1"/>
  <c r="S61" i="20" s="1"/>
  <c r="H60" i="20"/>
  <c r="Q60" i="20" s="1"/>
  <c r="F60" i="20"/>
  <c r="D60" i="20"/>
  <c r="G60" i="20" s="1"/>
  <c r="S60" i="20" s="1"/>
  <c r="H59" i="20"/>
  <c r="R59" i="20" s="1"/>
  <c r="F59" i="20"/>
  <c r="D59" i="20"/>
  <c r="G59" i="20" s="1"/>
  <c r="S59" i="20" s="1"/>
  <c r="H42" i="20"/>
  <c r="F42" i="20"/>
  <c r="D42" i="20"/>
  <c r="G42" i="20" s="1"/>
  <c r="J42" i="20" s="1"/>
  <c r="H41" i="20"/>
  <c r="F41" i="20"/>
  <c r="D41" i="20"/>
  <c r="G41" i="20" s="1"/>
  <c r="J41" i="20" s="1"/>
  <c r="H39" i="20"/>
  <c r="F39" i="20"/>
  <c r="D39" i="20"/>
  <c r="G39" i="20" s="1"/>
  <c r="J39" i="20" s="1"/>
  <c r="H38" i="20"/>
  <c r="F38" i="20"/>
  <c r="D38" i="20"/>
  <c r="G38" i="20" s="1"/>
  <c r="H35" i="20"/>
  <c r="F35" i="20"/>
  <c r="O35" i="20" s="1"/>
  <c r="D35" i="20"/>
  <c r="G35" i="20" s="1"/>
  <c r="P35" i="20" s="1"/>
  <c r="H34" i="20"/>
  <c r="F34" i="20"/>
  <c r="O34" i="20" s="1"/>
  <c r="D34" i="20"/>
  <c r="G34" i="20" s="1"/>
  <c r="P34" i="20" s="1"/>
  <c r="H22" i="20"/>
  <c r="F22" i="20"/>
  <c r="D22" i="20"/>
  <c r="G22" i="20" s="1"/>
  <c r="Q22" i="20" s="1"/>
  <c r="H33" i="20"/>
  <c r="F33" i="20"/>
  <c r="O33" i="20" s="1"/>
  <c r="D33" i="20"/>
  <c r="G33" i="20" s="1"/>
  <c r="J33" i="20" s="1"/>
  <c r="H32" i="20"/>
  <c r="F32" i="20"/>
  <c r="O32" i="20" s="1"/>
  <c r="D32" i="20"/>
  <c r="G32" i="20" s="1"/>
  <c r="P32" i="20" s="1"/>
  <c r="H31" i="20"/>
  <c r="F31" i="20"/>
  <c r="O31" i="20" s="1"/>
  <c r="D31" i="20"/>
  <c r="G31" i="20" s="1"/>
  <c r="H27" i="20"/>
  <c r="F27" i="20"/>
  <c r="D27" i="20"/>
  <c r="G27" i="20" s="1"/>
  <c r="Q27" i="20" s="1"/>
  <c r="H26" i="20"/>
  <c r="F26" i="20"/>
  <c r="D26" i="20"/>
  <c r="G26" i="20" s="1"/>
  <c r="Q26" i="20" s="1"/>
  <c r="H25" i="20"/>
  <c r="F25" i="20"/>
  <c r="D25" i="20"/>
  <c r="G25" i="20" s="1"/>
  <c r="Q25" i="20" s="1"/>
  <c r="H24" i="20"/>
  <c r="F24" i="20"/>
  <c r="D24" i="20"/>
  <c r="G24" i="20" s="1"/>
  <c r="L24" i="20" s="1"/>
  <c r="H23" i="20"/>
  <c r="F23" i="20"/>
  <c r="D23" i="20"/>
  <c r="G23" i="20" s="1"/>
  <c r="Q23" i="20" s="1"/>
  <c r="H21" i="20"/>
  <c r="F21" i="20"/>
  <c r="D21" i="20"/>
  <c r="G21" i="20" s="1"/>
  <c r="H20" i="20"/>
  <c r="F20" i="20"/>
  <c r="D20" i="20"/>
  <c r="G20" i="20" s="1"/>
  <c r="Q20" i="20" s="1"/>
  <c r="H19" i="20"/>
  <c r="F19" i="20"/>
  <c r="D19" i="20"/>
  <c r="G19" i="20" s="1"/>
  <c r="H18" i="20"/>
  <c r="F18" i="20"/>
  <c r="D18" i="20"/>
  <c r="G18" i="20" s="1"/>
  <c r="H17" i="20"/>
  <c r="F17" i="20"/>
  <c r="D17" i="20"/>
  <c r="G17" i="20" s="1"/>
  <c r="Q17" i="20" s="1"/>
  <c r="H16" i="20"/>
  <c r="F16" i="20"/>
  <c r="D16" i="20"/>
  <c r="G16" i="20" s="1"/>
  <c r="H15" i="20"/>
  <c r="F15" i="20"/>
  <c r="D15" i="20"/>
  <c r="G15" i="20" s="1"/>
  <c r="H14" i="20"/>
  <c r="F14" i="20"/>
  <c r="D14" i="20"/>
  <c r="G14" i="20" s="1"/>
  <c r="Q14" i="20" s="1"/>
  <c r="K13" i="20"/>
  <c r="N13" i="20" s="1"/>
  <c r="H13" i="20"/>
  <c r="F13" i="20"/>
  <c r="D13" i="20"/>
  <c r="G13" i="20" s="1"/>
  <c r="J13" i="20" s="1"/>
  <c r="H12" i="20"/>
  <c r="F12" i="20"/>
  <c r="D12" i="20"/>
  <c r="G12" i="20" s="1"/>
  <c r="Q12" i="20" s="1"/>
  <c r="H11" i="20"/>
  <c r="F11" i="20"/>
  <c r="D11" i="20"/>
  <c r="G11" i="20" s="1"/>
  <c r="Q11" i="20" s="1"/>
  <c r="H10" i="20"/>
  <c r="F10" i="20"/>
  <c r="D10" i="20"/>
  <c r="G10" i="20" s="1"/>
  <c r="I10" i="20" s="1"/>
  <c r="H9" i="20"/>
  <c r="F9" i="20"/>
  <c r="D9" i="20"/>
  <c r="G9" i="20" s="1"/>
  <c r="Q9" i="20" s="1"/>
  <c r="H8" i="20"/>
  <c r="F8" i="20"/>
  <c r="D8" i="20"/>
  <c r="G8" i="20" s="1"/>
  <c r="Q8" i="20" s="1"/>
  <c r="H7" i="20"/>
  <c r="F7" i="20"/>
  <c r="D7" i="20"/>
  <c r="G7" i="20" s="1"/>
  <c r="Q7" i="20" s="1"/>
  <c r="H6" i="20"/>
  <c r="F6" i="20"/>
  <c r="D6" i="20"/>
  <c r="G6" i="20" s="1"/>
  <c r="H5" i="20"/>
  <c r="F5" i="20"/>
  <c r="D5" i="20"/>
  <c r="G5" i="20" s="1"/>
  <c r="J5" i="20" s="1"/>
  <c r="P5" i="20" s="1"/>
  <c r="H4" i="20"/>
  <c r="F4" i="20"/>
  <c r="D4" i="20"/>
  <c r="G4" i="20" s="1"/>
  <c r="Q4" i="20" s="1"/>
  <c r="H3" i="20"/>
  <c r="F3" i="20"/>
  <c r="D3" i="20"/>
  <c r="G3" i="20" s="1"/>
  <c r="Q3" i="20" s="1"/>
  <c r="H2" i="20"/>
  <c r="F2" i="20"/>
  <c r="D2" i="20"/>
  <c r="G2" i="20" s="1"/>
  <c r="K2" i="20" s="1"/>
  <c r="H144" i="18"/>
  <c r="F144" i="18"/>
  <c r="D144" i="18"/>
  <c r="G144" i="18" s="1"/>
  <c r="H143" i="18"/>
  <c r="F143" i="18"/>
  <c r="D143" i="18"/>
  <c r="G143" i="18" s="1"/>
  <c r="H142" i="18"/>
  <c r="F142" i="18"/>
  <c r="D142" i="18"/>
  <c r="G142" i="18" s="1"/>
  <c r="H133" i="18"/>
  <c r="F133" i="18"/>
  <c r="D133" i="18"/>
  <c r="G133" i="18" s="1"/>
  <c r="H132" i="18"/>
  <c r="F132" i="18"/>
  <c r="D132" i="18"/>
  <c r="G132" i="18" s="1"/>
  <c r="L132" i="18" s="1"/>
  <c r="H131" i="18"/>
  <c r="F131" i="18"/>
  <c r="D131" i="18"/>
  <c r="G131" i="18" s="1"/>
  <c r="H110" i="18"/>
  <c r="F110" i="18"/>
  <c r="D110" i="18"/>
  <c r="G110" i="18" s="1"/>
  <c r="H130" i="18"/>
  <c r="F130" i="18"/>
  <c r="D130" i="18"/>
  <c r="G130" i="18" s="1"/>
  <c r="H124" i="18"/>
  <c r="F124" i="18"/>
  <c r="D124" i="18"/>
  <c r="G124" i="18" s="1"/>
  <c r="H123" i="18"/>
  <c r="F123" i="18"/>
  <c r="D123" i="18"/>
  <c r="G123" i="18" s="1"/>
  <c r="H122" i="18"/>
  <c r="F122" i="18"/>
  <c r="D122" i="18"/>
  <c r="G122" i="18" s="1"/>
  <c r="H121" i="18"/>
  <c r="F121" i="18"/>
  <c r="D121" i="18"/>
  <c r="G121" i="18" s="1"/>
  <c r="H120" i="18"/>
  <c r="F120" i="18"/>
  <c r="D120" i="18"/>
  <c r="G120" i="18" s="1"/>
  <c r="H119" i="18"/>
  <c r="F119" i="18"/>
  <c r="D119" i="18"/>
  <c r="G119" i="18" s="1"/>
  <c r="H118" i="18"/>
  <c r="F118" i="18"/>
  <c r="D118" i="18"/>
  <c r="G118" i="18" s="1"/>
  <c r="H117" i="18"/>
  <c r="F117" i="18"/>
  <c r="D117" i="18"/>
  <c r="G117" i="18" s="1"/>
  <c r="H127" i="18"/>
  <c r="F127" i="18"/>
  <c r="D127" i="18"/>
  <c r="G127" i="18" s="1"/>
  <c r="H109" i="18"/>
  <c r="F109" i="18"/>
  <c r="D109" i="18"/>
  <c r="G109" i="18" s="1"/>
  <c r="L109" i="18" s="1"/>
  <c r="H108" i="18"/>
  <c r="F108" i="18"/>
  <c r="D108" i="18"/>
  <c r="G108" i="18" s="1"/>
  <c r="H126" i="18"/>
  <c r="F126" i="18"/>
  <c r="D126" i="18"/>
  <c r="G126" i="18" s="1"/>
  <c r="H107" i="18"/>
  <c r="F107" i="18"/>
  <c r="D107" i="18"/>
  <c r="G107" i="18" s="1"/>
  <c r="H106" i="18"/>
  <c r="F106" i="18"/>
  <c r="D106" i="18"/>
  <c r="G106" i="18" s="1"/>
  <c r="H105" i="18"/>
  <c r="F105" i="18"/>
  <c r="D105" i="18"/>
  <c r="G105" i="18" s="1"/>
  <c r="H104" i="18"/>
  <c r="F104" i="18"/>
  <c r="D104" i="18"/>
  <c r="G104" i="18" s="1"/>
  <c r="H103" i="18"/>
  <c r="F103" i="18"/>
  <c r="D103" i="18"/>
  <c r="G103" i="18" s="1"/>
  <c r="H102" i="18"/>
  <c r="F102" i="18"/>
  <c r="D102" i="18"/>
  <c r="G102" i="18" s="1"/>
  <c r="H101" i="18"/>
  <c r="F101" i="18"/>
  <c r="D101" i="18"/>
  <c r="G101" i="18" s="1"/>
  <c r="H100" i="18"/>
  <c r="F100" i="18"/>
  <c r="D100" i="18"/>
  <c r="G100" i="18" s="1"/>
  <c r="H125" i="18"/>
  <c r="F125" i="18"/>
  <c r="D125" i="18"/>
  <c r="G125" i="18" s="1"/>
  <c r="H99" i="18"/>
  <c r="F99" i="18"/>
  <c r="D99" i="18"/>
  <c r="G99" i="18" s="1"/>
  <c r="L99" i="18" s="1"/>
  <c r="H77" i="18"/>
  <c r="F77" i="18"/>
  <c r="D77" i="18"/>
  <c r="G77" i="18" s="1"/>
  <c r="H98" i="18"/>
  <c r="F98" i="18"/>
  <c r="D98" i="18"/>
  <c r="G98" i="18" s="1"/>
  <c r="H97" i="18"/>
  <c r="F97" i="18"/>
  <c r="D97" i="18"/>
  <c r="G97" i="18" s="1"/>
  <c r="H81" i="18"/>
  <c r="F81" i="18"/>
  <c r="D81" i="18"/>
  <c r="G81" i="18" s="1"/>
  <c r="H96" i="18"/>
  <c r="F96" i="18"/>
  <c r="D96" i="18"/>
  <c r="G96" i="18" s="1"/>
  <c r="H76" i="18"/>
  <c r="F76" i="18"/>
  <c r="D76" i="18"/>
  <c r="G76" i="18" s="1"/>
  <c r="H95" i="18"/>
  <c r="F95" i="18"/>
  <c r="D95" i="18"/>
  <c r="G95" i="18" s="1"/>
  <c r="H94" i="18"/>
  <c r="F94" i="18"/>
  <c r="D94" i="18"/>
  <c r="G94" i="18" s="1"/>
  <c r="H93" i="18"/>
  <c r="F93" i="18"/>
  <c r="D93" i="18"/>
  <c r="G93" i="18" s="1"/>
  <c r="H62" i="18"/>
  <c r="F62" i="18"/>
  <c r="D62" i="18"/>
  <c r="G62" i="18" s="1"/>
  <c r="H61" i="18"/>
  <c r="F61" i="18"/>
  <c r="D61" i="18"/>
  <c r="G61" i="18" s="1"/>
  <c r="H60" i="18"/>
  <c r="F60" i="18"/>
  <c r="D60" i="18"/>
  <c r="G60" i="18" s="1"/>
  <c r="L60" i="18" s="1"/>
  <c r="H92" i="18"/>
  <c r="F92" i="18"/>
  <c r="D92" i="18"/>
  <c r="G92" i="18" s="1"/>
  <c r="H91" i="18"/>
  <c r="F91" i="18"/>
  <c r="D91" i="18"/>
  <c r="G91" i="18" s="1"/>
  <c r="L91" i="18" s="1"/>
  <c r="H75" i="18"/>
  <c r="F75" i="18"/>
  <c r="D75" i="18"/>
  <c r="G75" i="18" s="1"/>
  <c r="H74" i="18"/>
  <c r="F74" i="18"/>
  <c r="D74" i="18"/>
  <c r="G74" i="18" s="1"/>
  <c r="H73" i="18"/>
  <c r="F73" i="18"/>
  <c r="D73" i="18"/>
  <c r="G73" i="18" s="1"/>
  <c r="H72" i="18"/>
  <c r="F72" i="18"/>
  <c r="D72" i="18"/>
  <c r="G72" i="18" s="1"/>
  <c r="H71" i="18"/>
  <c r="F71" i="18"/>
  <c r="D71" i="18"/>
  <c r="G71" i="18" s="1"/>
  <c r="H70" i="18"/>
  <c r="F70" i="18"/>
  <c r="D70" i="18"/>
  <c r="G70" i="18" s="1"/>
  <c r="H69" i="18"/>
  <c r="F69" i="18"/>
  <c r="D69" i="18"/>
  <c r="G69" i="18" s="1"/>
  <c r="H80" i="18"/>
  <c r="F80" i="18"/>
  <c r="D80" i="18"/>
  <c r="G80" i="18" s="1"/>
  <c r="H68" i="18"/>
  <c r="F68" i="18"/>
  <c r="D68" i="18"/>
  <c r="G68" i="18" s="1"/>
  <c r="H67" i="18"/>
  <c r="F67" i="18"/>
  <c r="D67" i="18"/>
  <c r="G67" i="18" s="1"/>
  <c r="H90" i="18"/>
  <c r="F90" i="18"/>
  <c r="D90" i="18"/>
  <c r="G90" i="18" s="1"/>
  <c r="H89" i="18"/>
  <c r="F89" i="18"/>
  <c r="D89" i="18"/>
  <c r="G89" i="18" s="1"/>
  <c r="L89" i="18" s="1"/>
  <c r="H66" i="18"/>
  <c r="F66" i="18"/>
  <c r="D66" i="18"/>
  <c r="G66" i="18" s="1"/>
  <c r="H65" i="18"/>
  <c r="F65" i="18"/>
  <c r="D65" i="18"/>
  <c r="G65" i="18" s="1"/>
  <c r="H64" i="18"/>
  <c r="F64" i="18"/>
  <c r="D64" i="18"/>
  <c r="G64" i="18" s="1"/>
  <c r="H63" i="18"/>
  <c r="F63" i="18"/>
  <c r="D63" i="18"/>
  <c r="G63" i="18" s="1"/>
  <c r="H88" i="18"/>
  <c r="F88" i="18"/>
  <c r="D88" i="18"/>
  <c r="G88" i="18" s="1"/>
  <c r="H59" i="18"/>
  <c r="F59" i="18"/>
  <c r="D59" i="18"/>
  <c r="G59" i="18" s="1"/>
  <c r="H21" i="18"/>
  <c r="F21" i="18"/>
  <c r="D21" i="18"/>
  <c r="G21" i="18" s="1"/>
  <c r="H23" i="18"/>
  <c r="F23" i="18"/>
  <c r="D23" i="18"/>
  <c r="G23" i="18" s="1"/>
  <c r="H46" i="18"/>
  <c r="F46" i="18"/>
  <c r="D46" i="18"/>
  <c r="G46" i="18" s="1"/>
  <c r="H22" i="18"/>
  <c r="F22" i="18"/>
  <c r="D22" i="18"/>
  <c r="G22" i="18" s="1"/>
  <c r="H45" i="18"/>
  <c r="F45" i="18"/>
  <c r="D45" i="18"/>
  <c r="G45" i="18" s="1"/>
  <c r="H40" i="18"/>
  <c r="F40" i="18"/>
  <c r="D40" i="18"/>
  <c r="G40" i="18" s="1"/>
  <c r="L40" i="18" s="1"/>
  <c r="H39" i="18"/>
  <c r="F39" i="18"/>
  <c r="D39" i="18"/>
  <c r="G39" i="18" s="1"/>
  <c r="H38" i="18"/>
  <c r="F38" i="18"/>
  <c r="D38" i="18"/>
  <c r="G38" i="18" s="1"/>
  <c r="H37" i="18"/>
  <c r="F37" i="18"/>
  <c r="D37" i="18"/>
  <c r="G37" i="18" s="1"/>
  <c r="H36" i="18"/>
  <c r="F36" i="18"/>
  <c r="D36" i="18"/>
  <c r="G36" i="18" s="1"/>
  <c r="H35" i="18"/>
  <c r="F35" i="18"/>
  <c r="D35" i="18"/>
  <c r="G35" i="18" s="1"/>
  <c r="H47" i="18"/>
  <c r="F47" i="18"/>
  <c r="D47" i="18"/>
  <c r="G47" i="18" s="1"/>
  <c r="H26" i="18"/>
  <c r="F26" i="18"/>
  <c r="D26" i="18"/>
  <c r="G26" i="18" s="1"/>
  <c r="H34" i="18"/>
  <c r="F34" i="18"/>
  <c r="D34" i="18"/>
  <c r="G34" i="18" s="1"/>
  <c r="H33" i="18"/>
  <c r="F33" i="18"/>
  <c r="D33" i="18"/>
  <c r="G33" i="18" s="1"/>
  <c r="H20" i="18"/>
  <c r="F20" i="18"/>
  <c r="D20" i="18"/>
  <c r="G20" i="18" s="1"/>
  <c r="H32" i="18"/>
  <c r="F32" i="18"/>
  <c r="D32" i="18"/>
  <c r="G32" i="18" s="1"/>
  <c r="H13" i="18"/>
  <c r="F13" i="18"/>
  <c r="D13" i="18"/>
  <c r="G13" i="18" s="1"/>
  <c r="L13" i="18" s="1"/>
  <c r="H43" i="18"/>
  <c r="F43" i="18"/>
  <c r="D43" i="18"/>
  <c r="G43" i="18" s="1"/>
  <c r="H19" i="18"/>
  <c r="F19" i="18"/>
  <c r="D19" i="18"/>
  <c r="G19" i="18" s="1"/>
  <c r="H18" i="18"/>
  <c r="F18" i="18"/>
  <c r="D18" i="18"/>
  <c r="G18" i="18" s="1"/>
  <c r="H17" i="18"/>
  <c r="F17" i="18"/>
  <c r="D17" i="18"/>
  <c r="G17" i="18" s="1"/>
  <c r="H16" i="18"/>
  <c r="F16" i="18"/>
  <c r="D16" i="18"/>
  <c r="G16" i="18" s="1"/>
  <c r="H31" i="18"/>
  <c r="F31" i="18"/>
  <c r="D31" i="18"/>
  <c r="G31" i="18" s="1"/>
  <c r="H12" i="18"/>
  <c r="F12" i="18"/>
  <c r="D12" i="18"/>
  <c r="G12" i="18" s="1"/>
  <c r="H11" i="18"/>
  <c r="F11" i="18"/>
  <c r="D11" i="18"/>
  <c r="G11" i="18" s="1"/>
  <c r="H10" i="18"/>
  <c r="F10" i="18"/>
  <c r="D10" i="18"/>
  <c r="G10" i="18" s="1"/>
  <c r="H9" i="18"/>
  <c r="F9" i="18"/>
  <c r="D9" i="18"/>
  <c r="G9" i="18" s="1"/>
  <c r="H8" i="18"/>
  <c r="F8" i="18"/>
  <c r="D8" i="18"/>
  <c r="G8" i="18" s="1"/>
  <c r="H7" i="18"/>
  <c r="F7" i="18"/>
  <c r="D7" i="18"/>
  <c r="G7" i="18" s="1"/>
  <c r="L7" i="18" s="1"/>
  <c r="H6" i="18"/>
  <c r="F6" i="18"/>
  <c r="D6" i="18"/>
  <c r="G6" i="18" s="1"/>
  <c r="H5" i="18"/>
  <c r="F5" i="18"/>
  <c r="D5" i="18"/>
  <c r="G5" i="18" s="1"/>
  <c r="H4" i="18"/>
  <c r="F4" i="18"/>
  <c r="D4" i="18"/>
  <c r="G4" i="18" s="1"/>
  <c r="H3" i="18"/>
  <c r="F3" i="18"/>
  <c r="D3" i="18"/>
  <c r="G3" i="18" s="1"/>
  <c r="H2" i="18"/>
  <c r="F2" i="18"/>
  <c r="D2" i="18"/>
  <c r="G2" i="18" s="1"/>
  <c r="H144" i="17"/>
  <c r="F144" i="17"/>
  <c r="D144" i="17"/>
  <c r="G144" i="17" s="1"/>
  <c r="H143" i="17"/>
  <c r="F143" i="17"/>
  <c r="D143" i="17"/>
  <c r="G143" i="17" s="1"/>
  <c r="H142" i="17"/>
  <c r="F142" i="17"/>
  <c r="D142" i="17"/>
  <c r="G142" i="17" s="1"/>
  <c r="L142" i="17" s="1"/>
  <c r="H130" i="17"/>
  <c r="F130" i="17"/>
  <c r="D130" i="17"/>
  <c r="G130" i="17" s="1"/>
  <c r="P130" i="17" s="1"/>
  <c r="H129" i="17"/>
  <c r="F129" i="17"/>
  <c r="D129" i="17"/>
  <c r="G129" i="17" s="1"/>
  <c r="H128" i="17"/>
  <c r="F128" i="17"/>
  <c r="D128" i="17"/>
  <c r="G128" i="17" s="1"/>
  <c r="L128" i="17" s="1"/>
  <c r="H126" i="17"/>
  <c r="F126" i="17"/>
  <c r="D126" i="17"/>
  <c r="G126" i="17" s="1"/>
  <c r="H125" i="17"/>
  <c r="F125" i="17"/>
  <c r="D125" i="17"/>
  <c r="G125" i="17" s="1"/>
  <c r="P125" i="17" s="1"/>
  <c r="H124" i="17"/>
  <c r="F124" i="17"/>
  <c r="D124" i="17"/>
  <c r="G124" i="17" s="1"/>
  <c r="P124" i="17" s="1"/>
  <c r="H120" i="17"/>
  <c r="F120" i="17"/>
  <c r="D120" i="17"/>
  <c r="G120" i="17" s="1"/>
  <c r="P120" i="17" s="1"/>
  <c r="H119" i="17"/>
  <c r="F119" i="17"/>
  <c r="D119" i="17"/>
  <c r="G119" i="17" s="1"/>
  <c r="L119" i="17" s="1"/>
  <c r="H118" i="17"/>
  <c r="F118" i="17"/>
  <c r="D118" i="17"/>
  <c r="G118" i="17" s="1"/>
  <c r="L118" i="17" s="1"/>
  <c r="H106" i="17"/>
  <c r="F106" i="17"/>
  <c r="D106" i="17"/>
  <c r="G106" i="17" s="1"/>
  <c r="I106" i="17" s="1"/>
  <c r="H105" i="17"/>
  <c r="F105" i="17"/>
  <c r="D105" i="17"/>
  <c r="G105" i="17" s="1"/>
  <c r="K105" i="17" s="1"/>
  <c r="H104" i="17"/>
  <c r="F104" i="17"/>
  <c r="D104" i="17"/>
  <c r="G104" i="17" s="1"/>
  <c r="H103" i="17"/>
  <c r="F103" i="17"/>
  <c r="D103" i="17"/>
  <c r="G103" i="17" s="1"/>
  <c r="K103" i="17" s="1"/>
  <c r="H100" i="17"/>
  <c r="F100" i="17"/>
  <c r="D100" i="17"/>
  <c r="G100" i="17" s="1"/>
  <c r="K100" i="17" s="1"/>
  <c r="N100" i="17" s="1"/>
  <c r="H99" i="17"/>
  <c r="F99" i="17"/>
  <c r="D99" i="17"/>
  <c r="G99" i="17" s="1"/>
  <c r="K99" i="17" s="1"/>
  <c r="H127" i="17"/>
  <c r="F127" i="17"/>
  <c r="D127" i="17"/>
  <c r="G127" i="17" s="1"/>
  <c r="I127" i="17" s="1"/>
  <c r="H98" i="17"/>
  <c r="F98" i="17"/>
  <c r="D98" i="17"/>
  <c r="G98" i="17" s="1"/>
  <c r="P98" i="17" s="1"/>
  <c r="H97" i="17"/>
  <c r="F97" i="17"/>
  <c r="D97" i="17"/>
  <c r="G97" i="17" s="1"/>
  <c r="P97" i="17" s="1"/>
  <c r="H123" i="17"/>
  <c r="F123" i="17"/>
  <c r="D123" i="17"/>
  <c r="G123" i="17" s="1"/>
  <c r="H92" i="17"/>
  <c r="F92" i="17"/>
  <c r="D92" i="17"/>
  <c r="G92" i="17" s="1"/>
  <c r="P92" i="17" s="1"/>
  <c r="H96" i="17"/>
  <c r="G96" i="17"/>
  <c r="J96" i="17" s="1"/>
  <c r="O96" i="17" s="1"/>
  <c r="F96" i="17"/>
  <c r="D96" i="17"/>
  <c r="H95" i="17"/>
  <c r="F95" i="17"/>
  <c r="D95" i="17"/>
  <c r="G95" i="17" s="1"/>
  <c r="L95" i="17" s="1"/>
  <c r="H122" i="17"/>
  <c r="F122" i="17"/>
  <c r="D122" i="17"/>
  <c r="G122" i="17" s="1"/>
  <c r="I122" i="17" s="1"/>
  <c r="H121" i="17"/>
  <c r="F121" i="17"/>
  <c r="D121" i="17"/>
  <c r="G121" i="17" s="1"/>
  <c r="P121" i="17" s="1"/>
  <c r="H94" i="17"/>
  <c r="F94" i="17"/>
  <c r="D94" i="17"/>
  <c r="G94" i="17" s="1"/>
  <c r="H91" i="17"/>
  <c r="F91" i="17"/>
  <c r="D91" i="17"/>
  <c r="G91" i="17" s="1"/>
  <c r="P91" i="17" s="1"/>
  <c r="H90" i="17"/>
  <c r="F90" i="17"/>
  <c r="D90" i="17"/>
  <c r="G90" i="17" s="1"/>
  <c r="H89" i="17"/>
  <c r="F89" i="17"/>
  <c r="D89" i="17"/>
  <c r="G89" i="17" s="1"/>
  <c r="P89" i="17" s="1"/>
  <c r="H93" i="17"/>
  <c r="F93" i="17"/>
  <c r="D93" i="17"/>
  <c r="G93" i="17" s="1"/>
  <c r="P93" i="17" s="1"/>
  <c r="H88" i="17"/>
  <c r="F88" i="17"/>
  <c r="D88" i="17"/>
  <c r="G88" i="17" s="1"/>
  <c r="I88" i="17" s="1"/>
  <c r="H82" i="17"/>
  <c r="F82" i="17"/>
  <c r="D82" i="17"/>
  <c r="G82" i="17" s="1"/>
  <c r="H86" i="17"/>
  <c r="F86" i="17"/>
  <c r="D86" i="17"/>
  <c r="G86" i="17" s="1"/>
  <c r="P86" i="17" s="1"/>
  <c r="H85" i="17"/>
  <c r="F85" i="17"/>
  <c r="D85" i="17"/>
  <c r="G85" i="17" s="1"/>
  <c r="P85" i="17" s="1"/>
  <c r="H84" i="17"/>
  <c r="F84" i="17"/>
  <c r="D84" i="17"/>
  <c r="G84" i="17" s="1"/>
  <c r="P84" i="17" s="1"/>
  <c r="H83" i="17"/>
  <c r="F83" i="17"/>
  <c r="D83" i="17"/>
  <c r="G83" i="17" s="1"/>
  <c r="P83" i="17" s="1"/>
  <c r="H81" i="17"/>
  <c r="F81" i="17"/>
  <c r="D81" i="17"/>
  <c r="G81" i="17" s="1"/>
  <c r="P81" i="17" s="1"/>
  <c r="H80" i="17"/>
  <c r="F80" i="17"/>
  <c r="D80" i="17"/>
  <c r="G80" i="17" s="1"/>
  <c r="P80" i="17" s="1"/>
  <c r="H79" i="17"/>
  <c r="F79" i="17"/>
  <c r="D79" i="17"/>
  <c r="G79" i="17" s="1"/>
  <c r="H78" i="17"/>
  <c r="F78" i="17"/>
  <c r="D78" i="17"/>
  <c r="G78" i="17" s="1"/>
  <c r="P78" i="17" s="1"/>
  <c r="H77" i="17"/>
  <c r="F77" i="17"/>
  <c r="D77" i="17"/>
  <c r="G77" i="17" s="1"/>
  <c r="H76" i="17"/>
  <c r="F76" i="17"/>
  <c r="D76" i="17"/>
  <c r="G76" i="17" s="1"/>
  <c r="H74" i="17"/>
  <c r="F74" i="17"/>
  <c r="D74" i="17"/>
  <c r="G74" i="17" s="1"/>
  <c r="P74" i="17" s="1"/>
  <c r="H73" i="17"/>
  <c r="F73" i="17"/>
  <c r="D73" i="17"/>
  <c r="G73" i="17" s="1"/>
  <c r="H75" i="17"/>
  <c r="F75" i="17"/>
  <c r="D75" i="17"/>
  <c r="G75" i="17" s="1"/>
  <c r="P75" i="17" s="1"/>
  <c r="H72" i="17"/>
  <c r="F72" i="17"/>
  <c r="D72" i="17"/>
  <c r="G72" i="17" s="1"/>
  <c r="P72" i="17" s="1"/>
  <c r="H71" i="17"/>
  <c r="F71" i="17"/>
  <c r="D71" i="17"/>
  <c r="G71" i="17" s="1"/>
  <c r="P71" i="17" s="1"/>
  <c r="H69" i="17"/>
  <c r="F69" i="17"/>
  <c r="D69" i="17"/>
  <c r="G69" i="17" s="1"/>
  <c r="P69" i="17" s="1"/>
  <c r="H117" i="17"/>
  <c r="F117" i="17"/>
  <c r="D117" i="17"/>
  <c r="G117" i="17" s="1"/>
  <c r="P117" i="17" s="1"/>
  <c r="H70" i="17"/>
  <c r="F70" i="17"/>
  <c r="D70" i="17"/>
  <c r="G70" i="17" s="1"/>
  <c r="P70" i="17" s="1"/>
  <c r="H68" i="17"/>
  <c r="F68" i="17"/>
  <c r="D68" i="17"/>
  <c r="G68" i="17" s="1"/>
  <c r="H67" i="17"/>
  <c r="F67" i="17"/>
  <c r="D67" i="17"/>
  <c r="G67" i="17" s="1"/>
  <c r="H66" i="17"/>
  <c r="F66" i="17"/>
  <c r="D66" i="17"/>
  <c r="G66" i="17" s="1"/>
  <c r="L66" i="17" s="1"/>
  <c r="H65" i="17"/>
  <c r="F65" i="17"/>
  <c r="D65" i="17"/>
  <c r="G65" i="17" s="1"/>
  <c r="P65" i="17" s="1"/>
  <c r="H64" i="17"/>
  <c r="F64" i="17"/>
  <c r="D64" i="17"/>
  <c r="G64" i="17" s="1"/>
  <c r="L64" i="17" s="1"/>
  <c r="H63" i="17"/>
  <c r="F63" i="17"/>
  <c r="D63" i="17"/>
  <c r="G63" i="17" s="1"/>
  <c r="J63" i="17" s="1"/>
  <c r="O63" i="17" s="1"/>
  <c r="H62" i="17"/>
  <c r="F62" i="17"/>
  <c r="D62" i="17"/>
  <c r="G62" i="17" s="1"/>
  <c r="P62" i="17" s="1"/>
  <c r="H61" i="17"/>
  <c r="F61" i="17"/>
  <c r="D61" i="17"/>
  <c r="G61" i="17" s="1"/>
  <c r="P61" i="17" s="1"/>
  <c r="H60" i="17"/>
  <c r="F60" i="17"/>
  <c r="D60" i="17"/>
  <c r="G60" i="17" s="1"/>
  <c r="P60" i="17" s="1"/>
  <c r="H59" i="17"/>
  <c r="F59" i="17"/>
  <c r="D59" i="17"/>
  <c r="G59" i="17" s="1"/>
  <c r="P59" i="17" s="1"/>
  <c r="H43" i="17"/>
  <c r="F43" i="17"/>
  <c r="D43" i="17"/>
  <c r="G43" i="17" s="1"/>
  <c r="H42" i="17"/>
  <c r="F42" i="17"/>
  <c r="D42" i="17"/>
  <c r="G42" i="17" s="1"/>
  <c r="L42" i="17" s="1"/>
  <c r="H36" i="17"/>
  <c r="F36" i="17"/>
  <c r="D36" i="17"/>
  <c r="G36" i="17" s="1"/>
  <c r="J36" i="17" s="1"/>
  <c r="O36" i="17" s="1"/>
  <c r="H33" i="17"/>
  <c r="F33" i="17"/>
  <c r="D33" i="17"/>
  <c r="G33" i="17" s="1"/>
  <c r="H32" i="17"/>
  <c r="F32" i="17"/>
  <c r="D32" i="17"/>
  <c r="G32" i="17" s="1"/>
  <c r="J32" i="17" s="1"/>
  <c r="O32" i="17" s="1"/>
  <c r="H26" i="17"/>
  <c r="F26" i="17"/>
  <c r="Q26" i="17" s="1"/>
  <c r="D26" i="17"/>
  <c r="G26" i="17" s="1"/>
  <c r="P26" i="17" s="1"/>
  <c r="H40" i="17"/>
  <c r="F40" i="17"/>
  <c r="D40" i="17"/>
  <c r="G40" i="17" s="1"/>
  <c r="H25" i="17"/>
  <c r="F25" i="17"/>
  <c r="Q25" i="17" s="1"/>
  <c r="D25" i="17"/>
  <c r="G25" i="17" s="1"/>
  <c r="L25" i="17" s="1"/>
  <c r="H35" i="17"/>
  <c r="F35" i="17"/>
  <c r="D35" i="17"/>
  <c r="G35" i="17" s="1"/>
  <c r="L35" i="17" s="1"/>
  <c r="H24" i="17"/>
  <c r="F24" i="17"/>
  <c r="Q24" i="17" s="1"/>
  <c r="D24" i="17"/>
  <c r="G24" i="17" s="1"/>
  <c r="L24" i="17" s="1"/>
  <c r="H21" i="17"/>
  <c r="F21" i="17"/>
  <c r="Q21" i="17" s="1"/>
  <c r="D21" i="17"/>
  <c r="G21" i="17" s="1"/>
  <c r="P21" i="17" s="1"/>
  <c r="H23" i="17"/>
  <c r="F23" i="17"/>
  <c r="Q23" i="17" s="1"/>
  <c r="D23" i="17"/>
  <c r="G23" i="17" s="1"/>
  <c r="P23" i="17" s="1"/>
  <c r="H22" i="17"/>
  <c r="F22" i="17"/>
  <c r="Q22" i="17" s="1"/>
  <c r="D22" i="17"/>
  <c r="G22" i="17" s="1"/>
  <c r="H34" i="17"/>
  <c r="F34" i="17"/>
  <c r="D34" i="17"/>
  <c r="G34" i="17" s="1"/>
  <c r="H20" i="17"/>
  <c r="F20" i="17"/>
  <c r="Q20" i="17" s="1"/>
  <c r="D20" i="17"/>
  <c r="G20" i="17" s="1"/>
  <c r="P20" i="17" s="1"/>
  <c r="H19" i="17"/>
  <c r="F19" i="17"/>
  <c r="Q19" i="17" s="1"/>
  <c r="D19" i="17"/>
  <c r="G19" i="17" s="1"/>
  <c r="P19" i="17" s="1"/>
  <c r="H31" i="17"/>
  <c r="F31" i="17"/>
  <c r="D31" i="17"/>
  <c r="G31" i="17" s="1"/>
  <c r="I31" i="17" s="1"/>
  <c r="H18" i="17"/>
  <c r="F18" i="17"/>
  <c r="Q18" i="17" s="1"/>
  <c r="D18" i="17"/>
  <c r="G18" i="17" s="1"/>
  <c r="P18" i="17" s="1"/>
  <c r="H17" i="17"/>
  <c r="F17" i="17"/>
  <c r="Q17" i="17" s="1"/>
  <c r="D17" i="17"/>
  <c r="G17" i="17" s="1"/>
  <c r="P17" i="17" s="1"/>
  <c r="H16" i="17"/>
  <c r="F16" i="17"/>
  <c r="Q16" i="17" s="1"/>
  <c r="D16" i="17"/>
  <c r="G16" i="17" s="1"/>
  <c r="J16" i="17" s="1"/>
  <c r="O16" i="17" s="1"/>
  <c r="H15" i="17"/>
  <c r="F15" i="17"/>
  <c r="Q15" i="17" s="1"/>
  <c r="D15" i="17"/>
  <c r="G15" i="17" s="1"/>
  <c r="P15" i="17" s="1"/>
  <c r="H39" i="17"/>
  <c r="F39" i="17"/>
  <c r="D39" i="17"/>
  <c r="G39" i="17" s="1"/>
  <c r="K39" i="17" s="1"/>
  <c r="H14" i="17"/>
  <c r="F14" i="17"/>
  <c r="Q14" i="17" s="1"/>
  <c r="D14" i="17"/>
  <c r="G14" i="17" s="1"/>
  <c r="H13" i="17"/>
  <c r="F13" i="17"/>
  <c r="Q13" i="17" s="1"/>
  <c r="D13" i="17"/>
  <c r="G13" i="17" s="1"/>
  <c r="H12" i="17"/>
  <c r="F12" i="17"/>
  <c r="Q12" i="17" s="1"/>
  <c r="D12" i="17"/>
  <c r="G12" i="17" s="1"/>
  <c r="L12" i="17" s="1"/>
  <c r="H11" i="17"/>
  <c r="F11" i="17"/>
  <c r="Q11" i="17" s="1"/>
  <c r="D11" i="17"/>
  <c r="G11" i="17" s="1"/>
  <c r="J11" i="17" s="1"/>
  <c r="O11" i="17" s="1"/>
  <c r="H10" i="17"/>
  <c r="F10" i="17"/>
  <c r="Q10" i="17" s="1"/>
  <c r="D10" i="17"/>
  <c r="G10" i="17" s="1"/>
  <c r="P10" i="17" s="1"/>
  <c r="H9" i="17"/>
  <c r="F9" i="17"/>
  <c r="Q9" i="17" s="1"/>
  <c r="D9" i="17"/>
  <c r="G9" i="17" s="1"/>
  <c r="H8" i="17"/>
  <c r="F8" i="17"/>
  <c r="Q8" i="17" s="1"/>
  <c r="D8" i="17"/>
  <c r="G8" i="17" s="1"/>
  <c r="H7" i="17"/>
  <c r="F7" i="17"/>
  <c r="Q7" i="17" s="1"/>
  <c r="D7" i="17"/>
  <c r="G7" i="17" s="1"/>
  <c r="P7" i="17" s="1"/>
  <c r="H6" i="17"/>
  <c r="F6" i="17"/>
  <c r="Q6" i="17" s="1"/>
  <c r="D6" i="17"/>
  <c r="G6" i="17" s="1"/>
  <c r="K6" i="17" s="1"/>
  <c r="H5" i="17"/>
  <c r="F5" i="17"/>
  <c r="Q5" i="17" s="1"/>
  <c r="D5" i="17"/>
  <c r="G5" i="17" s="1"/>
  <c r="H4" i="17"/>
  <c r="F4" i="17"/>
  <c r="Q4" i="17" s="1"/>
  <c r="D4" i="17"/>
  <c r="G4" i="17" s="1"/>
  <c r="H3" i="17"/>
  <c r="F3" i="17"/>
  <c r="Q3" i="17" s="1"/>
  <c r="D3" i="17"/>
  <c r="G3" i="17" s="1"/>
  <c r="J3" i="17" s="1"/>
  <c r="O3" i="17" s="1"/>
  <c r="H2" i="17"/>
  <c r="F2" i="17"/>
  <c r="Q2" i="17" s="1"/>
  <c r="D2" i="17"/>
  <c r="G2" i="17" s="1"/>
  <c r="I2" i="17" s="1"/>
  <c r="H144" i="16"/>
  <c r="F144" i="16"/>
  <c r="D144" i="16"/>
  <c r="G144" i="16" s="1"/>
  <c r="H143" i="16"/>
  <c r="F143" i="16"/>
  <c r="D143" i="16"/>
  <c r="G143" i="16" s="1"/>
  <c r="H142" i="16"/>
  <c r="F142" i="16"/>
  <c r="D142" i="16"/>
  <c r="G142" i="16" s="1"/>
  <c r="H125" i="16"/>
  <c r="F125" i="16"/>
  <c r="Q125" i="16" s="1"/>
  <c r="D125" i="16"/>
  <c r="G125" i="16" s="1"/>
  <c r="H124" i="16"/>
  <c r="F124" i="16"/>
  <c r="Q124" i="16" s="1"/>
  <c r="D124" i="16"/>
  <c r="G124" i="16" s="1"/>
  <c r="H123" i="16"/>
  <c r="F123" i="16"/>
  <c r="Q123" i="16" s="1"/>
  <c r="D123" i="16"/>
  <c r="G123" i="16" s="1"/>
  <c r="H122" i="16"/>
  <c r="F122" i="16"/>
  <c r="Q122" i="16" s="1"/>
  <c r="D122" i="16"/>
  <c r="G122" i="16" s="1"/>
  <c r="H121" i="16"/>
  <c r="F121" i="16"/>
  <c r="Q121" i="16" s="1"/>
  <c r="D121" i="16"/>
  <c r="G121" i="16" s="1"/>
  <c r="I121" i="16" s="1"/>
  <c r="H120" i="16"/>
  <c r="F120" i="16"/>
  <c r="Q120" i="16" s="1"/>
  <c r="D120" i="16"/>
  <c r="G120" i="16" s="1"/>
  <c r="H96" i="16"/>
  <c r="R96" i="16" s="1"/>
  <c r="F96" i="16"/>
  <c r="D96" i="16"/>
  <c r="G96" i="16" s="1"/>
  <c r="K96" i="16" s="1"/>
  <c r="N96" i="16" s="1"/>
  <c r="H95" i="16"/>
  <c r="R95" i="16" s="1"/>
  <c r="F95" i="16"/>
  <c r="D95" i="16"/>
  <c r="G95" i="16" s="1"/>
  <c r="S95" i="16" s="1"/>
  <c r="H119" i="16"/>
  <c r="F119" i="16"/>
  <c r="Q119" i="16" s="1"/>
  <c r="D119" i="16"/>
  <c r="G119" i="16" s="1"/>
  <c r="H118" i="16"/>
  <c r="F118" i="16"/>
  <c r="Q118" i="16" s="1"/>
  <c r="D118" i="16"/>
  <c r="G118" i="16" s="1"/>
  <c r="J118" i="16" s="1"/>
  <c r="O118" i="16" s="1"/>
  <c r="H111" i="16"/>
  <c r="F111" i="16"/>
  <c r="D111" i="16"/>
  <c r="G111" i="16" s="1"/>
  <c r="H110" i="16"/>
  <c r="F110" i="16"/>
  <c r="D110" i="16"/>
  <c r="G110" i="16" s="1"/>
  <c r="H109" i="16"/>
  <c r="F109" i="16"/>
  <c r="D109" i="16"/>
  <c r="G109" i="16" s="1"/>
  <c r="H61" i="16"/>
  <c r="R61" i="16" s="1"/>
  <c r="F61" i="16"/>
  <c r="D61" i="16"/>
  <c r="G61" i="16" s="1"/>
  <c r="S61" i="16" s="1"/>
  <c r="H108" i="16"/>
  <c r="F108" i="16"/>
  <c r="D108" i="16"/>
  <c r="G108" i="16" s="1"/>
  <c r="H105" i="16"/>
  <c r="Q105" i="16" s="1"/>
  <c r="F105" i="16"/>
  <c r="D105" i="16"/>
  <c r="G105" i="16" s="1"/>
  <c r="I105" i="16" s="1"/>
  <c r="H104" i="16"/>
  <c r="Q104" i="16" s="1"/>
  <c r="F104" i="16"/>
  <c r="D104" i="16"/>
  <c r="G104" i="16" s="1"/>
  <c r="S104" i="16" s="1"/>
  <c r="H103" i="16"/>
  <c r="F103" i="16"/>
  <c r="D103" i="16"/>
  <c r="G103" i="16" s="1"/>
  <c r="L103" i="16" s="1"/>
  <c r="H102" i="16"/>
  <c r="R102" i="16" s="1"/>
  <c r="F102" i="16"/>
  <c r="D102" i="16"/>
  <c r="G102" i="16" s="1"/>
  <c r="J102" i="16" s="1"/>
  <c r="P102" i="16" s="1"/>
  <c r="H101" i="16"/>
  <c r="Q101" i="16" s="1"/>
  <c r="F101" i="16"/>
  <c r="D101" i="16"/>
  <c r="G101" i="16" s="1"/>
  <c r="L101" i="16" s="1"/>
  <c r="H100" i="16"/>
  <c r="R100" i="16" s="1"/>
  <c r="F100" i="16"/>
  <c r="D100" i="16"/>
  <c r="G100" i="16" s="1"/>
  <c r="S100" i="16" s="1"/>
  <c r="H99" i="16"/>
  <c r="R99" i="16" s="1"/>
  <c r="F99" i="16"/>
  <c r="D99" i="16"/>
  <c r="G99" i="16" s="1"/>
  <c r="I99" i="16" s="1"/>
  <c r="H98" i="16"/>
  <c r="Q98" i="16" s="1"/>
  <c r="F98" i="16"/>
  <c r="D98" i="16"/>
  <c r="G98" i="16" s="1"/>
  <c r="S98" i="16" s="1"/>
  <c r="H97" i="16"/>
  <c r="R97" i="16" s="1"/>
  <c r="F97" i="16"/>
  <c r="D97" i="16"/>
  <c r="G97" i="16" s="1"/>
  <c r="L97" i="16" s="1"/>
  <c r="H94" i="16"/>
  <c r="R94" i="16" s="1"/>
  <c r="F94" i="16"/>
  <c r="D94" i="16"/>
  <c r="G94" i="16" s="1"/>
  <c r="H93" i="16"/>
  <c r="R93" i="16" s="1"/>
  <c r="F93" i="16"/>
  <c r="D93" i="16"/>
  <c r="G93" i="16" s="1"/>
  <c r="S93" i="16" s="1"/>
  <c r="H92" i="16"/>
  <c r="R92" i="16" s="1"/>
  <c r="F92" i="16"/>
  <c r="D92" i="16"/>
  <c r="G92" i="16" s="1"/>
  <c r="S92" i="16" s="1"/>
  <c r="H91" i="16"/>
  <c r="R91" i="16" s="1"/>
  <c r="F91" i="16"/>
  <c r="D91" i="16"/>
  <c r="G91" i="16" s="1"/>
  <c r="S91" i="16" s="1"/>
  <c r="H90" i="16"/>
  <c r="Q90" i="16" s="1"/>
  <c r="F90" i="16"/>
  <c r="D90" i="16"/>
  <c r="G90" i="16" s="1"/>
  <c r="S90" i="16" s="1"/>
  <c r="H89" i="16"/>
  <c r="F89" i="16"/>
  <c r="D89" i="16"/>
  <c r="G89" i="16" s="1"/>
  <c r="S89" i="16" s="1"/>
  <c r="H88" i="16"/>
  <c r="Q88" i="16" s="1"/>
  <c r="F88" i="16"/>
  <c r="D88" i="16"/>
  <c r="G88" i="16" s="1"/>
  <c r="J88" i="16" s="1"/>
  <c r="O88" i="16" s="1"/>
  <c r="H86" i="16"/>
  <c r="R86" i="16" s="1"/>
  <c r="F86" i="16"/>
  <c r="D86" i="16"/>
  <c r="G86" i="16" s="1"/>
  <c r="S86" i="16" s="1"/>
  <c r="H85" i="16"/>
  <c r="R85" i="16" s="1"/>
  <c r="F85" i="16"/>
  <c r="D85" i="16"/>
  <c r="G85" i="16" s="1"/>
  <c r="S85" i="16" s="1"/>
  <c r="H84" i="16"/>
  <c r="R84" i="16" s="1"/>
  <c r="F84" i="16"/>
  <c r="D84" i="16"/>
  <c r="G84" i="16" s="1"/>
  <c r="S84" i="16" s="1"/>
  <c r="H83" i="16"/>
  <c r="Q83" i="16" s="1"/>
  <c r="F83" i="16"/>
  <c r="D83" i="16"/>
  <c r="G83" i="16" s="1"/>
  <c r="S83" i="16" s="1"/>
  <c r="H82" i="16"/>
  <c r="R82" i="16" s="1"/>
  <c r="F82" i="16"/>
  <c r="D82" i="16"/>
  <c r="G82" i="16" s="1"/>
  <c r="S82" i="16" s="1"/>
  <c r="H81" i="16"/>
  <c r="R81" i="16" s="1"/>
  <c r="F81" i="16"/>
  <c r="D81" i="16"/>
  <c r="G81" i="16" s="1"/>
  <c r="H80" i="16"/>
  <c r="R80" i="16" s="1"/>
  <c r="F80" i="16"/>
  <c r="D80" i="16"/>
  <c r="G80" i="16" s="1"/>
  <c r="S80" i="16" s="1"/>
  <c r="H79" i="16"/>
  <c r="R79" i="16" s="1"/>
  <c r="F79" i="16"/>
  <c r="D79" i="16"/>
  <c r="G79" i="16" s="1"/>
  <c r="S79" i="16" s="1"/>
  <c r="H78" i="16"/>
  <c r="R78" i="16" s="1"/>
  <c r="F78" i="16"/>
  <c r="D78" i="16"/>
  <c r="G78" i="16" s="1"/>
  <c r="S78" i="16" s="1"/>
  <c r="H77" i="16"/>
  <c r="Q77" i="16" s="1"/>
  <c r="F77" i="16"/>
  <c r="D77" i="16"/>
  <c r="G77" i="16" s="1"/>
  <c r="H117" i="16"/>
  <c r="F117" i="16"/>
  <c r="Q117" i="16" s="1"/>
  <c r="D117" i="16"/>
  <c r="G117" i="16" s="1"/>
  <c r="H76" i="16"/>
  <c r="R76" i="16" s="1"/>
  <c r="F76" i="16"/>
  <c r="D76" i="16"/>
  <c r="G76" i="16" s="1"/>
  <c r="J76" i="16" s="1"/>
  <c r="P76" i="16" s="1"/>
  <c r="H75" i="16"/>
  <c r="Q75" i="16" s="1"/>
  <c r="F75" i="16"/>
  <c r="D75" i="16"/>
  <c r="G75" i="16" s="1"/>
  <c r="S75" i="16" s="1"/>
  <c r="H74" i="16"/>
  <c r="R74" i="16" s="1"/>
  <c r="F74" i="16"/>
  <c r="D74" i="16"/>
  <c r="G74" i="16" s="1"/>
  <c r="S74" i="16" s="1"/>
  <c r="H73" i="16"/>
  <c r="R73" i="16" s="1"/>
  <c r="F73" i="16"/>
  <c r="D73" i="16"/>
  <c r="G73" i="16" s="1"/>
  <c r="S73" i="16" s="1"/>
  <c r="H72" i="16"/>
  <c r="Q72" i="16" s="1"/>
  <c r="F72" i="16"/>
  <c r="D72" i="16"/>
  <c r="G72" i="16" s="1"/>
  <c r="S72" i="16" s="1"/>
  <c r="H71" i="16"/>
  <c r="R71" i="16" s="1"/>
  <c r="F71" i="16"/>
  <c r="D71" i="16"/>
  <c r="G71" i="16" s="1"/>
  <c r="S71" i="16" s="1"/>
  <c r="H70" i="16"/>
  <c r="R70" i="16" s="1"/>
  <c r="F70" i="16"/>
  <c r="D70" i="16"/>
  <c r="G70" i="16" s="1"/>
  <c r="H69" i="16"/>
  <c r="R69" i="16" s="1"/>
  <c r="F69" i="16"/>
  <c r="D69" i="16"/>
  <c r="G69" i="16" s="1"/>
  <c r="S69" i="16" s="1"/>
  <c r="H68" i="16"/>
  <c r="R68" i="16" s="1"/>
  <c r="F68" i="16"/>
  <c r="D68" i="16"/>
  <c r="G68" i="16" s="1"/>
  <c r="S68" i="16" s="1"/>
  <c r="H67" i="16"/>
  <c r="R67" i="16" s="1"/>
  <c r="F67" i="16"/>
  <c r="D67" i="16"/>
  <c r="G67" i="16" s="1"/>
  <c r="S67" i="16" s="1"/>
  <c r="H66" i="16"/>
  <c r="Q66" i="16" s="1"/>
  <c r="F66" i="16"/>
  <c r="D66" i="16"/>
  <c r="G66" i="16" s="1"/>
  <c r="S66" i="16" s="1"/>
  <c r="H65" i="16"/>
  <c r="F65" i="16"/>
  <c r="D65" i="16"/>
  <c r="G65" i="16" s="1"/>
  <c r="S65" i="16" s="1"/>
  <c r="H64" i="16"/>
  <c r="R64" i="16" s="1"/>
  <c r="F64" i="16"/>
  <c r="D64" i="16"/>
  <c r="G64" i="16" s="1"/>
  <c r="S64" i="16" s="1"/>
  <c r="H63" i="16"/>
  <c r="Q63" i="16" s="1"/>
  <c r="F63" i="16"/>
  <c r="D63" i="16"/>
  <c r="G63" i="16" s="1"/>
  <c r="S63" i="16" s="1"/>
  <c r="H62" i="16"/>
  <c r="R62" i="16" s="1"/>
  <c r="F62" i="16"/>
  <c r="D62" i="16"/>
  <c r="G62" i="16" s="1"/>
  <c r="S62" i="16" s="1"/>
  <c r="H60" i="16"/>
  <c r="R60" i="16" s="1"/>
  <c r="F60" i="16"/>
  <c r="D60" i="16"/>
  <c r="G60" i="16" s="1"/>
  <c r="S60" i="16" s="1"/>
  <c r="H59" i="16"/>
  <c r="Q59" i="16" s="1"/>
  <c r="F59" i="16"/>
  <c r="D59" i="16"/>
  <c r="G59" i="16" s="1"/>
  <c r="S59" i="16" s="1"/>
  <c r="H41" i="16"/>
  <c r="F41" i="16"/>
  <c r="D41" i="16"/>
  <c r="G41" i="16" s="1"/>
  <c r="H37" i="16"/>
  <c r="F37" i="16"/>
  <c r="P37" i="16" s="1"/>
  <c r="D37" i="16"/>
  <c r="G37" i="16" s="1"/>
  <c r="J37" i="16" s="1"/>
  <c r="O37" i="16" s="1"/>
  <c r="H28" i="16"/>
  <c r="F28" i="16"/>
  <c r="D28" i="16"/>
  <c r="G28" i="16" s="1"/>
  <c r="S28" i="16" s="1"/>
  <c r="H36" i="16"/>
  <c r="F36" i="16"/>
  <c r="P36" i="16" s="1"/>
  <c r="D36" i="16"/>
  <c r="G36" i="16" s="1"/>
  <c r="J36" i="16" s="1"/>
  <c r="O36" i="16" s="1"/>
  <c r="H35" i="16"/>
  <c r="F35" i="16"/>
  <c r="P35" i="16" s="1"/>
  <c r="D35" i="16"/>
  <c r="G35" i="16" s="1"/>
  <c r="H23" i="16"/>
  <c r="R23" i="16" s="1"/>
  <c r="F23" i="16"/>
  <c r="D23" i="16"/>
  <c r="G23" i="16" s="1"/>
  <c r="S23" i="16" s="1"/>
  <c r="H20" i="16"/>
  <c r="F20" i="16"/>
  <c r="D20" i="16"/>
  <c r="G20" i="16" s="1"/>
  <c r="S20" i="16" s="1"/>
  <c r="H32" i="16"/>
  <c r="R32" i="16" s="1"/>
  <c r="F32" i="16"/>
  <c r="D32" i="16"/>
  <c r="G32" i="16" s="1"/>
  <c r="S32" i="16" s="1"/>
  <c r="H31" i="16"/>
  <c r="R31" i="16" s="1"/>
  <c r="F31" i="16"/>
  <c r="D31" i="16"/>
  <c r="G31" i="16" s="1"/>
  <c r="S31" i="16" s="1"/>
  <c r="H29" i="16"/>
  <c r="R29" i="16" s="1"/>
  <c r="F29" i="16"/>
  <c r="D29" i="16"/>
  <c r="G29" i="16" s="1"/>
  <c r="S29" i="16" s="1"/>
  <c r="H27" i="16"/>
  <c r="R27" i="16" s="1"/>
  <c r="F27" i="16"/>
  <c r="D27" i="16"/>
  <c r="G27" i="16" s="1"/>
  <c r="I27" i="16" s="1"/>
  <c r="H26" i="16"/>
  <c r="R26" i="16" s="1"/>
  <c r="F26" i="16"/>
  <c r="D26" i="16"/>
  <c r="G26" i="16" s="1"/>
  <c r="S26" i="16" s="1"/>
  <c r="H25" i="16"/>
  <c r="R25" i="16" s="1"/>
  <c r="F25" i="16"/>
  <c r="D25" i="16"/>
  <c r="G25" i="16" s="1"/>
  <c r="I25" i="16" s="1"/>
  <c r="H24" i="16"/>
  <c r="F24" i="16"/>
  <c r="D24" i="16"/>
  <c r="G24" i="16" s="1"/>
  <c r="H22" i="16"/>
  <c r="R22" i="16" s="1"/>
  <c r="F22" i="16"/>
  <c r="D22" i="16"/>
  <c r="G22" i="16" s="1"/>
  <c r="I22" i="16" s="1"/>
  <c r="H21" i="16"/>
  <c r="R21" i="16" s="1"/>
  <c r="F21" i="16"/>
  <c r="D21" i="16"/>
  <c r="G21" i="16" s="1"/>
  <c r="S21" i="16" s="1"/>
  <c r="H42" i="16"/>
  <c r="F42" i="16"/>
  <c r="D42" i="16"/>
  <c r="G42" i="16" s="1"/>
  <c r="H19" i="16"/>
  <c r="R19" i="16" s="1"/>
  <c r="F19" i="16"/>
  <c r="D19" i="16"/>
  <c r="G19" i="16" s="1"/>
  <c r="S19" i="16" s="1"/>
  <c r="H18" i="16"/>
  <c r="R18" i="16" s="1"/>
  <c r="F18" i="16"/>
  <c r="D18" i="16"/>
  <c r="G18" i="16" s="1"/>
  <c r="I18" i="16" s="1"/>
  <c r="H17" i="16"/>
  <c r="Q17" i="16" s="1"/>
  <c r="F17" i="16"/>
  <c r="D17" i="16"/>
  <c r="G17" i="16" s="1"/>
  <c r="K17" i="16" s="1"/>
  <c r="N17" i="16" s="1"/>
  <c r="H16" i="16"/>
  <c r="F16" i="16"/>
  <c r="D16" i="16"/>
  <c r="G16" i="16" s="1"/>
  <c r="S16" i="16" s="1"/>
  <c r="H15" i="16"/>
  <c r="R15" i="16" s="1"/>
  <c r="F15" i="16"/>
  <c r="D15" i="16"/>
  <c r="G15" i="16" s="1"/>
  <c r="S15" i="16" s="1"/>
  <c r="H14" i="16"/>
  <c r="R14" i="16" s="1"/>
  <c r="F14" i="16"/>
  <c r="D14" i="16"/>
  <c r="G14" i="16" s="1"/>
  <c r="I14" i="16" s="1"/>
  <c r="H13" i="16"/>
  <c r="R13" i="16" s="1"/>
  <c r="F13" i="16"/>
  <c r="D13" i="16"/>
  <c r="G13" i="16" s="1"/>
  <c r="K13" i="16" s="1"/>
  <c r="H12" i="16"/>
  <c r="F12" i="16"/>
  <c r="D12" i="16"/>
  <c r="G12" i="16" s="1"/>
  <c r="S12" i="16" s="1"/>
  <c r="H11" i="16"/>
  <c r="R11" i="16" s="1"/>
  <c r="F11" i="16"/>
  <c r="D11" i="16"/>
  <c r="G11" i="16" s="1"/>
  <c r="S11" i="16" s="1"/>
  <c r="H10" i="16"/>
  <c r="R10" i="16" s="1"/>
  <c r="F10" i="16"/>
  <c r="D10" i="16"/>
  <c r="G10" i="16" s="1"/>
  <c r="L10" i="16" s="1"/>
  <c r="H9" i="16"/>
  <c r="R9" i="16" s="1"/>
  <c r="F9" i="16"/>
  <c r="D9" i="16"/>
  <c r="G9" i="16" s="1"/>
  <c r="S9" i="16" s="1"/>
  <c r="H8" i="16"/>
  <c r="F8" i="16"/>
  <c r="D8" i="16"/>
  <c r="G8" i="16" s="1"/>
  <c r="S8" i="16" s="1"/>
  <c r="H7" i="16"/>
  <c r="R7" i="16" s="1"/>
  <c r="F7" i="16"/>
  <c r="D7" i="16"/>
  <c r="G7" i="16" s="1"/>
  <c r="S7" i="16" s="1"/>
  <c r="H6" i="16"/>
  <c r="R6" i="16" s="1"/>
  <c r="F6" i="16"/>
  <c r="D6" i="16"/>
  <c r="G6" i="16" s="1"/>
  <c r="S6" i="16" s="1"/>
  <c r="H5" i="16"/>
  <c r="R5" i="16" s="1"/>
  <c r="F5" i="16"/>
  <c r="D5" i="16"/>
  <c r="G5" i="16" s="1"/>
  <c r="S5" i="16" s="1"/>
  <c r="H4" i="16"/>
  <c r="F4" i="16"/>
  <c r="D4" i="16"/>
  <c r="G4" i="16" s="1"/>
  <c r="S4" i="16" s="1"/>
  <c r="H3" i="16"/>
  <c r="R3" i="16" s="1"/>
  <c r="F3" i="16"/>
  <c r="D3" i="16"/>
  <c r="G3" i="16" s="1"/>
  <c r="H2" i="16"/>
  <c r="F2" i="16"/>
  <c r="D2" i="16"/>
  <c r="G2" i="16" s="1"/>
  <c r="L2" i="16" s="1"/>
  <c r="H144" i="15"/>
  <c r="F144" i="15"/>
  <c r="D144" i="15"/>
  <c r="G144" i="15" s="1"/>
  <c r="H143" i="15"/>
  <c r="F143" i="15"/>
  <c r="D143" i="15"/>
  <c r="G143" i="15" s="1"/>
  <c r="H142" i="15"/>
  <c r="F142" i="15"/>
  <c r="D142" i="15"/>
  <c r="G142" i="15" s="1"/>
  <c r="H132" i="15"/>
  <c r="F132" i="15"/>
  <c r="D132" i="15"/>
  <c r="G132" i="15" s="1"/>
  <c r="H131" i="15"/>
  <c r="F131" i="15"/>
  <c r="D131" i="15"/>
  <c r="G131" i="15" s="1"/>
  <c r="H130" i="15"/>
  <c r="F130" i="15"/>
  <c r="D130" i="15"/>
  <c r="G130" i="15" s="1"/>
  <c r="H126" i="15"/>
  <c r="F126" i="15"/>
  <c r="D126" i="15"/>
  <c r="G126" i="15" s="1"/>
  <c r="H129" i="15"/>
  <c r="F129" i="15"/>
  <c r="D129" i="15"/>
  <c r="G129" i="15" s="1"/>
  <c r="H125" i="15"/>
  <c r="F125" i="15"/>
  <c r="D125" i="15"/>
  <c r="G125" i="15" s="1"/>
  <c r="H124" i="15"/>
  <c r="F124" i="15"/>
  <c r="D124" i="15"/>
  <c r="G124" i="15" s="1"/>
  <c r="H122" i="15"/>
  <c r="F122" i="15"/>
  <c r="D122" i="15"/>
  <c r="G122" i="15" s="1"/>
  <c r="H121" i="15"/>
  <c r="F121" i="15"/>
  <c r="D121" i="15"/>
  <c r="G121" i="15" s="1"/>
  <c r="H120" i="15"/>
  <c r="F120" i="15"/>
  <c r="D120" i="15"/>
  <c r="G120" i="15" s="1"/>
  <c r="H119" i="15"/>
  <c r="F119" i="15"/>
  <c r="D119" i="15"/>
  <c r="G119" i="15" s="1"/>
  <c r="H118" i="15"/>
  <c r="F118" i="15"/>
  <c r="D118" i="15"/>
  <c r="G118" i="15" s="1"/>
  <c r="H117" i="15"/>
  <c r="F117" i="15"/>
  <c r="D117" i="15"/>
  <c r="G117" i="15" s="1"/>
  <c r="H113" i="15"/>
  <c r="F113" i="15"/>
  <c r="D113" i="15"/>
  <c r="G113" i="15" s="1"/>
  <c r="H106" i="15"/>
  <c r="F106" i="15"/>
  <c r="D106" i="15"/>
  <c r="G106" i="15" s="1"/>
  <c r="H105" i="15"/>
  <c r="F105" i="15"/>
  <c r="D105" i="15"/>
  <c r="G105" i="15" s="1"/>
  <c r="H104" i="15"/>
  <c r="F104" i="15"/>
  <c r="D104" i="15"/>
  <c r="G104" i="15" s="1"/>
  <c r="H103" i="15"/>
  <c r="F103" i="15"/>
  <c r="D103" i="15"/>
  <c r="G103" i="15" s="1"/>
  <c r="H102" i="15"/>
  <c r="F102" i="15"/>
  <c r="D102" i="15"/>
  <c r="G102" i="15" s="1"/>
  <c r="H98" i="15"/>
  <c r="F98" i="15"/>
  <c r="D98" i="15"/>
  <c r="G98" i="15" s="1"/>
  <c r="H88" i="15"/>
  <c r="F88" i="15"/>
  <c r="D88" i="15"/>
  <c r="G88" i="15" s="1"/>
  <c r="H86" i="15"/>
  <c r="F86" i="15"/>
  <c r="D86" i="15"/>
  <c r="G86" i="15" s="1"/>
  <c r="H85" i="15"/>
  <c r="F85" i="15"/>
  <c r="D85" i="15"/>
  <c r="G85" i="15" s="1"/>
  <c r="H84" i="15"/>
  <c r="F84" i="15"/>
  <c r="D84" i="15"/>
  <c r="G84" i="15" s="1"/>
  <c r="H101" i="15"/>
  <c r="F101" i="15"/>
  <c r="D101" i="15"/>
  <c r="G101" i="15" s="1"/>
  <c r="H100" i="15"/>
  <c r="F100" i="15"/>
  <c r="D100" i="15"/>
  <c r="G100" i="15" s="1"/>
  <c r="H123" i="15"/>
  <c r="F123" i="15"/>
  <c r="D123" i="15"/>
  <c r="G123" i="15" s="1"/>
  <c r="H99" i="15"/>
  <c r="F99" i="15"/>
  <c r="D99" i="15"/>
  <c r="G99" i="15" s="1"/>
  <c r="H89" i="15"/>
  <c r="F89" i="15"/>
  <c r="D89" i="15"/>
  <c r="G89" i="15" s="1"/>
  <c r="H97" i="15"/>
  <c r="F97" i="15"/>
  <c r="D97" i="15"/>
  <c r="G97" i="15" s="1"/>
  <c r="H96" i="15"/>
  <c r="F96" i="15"/>
  <c r="D96" i="15"/>
  <c r="G96" i="15" s="1"/>
  <c r="H83" i="15"/>
  <c r="F83" i="15"/>
  <c r="D83" i="15"/>
  <c r="G83" i="15" s="1"/>
  <c r="H82" i="15"/>
  <c r="F82" i="15"/>
  <c r="D82" i="15"/>
  <c r="G82" i="15" s="1"/>
  <c r="H81" i="15"/>
  <c r="F81" i="15"/>
  <c r="D81" i="15"/>
  <c r="G81" i="15" s="1"/>
  <c r="H80" i="15"/>
  <c r="F80" i="15"/>
  <c r="D80" i="15"/>
  <c r="G80" i="15" s="1"/>
  <c r="H79" i="15"/>
  <c r="F79" i="15"/>
  <c r="D79" i="15"/>
  <c r="G79" i="15" s="1"/>
  <c r="H95" i="15"/>
  <c r="F95" i="15"/>
  <c r="D95" i="15"/>
  <c r="G95" i="15" s="1"/>
  <c r="H78" i="15"/>
  <c r="F78" i="15"/>
  <c r="D78" i="15"/>
  <c r="G78" i="15" s="1"/>
  <c r="H77" i="15"/>
  <c r="F77" i="15"/>
  <c r="D77" i="15"/>
  <c r="G77" i="15" s="1"/>
  <c r="H76" i="15"/>
  <c r="F76" i="15"/>
  <c r="D76" i="15"/>
  <c r="G76" i="15" s="1"/>
  <c r="H93" i="15"/>
  <c r="F93" i="15"/>
  <c r="D93" i="15"/>
  <c r="G93" i="15" s="1"/>
  <c r="H92" i="15"/>
  <c r="F92" i="15"/>
  <c r="D92" i="15"/>
  <c r="G92" i="15" s="1"/>
  <c r="H75" i="15"/>
  <c r="F75" i="15"/>
  <c r="D75" i="15"/>
  <c r="G75" i="15" s="1"/>
  <c r="H74" i="15"/>
  <c r="F74" i="15"/>
  <c r="D74" i="15"/>
  <c r="G74" i="15" s="1"/>
  <c r="H73" i="15"/>
  <c r="F73" i="15"/>
  <c r="D73" i="15"/>
  <c r="G73" i="15" s="1"/>
  <c r="H72" i="15"/>
  <c r="F72" i="15"/>
  <c r="D72" i="15"/>
  <c r="G72" i="15" s="1"/>
  <c r="H71" i="15"/>
  <c r="F71" i="15"/>
  <c r="D71" i="15"/>
  <c r="G71" i="15" s="1"/>
  <c r="H70" i="15"/>
  <c r="F70" i="15"/>
  <c r="D70" i="15"/>
  <c r="G70" i="15" s="1"/>
  <c r="H69" i="15"/>
  <c r="F69" i="15"/>
  <c r="D69" i="15"/>
  <c r="G69" i="15" s="1"/>
  <c r="H68" i="15"/>
  <c r="F68" i="15"/>
  <c r="D68" i="15"/>
  <c r="G68" i="15" s="1"/>
  <c r="H67" i="15"/>
  <c r="F67" i="15"/>
  <c r="D67" i="15"/>
  <c r="G67" i="15" s="1"/>
  <c r="H66" i="15"/>
  <c r="F66" i="15"/>
  <c r="D66" i="15"/>
  <c r="G66" i="15" s="1"/>
  <c r="H65" i="15"/>
  <c r="F65" i="15"/>
  <c r="D65" i="15"/>
  <c r="G65" i="15" s="1"/>
  <c r="H64" i="15"/>
  <c r="F64" i="15"/>
  <c r="D64" i="15"/>
  <c r="G64" i="15" s="1"/>
  <c r="H63" i="15"/>
  <c r="F63" i="15"/>
  <c r="D63" i="15"/>
  <c r="G63" i="15" s="1"/>
  <c r="H62" i="15"/>
  <c r="F62" i="15"/>
  <c r="D62" i="15"/>
  <c r="G62" i="15" s="1"/>
  <c r="H61" i="15"/>
  <c r="F61" i="15"/>
  <c r="D61" i="15"/>
  <c r="G61" i="15" s="1"/>
  <c r="H60" i="15"/>
  <c r="F60" i="15"/>
  <c r="D60" i="15"/>
  <c r="G60" i="15" s="1"/>
  <c r="H94" i="15"/>
  <c r="F94" i="15"/>
  <c r="D94" i="15"/>
  <c r="G94" i="15" s="1"/>
  <c r="H59" i="15"/>
  <c r="F59" i="15"/>
  <c r="D59" i="15"/>
  <c r="G59" i="15" s="1"/>
  <c r="H24" i="15"/>
  <c r="F24" i="15"/>
  <c r="D24" i="15"/>
  <c r="G24" i="15" s="1"/>
  <c r="H23" i="15"/>
  <c r="F23" i="15"/>
  <c r="D23" i="15"/>
  <c r="G23" i="15" s="1"/>
  <c r="H29" i="15"/>
  <c r="F29" i="15"/>
  <c r="D29" i="15"/>
  <c r="G29" i="15" s="1"/>
  <c r="H42" i="15"/>
  <c r="F42" i="15"/>
  <c r="D42" i="15"/>
  <c r="G42" i="15" s="1"/>
  <c r="H41" i="15"/>
  <c r="F41" i="15"/>
  <c r="D41" i="15"/>
  <c r="G41" i="15" s="1"/>
  <c r="H40" i="15"/>
  <c r="F40" i="15"/>
  <c r="D40" i="15"/>
  <c r="G40" i="15" s="1"/>
  <c r="H39" i="15"/>
  <c r="F39" i="15"/>
  <c r="D39" i="15"/>
  <c r="G39" i="15" s="1"/>
  <c r="H22" i="15"/>
  <c r="F22" i="15"/>
  <c r="D22" i="15"/>
  <c r="G22" i="15" s="1"/>
  <c r="H38" i="15"/>
  <c r="F38" i="15"/>
  <c r="D38" i="15"/>
  <c r="G38" i="15" s="1"/>
  <c r="H37" i="15"/>
  <c r="F37" i="15"/>
  <c r="D37" i="15"/>
  <c r="G37" i="15" s="1"/>
  <c r="H36" i="15"/>
  <c r="F36" i="15"/>
  <c r="D36" i="15"/>
  <c r="G36" i="15" s="1"/>
  <c r="H35" i="15"/>
  <c r="F35" i="15"/>
  <c r="D35" i="15"/>
  <c r="G35" i="15" s="1"/>
  <c r="H34" i="15"/>
  <c r="F34" i="15"/>
  <c r="D34" i="15"/>
  <c r="G34" i="15" s="1"/>
  <c r="H33" i="15"/>
  <c r="F33" i="15"/>
  <c r="D33" i="15"/>
  <c r="G33" i="15" s="1"/>
  <c r="H15" i="15"/>
  <c r="F15" i="15"/>
  <c r="D15" i="15"/>
  <c r="G15" i="15" s="1"/>
  <c r="H32" i="15"/>
  <c r="F32" i="15"/>
  <c r="D32" i="15"/>
  <c r="G32" i="15" s="1"/>
  <c r="H31" i="15"/>
  <c r="F31" i="15"/>
  <c r="D31" i="15"/>
  <c r="G31" i="15" s="1"/>
  <c r="H14" i="15"/>
  <c r="F14" i="15"/>
  <c r="D14" i="15"/>
  <c r="G14" i="15" s="1"/>
  <c r="H27" i="15"/>
  <c r="F27" i="15"/>
  <c r="D27" i="15"/>
  <c r="G27" i="15" s="1"/>
  <c r="H21" i="15"/>
  <c r="F21" i="15"/>
  <c r="D21" i="15"/>
  <c r="G21" i="15" s="1"/>
  <c r="H20" i="15"/>
  <c r="F20" i="15"/>
  <c r="D20" i="15"/>
  <c r="G20" i="15" s="1"/>
  <c r="H19" i="15"/>
  <c r="F19" i="15"/>
  <c r="D19" i="15"/>
  <c r="G19" i="15" s="1"/>
  <c r="H18" i="15"/>
  <c r="F18" i="15"/>
  <c r="D18" i="15"/>
  <c r="G18" i="15" s="1"/>
  <c r="H13" i="15"/>
  <c r="F13" i="15"/>
  <c r="D13" i="15"/>
  <c r="G13" i="15" s="1"/>
  <c r="H12" i="15"/>
  <c r="F12" i="15"/>
  <c r="D12" i="15"/>
  <c r="G12" i="15" s="1"/>
  <c r="H11" i="15"/>
  <c r="F11" i="15"/>
  <c r="D11" i="15"/>
  <c r="G11" i="15" s="1"/>
  <c r="H10" i="15"/>
  <c r="F10" i="15"/>
  <c r="D10" i="15"/>
  <c r="G10" i="15" s="1"/>
  <c r="H9" i="15"/>
  <c r="F9" i="15"/>
  <c r="D9" i="15"/>
  <c r="G9" i="15" s="1"/>
  <c r="H8" i="15"/>
  <c r="F8" i="15"/>
  <c r="D8" i="15"/>
  <c r="G8" i="15" s="1"/>
  <c r="H7" i="15"/>
  <c r="F7" i="15"/>
  <c r="D7" i="15"/>
  <c r="G7" i="15" s="1"/>
  <c r="H6" i="15"/>
  <c r="F6" i="15"/>
  <c r="D6" i="15"/>
  <c r="G6" i="15" s="1"/>
  <c r="H5" i="15"/>
  <c r="F5" i="15"/>
  <c r="D5" i="15"/>
  <c r="G5" i="15" s="1"/>
  <c r="H4" i="15"/>
  <c r="F4" i="15"/>
  <c r="D4" i="15"/>
  <c r="G4" i="15" s="1"/>
  <c r="H3" i="15"/>
  <c r="F3" i="15"/>
  <c r="D3" i="15"/>
  <c r="G3" i="15" s="1"/>
  <c r="H2" i="15"/>
  <c r="F2" i="15"/>
  <c r="D2" i="15"/>
  <c r="G2" i="15" s="1"/>
  <c r="H144" i="14"/>
  <c r="F144" i="14"/>
  <c r="D144" i="14"/>
  <c r="G144" i="14" s="1"/>
  <c r="H143" i="14"/>
  <c r="F143" i="14"/>
  <c r="D143" i="14"/>
  <c r="G143" i="14" s="1"/>
  <c r="J143" i="14" s="1"/>
  <c r="H142" i="14"/>
  <c r="F142" i="14"/>
  <c r="D142" i="14"/>
  <c r="G142" i="14" s="1"/>
  <c r="H125" i="14"/>
  <c r="F125" i="14"/>
  <c r="Q125" i="14" s="1"/>
  <c r="D125" i="14"/>
  <c r="G125" i="14" s="1"/>
  <c r="H124" i="14"/>
  <c r="F124" i="14"/>
  <c r="D124" i="14"/>
  <c r="G124" i="14" s="1"/>
  <c r="H126" i="14"/>
  <c r="F126" i="14"/>
  <c r="Q126" i="14" s="1"/>
  <c r="D126" i="14"/>
  <c r="G126" i="14" s="1"/>
  <c r="K126" i="14" s="1"/>
  <c r="H123" i="14"/>
  <c r="F123" i="14"/>
  <c r="Q123" i="14" s="1"/>
  <c r="D123" i="14"/>
  <c r="G123" i="14" s="1"/>
  <c r="H122" i="14"/>
  <c r="F122" i="14"/>
  <c r="Q122" i="14" s="1"/>
  <c r="D122" i="14"/>
  <c r="G122" i="14" s="1"/>
  <c r="H121" i="14"/>
  <c r="F121" i="14"/>
  <c r="D121" i="14"/>
  <c r="G121" i="14" s="1"/>
  <c r="H118" i="14"/>
  <c r="F118" i="14"/>
  <c r="P118" i="14" s="1"/>
  <c r="D118" i="14"/>
  <c r="G118" i="14" s="1"/>
  <c r="L118" i="14" s="1"/>
  <c r="H117" i="14"/>
  <c r="F117" i="14"/>
  <c r="D117" i="14"/>
  <c r="G117" i="14" s="1"/>
  <c r="H110" i="14"/>
  <c r="F110" i="14"/>
  <c r="D110" i="14"/>
  <c r="G110" i="14" s="1"/>
  <c r="I110" i="14" s="1"/>
  <c r="H109" i="14"/>
  <c r="F109" i="14"/>
  <c r="D109" i="14"/>
  <c r="G109" i="14" s="1"/>
  <c r="K109" i="14" s="1"/>
  <c r="H108" i="14"/>
  <c r="F108" i="14"/>
  <c r="D108" i="14"/>
  <c r="G108" i="14" s="1"/>
  <c r="H84" i="14"/>
  <c r="Q84" i="14" s="1"/>
  <c r="F84" i="14"/>
  <c r="D84" i="14"/>
  <c r="G84" i="14" s="1"/>
  <c r="I84" i="14" s="1"/>
  <c r="H106" i="14"/>
  <c r="F106" i="14"/>
  <c r="D106" i="14"/>
  <c r="G106" i="14" s="1"/>
  <c r="H103" i="14"/>
  <c r="Q103" i="14" s="1"/>
  <c r="F103" i="14"/>
  <c r="D103" i="14"/>
  <c r="G103" i="14" s="1"/>
  <c r="H102" i="14"/>
  <c r="P102" i="14" s="1"/>
  <c r="F102" i="14"/>
  <c r="D102" i="14"/>
  <c r="G102" i="14" s="1"/>
  <c r="H101" i="14"/>
  <c r="Q101" i="14" s="1"/>
  <c r="F101" i="14"/>
  <c r="D101" i="14"/>
  <c r="G101" i="14" s="1"/>
  <c r="H97" i="14"/>
  <c r="Q97" i="14" s="1"/>
  <c r="F97" i="14"/>
  <c r="D97" i="14"/>
  <c r="G97" i="14" s="1"/>
  <c r="H96" i="14"/>
  <c r="P96" i="14" s="1"/>
  <c r="F96" i="14"/>
  <c r="D96" i="14"/>
  <c r="G96" i="14" s="1"/>
  <c r="H100" i="14"/>
  <c r="Q100" i="14" s="1"/>
  <c r="F100" i="14"/>
  <c r="D100" i="14"/>
  <c r="G100" i="14" s="1"/>
  <c r="H99" i="14"/>
  <c r="Q99" i="14" s="1"/>
  <c r="F99" i="14"/>
  <c r="D99" i="14"/>
  <c r="G99" i="14" s="1"/>
  <c r="H98" i="14"/>
  <c r="F98" i="14"/>
  <c r="D98" i="14"/>
  <c r="G98" i="14" s="1"/>
  <c r="H120" i="14"/>
  <c r="F120" i="14"/>
  <c r="Q120" i="14" s="1"/>
  <c r="D120" i="14"/>
  <c r="G120" i="14" s="1"/>
  <c r="H95" i="14"/>
  <c r="P95" i="14" s="1"/>
  <c r="F95" i="14"/>
  <c r="D95" i="14"/>
  <c r="G95" i="14" s="1"/>
  <c r="L95" i="14" s="1"/>
  <c r="H119" i="14"/>
  <c r="F119" i="14"/>
  <c r="Q119" i="14" s="1"/>
  <c r="D119" i="14"/>
  <c r="G119" i="14" s="1"/>
  <c r="H94" i="14"/>
  <c r="P94" i="14" s="1"/>
  <c r="F94" i="14"/>
  <c r="D94" i="14"/>
  <c r="G94" i="14" s="1"/>
  <c r="L94" i="14" s="1"/>
  <c r="H93" i="14"/>
  <c r="Q93" i="14" s="1"/>
  <c r="F93" i="14"/>
  <c r="D93" i="14"/>
  <c r="G93" i="14" s="1"/>
  <c r="K93" i="14" s="1"/>
  <c r="H89" i="14"/>
  <c r="P89" i="14" s="1"/>
  <c r="F89" i="14"/>
  <c r="D89" i="14"/>
  <c r="G89" i="14" s="1"/>
  <c r="H92" i="14"/>
  <c r="P92" i="14" s="1"/>
  <c r="F92" i="14"/>
  <c r="D92" i="14"/>
  <c r="G92" i="14" s="1"/>
  <c r="H91" i="14"/>
  <c r="Q91" i="14" s="1"/>
  <c r="F91" i="14"/>
  <c r="D91" i="14"/>
  <c r="G91" i="14" s="1"/>
  <c r="H88" i="14"/>
  <c r="P88" i="14" s="1"/>
  <c r="F88" i="14"/>
  <c r="D88" i="14"/>
  <c r="G88" i="14" s="1"/>
  <c r="H90" i="14"/>
  <c r="Q90" i="14" s="1"/>
  <c r="F90" i="14"/>
  <c r="D90" i="14"/>
  <c r="G90" i="14" s="1"/>
  <c r="L90" i="14" s="1"/>
  <c r="H86" i="14"/>
  <c r="Q86" i="14" s="1"/>
  <c r="F86" i="14"/>
  <c r="D86" i="14"/>
  <c r="G86" i="14" s="1"/>
  <c r="H85" i="14"/>
  <c r="P85" i="14" s="1"/>
  <c r="F85" i="14"/>
  <c r="D85" i="14"/>
  <c r="G85" i="14" s="1"/>
  <c r="H83" i="14"/>
  <c r="P83" i="14" s="1"/>
  <c r="F83" i="14"/>
  <c r="D83" i="14"/>
  <c r="G83" i="14" s="1"/>
  <c r="L83" i="14" s="1"/>
  <c r="H82" i="14"/>
  <c r="P82" i="14" s="1"/>
  <c r="F82" i="14"/>
  <c r="D82" i="14"/>
  <c r="G82" i="14" s="1"/>
  <c r="H81" i="14"/>
  <c r="F81" i="14"/>
  <c r="D81" i="14"/>
  <c r="G81" i="14" s="1"/>
  <c r="H80" i="14"/>
  <c r="Q80" i="14" s="1"/>
  <c r="F80" i="14"/>
  <c r="D80" i="14"/>
  <c r="G80" i="14" s="1"/>
  <c r="J80" i="14" s="1"/>
  <c r="O80" i="14" s="1"/>
  <c r="H79" i="14"/>
  <c r="F79" i="14"/>
  <c r="D79" i="14"/>
  <c r="G79" i="14" s="1"/>
  <c r="H78" i="14"/>
  <c r="Q78" i="14" s="1"/>
  <c r="F78" i="14"/>
  <c r="D78" i="14"/>
  <c r="G78" i="14" s="1"/>
  <c r="H77" i="14"/>
  <c r="P77" i="14" s="1"/>
  <c r="F77" i="14"/>
  <c r="D77" i="14"/>
  <c r="G77" i="14" s="1"/>
  <c r="H76" i="14"/>
  <c r="Q76" i="14" s="1"/>
  <c r="F76" i="14"/>
  <c r="D76" i="14"/>
  <c r="G76" i="14" s="1"/>
  <c r="H75" i="14"/>
  <c r="P75" i="14" s="1"/>
  <c r="F75" i="14"/>
  <c r="D75" i="14"/>
  <c r="G75" i="14" s="1"/>
  <c r="H74" i="14"/>
  <c r="F74" i="14"/>
  <c r="D74" i="14"/>
  <c r="G74" i="14" s="1"/>
  <c r="H73" i="14"/>
  <c r="Q73" i="14" s="1"/>
  <c r="F73" i="14"/>
  <c r="D73" i="14"/>
  <c r="G73" i="14" s="1"/>
  <c r="H72" i="14"/>
  <c r="P72" i="14" s="1"/>
  <c r="F72" i="14"/>
  <c r="D72" i="14"/>
  <c r="G72" i="14" s="1"/>
  <c r="H71" i="14"/>
  <c r="Q71" i="14" s="1"/>
  <c r="F71" i="14"/>
  <c r="D71" i="14"/>
  <c r="G71" i="14" s="1"/>
  <c r="L71" i="14" s="1"/>
  <c r="H66" i="14"/>
  <c r="P66" i="14" s="1"/>
  <c r="F66" i="14"/>
  <c r="D66" i="14"/>
  <c r="G66" i="14" s="1"/>
  <c r="L66" i="14" s="1"/>
  <c r="H70" i="14"/>
  <c r="Q70" i="14" s="1"/>
  <c r="F70" i="14"/>
  <c r="D70" i="14"/>
  <c r="G70" i="14" s="1"/>
  <c r="H69" i="14"/>
  <c r="Q69" i="14" s="1"/>
  <c r="F69" i="14"/>
  <c r="D69" i="14"/>
  <c r="G69" i="14" s="1"/>
  <c r="H68" i="14"/>
  <c r="F68" i="14"/>
  <c r="D68" i="14"/>
  <c r="G68" i="14" s="1"/>
  <c r="K68" i="14" s="1"/>
  <c r="H67" i="14"/>
  <c r="Q67" i="14" s="1"/>
  <c r="F67" i="14"/>
  <c r="D67" i="14"/>
  <c r="G67" i="14" s="1"/>
  <c r="H65" i="14"/>
  <c r="P65" i="14" s="1"/>
  <c r="F65" i="14"/>
  <c r="D65" i="14"/>
  <c r="G65" i="14" s="1"/>
  <c r="H64" i="14"/>
  <c r="Q64" i="14" s="1"/>
  <c r="F64" i="14"/>
  <c r="D64" i="14"/>
  <c r="G64" i="14" s="1"/>
  <c r="H63" i="14"/>
  <c r="P63" i="14" s="1"/>
  <c r="F63" i="14"/>
  <c r="D63" i="14"/>
  <c r="G63" i="14" s="1"/>
  <c r="L63" i="14" s="1"/>
  <c r="H62" i="14"/>
  <c r="P62" i="14" s="1"/>
  <c r="F62" i="14"/>
  <c r="D62" i="14"/>
  <c r="G62" i="14" s="1"/>
  <c r="H61" i="14"/>
  <c r="Q61" i="14" s="1"/>
  <c r="F61" i="14"/>
  <c r="D61" i="14"/>
  <c r="G61" i="14" s="1"/>
  <c r="H60" i="14"/>
  <c r="F60" i="14"/>
  <c r="D60" i="14"/>
  <c r="G60" i="14" s="1"/>
  <c r="H107" i="14"/>
  <c r="F107" i="14"/>
  <c r="D107" i="14"/>
  <c r="G107" i="14" s="1"/>
  <c r="H59" i="14"/>
  <c r="P59" i="14" s="1"/>
  <c r="F59" i="14"/>
  <c r="D59" i="14"/>
  <c r="G59" i="14" s="1"/>
  <c r="H40" i="14"/>
  <c r="F40" i="14"/>
  <c r="D40" i="14"/>
  <c r="G40" i="14" s="1"/>
  <c r="L40" i="14" s="1"/>
  <c r="H9" i="14"/>
  <c r="R9" i="14" s="1"/>
  <c r="F9" i="14"/>
  <c r="D9" i="14"/>
  <c r="G9" i="14" s="1"/>
  <c r="H11" i="14"/>
  <c r="R11" i="14" s="1"/>
  <c r="F11" i="14"/>
  <c r="D11" i="14"/>
  <c r="G11" i="14" s="1"/>
  <c r="H8" i="14"/>
  <c r="R8" i="14" s="1"/>
  <c r="F8" i="14"/>
  <c r="D8" i="14"/>
  <c r="G8" i="14" s="1"/>
  <c r="H10" i="14"/>
  <c r="F10" i="14"/>
  <c r="D10" i="14"/>
  <c r="G10" i="14" s="1"/>
  <c r="H7" i="14"/>
  <c r="R7" i="14" s="1"/>
  <c r="F7" i="14"/>
  <c r="D7" i="14"/>
  <c r="G7" i="14" s="1"/>
  <c r="H5" i="14"/>
  <c r="R5" i="14" s="1"/>
  <c r="F5" i="14"/>
  <c r="D5" i="14"/>
  <c r="G5" i="14" s="1"/>
  <c r="H6" i="14"/>
  <c r="R6" i="14" s="1"/>
  <c r="F6" i="14"/>
  <c r="D6" i="14"/>
  <c r="G6" i="14" s="1"/>
  <c r="I6" i="14" s="1"/>
  <c r="H4" i="14"/>
  <c r="F4" i="14"/>
  <c r="D4" i="14"/>
  <c r="G4" i="14" s="1"/>
  <c r="H3" i="14"/>
  <c r="R3" i="14" s="1"/>
  <c r="F3" i="14"/>
  <c r="D3" i="14"/>
  <c r="G3" i="14" s="1"/>
  <c r="H2" i="14"/>
  <c r="F2" i="14"/>
  <c r="D2" i="14"/>
  <c r="G2" i="14" s="1"/>
  <c r="J2" i="14" s="1"/>
  <c r="H36" i="14"/>
  <c r="F36" i="14"/>
  <c r="D36" i="14"/>
  <c r="G36" i="14" s="1"/>
  <c r="H35" i="14"/>
  <c r="F35" i="14"/>
  <c r="D35" i="14"/>
  <c r="G35" i="14" s="1"/>
  <c r="I35" i="14" s="1"/>
  <c r="H34" i="14"/>
  <c r="F34" i="14"/>
  <c r="D34" i="14"/>
  <c r="G34" i="14" s="1"/>
  <c r="H33" i="14"/>
  <c r="F33" i="14"/>
  <c r="D33" i="14"/>
  <c r="G33" i="14" s="1"/>
  <c r="H20" i="14"/>
  <c r="R20" i="14" s="1"/>
  <c r="F20" i="14"/>
  <c r="D20" i="14"/>
  <c r="G20" i="14" s="1"/>
  <c r="H31" i="14"/>
  <c r="F31" i="14"/>
  <c r="D31" i="14"/>
  <c r="G31" i="14" s="1"/>
  <c r="H28" i="14"/>
  <c r="R28" i="14" s="1"/>
  <c r="F28" i="14"/>
  <c r="D28" i="14"/>
  <c r="G28" i="14" s="1"/>
  <c r="L28" i="14" s="1"/>
  <c r="H29" i="14"/>
  <c r="R29" i="14" s="1"/>
  <c r="F29" i="14"/>
  <c r="D29" i="14"/>
  <c r="G29" i="14" s="1"/>
  <c r="L29" i="14" s="1"/>
  <c r="H27" i="14"/>
  <c r="Q27" i="14" s="1"/>
  <c r="F27" i="14"/>
  <c r="D27" i="14"/>
  <c r="G27" i="14" s="1"/>
  <c r="H26" i="14"/>
  <c r="Q26" i="14" s="1"/>
  <c r="F26" i="14"/>
  <c r="D26" i="14"/>
  <c r="G26" i="14" s="1"/>
  <c r="H25" i="14"/>
  <c r="F25" i="14"/>
  <c r="D25" i="14"/>
  <c r="G25" i="14" s="1"/>
  <c r="H24" i="14"/>
  <c r="R24" i="14" s="1"/>
  <c r="F24" i="14"/>
  <c r="D24" i="14"/>
  <c r="G24" i="14" s="1"/>
  <c r="H23" i="14"/>
  <c r="R23" i="14" s="1"/>
  <c r="F23" i="14"/>
  <c r="D23" i="14"/>
  <c r="G23" i="14" s="1"/>
  <c r="H32" i="14"/>
  <c r="F32" i="14"/>
  <c r="D32" i="14"/>
  <c r="G32" i="14" s="1"/>
  <c r="L32" i="14" s="1"/>
  <c r="H22" i="14"/>
  <c r="R22" i="14" s="1"/>
  <c r="F22" i="14"/>
  <c r="D22" i="14"/>
  <c r="G22" i="14" s="1"/>
  <c r="H21" i="14"/>
  <c r="F21" i="14"/>
  <c r="D21" i="14"/>
  <c r="G21" i="14" s="1"/>
  <c r="H19" i="14"/>
  <c r="F19" i="14"/>
  <c r="D19" i="14"/>
  <c r="G19" i="14" s="1"/>
  <c r="H18" i="14"/>
  <c r="R18" i="14" s="1"/>
  <c r="F18" i="14"/>
  <c r="D18" i="14"/>
  <c r="G18" i="14" s="1"/>
  <c r="L18" i="14" s="1"/>
  <c r="H17" i="14"/>
  <c r="R17" i="14" s="1"/>
  <c r="F17" i="14"/>
  <c r="D17" i="14"/>
  <c r="G17" i="14" s="1"/>
  <c r="H16" i="14"/>
  <c r="R16" i="14" s="1"/>
  <c r="F16" i="14"/>
  <c r="D16" i="14"/>
  <c r="G16" i="14" s="1"/>
  <c r="H15" i="14"/>
  <c r="F15" i="14"/>
  <c r="D15" i="14"/>
  <c r="G15" i="14" s="1"/>
  <c r="H14" i="14"/>
  <c r="F14" i="14"/>
  <c r="D14" i="14"/>
  <c r="G14" i="14" s="1"/>
  <c r="H13" i="14"/>
  <c r="R13" i="14" s="1"/>
  <c r="F13" i="14"/>
  <c r="D13" i="14"/>
  <c r="G13" i="14" s="1"/>
  <c r="H12" i="14"/>
  <c r="F12" i="14"/>
  <c r="D12" i="14"/>
  <c r="G12" i="14" s="1"/>
  <c r="J12" i="14" s="1"/>
  <c r="P12" i="14" s="1"/>
  <c r="S9" i="13"/>
  <c r="R9" i="13"/>
  <c r="Q9" i="13"/>
  <c r="P9" i="13"/>
  <c r="O9" i="13"/>
  <c r="N9" i="13"/>
  <c r="M9" i="13"/>
  <c r="H144" i="13"/>
  <c r="F144" i="13"/>
  <c r="D144" i="13"/>
  <c r="G144" i="13" s="1"/>
  <c r="H143" i="13"/>
  <c r="F143" i="13"/>
  <c r="D143" i="13"/>
  <c r="G143" i="13" s="1"/>
  <c r="H142" i="13"/>
  <c r="F142" i="13"/>
  <c r="D142" i="13"/>
  <c r="G142" i="13" s="1"/>
  <c r="H124" i="13"/>
  <c r="F124" i="13"/>
  <c r="D124" i="13"/>
  <c r="G124" i="13" s="1"/>
  <c r="H123" i="13"/>
  <c r="F123" i="13"/>
  <c r="D123" i="13"/>
  <c r="G123" i="13" s="1"/>
  <c r="H122" i="13"/>
  <c r="F122" i="13"/>
  <c r="D122" i="13"/>
  <c r="G122" i="13" s="1"/>
  <c r="H121" i="13"/>
  <c r="F121" i="13"/>
  <c r="D121" i="13"/>
  <c r="G121" i="13" s="1"/>
  <c r="H120" i="13"/>
  <c r="F120" i="13"/>
  <c r="D120" i="13"/>
  <c r="G120" i="13" s="1"/>
  <c r="H119" i="13"/>
  <c r="F119" i="13"/>
  <c r="D119" i="13"/>
  <c r="G119" i="13" s="1"/>
  <c r="H98" i="13"/>
  <c r="R98" i="13" s="1"/>
  <c r="F98" i="13"/>
  <c r="D98" i="13"/>
  <c r="G98" i="13" s="1"/>
  <c r="S98" i="13" s="1"/>
  <c r="H118" i="13"/>
  <c r="F118" i="13"/>
  <c r="D118" i="13"/>
  <c r="G118" i="13" s="1"/>
  <c r="H95" i="13"/>
  <c r="R95" i="13" s="1"/>
  <c r="F95" i="13"/>
  <c r="D95" i="13"/>
  <c r="G95" i="13" s="1"/>
  <c r="S95" i="13" s="1"/>
  <c r="H94" i="13"/>
  <c r="R94" i="13" s="1"/>
  <c r="F94" i="13"/>
  <c r="D94" i="13"/>
  <c r="G94" i="13" s="1"/>
  <c r="S94" i="13" s="1"/>
  <c r="H84" i="13"/>
  <c r="R84" i="13" s="1"/>
  <c r="F84" i="13"/>
  <c r="D84" i="13"/>
  <c r="G84" i="13" s="1"/>
  <c r="L84" i="13" s="1"/>
  <c r="H117" i="13"/>
  <c r="F117" i="13"/>
  <c r="D117" i="13"/>
  <c r="G117" i="13" s="1"/>
  <c r="H93" i="13"/>
  <c r="R93" i="13" s="1"/>
  <c r="F93" i="13"/>
  <c r="D93" i="13"/>
  <c r="G93" i="13" s="1"/>
  <c r="S93" i="13" s="1"/>
  <c r="H80" i="13"/>
  <c r="R80" i="13" s="1"/>
  <c r="F80" i="13"/>
  <c r="D80" i="13"/>
  <c r="G80" i="13" s="1"/>
  <c r="S80" i="13" s="1"/>
  <c r="H112" i="13"/>
  <c r="F112" i="13"/>
  <c r="D112" i="13"/>
  <c r="G112" i="13" s="1"/>
  <c r="H111" i="13"/>
  <c r="F111" i="13"/>
  <c r="D111" i="13"/>
  <c r="G111" i="13" s="1"/>
  <c r="H110" i="13"/>
  <c r="F110" i="13"/>
  <c r="D110" i="13"/>
  <c r="G110" i="13" s="1"/>
  <c r="H109" i="13"/>
  <c r="F109" i="13"/>
  <c r="D109" i="13"/>
  <c r="G109" i="13" s="1"/>
  <c r="H108" i="13"/>
  <c r="F108" i="13"/>
  <c r="D108" i="13"/>
  <c r="G108" i="13" s="1"/>
  <c r="H62" i="13"/>
  <c r="R62" i="13" s="1"/>
  <c r="F62" i="13"/>
  <c r="D62" i="13"/>
  <c r="G62" i="13" s="1"/>
  <c r="S62" i="13" s="1"/>
  <c r="H105" i="13"/>
  <c r="R105" i="13" s="1"/>
  <c r="F105" i="13"/>
  <c r="D105" i="13"/>
  <c r="G105" i="13" s="1"/>
  <c r="S105" i="13" s="1"/>
  <c r="H104" i="13"/>
  <c r="Q104" i="13" s="1"/>
  <c r="F104" i="13"/>
  <c r="D104" i="13"/>
  <c r="G104" i="13" s="1"/>
  <c r="H103" i="13"/>
  <c r="R103" i="13" s="1"/>
  <c r="F103" i="13"/>
  <c r="D103" i="13"/>
  <c r="G103" i="13" s="1"/>
  <c r="H102" i="13"/>
  <c r="R102" i="13" s="1"/>
  <c r="F102" i="13"/>
  <c r="D102" i="13"/>
  <c r="G102" i="13" s="1"/>
  <c r="S102" i="13" s="1"/>
  <c r="H101" i="13"/>
  <c r="R101" i="13" s="1"/>
  <c r="F101" i="13"/>
  <c r="D101" i="13"/>
  <c r="G101" i="13" s="1"/>
  <c r="S101" i="13" s="1"/>
  <c r="H100" i="13"/>
  <c r="R100" i="13" s="1"/>
  <c r="F100" i="13"/>
  <c r="D100" i="13"/>
  <c r="G100" i="13" s="1"/>
  <c r="H99" i="13"/>
  <c r="R99" i="13" s="1"/>
  <c r="F99" i="13"/>
  <c r="D99" i="13"/>
  <c r="G99" i="13" s="1"/>
  <c r="S99" i="13" s="1"/>
  <c r="H97" i="13"/>
  <c r="R97" i="13" s="1"/>
  <c r="F97" i="13"/>
  <c r="D97" i="13"/>
  <c r="G97" i="13" s="1"/>
  <c r="S97" i="13" s="1"/>
  <c r="H96" i="13"/>
  <c r="R96" i="13" s="1"/>
  <c r="F96" i="13"/>
  <c r="D96" i="13"/>
  <c r="G96" i="13" s="1"/>
  <c r="S96" i="13" s="1"/>
  <c r="H92" i="13"/>
  <c r="R92" i="13" s="1"/>
  <c r="F92" i="13"/>
  <c r="D92" i="13"/>
  <c r="G92" i="13" s="1"/>
  <c r="H91" i="13"/>
  <c r="Q91" i="13" s="1"/>
  <c r="F91" i="13"/>
  <c r="D91" i="13"/>
  <c r="G91" i="13" s="1"/>
  <c r="L91" i="13" s="1"/>
  <c r="H90" i="13"/>
  <c r="R90" i="13" s="1"/>
  <c r="F90" i="13"/>
  <c r="D90" i="13"/>
  <c r="G90" i="13" s="1"/>
  <c r="S90" i="13" s="1"/>
  <c r="H89" i="13"/>
  <c r="R89" i="13" s="1"/>
  <c r="F89" i="13"/>
  <c r="D89" i="13"/>
  <c r="G89" i="13" s="1"/>
  <c r="S89" i="13" s="1"/>
  <c r="H88" i="13"/>
  <c r="Q88" i="13" s="1"/>
  <c r="F88" i="13"/>
  <c r="D88" i="13"/>
  <c r="G88" i="13" s="1"/>
  <c r="H86" i="13"/>
  <c r="R86" i="13" s="1"/>
  <c r="F86" i="13"/>
  <c r="D86" i="13"/>
  <c r="G86" i="13" s="1"/>
  <c r="H85" i="13"/>
  <c r="R85" i="13" s="1"/>
  <c r="F85" i="13"/>
  <c r="D85" i="13"/>
  <c r="G85" i="13" s="1"/>
  <c r="S85" i="13" s="1"/>
  <c r="H83" i="13"/>
  <c r="R83" i="13" s="1"/>
  <c r="F83" i="13"/>
  <c r="D83" i="13"/>
  <c r="G83" i="13" s="1"/>
  <c r="S83" i="13" s="1"/>
  <c r="H82" i="13"/>
  <c r="R82" i="13" s="1"/>
  <c r="F82" i="13"/>
  <c r="D82" i="13"/>
  <c r="G82" i="13" s="1"/>
  <c r="H81" i="13"/>
  <c r="Q81" i="13" s="1"/>
  <c r="F81" i="13"/>
  <c r="D81" i="13"/>
  <c r="G81" i="13" s="1"/>
  <c r="S81" i="13" s="1"/>
  <c r="H79" i="13"/>
  <c r="R79" i="13" s="1"/>
  <c r="F79" i="13"/>
  <c r="D79" i="13"/>
  <c r="G79" i="13" s="1"/>
  <c r="S79" i="13" s="1"/>
  <c r="H78" i="13"/>
  <c r="R78" i="13" s="1"/>
  <c r="F78" i="13"/>
  <c r="D78" i="13"/>
  <c r="G78" i="13" s="1"/>
  <c r="S78" i="13" s="1"/>
  <c r="H77" i="13"/>
  <c r="R77" i="13" s="1"/>
  <c r="F77" i="13"/>
  <c r="D77" i="13"/>
  <c r="G77" i="13" s="1"/>
  <c r="K77" i="13" s="1"/>
  <c r="H76" i="13"/>
  <c r="Q76" i="13" s="1"/>
  <c r="F76" i="13"/>
  <c r="D76" i="13"/>
  <c r="G76" i="13" s="1"/>
  <c r="H75" i="13"/>
  <c r="Q75" i="13" s="1"/>
  <c r="F75" i="13"/>
  <c r="D75" i="13"/>
  <c r="G75" i="13" s="1"/>
  <c r="S75" i="13" s="1"/>
  <c r="H74" i="13"/>
  <c r="R74" i="13" s="1"/>
  <c r="F74" i="13"/>
  <c r="D74" i="13"/>
  <c r="G74" i="13" s="1"/>
  <c r="S74" i="13" s="1"/>
  <c r="H73" i="13"/>
  <c r="Q73" i="13" s="1"/>
  <c r="F73" i="13"/>
  <c r="D73" i="13"/>
  <c r="G73" i="13" s="1"/>
  <c r="H72" i="13"/>
  <c r="R72" i="13" s="1"/>
  <c r="F72" i="13"/>
  <c r="D72" i="13"/>
  <c r="G72" i="13" s="1"/>
  <c r="S72" i="13" s="1"/>
  <c r="H71" i="13"/>
  <c r="R71" i="13" s="1"/>
  <c r="F71" i="13"/>
  <c r="D71" i="13"/>
  <c r="G71" i="13" s="1"/>
  <c r="S71" i="13" s="1"/>
  <c r="H70" i="13"/>
  <c r="R70" i="13" s="1"/>
  <c r="F70" i="13"/>
  <c r="D70" i="13"/>
  <c r="G70" i="13" s="1"/>
  <c r="S70" i="13" s="1"/>
  <c r="H69" i="13"/>
  <c r="R69" i="13" s="1"/>
  <c r="F69" i="13"/>
  <c r="D69" i="13"/>
  <c r="G69" i="13" s="1"/>
  <c r="H68" i="13"/>
  <c r="Q68" i="13" s="1"/>
  <c r="F68" i="13"/>
  <c r="D68" i="13"/>
  <c r="G68" i="13" s="1"/>
  <c r="S68" i="13" s="1"/>
  <c r="H67" i="13"/>
  <c r="R67" i="13" s="1"/>
  <c r="F67" i="13"/>
  <c r="D67" i="13"/>
  <c r="G67" i="13" s="1"/>
  <c r="S67" i="13" s="1"/>
  <c r="H66" i="13"/>
  <c r="R66" i="13" s="1"/>
  <c r="F66" i="13"/>
  <c r="D66" i="13"/>
  <c r="G66" i="13" s="1"/>
  <c r="S66" i="13" s="1"/>
  <c r="H65" i="13"/>
  <c r="R65" i="13" s="1"/>
  <c r="F65" i="13"/>
  <c r="D65" i="13"/>
  <c r="G65" i="13" s="1"/>
  <c r="K65" i="13" s="1"/>
  <c r="H64" i="13"/>
  <c r="Q64" i="13" s="1"/>
  <c r="F64" i="13"/>
  <c r="D64" i="13"/>
  <c r="G64" i="13" s="1"/>
  <c r="H63" i="13"/>
  <c r="R63" i="13" s="1"/>
  <c r="F63" i="13"/>
  <c r="D63" i="13"/>
  <c r="G63" i="13" s="1"/>
  <c r="S63" i="13" s="1"/>
  <c r="H61" i="13"/>
  <c r="R61" i="13" s="1"/>
  <c r="F61" i="13"/>
  <c r="D61" i="13"/>
  <c r="G61" i="13" s="1"/>
  <c r="S61" i="13" s="1"/>
  <c r="H60" i="13"/>
  <c r="Q60" i="13" s="1"/>
  <c r="F60" i="13"/>
  <c r="D60" i="13"/>
  <c r="G60" i="13" s="1"/>
  <c r="H59" i="13"/>
  <c r="R59" i="13" s="1"/>
  <c r="F59" i="13"/>
  <c r="D59" i="13"/>
  <c r="G59" i="13" s="1"/>
  <c r="H44" i="13"/>
  <c r="F44" i="13"/>
  <c r="D44" i="13"/>
  <c r="G44" i="13" s="1"/>
  <c r="H27" i="13"/>
  <c r="F27" i="13"/>
  <c r="D27" i="13"/>
  <c r="G27" i="13" s="1"/>
  <c r="H26" i="13"/>
  <c r="F26" i="13"/>
  <c r="D26" i="13"/>
  <c r="G26" i="13" s="1"/>
  <c r="H25" i="13"/>
  <c r="F25" i="13"/>
  <c r="D25" i="13"/>
  <c r="G25" i="13" s="1"/>
  <c r="H24" i="13"/>
  <c r="F24" i="13"/>
  <c r="D24" i="13"/>
  <c r="G24" i="13" s="1"/>
  <c r="L24" i="13" s="1"/>
  <c r="H12" i="13"/>
  <c r="Q12" i="13" s="1"/>
  <c r="F12" i="13"/>
  <c r="D12" i="13"/>
  <c r="G12" i="13" s="1"/>
  <c r="S12" i="13" s="1"/>
  <c r="H23" i="13"/>
  <c r="F23" i="13"/>
  <c r="D23" i="13"/>
  <c r="G23" i="13" s="1"/>
  <c r="H9" i="13"/>
  <c r="F9" i="13"/>
  <c r="D9" i="13"/>
  <c r="G9" i="13" s="1"/>
  <c r="H22" i="13"/>
  <c r="F22" i="13"/>
  <c r="D22" i="13"/>
  <c r="G22" i="13" s="1"/>
  <c r="H19" i="13"/>
  <c r="R19" i="13" s="1"/>
  <c r="F19" i="13"/>
  <c r="D19" i="13"/>
  <c r="G19" i="13" s="1"/>
  <c r="H18" i="13"/>
  <c r="R18" i="13" s="1"/>
  <c r="F18" i="13"/>
  <c r="D18" i="13"/>
  <c r="G18" i="13" s="1"/>
  <c r="S18" i="13" s="1"/>
  <c r="H17" i="13"/>
  <c r="R17" i="13" s="1"/>
  <c r="F17" i="13"/>
  <c r="D17" i="13"/>
  <c r="G17" i="13" s="1"/>
  <c r="S17" i="13" s="1"/>
  <c r="H16" i="13"/>
  <c r="R16" i="13" s="1"/>
  <c r="F16" i="13"/>
  <c r="D16" i="13"/>
  <c r="G16" i="13" s="1"/>
  <c r="L16" i="13" s="1"/>
  <c r="H15" i="13"/>
  <c r="R15" i="13" s="1"/>
  <c r="F15" i="13"/>
  <c r="D15" i="13"/>
  <c r="G15" i="13" s="1"/>
  <c r="S15" i="13" s="1"/>
  <c r="H14" i="13"/>
  <c r="R14" i="13" s="1"/>
  <c r="F14" i="13"/>
  <c r="D14" i="13"/>
  <c r="G14" i="13" s="1"/>
  <c r="H13" i="13"/>
  <c r="R13" i="13" s="1"/>
  <c r="F13" i="13"/>
  <c r="D13" i="13"/>
  <c r="G13" i="13" s="1"/>
  <c r="H11" i="13"/>
  <c r="Q11" i="13" s="1"/>
  <c r="F11" i="13"/>
  <c r="D11" i="13"/>
  <c r="G11" i="13" s="1"/>
  <c r="H10" i="13"/>
  <c r="R10" i="13" s="1"/>
  <c r="F10" i="13"/>
  <c r="D10" i="13"/>
  <c r="G10" i="13" s="1"/>
  <c r="S10" i="13" s="1"/>
  <c r="H8" i="13"/>
  <c r="R8" i="13" s="1"/>
  <c r="F8" i="13"/>
  <c r="D8" i="13"/>
  <c r="G8" i="13" s="1"/>
  <c r="S8" i="13" s="1"/>
  <c r="H7" i="13"/>
  <c r="Q7" i="13" s="1"/>
  <c r="F7" i="13"/>
  <c r="D7" i="13"/>
  <c r="G7" i="13" s="1"/>
  <c r="S7" i="13" s="1"/>
  <c r="H6" i="13"/>
  <c r="R6" i="13" s="1"/>
  <c r="F6" i="13"/>
  <c r="D6" i="13"/>
  <c r="G6" i="13" s="1"/>
  <c r="H5" i="13"/>
  <c r="R5" i="13" s="1"/>
  <c r="F5" i="13"/>
  <c r="D5" i="13"/>
  <c r="G5" i="13" s="1"/>
  <c r="S5" i="13" s="1"/>
  <c r="H4" i="13"/>
  <c r="R4" i="13" s="1"/>
  <c r="F4" i="13"/>
  <c r="D4" i="13"/>
  <c r="G4" i="13" s="1"/>
  <c r="H40" i="13"/>
  <c r="R40" i="13" s="1"/>
  <c r="F40" i="13"/>
  <c r="D40" i="13"/>
  <c r="G40" i="13" s="1"/>
  <c r="H39" i="13"/>
  <c r="R39" i="13" s="1"/>
  <c r="F39" i="13"/>
  <c r="D39" i="13"/>
  <c r="G39" i="13" s="1"/>
  <c r="S39" i="13" s="1"/>
  <c r="H3" i="13"/>
  <c r="R3" i="13" s="1"/>
  <c r="F3" i="13"/>
  <c r="D3" i="13"/>
  <c r="G3" i="13" s="1"/>
  <c r="S3" i="13" s="1"/>
  <c r="H2" i="13"/>
  <c r="R2" i="13" s="1"/>
  <c r="F2" i="13"/>
  <c r="D2" i="13"/>
  <c r="G2" i="13" s="1"/>
  <c r="H38" i="13"/>
  <c r="R38" i="13" s="1"/>
  <c r="F38" i="13"/>
  <c r="D38" i="13"/>
  <c r="G38" i="13" s="1"/>
  <c r="S38" i="13" s="1"/>
  <c r="H37" i="13"/>
  <c r="Q37" i="13" s="1"/>
  <c r="F37" i="13"/>
  <c r="D37" i="13"/>
  <c r="G37" i="13" s="1"/>
  <c r="S37" i="13" s="1"/>
  <c r="H36" i="13"/>
  <c r="Q36" i="13" s="1"/>
  <c r="F36" i="13"/>
  <c r="D36" i="13"/>
  <c r="G36" i="13" s="1"/>
  <c r="S36" i="13" s="1"/>
  <c r="H35" i="13"/>
  <c r="R35" i="13" s="1"/>
  <c r="F35" i="13"/>
  <c r="D35" i="13"/>
  <c r="G35" i="13" s="1"/>
  <c r="H34" i="13"/>
  <c r="Q34" i="13" s="1"/>
  <c r="F34" i="13"/>
  <c r="D34" i="13"/>
  <c r="G34" i="13" s="1"/>
  <c r="L34" i="13" s="1"/>
  <c r="H33" i="13"/>
  <c r="R33" i="13" s="1"/>
  <c r="F33" i="13"/>
  <c r="D33" i="13"/>
  <c r="G33" i="13" s="1"/>
  <c r="S33" i="13" s="1"/>
  <c r="H32" i="13"/>
  <c r="R32" i="13" s="1"/>
  <c r="F32" i="13"/>
  <c r="D32" i="13"/>
  <c r="G32" i="13" s="1"/>
  <c r="S32" i="13" s="1"/>
  <c r="H31" i="13"/>
  <c r="R31" i="13" s="1"/>
  <c r="F31" i="13"/>
  <c r="D31" i="13"/>
  <c r="G31" i="13" s="1"/>
  <c r="I31" i="13" s="1"/>
  <c r="H144" i="12"/>
  <c r="F144" i="12"/>
  <c r="D144" i="12"/>
  <c r="G144" i="12" s="1"/>
  <c r="H143" i="12"/>
  <c r="F143" i="12"/>
  <c r="D143" i="12"/>
  <c r="G143" i="12" s="1"/>
  <c r="H142" i="12"/>
  <c r="F142" i="12"/>
  <c r="D142" i="12"/>
  <c r="G142" i="12" s="1"/>
  <c r="H125" i="12"/>
  <c r="F125" i="12"/>
  <c r="D125" i="12"/>
  <c r="G125" i="12" s="1"/>
  <c r="H124" i="12"/>
  <c r="F124" i="12"/>
  <c r="D124" i="12"/>
  <c r="G124" i="12" s="1"/>
  <c r="H123" i="12"/>
  <c r="F123" i="12"/>
  <c r="D123" i="12"/>
  <c r="G123" i="12" s="1"/>
  <c r="H122" i="12"/>
  <c r="F122" i="12"/>
  <c r="D122" i="12"/>
  <c r="G122" i="12" s="1"/>
  <c r="H121" i="12"/>
  <c r="F121" i="12"/>
  <c r="D121" i="12"/>
  <c r="G121" i="12" s="1"/>
  <c r="H120" i="12"/>
  <c r="F120" i="12"/>
  <c r="D120" i="12"/>
  <c r="G120" i="12" s="1"/>
  <c r="K120" i="12" s="1"/>
  <c r="H113" i="12"/>
  <c r="F113" i="12"/>
  <c r="D113" i="12"/>
  <c r="G113" i="12" s="1"/>
  <c r="H119" i="12"/>
  <c r="F119" i="12"/>
  <c r="D119" i="12"/>
  <c r="G119" i="12" s="1"/>
  <c r="H112" i="12"/>
  <c r="F112" i="12"/>
  <c r="D112" i="12"/>
  <c r="G112" i="12" s="1"/>
  <c r="H111" i="12"/>
  <c r="F111" i="12"/>
  <c r="D111" i="12"/>
  <c r="G111" i="12" s="1"/>
  <c r="H79" i="12"/>
  <c r="F79" i="12"/>
  <c r="D79" i="12"/>
  <c r="G79" i="12" s="1"/>
  <c r="H118" i="12"/>
  <c r="F118" i="12"/>
  <c r="D118" i="12"/>
  <c r="G118" i="12" s="1"/>
  <c r="L118" i="12" s="1"/>
  <c r="H80" i="12"/>
  <c r="F80" i="12"/>
  <c r="D80" i="12"/>
  <c r="G80" i="12" s="1"/>
  <c r="H117" i="12"/>
  <c r="F117" i="12"/>
  <c r="D117" i="12"/>
  <c r="G117" i="12" s="1"/>
  <c r="H110" i="12"/>
  <c r="F110" i="12"/>
  <c r="D110" i="12"/>
  <c r="G110" i="12" s="1"/>
  <c r="J110" i="12" s="1"/>
  <c r="H132" i="12"/>
  <c r="F132" i="12"/>
  <c r="D132" i="12"/>
  <c r="G132" i="12" s="1"/>
  <c r="J132" i="12" s="1"/>
  <c r="H131" i="12"/>
  <c r="F131" i="12"/>
  <c r="D131" i="12"/>
  <c r="G131" i="12" s="1"/>
  <c r="H130" i="12"/>
  <c r="F130" i="12"/>
  <c r="D130" i="12"/>
  <c r="G130" i="12" s="1"/>
  <c r="H129" i="12"/>
  <c r="F129" i="12"/>
  <c r="D129" i="12"/>
  <c r="G129" i="12" s="1"/>
  <c r="J129" i="12" s="1"/>
  <c r="H128" i="12"/>
  <c r="F128" i="12"/>
  <c r="D128" i="12"/>
  <c r="G128" i="12" s="1"/>
  <c r="H88" i="12"/>
  <c r="F88" i="12"/>
  <c r="D88" i="12"/>
  <c r="G88" i="12" s="1"/>
  <c r="H109" i="12"/>
  <c r="F109" i="12"/>
  <c r="D109" i="12"/>
  <c r="G109" i="12" s="1"/>
  <c r="H108" i="12"/>
  <c r="F108" i="12"/>
  <c r="D108" i="12"/>
  <c r="G108" i="12" s="1"/>
  <c r="H93" i="12"/>
  <c r="F93" i="12"/>
  <c r="D93" i="12"/>
  <c r="G93" i="12" s="1"/>
  <c r="H107" i="12"/>
  <c r="F107" i="12"/>
  <c r="D107" i="12"/>
  <c r="G107" i="12" s="1"/>
  <c r="J107" i="12" s="1"/>
  <c r="H106" i="12"/>
  <c r="F106" i="12"/>
  <c r="D106" i="12"/>
  <c r="G106" i="12" s="1"/>
  <c r="H75" i="12"/>
  <c r="F75" i="12"/>
  <c r="D75" i="12"/>
  <c r="G75" i="12" s="1"/>
  <c r="H105" i="12"/>
  <c r="F105" i="12"/>
  <c r="D105" i="12"/>
  <c r="G105" i="12" s="1"/>
  <c r="I105" i="12" s="1"/>
  <c r="H104" i="12"/>
  <c r="F104" i="12"/>
  <c r="D104" i="12"/>
  <c r="G104" i="12" s="1"/>
  <c r="I104" i="12" s="1"/>
  <c r="H74" i="12"/>
  <c r="F74" i="12"/>
  <c r="D74" i="12"/>
  <c r="G74" i="12" s="1"/>
  <c r="H73" i="12"/>
  <c r="F73" i="12"/>
  <c r="D73" i="12"/>
  <c r="G73" i="12" s="1"/>
  <c r="H103" i="12"/>
  <c r="F103" i="12"/>
  <c r="D103" i="12"/>
  <c r="G103" i="12" s="1"/>
  <c r="H72" i="12"/>
  <c r="F72" i="12"/>
  <c r="D72" i="12"/>
  <c r="G72" i="12" s="1"/>
  <c r="H92" i="12"/>
  <c r="F92" i="12"/>
  <c r="D92" i="12"/>
  <c r="G92" i="12" s="1"/>
  <c r="L92" i="12" s="1"/>
  <c r="H102" i="12"/>
  <c r="F102" i="12"/>
  <c r="D102" i="12"/>
  <c r="G102" i="12" s="1"/>
  <c r="H71" i="12"/>
  <c r="F71" i="12"/>
  <c r="D71" i="12"/>
  <c r="G71" i="12" s="1"/>
  <c r="H70" i="12"/>
  <c r="F70" i="12"/>
  <c r="D70" i="12"/>
  <c r="G70" i="12" s="1"/>
  <c r="J70" i="12" s="1"/>
  <c r="H69" i="12"/>
  <c r="F69" i="12"/>
  <c r="D69" i="12"/>
  <c r="G69" i="12" s="1"/>
  <c r="L69" i="12" s="1"/>
  <c r="H68" i="12"/>
  <c r="F68" i="12"/>
  <c r="D68" i="12"/>
  <c r="G68" i="12" s="1"/>
  <c r="H67" i="12"/>
  <c r="F67" i="12"/>
  <c r="D67" i="12"/>
  <c r="G67" i="12" s="1"/>
  <c r="H91" i="12"/>
  <c r="F91" i="12"/>
  <c r="D91" i="12"/>
  <c r="G91" i="12" s="1"/>
  <c r="H66" i="12"/>
  <c r="F66" i="12"/>
  <c r="D66" i="12"/>
  <c r="G66" i="12" s="1"/>
  <c r="I66" i="12" s="1"/>
  <c r="H101" i="12"/>
  <c r="F101" i="12"/>
  <c r="D101" i="12"/>
  <c r="G101" i="12" s="1"/>
  <c r="H76" i="12"/>
  <c r="F76" i="12"/>
  <c r="D76" i="12"/>
  <c r="G76" i="12" s="1"/>
  <c r="H100" i="12"/>
  <c r="F100" i="12"/>
  <c r="D100" i="12"/>
  <c r="G100" i="12" s="1"/>
  <c r="H65" i="12"/>
  <c r="F65" i="12"/>
  <c r="D65" i="12"/>
  <c r="G65" i="12" s="1"/>
  <c r="L65" i="12" s="1"/>
  <c r="H99" i="12"/>
  <c r="F99" i="12"/>
  <c r="D99" i="12"/>
  <c r="G99" i="12" s="1"/>
  <c r="H64" i="12"/>
  <c r="F64" i="12"/>
  <c r="D64" i="12"/>
  <c r="G64" i="12" s="1"/>
  <c r="H98" i="12"/>
  <c r="F98" i="12"/>
  <c r="D98" i="12"/>
  <c r="G98" i="12" s="1"/>
  <c r="J98" i="12" s="1"/>
  <c r="H97" i="12"/>
  <c r="F97" i="12"/>
  <c r="D97" i="12"/>
  <c r="G97" i="12" s="1"/>
  <c r="L97" i="12" s="1"/>
  <c r="H96" i="12"/>
  <c r="F96" i="12"/>
  <c r="D96" i="12"/>
  <c r="G96" i="12" s="1"/>
  <c r="H95" i="12"/>
  <c r="F95" i="12"/>
  <c r="D95" i="12"/>
  <c r="G95" i="12" s="1"/>
  <c r="H63" i="12"/>
  <c r="F63" i="12"/>
  <c r="D63" i="12"/>
  <c r="G63" i="12" s="1"/>
  <c r="H62" i="12"/>
  <c r="F62" i="12"/>
  <c r="D62" i="12"/>
  <c r="G62" i="12" s="1"/>
  <c r="H94" i="12"/>
  <c r="F94" i="12"/>
  <c r="D94" i="12"/>
  <c r="G94" i="12" s="1"/>
  <c r="H61" i="12"/>
  <c r="F61" i="12"/>
  <c r="D61" i="12"/>
  <c r="G61" i="12" s="1"/>
  <c r="H90" i="12"/>
  <c r="F90" i="12"/>
  <c r="D90" i="12"/>
  <c r="G90" i="12" s="1"/>
  <c r="J90" i="12" s="1"/>
  <c r="H89" i="12"/>
  <c r="F89" i="12"/>
  <c r="D89" i="12"/>
  <c r="G89" i="12" s="1"/>
  <c r="H60" i="12"/>
  <c r="F60" i="12"/>
  <c r="D60" i="12"/>
  <c r="G60" i="12" s="1"/>
  <c r="H59" i="12"/>
  <c r="F59" i="12"/>
  <c r="D59" i="12"/>
  <c r="G59" i="12" s="1"/>
  <c r="H22" i="12"/>
  <c r="F22" i="12"/>
  <c r="D22" i="12"/>
  <c r="G22" i="12" s="1"/>
  <c r="K22" i="12" s="1"/>
  <c r="H19" i="12"/>
  <c r="F19" i="12"/>
  <c r="D19" i="12"/>
  <c r="G19" i="12" s="1"/>
  <c r="H48" i="12"/>
  <c r="F48" i="12"/>
  <c r="D48" i="12"/>
  <c r="G48" i="12" s="1"/>
  <c r="H18" i="12"/>
  <c r="F18" i="12"/>
  <c r="D18" i="12"/>
  <c r="G18" i="12" s="1"/>
  <c r="L18" i="12" s="1"/>
  <c r="H17" i="12"/>
  <c r="F17" i="12"/>
  <c r="D17" i="12"/>
  <c r="G17" i="12" s="1"/>
  <c r="J17" i="12" s="1"/>
  <c r="H47" i="12"/>
  <c r="F47" i="12"/>
  <c r="D47" i="12"/>
  <c r="G47" i="12" s="1"/>
  <c r="H46" i="12"/>
  <c r="F46" i="12"/>
  <c r="D46" i="12"/>
  <c r="G46" i="12" s="1"/>
  <c r="H45" i="12"/>
  <c r="F45" i="12"/>
  <c r="D45" i="12"/>
  <c r="G45" i="12" s="1"/>
  <c r="H16" i="12"/>
  <c r="F16" i="12"/>
  <c r="D16" i="12"/>
  <c r="G16" i="12" s="1"/>
  <c r="H44" i="12"/>
  <c r="F44" i="12"/>
  <c r="D44" i="12"/>
  <c r="G44" i="12" s="1"/>
  <c r="I44" i="12" s="1"/>
  <c r="H43" i="12"/>
  <c r="F43" i="12"/>
  <c r="D43" i="12"/>
  <c r="G43" i="12" s="1"/>
  <c r="L43" i="12" s="1"/>
  <c r="H42" i="12"/>
  <c r="F42" i="12"/>
  <c r="D42" i="12"/>
  <c r="G42" i="12" s="1"/>
  <c r="H41" i="12"/>
  <c r="F41" i="12"/>
  <c r="D41" i="12"/>
  <c r="G41" i="12" s="1"/>
  <c r="H40" i="12"/>
  <c r="F40" i="12"/>
  <c r="D40" i="12"/>
  <c r="G40" i="12" s="1"/>
  <c r="L40" i="12" s="1"/>
  <c r="H39" i="12"/>
  <c r="F39" i="12"/>
  <c r="D39" i="12"/>
  <c r="G39" i="12" s="1"/>
  <c r="L39" i="12" s="1"/>
  <c r="H38" i="12"/>
  <c r="F38" i="12"/>
  <c r="D38" i="12"/>
  <c r="G38" i="12" s="1"/>
  <c r="I38" i="12" s="1"/>
  <c r="H35" i="12"/>
  <c r="F35" i="12"/>
  <c r="D35" i="12"/>
  <c r="G35" i="12" s="1"/>
  <c r="H34" i="12"/>
  <c r="F34" i="12"/>
  <c r="D34" i="12"/>
  <c r="G34" i="12" s="1"/>
  <c r="J34" i="12" s="1"/>
  <c r="H13" i="12"/>
  <c r="F13" i="12"/>
  <c r="D13" i="12"/>
  <c r="G13" i="12" s="1"/>
  <c r="H33" i="12"/>
  <c r="F33" i="12"/>
  <c r="D33" i="12"/>
  <c r="G33" i="12" s="1"/>
  <c r="H32" i="12"/>
  <c r="F32" i="12"/>
  <c r="D32" i="12"/>
  <c r="G32" i="12" s="1"/>
  <c r="H37" i="12"/>
  <c r="F37" i="12"/>
  <c r="D37" i="12"/>
  <c r="G37" i="12" s="1"/>
  <c r="H36" i="12"/>
  <c r="F36" i="12"/>
  <c r="D36" i="12"/>
  <c r="G36" i="12" s="1"/>
  <c r="I36" i="12" s="1"/>
  <c r="H12" i="12"/>
  <c r="F12" i="12"/>
  <c r="D12" i="12"/>
  <c r="G12" i="12" s="1"/>
  <c r="H11" i="12"/>
  <c r="F11" i="12"/>
  <c r="D11" i="12"/>
  <c r="G11" i="12" s="1"/>
  <c r="J11" i="12" s="1"/>
  <c r="H10" i="12"/>
  <c r="F10" i="12"/>
  <c r="D10" i="12"/>
  <c r="G10" i="12" s="1"/>
  <c r="L10" i="12" s="1"/>
  <c r="H9" i="12"/>
  <c r="F9" i="12"/>
  <c r="D9" i="12"/>
  <c r="G9" i="12" s="1"/>
  <c r="H8" i="12"/>
  <c r="F8" i="12"/>
  <c r="D8" i="12"/>
  <c r="G8" i="12" s="1"/>
  <c r="K8" i="12" s="1"/>
  <c r="H7" i="12"/>
  <c r="F7" i="12"/>
  <c r="D7" i="12"/>
  <c r="G7" i="12" s="1"/>
  <c r="H6" i="12"/>
  <c r="F6" i="12"/>
  <c r="D6" i="12"/>
  <c r="G6" i="12" s="1"/>
  <c r="L6" i="12" s="1"/>
  <c r="H5" i="12"/>
  <c r="F5" i="12"/>
  <c r="D5" i="12"/>
  <c r="G5" i="12" s="1"/>
  <c r="H31" i="12"/>
  <c r="F31" i="12"/>
  <c r="D31" i="12"/>
  <c r="G31" i="12" s="1"/>
  <c r="L31" i="12" s="1"/>
  <c r="H4" i="12"/>
  <c r="F4" i="12"/>
  <c r="D4" i="12"/>
  <c r="G4" i="12" s="1"/>
  <c r="H3" i="12"/>
  <c r="F3" i="12"/>
  <c r="D3" i="12"/>
  <c r="G3" i="12" s="1"/>
  <c r="K3" i="12" s="1"/>
  <c r="H2" i="12"/>
  <c r="F2" i="12"/>
  <c r="D2" i="12"/>
  <c r="G2" i="12" s="1"/>
  <c r="O121" i="11"/>
  <c r="O117" i="11"/>
  <c r="H144" i="11"/>
  <c r="F144" i="11"/>
  <c r="D144" i="11"/>
  <c r="G144" i="11" s="1"/>
  <c r="H143" i="11"/>
  <c r="F143" i="11"/>
  <c r="D143" i="11"/>
  <c r="G143" i="11" s="1"/>
  <c r="H142" i="11"/>
  <c r="F142" i="11"/>
  <c r="D142" i="11"/>
  <c r="G142" i="11" s="1"/>
  <c r="H97" i="11"/>
  <c r="F97" i="11"/>
  <c r="D97" i="11"/>
  <c r="G97" i="11" s="1"/>
  <c r="O97" i="11" s="1"/>
  <c r="H131" i="11"/>
  <c r="F131" i="11"/>
  <c r="O131" i="11" s="1"/>
  <c r="D131" i="11"/>
  <c r="G131" i="11" s="1"/>
  <c r="P131" i="11" s="1"/>
  <c r="H130" i="11"/>
  <c r="F130" i="11"/>
  <c r="O130" i="11" s="1"/>
  <c r="D130" i="11"/>
  <c r="G130" i="11" s="1"/>
  <c r="P130" i="11" s="1"/>
  <c r="H129" i="11"/>
  <c r="F129" i="11"/>
  <c r="O129" i="11" s="1"/>
  <c r="D129" i="11"/>
  <c r="G129" i="11" s="1"/>
  <c r="P129" i="11" s="1"/>
  <c r="H128" i="11"/>
  <c r="F128" i="11"/>
  <c r="V128" i="11" s="1"/>
  <c r="D128" i="11"/>
  <c r="G128" i="11" s="1"/>
  <c r="P128" i="11" s="1"/>
  <c r="H127" i="11"/>
  <c r="F127" i="11"/>
  <c r="R127" i="11" s="1"/>
  <c r="D127" i="11"/>
  <c r="G127" i="11" s="1"/>
  <c r="P127" i="11" s="1"/>
  <c r="H126" i="11"/>
  <c r="F126" i="11"/>
  <c r="O126" i="11" s="1"/>
  <c r="D126" i="11"/>
  <c r="G126" i="11" s="1"/>
  <c r="P126" i="11" s="1"/>
  <c r="H125" i="11"/>
  <c r="F125" i="11"/>
  <c r="O125" i="11" s="1"/>
  <c r="D125" i="11"/>
  <c r="G125" i="11" s="1"/>
  <c r="P125" i="11" s="1"/>
  <c r="H124" i="11"/>
  <c r="F124" i="11"/>
  <c r="U124" i="11" s="1"/>
  <c r="D124" i="11"/>
  <c r="G124" i="11" s="1"/>
  <c r="P124" i="11" s="1"/>
  <c r="H123" i="11"/>
  <c r="F123" i="11"/>
  <c r="V123" i="11" s="1"/>
  <c r="D123" i="11"/>
  <c r="G123" i="11" s="1"/>
  <c r="P123" i="11" s="1"/>
  <c r="H120" i="11"/>
  <c r="F120" i="11"/>
  <c r="S120" i="11" s="1"/>
  <c r="D120" i="11"/>
  <c r="G120" i="11" s="1"/>
  <c r="P120" i="11" s="1"/>
  <c r="H119" i="11"/>
  <c r="F119" i="11"/>
  <c r="O119" i="11" s="1"/>
  <c r="D119" i="11"/>
  <c r="G119" i="11" s="1"/>
  <c r="P119" i="11" s="1"/>
  <c r="H106" i="11"/>
  <c r="F106" i="11"/>
  <c r="D106" i="11"/>
  <c r="G106" i="11" s="1"/>
  <c r="H105" i="11"/>
  <c r="F105" i="11"/>
  <c r="D105" i="11"/>
  <c r="G105" i="11" s="1"/>
  <c r="H104" i="11"/>
  <c r="F104" i="11"/>
  <c r="D104" i="11"/>
  <c r="G104" i="11" s="1"/>
  <c r="H121" i="11"/>
  <c r="F121" i="11"/>
  <c r="D121" i="11"/>
  <c r="G121" i="11" s="1"/>
  <c r="H103" i="11"/>
  <c r="F103" i="11"/>
  <c r="D103" i="11"/>
  <c r="G103" i="11" s="1"/>
  <c r="H102" i="11"/>
  <c r="F102" i="11"/>
  <c r="D102" i="11"/>
  <c r="G102" i="11" s="1"/>
  <c r="H72" i="11"/>
  <c r="F72" i="11"/>
  <c r="D72" i="11"/>
  <c r="G72" i="11" s="1"/>
  <c r="O72" i="11" s="1"/>
  <c r="H98" i="11"/>
  <c r="F98" i="11"/>
  <c r="D98" i="11"/>
  <c r="G98" i="11" s="1"/>
  <c r="O98" i="11" s="1"/>
  <c r="H96" i="11"/>
  <c r="F96" i="11"/>
  <c r="D96" i="11"/>
  <c r="G96" i="11" s="1"/>
  <c r="O96" i="11" s="1"/>
  <c r="H95" i="11"/>
  <c r="F95" i="11"/>
  <c r="D95" i="11"/>
  <c r="G95" i="11" s="1"/>
  <c r="O95" i="11" s="1"/>
  <c r="H94" i="11"/>
  <c r="F94" i="11"/>
  <c r="D94" i="11"/>
  <c r="G94" i="11" s="1"/>
  <c r="O94" i="11" s="1"/>
  <c r="H93" i="11"/>
  <c r="F93" i="11"/>
  <c r="D93" i="11"/>
  <c r="G93" i="11" s="1"/>
  <c r="O93" i="11" s="1"/>
  <c r="H92" i="11"/>
  <c r="F92" i="11"/>
  <c r="D92" i="11"/>
  <c r="G92" i="11" s="1"/>
  <c r="O92" i="11" s="1"/>
  <c r="H91" i="11"/>
  <c r="F91" i="11"/>
  <c r="D91" i="11"/>
  <c r="G91" i="11" s="1"/>
  <c r="O91" i="11" s="1"/>
  <c r="H122" i="11"/>
  <c r="F122" i="11"/>
  <c r="O122" i="11" s="1"/>
  <c r="D122" i="11"/>
  <c r="G122" i="11" s="1"/>
  <c r="P122" i="11" s="1"/>
  <c r="H90" i="11"/>
  <c r="F90" i="11"/>
  <c r="D90" i="11"/>
  <c r="G90" i="11" s="1"/>
  <c r="O90" i="11" s="1"/>
  <c r="H89" i="11"/>
  <c r="F89" i="11"/>
  <c r="D89" i="11"/>
  <c r="G89" i="11" s="1"/>
  <c r="O89" i="11" s="1"/>
  <c r="H88" i="11"/>
  <c r="F88" i="11"/>
  <c r="D88" i="11"/>
  <c r="G88" i="11" s="1"/>
  <c r="O88" i="11" s="1"/>
  <c r="H118" i="11"/>
  <c r="F118" i="11"/>
  <c r="V118" i="11" s="1"/>
  <c r="D118" i="11"/>
  <c r="G118" i="11" s="1"/>
  <c r="P118" i="11" s="1"/>
  <c r="H86" i="11"/>
  <c r="F86" i="11"/>
  <c r="D86" i="11"/>
  <c r="G86" i="11" s="1"/>
  <c r="O86" i="11" s="1"/>
  <c r="H85" i="11"/>
  <c r="F85" i="11"/>
  <c r="D85" i="11"/>
  <c r="G85" i="11" s="1"/>
  <c r="O85" i="11" s="1"/>
  <c r="H84" i="11"/>
  <c r="F84" i="11"/>
  <c r="D84" i="11"/>
  <c r="G84" i="11" s="1"/>
  <c r="O84" i="11" s="1"/>
  <c r="H83" i="11"/>
  <c r="F83" i="11"/>
  <c r="D83" i="11"/>
  <c r="G83" i="11" s="1"/>
  <c r="O83" i="11" s="1"/>
  <c r="H82" i="11"/>
  <c r="F82" i="11"/>
  <c r="D82" i="11"/>
  <c r="G82" i="11" s="1"/>
  <c r="O82" i="11" s="1"/>
  <c r="H81" i="11"/>
  <c r="F81" i="11"/>
  <c r="D81" i="11"/>
  <c r="G81" i="11" s="1"/>
  <c r="O81" i="11" s="1"/>
  <c r="H80" i="11"/>
  <c r="F80" i="11"/>
  <c r="D80" i="11"/>
  <c r="G80" i="11" s="1"/>
  <c r="O80" i="11" s="1"/>
  <c r="H79" i="11"/>
  <c r="F79" i="11"/>
  <c r="D79" i="11"/>
  <c r="G79" i="11" s="1"/>
  <c r="O79" i="11" s="1"/>
  <c r="H78" i="11"/>
  <c r="F78" i="11"/>
  <c r="D78" i="11"/>
  <c r="G78" i="11" s="1"/>
  <c r="O78" i="11" s="1"/>
  <c r="H77" i="11"/>
  <c r="F77" i="11"/>
  <c r="D77" i="11"/>
  <c r="G77" i="11" s="1"/>
  <c r="O77" i="11" s="1"/>
  <c r="H76" i="11"/>
  <c r="F76" i="11"/>
  <c r="D76" i="11"/>
  <c r="G76" i="11" s="1"/>
  <c r="O76" i="11" s="1"/>
  <c r="H117" i="11"/>
  <c r="F117" i="11"/>
  <c r="D117" i="11"/>
  <c r="G117" i="11" s="1"/>
  <c r="H75" i="11"/>
  <c r="F75" i="11"/>
  <c r="D75" i="11"/>
  <c r="G75" i="11" s="1"/>
  <c r="O75" i="11" s="1"/>
  <c r="H74" i="11"/>
  <c r="F74" i="11"/>
  <c r="D74" i="11"/>
  <c r="G74" i="11" s="1"/>
  <c r="O74" i="11" s="1"/>
  <c r="H73" i="11"/>
  <c r="F73" i="11"/>
  <c r="D73" i="11"/>
  <c r="G73" i="11" s="1"/>
  <c r="O73" i="11" s="1"/>
  <c r="H71" i="11"/>
  <c r="F71" i="11"/>
  <c r="D71" i="11"/>
  <c r="G71" i="11" s="1"/>
  <c r="O71" i="11" s="1"/>
  <c r="H70" i="11"/>
  <c r="F70" i="11"/>
  <c r="D70" i="11"/>
  <c r="G70" i="11" s="1"/>
  <c r="O70" i="11" s="1"/>
  <c r="H69" i="11"/>
  <c r="F69" i="11"/>
  <c r="D69" i="11"/>
  <c r="G69" i="11" s="1"/>
  <c r="O69" i="11" s="1"/>
  <c r="H68" i="11"/>
  <c r="F68" i="11"/>
  <c r="D68" i="11"/>
  <c r="G68" i="11" s="1"/>
  <c r="O68" i="11" s="1"/>
  <c r="H67" i="11"/>
  <c r="F67" i="11"/>
  <c r="D67" i="11"/>
  <c r="G67" i="11" s="1"/>
  <c r="O67" i="11" s="1"/>
  <c r="H66" i="11"/>
  <c r="F66" i="11"/>
  <c r="D66" i="11"/>
  <c r="G66" i="11" s="1"/>
  <c r="O66" i="11" s="1"/>
  <c r="H65" i="11"/>
  <c r="F65" i="11"/>
  <c r="D65" i="11"/>
  <c r="G65" i="11" s="1"/>
  <c r="O65" i="11" s="1"/>
  <c r="H64" i="11"/>
  <c r="F64" i="11"/>
  <c r="D64" i="11"/>
  <c r="G64" i="11" s="1"/>
  <c r="O64" i="11" s="1"/>
  <c r="H63" i="11"/>
  <c r="F63" i="11"/>
  <c r="D63" i="11"/>
  <c r="G63" i="11" s="1"/>
  <c r="O63" i="11" s="1"/>
  <c r="H62" i="11"/>
  <c r="F62" i="11"/>
  <c r="D62" i="11"/>
  <c r="G62" i="11" s="1"/>
  <c r="O62" i="11" s="1"/>
  <c r="H101" i="11"/>
  <c r="F101" i="11"/>
  <c r="D101" i="11"/>
  <c r="G101" i="11" s="1"/>
  <c r="H61" i="11"/>
  <c r="F61" i="11"/>
  <c r="D61" i="11"/>
  <c r="G61" i="11" s="1"/>
  <c r="O61" i="11" s="1"/>
  <c r="H60" i="11"/>
  <c r="F60" i="11"/>
  <c r="D60" i="11"/>
  <c r="G60" i="11" s="1"/>
  <c r="O60" i="11" s="1"/>
  <c r="H59" i="11"/>
  <c r="F59" i="11"/>
  <c r="D59" i="11"/>
  <c r="G59" i="11" s="1"/>
  <c r="O59" i="11" s="1"/>
  <c r="H41" i="11"/>
  <c r="F41" i="11"/>
  <c r="D41" i="11"/>
  <c r="G41" i="11" s="1"/>
  <c r="H38" i="11"/>
  <c r="F38" i="11"/>
  <c r="D38" i="11"/>
  <c r="G38" i="11" s="1"/>
  <c r="P38" i="11" s="1"/>
  <c r="H37" i="11"/>
  <c r="F37" i="11"/>
  <c r="T37" i="11" s="1"/>
  <c r="D37" i="11"/>
  <c r="G37" i="11" s="1"/>
  <c r="P37" i="11" s="1"/>
  <c r="H36" i="11"/>
  <c r="F36" i="11"/>
  <c r="R36" i="11" s="1"/>
  <c r="D36" i="11"/>
  <c r="G36" i="11" s="1"/>
  <c r="P36" i="11" s="1"/>
  <c r="H35" i="11"/>
  <c r="F35" i="11"/>
  <c r="O35" i="11" s="1"/>
  <c r="D35" i="11"/>
  <c r="G35" i="11" s="1"/>
  <c r="P35" i="11" s="1"/>
  <c r="H34" i="11"/>
  <c r="F34" i="11"/>
  <c r="D34" i="11"/>
  <c r="G34" i="11" s="1"/>
  <c r="P34" i="11" s="1"/>
  <c r="H33" i="11"/>
  <c r="F33" i="11"/>
  <c r="U33" i="11" s="1"/>
  <c r="D33" i="11"/>
  <c r="G33" i="11" s="1"/>
  <c r="P33" i="11" s="1"/>
  <c r="H16" i="11"/>
  <c r="F16" i="11"/>
  <c r="D16" i="11"/>
  <c r="G16" i="11" s="1"/>
  <c r="O16" i="11" s="1"/>
  <c r="H31" i="11"/>
  <c r="F31" i="11"/>
  <c r="D31" i="11"/>
  <c r="G31" i="11" s="1"/>
  <c r="P31" i="11" s="1"/>
  <c r="H27" i="11"/>
  <c r="F27" i="11"/>
  <c r="D27" i="11"/>
  <c r="G27" i="11" s="1"/>
  <c r="H26" i="11"/>
  <c r="F26" i="11"/>
  <c r="D26" i="11"/>
  <c r="G26" i="11" s="1"/>
  <c r="H25" i="11"/>
  <c r="F25" i="11"/>
  <c r="D25" i="11"/>
  <c r="G25" i="11" s="1"/>
  <c r="H24" i="11"/>
  <c r="F24" i="11"/>
  <c r="D24" i="11"/>
  <c r="G24" i="11" s="1"/>
  <c r="H23" i="11"/>
  <c r="F23" i="11"/>
  <c r="D23" i="11"/>
  <c r="G23" i="11" s="1"/>
  <c r="H22" i="11"/>
  <c r="F22" i="11"/>
  <c r="D22" i="11"/>
  <c r="G22" i="11" s="1"/>
  <c r="H21" i="11"/>
  <c r="F21" i="11"/>
  <c r="D21" i="11"/>
  <c r="G21" i="11" s="1"/>
  <c r="H20" i="11"/>
  <c r="F20" i="11"/>
  <c r="D20" i="11"/>
  <c r="G20" i="11" s="1"/>
  <c r="O20" i="11" s="1"/>
  <c r="H19" i="11"/>
  <c r="F19" i="11"/>
  <c r="D19" i="11"/>
  <c r="G19" i="11" s="1"/>
  <c r="O19" i="11" s="1"/>
  <c r="H32" i="11"/>
  <c r="F32" i="11"/>
  <c r="T32" i="11" s="1"/>
  <c r="D32" i="11"/>
  <c r="G32" i="11" s="1"/>
  <c r="P32" i="11" s="1"/>
  <c r="H18" i="11"/>
  <c r="F18" i="11"/>
  <c r="D18" i="11"/>
  <c r="G18" i="11" s="1"/>
  <c r="O18" i="11" s="1"/>
  <c r="H17" i="11"/>
  <c r="F17" i="11"/>
  <c r="D17" i="11"/>
  <c r="G17" i="11" s="1"/>
  <c r="O17" i="11" s="1"/>
  <c r="H15" i="11"/>
  <c r="F15" i="11"/>
  <c r="D15" i="11"/>
  <c r="G15" i="11" s="1"/>
  <c r="H14" i="11"/>
  <c r="F14" i="11"/>
  <c r="D14" i="11"/>
  <c r="G14" i="11" s="1"/>
  <c r="H13" i="11"/>
  <c r="F13" i="11"/>
  <c r="D13" i="11"/>
  <c r="G13" i="11" s="1"/>
  <c r="O13" i="11" s="1"/>
  <c r="H12" i="11"/>
  <c r="F12" i="11"/>
  <c r="D12" i="11"/>
  <c r="G12" i="11" s="1"/>
  <c r="O12" i="11" s="1"/>
  <c r="H11" i="11"/>
  <c r="F11" i="11"/>
  <c r="D11" i="11"/>
  <c r="G11" i="11" s="1"/>
  <c r="O11" i="11" s="1"/>
  <c r="H10" i="11"/>
  <c r="F10" i="11"/>
  <c r="D10" i="11"/>
  <c r="G10" i="11" s="1"/>
  <c r="O10" i="11" s="1"/>
  <c r="H9" i="11"/>
  <c r="F9" i="11"/>
  <c r="D9" i="11"/>
  <c r="G9" i="11" s="1"/>
  <c r="O9" i="11" s="1"/>
  <c r="H8" i="11"/>
  <c r="F8" i="11"/>
  <c r="D8" i="11"/>
  <c r="G8" i="11" s="1"/>
  <c r="O8" i="11" s="1"/>
  <c r="H7" i="11"/>
  <c r="F7" i="11"/>
  <c r="D7" i="11"/>
  <c r="G7" i="11" s="1"/>
  <c r="O7" i="11" s="1"/>
  <c r="H6" i="11"/>
  <c r="F6" i="11"/>
  <c r="D6" i="11"/>
  <c r="G6" i="11" s="1"/>
  <c r="O6" i="11" s="1"/>
  <c r="H5" i="11"/>
  <c r="F5" i="11"/>
  <c r="D5" i="11"/>
  <c r="G5" i="11" s="1"/>
  <c r="O5" i="11" s="1"/>
  <c r="H4" i="11"/>
  <c r="F4" i="11"/>
  <c r="D4" i="11"/>
  <c r="G4" i="11" s="1"/>
  <c r="O4" i="11" s="1"/>
  <c r="H3" i="11"/>
  <c r="F3" i="11"/>
  <c r="D3" i="11"/>
  <c r="G3" i="11" s="1"/>
  <c r="O3" i="11" s="1"/>
  <c r="H2" i="11"/>
  <c r="F2" i="11"/>
  <c r="D2" i="11"/>
  <c r="G2" i="11" s="1"/>
  <c r="O2" i="11" s="1"/>
  <c r="H144" i="10"/>
  <c r="F144" i="10"/>
  <c r="D144" i="10"/>
  <c r="G144" i="10" s="1"/>
  <c r="L144" i="10" s="1"/>
  <c r="H143" i="10"/>
  <c r="F143" i="10"/>
  <c r="D143" i="10"/>
  <c r="G143" i="10" s="1"/>
  <c r="H142" i="10"/>
  <c r="F142" i="10"/>
  <c r="D142" i="10"/>
  <c r="G142" i="10" s="1"/>
  <c r="H127" i="10"/>
  <c r="F127" i="10"/>
  <c r="D127" i="10"/>
  <c r="G127" i="10" s="1"/>
  <c r="H126" i="10"/>
  <c r="F126" i="10"/>
  <c r="D126" i="10"/>
  <c r="G126" i="10" s="1"/>
  <c r="I126" i="10" s="1"/>
  <c r="H125" i="10"/>
  <c r="F125" i="10"/>
  <c r="D125" i="10"/>
  <c r="G125" i="10" s="1"/>
  <c r="H124" i="10"/>
  <c r="F124" i="10"/>
  <c r="D124" i="10"/>
  <c r="G124" i="10" s="1"/>
  <c r="H123" i="10"/>
  <c r="F123" i="10"/>
  <c r="D123" i="10"/>
  <c r="G123" i="10" s="1"/>
  <c r="H122" i="10"/>
  <c r="F122" i="10"/>
  <c r="D122" i="10"/>
  <c r="G122" i="10" s="1"/>
  <c r="H120" i="10"/>
  <c r="F120" i="10"/>
  <c r="D120" i="10"/>
  <c r="G120" i="10" s="1"/>
  <c r="H118" i="10"/>
  <c r="F118" i="10"/>
  <c r="D118" i="10"/>
  <c r="G118" i="10" s="1"/>
  <c r="H69" i="10"/>
  <c r="F69" i="10"/>
  <c r="D69" i="10"/>
  <c r="G69" i="10" s="1"/>
  <c r="H109" i="10"/>
  <c r="F109" i="10"/>
  <c r="D109" i="10"/>
  <c r="G109" i="10" s="1"/>
  <c r="H108" i="10"/>
  <c r="F108" i="10"/>
  <c r="D108" i="10"/>
  <c r="G108" i="10" s="1"/>
  <c r="H107" i="10"/>
  <c r="F107" i="10"/>
  <c r="D107" i="10"/>
  <c r="G107" i="10" s="1"/>
  <c r="H106" i="10"/>
  <c r="F106" i="10"/>
  <c r="D106" i="10"/>
  <c r="G106" i="10" s="1"/>
  <c r="H105" i="10"/>
  <c r="F105" i="10"/>
  <c r="D105" i="10"/>
  <c r="G105" i="10" s="1"/>
  <c r="I105" i="10" s="1"/>
  <c r="H104" i="10"/>
  <c r="F104" i="10"/>
  <c r="D104" i="10"/>
  <c r="G104" i="10" s="1"/>
  <c r="H100" i="10"/>
  <c r="F100" i="10"/>
  <c r="D100" i="10"/>
  <c r="G100" i="10" s="1"/>
  <c r="H128" i="10"/>
  <c r="F128" i="10"/>
  <c r="D128" i="10"/>
  <c r="G128" i="10" s="1"/>
  <c r="H99" i="10"/>
  <c r="F99" i="10"/>
  <c r="D99" i="10"/>
  <c r="G99" i="10" s="1"/>
  <c r="H98" i="10"/>
  <c r="F98" i="10"/>
  <c r="D98" i="10"/>
  <c r="G98" i="10" s="1"/>
  <c r="H97" i="10"/>
  <c r="F97" i="10"/>
  <c r="D97" i="10"/>
  <c r="G97" i="10" s="1"/>
  <c r="H96" i="10"/>
  <c r="F96" i="10"/>
  <c r="D96" i="10"/>
  <c r="G96" i="10" s="1"/>
  <c r="H95" i="10"/>
  <c r="F95" i="10"/>
  <c r="D95" i="10"/>
  <c r="G95" i="10" s="1"/>
  <c r="H121" i="10"/>
  <c r="F121" i="10"/>
  <c r="D121" i="10"/>
  <c r="G121" i="10" s="1"/>
  <c r="H94" i="10"/>
  <c r="F94" i="10"/>
  <c r="D94" i="10"/>
  <c r="G94" i="10" s="1"/>
  <c r="H119" i="10"/>
  <c r="F119" i="10"/>
  <c r="D119" i="10"/>
  <c r="G119" i="10" s="1"/>
  <c r="H93" i="10"/>
  <c r="F93" i="10"/>
  <c r="D93" i="10"/>
  <c r="G93" i="10" s="1"/>
  <c r="H92" i="10"/>
  <c r="F92" i="10"/>
  <c r="D92" i="10"/>
  <c r="G92" i="10" s="1"/>
  <c r="H117" i="10"/>
  <c r="F117" i="10"/>
  <c r="D117" i="10"/>
  <c r="G117" i="10" s="1"/>
  <c r="H91" i="10"/>
  <c r="F91" i="10"/>
  <c r="D91" i="10"/>
  <c r="G91" i="10" s="1"/>
  <c r="H90" i="10"/>
  <c r="F90" i="10"/>
  <c r="D90" i="10"/>
  <c r="G90" i="10" s="1"/>
  <c r="H89" i="10"/>
  <c r="F89" i="10"/>
  <c r="D89" i="10"/>
  <c r="G89" i="10" s="1"/>
  <c r="H88" i="10"/>
  <c r="F88" i="10"/>
  <c r="D88" i="10"/>
  <c r="G88" i="10" s="1"/>
  <c r="H86" i="10"/>
  <c r="F86" i="10"/>
  <c r="D86" i="10"/>
  <c r="G86" i="10" s="1"/>
  <c r="H85" i="10"/>
  <c r="F85" i="10"/>
  <c r="D85" i="10"/>
  <c r="G85" i="10" s="1"/>
  <c r="H84" i="10"/>
  <c r="F84" i="10"/>
  <c r="D84" i="10"/>
  <c r="G84" i="10" s="1"/>
  <c r="H83" i="10"/>
  <c r="F83" i="10"/>
  <c r="D83" i="10"/>
  <c r="G83" i="10" s="1"/>
  <c r="H82" i="10"/>
  <c r="F82" i="10"/>
  <c r="D82" i="10"/>
  <c r="G82" i="10" s="1"/>
  <c r="H81" i="10"/>
  <c r="F81" i="10"/>
  <c r="D81" i="10"/>
  <c r="G81" i="10" s="1"/>
  <c r="H80" i="10"/>
  <c r="F80" i="10"/>
  <c r="D80" i="10"/>
  <c r="G80" i="10" s="1"/>
  <c r="H79" i="10"/>
  <c r="F79" i="10"/>
  <c r="D79" i="10"/>
  <c r="G79" i="10" s="1"/>
  <c r="H78" i="10"/>
  <c r="F78" i="10"/>
  <c r="D78" i="10"/>
  <c r="G78" i="10" s="1"/>
  <c r="H77" i="10"/>
  <c r="F77" i="10"/>
  <c r="D77" i="10"/>
  <c r="G77" i="10" s="1"/>
  <c r="H76" i="10"/>
  <c r="F76" i="10"/>
  <c r="D76" i="10"/>
  <c r="G76" i="10" s="1"/>
  <c r="H75" i="10"/>
  <c r="F75" i="10"/>
  <c r="D75" i="10"/>
  <c r="G75" i="10" s="1"/>
  <c r="H74" i="10"/>
  <c r="F74" i="10"/>
  <c r="D74" i="10"/>
  <c r="G74" i="10" s="1"/>
  <c r="H103" i="10"/>
  <c r="F103" i="10"/>
  <c r="D103" i="10"/>
  <c r="G103" i="10" s="1"/>
  <c r="H73" i="10"/>
  <c r="F73" i="10"/>
  <c r="D73" i="10"/>
  <c r="G73" i="10" s="1"/>
  <c r="H72" i="10"/>
  <c r="F72" i="10"/>
  <c r="D72" i="10"/>
  <c r="G72" i="10" s="1"/>
  <c r="H71" i="10"/>
  <c r="F71" i="10"/>
  <c r="D71" i="10"/>
  <c r="G71" i="10" s="1"/>
  <c r="H70" i="10"/>
  <c r="F70" i="10"/>
  <c r="D70" i="10"/>
  <c r="G70" i="10" s="1"/>
  <c r="H68" i="10"/>
  <c r="F68" i="10"/>
  <c r="D68" i="10"/>
  <c r="G68" i="10" s="1"/>
  <c r="H67" i="10"/>
  <c r="F67" i="10"/>
  <c r="D67" i="10"/>
  <c r="G67" i="10" s="1"/>
  <c r="H66" i="10"/>
  <c r="F66" i="10"/>
  <c r="D66" i="10"/>
  <c r="G66" i="10" s="1"/>
  <c r="H65" i="10"/>
  <c r="F65" i="10"/>
  <c r="D65" i="10"/>
  <c r="G65" i="10" s="1"/>
  <c r="H64" i="10"/>
  <c r="F64" i="10"/>
  <c r="D64" i="10"/>
  <c r="G64" i="10" s="1"/>
  <c r="H63" i="10"/>
  <c r="F63" i="10"/>
  <c r="D63" i="10"/>
  <c r="G63" i="10" s="1"/>
  <c r="H62" i="10"/>
  <c r="F62" i="10"/>
  <c r="D62" i="10"/>
  <c r="G62" i="10" s="1"/>
  <c r="H61" i="10"/>
  <c r="F61" i="10"/>
  <c r="D61" i="10"/>
  <c r="G61" i="10" s="1"/>
  <c r="H60" i="10"/>
  <c r="F60" i="10"/>
  <c r="D60" i="10"/>
  <c r="G60" i="10" s="1"/>
  <c r="H59" i="10"/>
  <c r="F59" i="10"/>
  <c r="D59" i="10"/>
  <c r="G59" i="10" s="1"/>
  <c r="H41" i="10"/>
  <c r="F41" i="10"/>
  <c r="D41" i="10"/>
  <c r="G41" i="10" s="1"/>
  <c r="J41" i="10" s="1"/>
  <c r="H38" i="10"/>
  <c r="F38" i="10"/>
  <c r="D38" i="10"/>
  <c r="G38" i="10" s="1"/>
  <c r="H36" i="10"/>
  <c r="F36" i="10"/>
  <c r="D36" i="10"/>
  <c r="G36" i="10" s="1"/>
  <c r="H35" i="10"/>
  <c r="F35" i="10"/>
  <c r="D35" i="10"/>
  <c r="G35" i="10" s="1"/>
  <c r="H34" i="10"/>
  <c r="F34" i="10"/>
  <c r="D34" i="10"/>
  <c r="G34" i="10" s="1"/>
  <c r="H33" i="10"/>
  <c r="F33" i="10"/>
  <c r="D33" i="10"/>
  <c r="G33" i="10" s="1"/>
  <c r="H31" i="10"/>
  <c r="F31" i="10"/>
  <c r="D31" i="10"/>
  <c r="G31" i="10" s="1"/>
  <c r="H27" i="10"/>
  <c r="F27" i="10"/>
  <c r="D27" i="10"/>
  <c r="G27" i="10" s="1"/>
  <c r="H26" i="10"/>
  <c r="F26" i="10"/>
  <c r="D26" i="10"/>
  <c r="G26" i="10" s="1"/>
  <c r="H23" i="10"/>
  <c r="F23" i="10"/>
  <c r="D23" i="10"/>
  <c r="G23" i="10" s="1"/>
  <c r="H25" i="10"/>
  <c r="F25" i="10"/>
  <c r="D25" i="10"/>
  <c r="G25" i="10" s="1"/>
  <c r="H37" i="10"/>
  <c r="F37" i="10"/>
  <c r="D37" i="10"/>
  <c r="G37" i="10" s="1"/>
  <c r="H22" i="10"/>
  <c r="F22" i="10"/>
  <c r="D22" i="10"/>
  <c r="G22" i="10" s="1"/>
  <c r="H21" i="10"/>
  <c r="F21" i="10"/>
  <c r="D21" i="10"/>
  <c r="G21" i="10" s="1"/>
  <c r="H24" i="10"/>
  <c r="F24" i="10"/>
  <c r="D24" i="10"/>
  <c r="G24" i="10" s="1"/>
  <c r="H20" i="10"/>
  <c r="F20" i="10"/>
  <c r="D20" i="10"/>
  <c r="G20" i="10" s="1"/>
  <c r="H18" i="10"/>
  <c r="F18" i="10"/>
  <c r="D18" i="10"/>
  <c r="G18" i="10" s="1"/>
  <c r="H19" i="10"/>
  <c r="F19" i="10"/>
  <c r="D19" i="10"/>
  <c r="G19" i="10" s="1"/>
  <c r="L19" i="10" s="1"/>
  <c r="H32" i="10"/>
  <c r="F32" i="10"/>
  <c r="D32" i="10"/>
  <c r="G32" i="10" s="1"/>
  <c r="H17" i="10"/>
  <c r="F17" i="10"/>
  <c r="D17" i="10"/>
  <c r="G17" i="10" s="1"/>
  <c r="H16" i="10"/>
  <c r="F16" i="10"/>
  <c r="D16" i="10"/>
  <c r="G16" i="10" s="1"/>
  <c r="H15" i="10"/>
  <c r="F15" i="10"/>
  <c r="D15" i="10"/>
  <c r="G15" i="10" s="1"/>
  <c r="H13" i="10"/>
  <c r="F13" i="10"/>
  <c r="D13" i="10"/>
  <c r="G13" i="10" s="1"/>
  <c r="H7" i="10"/>
  <c r="F7" i="10"/>
  <c r="D7" i="10"/>
  <c r="G7" i="10" s="1"/>
  <c r="H12" i="10"/>
  <c r="F12" i="10"/>
  <c r="D12" i="10"/>
  <c r="G12" i="10" s="1"/>
  <c r="H11" i="10"/>
  <c r="F11" i="10"/>
  <c r="D11" i="10"/>
  <c r="G11" i="10" s="1"/>
  <c r="H10" i="10"/>
  <c r="F10" i="10"/>
  <c r="D10" i="10"/>
  <c r="G10" i="10" s="1"/>
  <c r="L10" i="10" s="1"/>
  <c r="H14" i="10"/>
  <c r="F14" i="10"/>
  <c r="D14" i="10"/>
  <c r="G14" i="10" s="1"/>
  <c r="H6" i="10"/>
  <c r="F6" i="10"/>
  <c r="D6" i="10"/>
  <c r="G6" i="10" s="1"/>
  <c r="H9" i="10"/>
  <c r="F9" i="10"/>
  <c r="D9" i="10"/>
  <c r="G9" i="10" s="1"/>
  <c r="I9" i="10" s="1"/>
  <c r="H8" i="10"/>
  <c r="F8" i="10"/>
  <c r="D8" i="10"/>
  <c r="G8" i="10" s="1"/>
  <c r="H4" i="10"/>
  <c r="F4" i="10"/>
  <c r="D4" i="10"/>
  <c r="G4" i="10" s="1"/>
  <c r="H3" i="10"/>
  <c r="F3" i="10"/>
  <c r="D3" i="10"/>
  <c r="G3" i="10" s="1"/>
  <c r="H5" i="10"/>
  <c r="F5" i="10"/>
  <c r="D5" i="10"/>
  <c r="G5" i="10" s="1"/>
  <c r="H2" i="10"/>
  <c r="F2" i="10"/>
  <c r="D2" i="10"/>
  <c r="G2" i="10" s="1"/>
  <c r="P119" i="9"/>
  <c r="P97" i="9"/>
  <c r="H144" i="9"/>
  <c r="F144" i="9"/>
  <c r="D144" i="9"/>
  <c r="G144" i="9" s="1"/>
  <c r="H143" i="9"/>
  <c r="F143" i="9"/>
  <c r="D143" i="9"/>
  <c r="G143" i="9" s="1"/>
  <c r="L143" i="9" s="1"/>
  <c r="H142" i="9"/>
  <c r="F142" i="9"/>
  <c r="D142" i="9"/>
  <c r="G142" i="9" s="1"/>
  <c r="H125" i="9"/>
  <c r="O125" i="9" s="1"/>
  <c r="F125" i="9"/>
  <c r="Q125" i="9" s="1"/>
  <c r="D125" i="9"/>
  <c r="G125" i="9" s="1"/>
  <c r="P125" i="9" s="1"/>
  <c r="H124" i="9"/>
  <c r="O124" i="9" s="1"/>
  <c r="F124" i="9"/>
  <c r="Q124" i="9" s="1"/>
  <c r="D124" i="9"/>
  <c r="G124" i="9" s="1"/>
  <c r="P124" i="9" s="1"/>
  <c r="H123" i="9"/>
  <c r="O123" i="9" s="1"/>
  <c r="F123" i="9"/>
  <c r="Q123" i="9" s="1"/>
  <c r="D123" i="9"/>
  <c r="G123" i="9" s="1"/>
  <c r="P123" i="9" s="1"/>
  <c r="H122" i="9"/>
  <c r="O122" i="9" s="1"/>
  <c r="F122" i="9"/>
  <c r="Q122" i="9" s="1"/>
  <c r="D122" i="9"/>
  <c r="G122" i="9" s="1"/>
  <c r="P122" i="9" s="1"/>
  <c r="H121" i="9"/>
  <c r="O121" i="9" s="1"/>
  <c r="F121" i="9"/>
  <c r="Q121" i="9" s="1"/>
  <c r="D121" i="9"/>
  <c r="G121" i="9" s="1"/>
  <c r="I121" i="9" s="1"/>
  <c r="H120" i="9"/>
  <c r="O120" i="9" s="1"/>
  <c r="F120" i="9"/>
  <c r="Q120" i="9" s="1"/>
  <c r="D120" i="9"/>
  <c r="G120" i="9" s="1"/>
  <c r="P120" i="9" s="1"/>
  <c r="H96" i="9"/>
  <c r="O96" i="9" s="1"/>
  <c r="F96" i="9"/>
  <c r="D96" i="9"/>
  <c r="G96" i="9" s="1"/>
  <c r="P96" i="9" s="1"/>
  <c r="H119" i="9"/>
  <c r="O119" i="9" s="1"/>
  <c r="F119" i="9"/>
  <c r="Q119" i="9" s="1"/>
  <c r="D119" i="9"/>
  <c r="G119" i="9" s="1"/>
  <c r="L119" i="9" s="1"/>
  <c r="H118" i="9"/>
  <c r="O118" i="9" s="1"/>
  <c r="F118" i="9"/>
  <c r="Q118" i="9" s="1"/>
  <c r="D118" i="9"/>
  <c r="G118" i="9" s="1"/>
  <c r="P118" i="9" s="1"/>
  <c r="H112" i="9"/>
  <c r="F112" i="9"/>
  <c r="D112" i="9"/>
  <c r="G112" i="9" s="1"/>
  <c r="I112" i="9" s="1"/>
  <c r="H111" i="9"/>
  <c r="F111" i="9"/>
  <c r="D111" i="9"/>
  <c r="G111" i="9" s="1"/>
  <c r="H110" i="9"/>
  <c r="F110" i="9"/>
  <c r="D110" i="9"/>
  <c r="G110" i="9" s="1"/>
  <c r="H109" i="9"/>
  <c r="F109" i="9"/>
  <c r="D109" i="9"/>
  <c r="G109" i="9" s="1"/>
  <c r="I109" i="9" s="1"/>
  <c r="H108" i="9"/>
  <c r="F108" i="9"/>
  <c r="D108" i="9"/>
  <c r="G108" i="9" s="1"/>
  <c r="H107" i="9"/>
  <c r="F107" i="9"/>
  <c r="D107" i="9"/>
  <c r="G107" i="9" s="1"/>
  <c r="H104" i="9"/>
  <c r="O104" i="9" s="1"/>
  <c r="F104" i="9"/>
  <c r="D104" i="9"/>
  <c r="G104" i="9" s="1"/>
  <c r="L104" i="9" s="1"/>
  <c r="H103" i="9"/>
  <c r="O103" i="9" s="1"/>
  <c r="F103" i="9"/>
  <c r="D103" i="9"/>
  <c r="G103" i="9" s="1"/>
  <c r="P103" i="9" s="1"/>
  <c r="H102" i="9"/>
  <c r="F102" i="9"/>
  <c r="D102" i="9"/>
  <c r="G102" i="9" s="1"/>
  <c r="L102" i="9" s="1"/>
  <c r="H101" i="9"/>
  <c r="O101" i="9" s="1"/>
  <c r="F101" i="9"/>
  <c r="D101" i="9"/>
  <c r="G101" i="9" s="1"/>
  <c r="P101" i="9" s="1"/>
  <c r="H100" i="9"/>
  <c r="O100" i="9" s="1"/>
  <c r="F100" i="9"/>
  <c r="D100" i="9"/>
  <c r="G100" i="9" s="1"/>
  <c r="P100" i="9" s="1"/>
  <c r="H99" i="9"/>
  <c r="O99" i="9" s="1"/>
  <c r="F99" i="9"/>
  <c r="D99" i="9"/>
  <c r="G99" i="9" s="1"/>
  <c r="P99" i="9" s="1"/>
  <c r="H98" i="9"/>
  <c r="O98" i="9" s="1"/>
  <c r="F98" i="9"/>
  <c r="D98" i="9"/>
  <c r="G98" i="9" s="1"/>
  <c r="P98" i="9" s="1"/>
  <c r="H95" i="9"/>
  <c r="O95" i="9" s="1"/>
  <c r="F95" i="9"/>
  <c r="D95" i="9"/>
  <c r="G95" i="9" s="1"/>
  <c r="P95" i="9" s="1"/>
  <c r="H97" i="9"/>
  <c r="O97" i="9" s="1"/>
  <c r="F97" i="9"/>
  <c r="D97" i="9"/>
  <c r="G97" i="9" s="1"/>
  <c r="H94" i="9"/>
  <c r="O94" i="9" s="1"/>
  <c r="F94" i="9"/>
  <c r="D94" i="9"/>
  <c r="G94" i="9" s="1"/>
  <c r="P94" i="9" s="1"/>
  <c r="H93" i="9"/>
  <c r="O93" i="9" s="1"/>
  <c r="F93" i="9"/>
  <c r="D93" i="9"/>
  <c r="G93" i="9" s="1"/>
  <c r="P93" i="9" s="1"/>
  <c r="H92" i="9"/>
  <c r="O92" i="9" s="1"/>
  <c r="F92" i="9"/>
  <c r="D92" i="9"/>
  <c r="G92" i="9" s="1"/>
  <c r="P92" i="9" s="1"/>
  <c r="H91" i="9"/>
  <c r="O91" i="9" s="1"/>
  <c r="F91" i="9"/>
  <c r="D91" i="9"/>
  <c r="G91" i="9" s="1"/>
  <c r="P91" i="9" s="1"/>
  <c r="H90" i="9"/>
  <c r="O90" i="9" s="1"/>
  <c r="F90" i="9"/>
  <c r="D90" i="9"/>
  <c r="G90" i="9" s="1"/>
  <c r="L90" i="9" s="1"/>
  <c r="H89" i="9"/>
  <c r="O89" i="9" s="1"/>
  <c r="F89" i="9"/>
  <c r="D89" i="9"/>
  <c r="G89" i="9" s="1"/>
  <c r="P89" i="9" s="1"/>
  <c r="H88" i="9"/>
  <c r="O88" i="9" s="1"/>
  <c r="F88" i="9"/>
  <c r="D88" i="9"/>
  <c r="G88" i="9" s="1"/>
  <c r="P88" i="9" s="1"/>
  <c r="H86" i="9"/>
  <c r="O86" i="9" s="1"/>
  <c r="F86" i="9"/>
  <c r="D86" i="9"/>
  <c r="G86" i="9" s="1"/>
  <c r="P86" i="9" s="1"/>
  <c r="H82" i="9"/>
  <c r="O82" i="9" s="1"/>
  <c r="F82" i="9"/>
  <c r="D82" i="9"/>
  <c r="G82" i="9" s="1"/>
  <c r="P82" i="9" s="1"/>
  <c r="H85" i="9"/>
  <c r="O85" i="9" s="1"/>
  <c r="F85" i="9"/>
  <c r="D85" i="9"/>
  <c r="G85" i="9" s="1"/>
  <c r="P85" i="9" s="1"/>
  <c r="H84" i="9"/>
  <c r="F84" i="9"/>
  <c r="D84" i="9"/>
  <c r="G84" i="9" s="1"/>
  <c r="H81" i="9"/>
  <c r="O81" i="9" s="1"/>
  <c r="F81" i="9"/>
  <c r="D81" i="9"/>
  <c r="G81" i="9" s="1"/>
  <c r="P81" i="9" s="1"/>
  <c r="H83" i="9"/>
  <c r="F83" i="9"/>
  <c r="D83" i="9"/>
  <c r="G83" i="9" s="1"/>
  <c r="I83" i="9" s="1"/>
  <c r="H80" i="9"/>
  <c r="O80" i="9" s="1"/>
  <c r="F80" i="9"/>
  <c r="D80" i="9"/>
  <c r="G80" i="9" s="1"/>
  <c r="P80" i="9" s="1"/>
  <c r="H79" i="9"/>
  <c r="O79" i="9" s="1"/>
  <c r="F79" i="9"/>
  <c r="D79" i="9"/>
  <c r="G79" i="9" s="1"/>
  <c r="P79" i="9" s="1"/>
  <c r="H75" i="9"/>
  <c r="O75" i="9" s="1"/>
  <c r="F75" i="9"/>
  <c r="D75" i="9"/>
  <c r="G75" i="9" s="1"/>
  <c r="P75" i="9" s="1"/>
  <c r="H78" i="9"/>
  <c r="O78" i="9" s="1"/>
  <c r="F78" i="9"/>
  <c r="D78" i="9"/>
  <c r="G78" i="9" s="1"/>
  <c r="P78" i="9" s="1"/>
  <c r="H77" i="9"/>
  <c r="O77" i="9" s="1"/>
  <c r="F77" i="9"/>
  <c r="D77" i="9"/>
  <c r="G77" i="9" s="1"/>
  <c r="P77" i="9" s="1"/>
  <c r="H76" i="9"/>
  <c r="O76" i="9" s="1"/>
  <c r="F76" i="9"/>
  <c r="D76" i="9"/>
  <c r="G76" i="9" s="1"/>
  <c r="P76" i="9" s="1"/>
  <c r="H74" i="9"/>
  <c r="O74" i="9" s="1"/>
  <c r="F74" i="9"/>
  <c r="D74" i="9"/>
  <c r="G74" i="9" s="1"/>
  <c r="L74" i="9" s="1"/>
  <c r="H70" i="9"/>
  <c r="O70" i="9" s="1"/>
  <c r="F70" i="9"/>
  <c r="D70" i="9"/>
  <c r="G70" i="9" s="1"/>
  <c r="P70" i="9" s="1"/>
  <c r="H73" i="9"/>
  <c r="O73" i="9" s="1"/>
  <c r="F73" i="9"/>
  <c r="D73" i="9"/>
  <c r="G73" i="9" s="1"/>
  <c r="P73" i="9" s="1"/>
  <c r="H72" i="9"/>
  <c r="O72" i="9" s="1"/>
  <c r="F72" i="9"/>
  <c r="D72" i="9"/>
  <c r="G72" i="9" s="1"/>
  <c r="L72" i="9" s="1"/>
  <c r="H71" i="9"/>
  <c r="O71" i="9" s="1"/>
  <c r="F71" i="9"/>
  <c r="D71" i="9"/>
  <c r="G71" i="9" s="1"/>
  <c r="P71" i="9" s="1"/>
  <c r="H69" i="9"/>
  <c r="O69" i="9" s="1"/>
  <c r="F69" i="9"/>
  <c r="D69" i="9"/>
  <c r="G69" i="9" s="1"/>
  <c r="L69" i="9" s="1"/>
  <c r="H68" i="9"/>
  <c r="O68" i="9" s="1"/>
  <c r="F68" i="9"/>
  <c r="D68" i="9"/>
  <c r="G68" i="9" s="1"/>
  <c r="P68" i="9" s="1"/>
  <c r="H67" i="9"/>
  <c r="O67" i="9" s="1"/>
  <c r="F67" i="9"/>
  <c r="D67" i="9"/>
  <c r="G67" i="9" s="1"/>
  <c r="P67" i="9" s="1"/>
  <c r="H66" i="9"/>
  <c r="O66" i="9" s="1"/>
  <c r="F66" i="9"/>
  <c r="D66" i="9"/>
  <c r="G66" i="9" s="1"/>
  <c r="P66" i="9" s="1"/>
  <c r="H117" i="9"/>
  <c r="O117" i="9" s="1"/>
  <c r="F117" i="9"/>
  <c r="Q117" i="9" s="1"/>
  <c r="D117" i="9"/>
  <c r="G117" i="9" s="1"/>
  <c r="P117" i="9" s="1"/>
  <c r="H65" i="9"/>
  <c r="O65" i="9" s="1"/>
  <c r="F65" i="9"/>
  <c r="D65" i="9"/>
  <c r="G65" i="9" s="1"/>
  <c r="P65" i="9" s="1"/>
  <c r="H64" i="9"/>
  <c r="O64" i="9" s="1"/>
  <c r="F64" i="9"/>
  <c r="D64" i="9"/>
  <c r="G64" i="9" s="1"/>
  <c r="I64" i="9" s="1"/>
  <c r="H63" i="9"/>
  <c r="O63" i="9" s="1"/>
  <c r="F63" i="9"/>
  <c r="D63" i="9"/>
  <c r="G63" i="9" s="1"/>
  <c r="P63" i="9" s="1"/>
  <c r="H62" i="9"/>
  <c r="O62" i="9" s="1"/>
  <c r="F62" i="9"/>
  <c r="D62" i="9"/>
  <c r="G62" i="9" s="1"/>
  <c r="P62" i="9" s="1"/>
  <c r="H61" i="9"/>
  <c r="O61" i="9" s="1"/>
  <c r="F61" i="9"/>
  <c r="D61" i="9"/>
  <c r="G61" i="9" s="1"/>
  <c r="L61" i="9" s="1"/>
  <c r="H60" i="9"/>
  <c r="O60" i="9" s="1"/>
  <c r="F60" i="9"/>
  <c r="D60" i="9"/>
  <c r="G60" i="9" s="1"/>
  <c r="P60" i="9" s="1"/>
  <c r="H59" i="9"/>
  <c r="O59" i="9" s="1"/>
  <c r="F59" i="9"/>
  <c r="D59" i="9"/>
  <c r="G59" i="9" s="1"/>
  <c r="P59" i="9" s="1"/>
  <c r="H39" i="9"/>
  <c r="F39" i="9"/>
  <c r="D39" i="9"/>
  <c r="G39" i="9" s="1"/>
  <c r="H36" i="9"/>
  <c r="F36" i="9"/>
  <c r="P36" i="9" s="1"/>
  <c r="D36" i="9"/>
  <c r="G36" i="9" s="1"/>
  <c r="O36" i="9" s="1"/>
  <c r="H35" i="9"/>
  <c r="F35" i="9"/>
  <c r="P35" i="9" s="1"/>
  <c r="D35" i="9"/>
  <c r="G35" i="9" s="1"/>
  <c r="O35" i="9" s="1"/>
  <c r="H34" i="9"/>
  <c r="F34" i="9"/>
  <c r="P34" i="9" s="1"/>
  <c r="D34" i="9"/>
  <c r="G34" i="9" s="1"/>
  <c r="O34" i="9" s="1"/>
  <c r="H32" i="9"/>
  <c r="F32" i="9"/>
  <c r="P32" i="9" s="1"/>
  <c r="D32" i="9"/>
  <c r="G32" i="9" s="1"/>
  <c r="O32" i="9" s="1"/>
  <c r="H31" i="9"/>
  <c r="F31" i="9"/>
  <c r="P31" i="9" s="1"/>
  <c r="D31" i="9"/>
  <c r="G31" i="9" s="1"/>
  <c r="O31" i="9" s="1"/>
  <c r="H29" i="9"/>
  <c r="F29" i="9"/>
  <c r="D29" i="9"/>
  <c r="G29" i="9" s="1"/>
  <c r="O29" i="9" s="1"/>
  <c r="H28" i="9"/>
  <c r="F28" i="9"/>
  <c r="D28" i="9"/>
  <c r="G28" i="9" s="1"/>
  <c r="L28" i="9" s="1"/>
  <c r="H27" i="9"/>
  <c r="F27" i="9"/>
  <c r="D27" i="9"/>
  <c r="G27" i="9" s="1"/>
  <c r="O27" i="9" s="1"/>
  <c r="H26" i="9"/>
  <c r="F26" i="9"/>
  <c r="D26" i="9"/>
  <c r="G26" i="9" s="1"/>
  <c r="O26" i="9" s="1"/>
  <c r="H25" i="9"/>
  <c r="F25" i="9"/>
  <c r="D25" i="9"/>
  <c r="G25" i="9" s="1"/>
  <c r="L25" i="9" s="1"/>
  <c r="H24" i="9"/>
  <c r="F24" i="9"/>
  <c r="D24" i="9"/>
  <c r="G24" i="9" s="1"/>
  <c r="O24" i="9" s="1"/>
  <c r="H21" i="9"/>
  <c r="F21" i="9"/>
  <c r="D21" i="9"/>
  <c r="G21" i="9" s="1"/>
  <c r="H23" i="9"/>
  <c r="F23" i="9"/>
  <c r="D23" i="9"/>
  <c r="G23" i="9" s="1"/>
  <c r="O23" i="9" s="1"/>
  <c r="H22" i="9"/>
  <c r="F22" i="9"/>
  <c r="D22" i="9"/>
  <c r="G22" i="9" s="1"/>
  <c r="O22" i="9" s="1"/>
  <c r="H33" i="9"/>
  <c r="F33" i="9"/>
  <c r="P33" i="9" s="1"/>
  <c r="D33" i="9"/>
  <c r="G33" i="9" s="1"/>
  <c r="O33" i="9" s="1"/>
  <c r="H20" i="9"/>
  <c r="F20" i="9"/>
  <c r="P20" i="9" s="1"/>
  <c r="D20" i="9"/>
  <c r="G20" i="9" s="1"/>
  <c r="I20" i="9" s="1"/>
  <c r="H19" i="9"/>
  <c r="F19" i="9"/>
  <c r="P19" i="9" s="1"/>
  <c r="D19" i="9"/>
  <c r="G19" i="9" s="1"/>
  <c r="O19" i="9" s="1"/>
  <c r="H14" i="9"/>
  <c r="F14" i="9"/>
  <c r="P14" i="9" s="1"/>
  <c r="D14" i="9"/>
  <c r="G14" i="9" s="1"/>
  <c r="O14" i="9" s="1"/>
  <c r="H18" i="9"/>
  <c r="F18" i="9"/>
  <c r="P18" i="9" s="1"/>
  <c r="D18" i="9"/>
  <c r="G18" i="9" s="1"/>
  <c r="L18" i="9" s="1"/>
  <c r="H17" i="9"/>
  <c r="F17" i="9"/>
  <c r="P17" i="9" s="1"/>
  <c r="D17" i="9"/>
  <c r="G17" i="9" s="1"/>
  <c r="O17" i="9" s="1"/>
  <c r="H16" i="9"/>
  <c r="F16" i="9"/>
  <c r="P16" i="9" s="1"/>
  <c r="D16" i="9"/>
  <c r="G16" i="9" s="1"/>
  <c r="O16" i="9" s="1"/>
  <c r="H15" i="9"/>
  <c r="F15" i="9"/>
  <c r="P15" i="9" s="1"/>
  <c r="D15" i="9"/>
  <c r="G15" i="9" s="1"/>
  <c r="L15" i="9" s="1"/>
  <c r="H13" i="9"/>
  <c r="F13" i="9"/>
  <c r="P13" i="9" s="1"/>
  <c r="D13" i="9"/>
  <c r="G13" i="9" s="1"/>
  <c r="O13" i="9" s="1"/>
  <c r="H12" i="9"/>
  <c r="F12" i="9"/>
  <c r="P12" i="9" s="1"/>
  <c r="D12" i="9"/>
  <c r="G12" i="9" s="1"/>
  <c r="O12" i="9" s="1"/>
  <c r="H11" i="9"/>
  <c r="F11" i="9"/>
  <c r="P11" i="9" s="1"/>
  <c r="D11" i="9"/>
  <c r="G11" i="9" s="1"/>
  <c r="O11" i="9" s="1"/>
  <c r="H10" i="9"/>
  <c r="F10" i="9"/>
  <c r="P10" i="9" s="1"/>
  <c r="D10" i="9"/>
  <c r="G10" i="9" s="1"/>
  <c r="O10" i="9" s="1"/>
  <c r="H9" i="9"/>
  <c r="F9" i="9"/>
  <c r="P9" i="9" s="1"/>
  <c r="D9" i="9"/>
  <c r="G9" i="9" s="1"/>
  <c r="O9" i="9" s="1"/>
  <c r="H5" i="9"/>
  <c r="F5" i="9"/>
  <c r="P5" i="9" s="1"/>
  <c r="D5" i="9"/>
  <c r="G5" i="9" s="1"/>
  <c r="I5" i="9" s="1"/>
  <c r="H8" i="9"/>
  <c r="F8" i="9"/>
  <c r="P8" i="9" s="1"/>
  <c r="D8" i="9"/>
  <c r="G8" i="9" s="1"/>
  <c r="O8" i="9" s="1"/>
  <c r="H7" i="9"/>
  <c r="F7" i="9"/>
  <c r="P7" i="9" s="1"/>
  <c r="D7" i="9"/>
  <c r="G7" i="9" s="1"/>
  <c r="O7" i="9" s="1"/>
  <c r="H6" i="9"/>
  <c r="F6" i="9"/>
  <c r="P6" i="9" s="1"/>
  <c r="D6" i="9"/>
  <c r="G6" i="9" s="1"/>
  <c r="L6" i="9" s="1"/>
  <c r="H4" i="9"/>
  <c r="F4" i="9"/>
  <c r="P4" i="9" s="1"/>
  <c r="D4" i="9"/>
  <c r="G4" i="9" s="1"/>
  <c r="O4" i="9" s="1"/>
  <c r="H3" i="9"/>
  <c r="F3" i="9"/>
  <c r="P3" i="9" s="1"/>
  <c r="D3" i="9"/>
  <c r="G3" i="9" s="1"/>
  <c r="O3" i="9" s="1"/>
  <c r="H2" i="9"/>
  <c r="F2" i="9"/>
  <c r="P2" i="9" s="1"/>
  <c r="D2" i="9"/>
  <c r="G2" i="9" s="1"/>
  <c r="L2" i="9" s="1"/>
  <c r="N104" i="8"/>
  <c r="N103" i="8"/>
  <c r="N102" i="8"/>
  <c r="N101" i="8"/>
  <c r="N100" i="8"/>
  <c r="N99" i="8"/>
  <c r="N98" i="8"/>
  <c r="N97" i="8"/>
  <c r="N96" i="8"/>
  <c r="N95" i="8"/>
  <c r="N94" i="8"/>
  <c r="N93" i="8"/>
  <c r="N92" i="8"/>
  <c r="N85" i="8"/>
  <c r="N80" i="8"/>
  <c r="N78" i="8"/>
  <c r="N71" i="8"/>
  <c r="H144" i="8"/>
  <c r="F144" i="8"/>
  <c r="D144" i="8"/>
  <c r="G144" i="8" s="1"/>
  <c r="H143" i="8"/>
  <c r="F143" i="8"/>
  <c r="D143" i="8"/>
  <c r="G143" i="8" s="1"/>
  <c r="J143" i="8" s="1"/>
  <c r="H142" i="8"/>
  <c r="F142" i="8"/>
  <c r="D142" i="8"/>
  <c r="G142" i="8" s="1"/>
  <c r="L142" i="8" s="1"/>
  <c r="H125" i="8"/>
  <c r="F125" i="8"/>
  <c r="Q125" i="8" s="1"/>
  <c r="D125" i="8"/>
  <c r="G125" i="8" s="1"/>
  <c r="J125" i="8" s="1"/>
  <c r="H124" i="8"/>
  <c r="F124" i="8"/>
  <c r="Q124" i="8" s="1"/>
  <c r="D124" i="8"/>
  <c r="G124" i="8" s="1"/>
  <c r="L123" i="8"/>
  <c r="K123" i="8"/>
  <c r="H123" i="8"/>
  <c r="F123" i="8"/>
  <c r="Q123" i="8" s="1"/>
  <c r="D123" i="8"/>
  <c r="G123" i="8" s="1"/>
  <c r="H122" i="8"/>
  <c r="F122" i="8"/>
  <c r="Q122" i="8" s="1"/>
  <c r="D122" i="8"/>
  <c r="G122" i="8" s="1"/>
  <c r="K122" i="8" s="1"/>
  <c r="H121" i="8"/>
  <c r="F121" i="8"/>
  <c r="Q121" i="8" s="1"/>
  <c r="D121" i="8"/>
  <c r="G121" i="8" s="1"/>
  <c r="L121" i="8" s="1"/>
  <c r="H120" i="8"/>
  <c r="F120" i="8"/>
  <c r="Q120" i="8" s="1"/>
  <c r="D120" i="8"/>
  <c r="G120" i="8" s="1"/>
  <c r="J120" i="8" s="1"/>
  <c r="H119" i="8"/>
  <c r="F119" i="8"/>
  <c r="Q119" i="8" s="1"/>
  <c r="D119" i="8"/>
  <c r="G119" i="8" s="1"/>
  <c r="H118" i="8"/>
  <c r="F118" i="8"/>
  <c r="Q118" i="8" s="1"/>
  <c r="D118" i="8"/>
  <c r="G118" i="8" s="1"/>
  <c r="H117" i="8"/>
  <c r="F117" i="8"/>
  <c r="Q117" i="8" s="1"/>
  <c r="D117" i="8"/>
  <c r="G117" i="8" s="1"/>
  <c r="H103" i="8"/>
  <c r="G103" i="8"/>
  <c r="Q103" i="8" s="1"/>
  <c r="F103" i="8"/>
  <c r="D103" i="8"/>
  <c r="H107" i="8"/>
  <c r="F107" i="8"/>
  <c r="D107" i="8"/>
  <c r="G107" i="8" s="1"/>
  <c r="H104" i="8"/>
  <c r="F104" i="8"/>
  <c r="D104" i="8"/>
  <c r="G104" i="8" s="1"/>
  <c r="Q104" i="8" s="1"/>
  <c r="H102" i="8"/>
  <c r="F102" i="8"/>
  <c r="D102" i="8"/>
  <c r="G102" i="8" s="1"/>
  <c r="Q102" i="8" s="1"/>
  <c r="H101" i="8"/>
  <c r="F101" i="8"/>
  <c r="D101" i="8"/>
  <c r="G101" i="8" s="1"/>
  <c r="Q101" i="8" s="1"/>
  <c r="H100" i="8"/>
  <c r="F100" i="8"/>
  <c r="D100" i="8"/>
  <c r="G100" i="8" s="1"/>
  <c r="Q100" i="8" s="1"/>
  <c r="H99" i="8"/>
  <c r="F99" i="8"/>
  <c r="D99" i="8"/>
  <c r="G99" i="8" s="1"/>
  <c r="L99" i="8" s="1"/>
  <c r="H98" i="8"/>
  <c r="F98" i="8"/>
  <c r="D98" i="8"/>
  <c r="G98" i="8" s="1"/>
  <c r="H97" i="8"/>
  <c r="F97" i="8"/>
  <c r="D97" i="8"/>
  <c r="G97" i="8" s="1"/>
  <c r="Q97" i="8" s="1"/>
  <c r="H96" i="8"/>
  <c r="F96" i="8"/>
  <c r="D96" i="8"/>
  <c r="G96" i="8" s="1"/>
  <c r="Q96" i="8" s="1"/>
  <c r="H95" i="8"/>
  <c r="F95" i="8"/>
  <c r="D95" i="8"/>
  <c r="G95" i="8" s="1"/>
  <c r="Q95" i="8" s="1"/>
  <c r="H94" i="8"/>
  <c r="F94" i="8"/>
  <c r="D94" i="8"/>
  <c r="G94" i="8" s="1"/>
  <c r="Q94" i="8" s="1"/>
  <c r="H93" i="8"/>
  <c r="F93" i="8"/>
  <c r="D93" i="8"/>
  <c r="G93" i="8" s="1"/>
  <c r="Q93" i="8" s="1"/>
  <c r="H92" i="8"/>
  <c r="F92" i="8"/>
  <c r="D92" i="8"/>
  <c r="G92" i="8" s="1"/>
  <c r="Q92" i="8" s="1"/>
  <c r="H91" i="8"/>
  <c r="F91" i="8"/>
  <c r="D91" i="8"/>
  <c r="G91" i="8" s="1"/>
  <c r="H90" i="8"/>
  <c r="F90" i="8"/>
  <c r="D90" i="8"/>
  <c r="G90" i="8" s="1"/>
  <c r="Q90" i="8" s="1"/>
  <c r="H89" i="8"/>
  <c r="F89" i="8"/>
  <c r="D89" i="8"/>
  <c r="G89" i="8" s="1"/>
  <c r="Q89" i="8" s="1"/>
  <c r="H88" i="8"/>
  <c r="F88" i="8"/>
  <c r="D88" i="8"/>
  <c r="G88" i="8" s="1"/>
  <c r="Q88" i="8" s="1"/>
  <c r="H86" i="8"/>
  <c r="F86" i="8"/>
  <c r="D86" i="8"/>
  <c r="G86" i="8" s="1"/>
  <c r="H85" i="8"/>
  <c r="F85" i="8"/>
  <c r="D85" i="8"/>
  <c r="G85" i="8" s="1"/>
  <c r="H84" i="8"/>
  <c r="F84" i="8"/>
  <c r="D84" i="8"/>
  <c r="G84" i="8" s="1"/>
  <c r="Q84" i="8" s="1"/>
  <c r="H83" i="8"/>
  <c r="F83" i="8"/>
  <c r="D83" i="8"/>
  <c r="G83" i="8" s="1"/>
  <c r="Q83" i="8" s="1"/>
  <c r="H82" i="8"/>
  <c r="F82" i="8"/>
  <c r="D82" i="8"/>
  <c r="G82" i="8" s="1"/>
  <c r="Q82" i="8" s="1"/>
  <c r="H109" i="8"/>
  <c r="F109" i="8"/>
  <c r="D109" i="8"/>
  <c r="G109" i="8" s="1"/>
  <c r="H81" i="8"/>
  <c r="F81" i="8"/>
  <c r="D81" i="8"/>
  <c r="G81" i="8" s="1"/>
  <c r="Q81" i="8" s="1"/>
  <c r="H80" i="8"/>
  <c r="F80" i="8"/>
  <c r="D80" i="8"/>
  <c r="G80" i="8" s="1"/>
  <c r="Q80" i="8" s="1"/>
  <c r="H108" i="8"/>
  <c r="F108" i="8"/>
  <c r="D108" i="8"/>
  <c r="G108" i="8" s="1"/>
  <c r="H79" i="8"/>
  <c r="F79" i="8"/>
  <c r="D79" i="8"/>
  <c r="G79" i="8" s="1"/>
  <c r="Q79" i="8" s="1"/>
  <c r="H78" i="8"/>
  <c r="F78" i="8"/>
  <c r="D78" i="8"/>
  <c r="G78" i="8" s="1"/>
  <c r="Q78" i="8" s="1"/>
  <c r="H77" i="8"/>
  <c r="F77" i="8"/>
  <c r="D77" i="8"/>
  <c r="G77" i="8" s="1"/>
  <c r="Q77" i="8" s="1"/>
  <c r="H76" i="8"/>
  <c r="F76" i="8"/>
  <c r="D76" i="8"/>
  <c r="G76" i="8" s="1"/>
  <c r="Q76" i="8" s="1"/>
  <c r="H75" i="8"/>
  <c r="F75" i="8"/>
  <c r="D75" i="8"/>
  <c r="G75" i="8" s="1"/>
  <c r="H74" i="8"/>
  <c r="F74" i="8"/>
  <c r="D74" i="8"/>
  <c r="G74" i="8" s="1"/>
  <c r="H73" i="8"/>
  <c r="F73" i="8"/>
  <c r="D73" i="8"/>
  <c r="G73" i="8" s="1"/>
  <c r="L73" i="8" s="1"/>
  <c r="H72" i="8"/>
  <c r="F72" i="8"/>
  <c r="D72" i="8"/>
  <c r="G72" i="8" s="1"/>
  <c r="H71" i="8"/>
  <c r="F71" i="8"/>
  <c r="D71" i="8"/>
  <c r="G71" i="8" s="1"/>
  <c r="Q71" i="8" s="1"/>
  <c r="H70" i="8"/>
  <c r="F70" i="8"/>
  <c r="D70" i="8"/>
  <c r="G70" i="8" s="1"/>
  <c r="Q70" i="8" s="1"/>
  <c r="H69" i="8"/>
  <c r="F69" i="8"/>
  <c r="D69" i="8"/>
  <c r="G69" i="8" s="1"/>
  <c r="Q69" i="8" s="1"/>
  <c r="H68" i="8"/>
  <c r="F68" i="8"/>
  <c r="D68" i="8"/>
  <c r="G68" i="8" s="1"/>
  <c r="Q68" i="8" s="1"/>
  <c r="H67" i="8"/>
  <c r="F67" i="8"/>
  <c r="D67" i="8"/>
  <c r="G67" i="8" s="1"/>
  <c r="Q67" i="8" s="1"/>
  <c r="H66" i="8"/>
  <c r="F66" i="8"/>
  <c r="D66" i="8"/>
  <c r="G66" i="8" s="1"/>
  <c r="Q66" i="8" s="1"/>
  <c r="H65" i="8"/>
  <c r="F65" i="8"/>
  <c r="D65" i="8"/>
  <c r="G65" i="8" s="1"/>
  <c r="Q65" i="8" s="1"/>
  <c r="H64" i="8"/>
  <c r="F64" i="8"/>
  <c r="D64" i="8"/>
  <c r="G64" i="8" s="1"/>
  <c r="Q64" i="8" s="1"/>
  <c r="H63" i="8"/>
  <c r="F63" i="8"/>
  <c r="D63" i="8"/>
  <c r="G63" i="8" s="1"/>
  <c r="H62" i="8"/>
  <c r="F62" i="8"/>
  <c r="D62" i="8"/>
  <c r="G62" i="8" s="1"/>
  <c r="Q62" i="8" s="1"/>
  <c r="H61" i="8"/>
  <c r="F61" i="8"/>
  <c r="D61" i="8"/>
  <c r="G61" i="8" s="1"/>
  <c r="Q61" i="8" s="1"/>
  <c r="H60" i="8"/>
  <c r="F60" i="8"/>
  <c r="D60" i="8"/>
  <c r="G60" i="8" s="1"/>
  <c r="H59" i="8"/>
  <c r="F59" i="8"/>
  <c r="D59" i="8"/>
  <c r="G59" i="8" s="1"/>
  <c r="H112" i="8"/>
  <c r="F112" i="8"/>
  <c r="D112" i="8"/>
  <c r="G112" i="8" s="1"/>
  <c r="H111" i="8"/>
  <c r="F111" i="8"/>
  <c r="D111" i="8"/>
  <c r="G111" i="8" s="1"/>
  <c r="I111" i="8" s="1"/>
  <c r="H110" i="8"/>
  <c r="F110" i="8"/>
  <c r="D110" i="8"/>
  <c r="G110" i="8" s="1"/>
  <c r="K110" i="8" s="1"/>
  <c r="H39" i="8"/>
  <c r="F39" i="8"/>
  <c r="D39" i="8"/>
  <c r="G39" i="8" s="1"/>
  <c r="H30" i="8"/>
  <c r="F30" i="8"/>
  <c r="D30" i="8"/>
  <c r="G30" i="8" s="1"/>
  <c r="Q30" i="8" s="1"/>
  <c r="H29" i="8"/>
  <c r="F29" i="8"/>
  <c r="D29" i="8"/>
  <c r="G29" i="8" s="1"/>
  <c r="H28" i="8"/>
  <c r="F28" i="8"/>
  <c r="D28" i="8"/>
  <c r="G28" i="8" s="1"/>
  <c r="Q28" i="8" s="1"/>
  <c r="H36" i="8"/>
  <c r="F36" i="8"/>
  <c r="P36" i="8" s="1"/>
  <c r="D36" i="8"/>
  <c r="G36" i="8" s="1"/>
  <c r="O36" i="8" s="1"/>
  <c r="H35" i="8"/>
  <c r="F35" i="8"/>
  <c r="P35" i="8" s="1"/>
  <c r="D35" i="8"/>
  <c r="G35" i="8" s="1"/>
  <c r="O35" i="8" s="1"/>
  <c r="H21" i="8"/>
  <c r="F21" i="8"/>
  <c r="D21" i="8"/>
  <c r="G21" i="8" s="1"/>
  <c r="Q21" i="8" s="1"/>
  <c r="H34" i="8"/>
  <c r="F34" i="8"/>
  <c r="P34" i="8" s="1"/>
  <c r="D34" i="8"/>
  <c r="G34" i="8" s="1"/>
  <c r="O34" i="8" s="1"/>
  <c r="H32" i="8"/>
  <c r="F32" i="8"/>
  <c r="P32" i="8" s="1"/>
  <c r="D32" i="8"/>
  <c r="G32" i="8" s="1"/>
  <c r="O32" i="8" s="1"/>
  <c r="H27" i="8"/>
  <c r="F27" i="8"/>
  <c r="D27" i="8"/>
  <c r="G27" i="8" s="1"/>
  <c r="Q27" i="8" s="1"/>
  <c r="H26" i="8"/>
  <c r="F26" i="8"/>
  <c r="D26" i="8"/>
  <c r="G26" i="8" s="1"/>
  <c r="Q26" i="8" s="1"/>
  <c r="H25" i="8"/>
  <c r="F25" i="8"/>
  <c r="D25" i="8"/>
  <c r="G25" i="8" s="1"/>
  <c r="L25" i="8" s="1"/>
  <c r="H24" i="8"/>
  <c r="F24" i="8"/>
  <c r="D24" i="8"/>
  <c r="G24" i="8" s="1"/>
  <c r="Q24" i="8" s="1"/>
  <c r="H23" i="8"/>
  <c r="F23" i="8"/>
  <c r="D23" i="8"/>
  <c r="G23" i="8" s="1"/>
  <c r="Q23" i="8" s="1"/>
  <c r="H22" i="8"/>
  <c r="F22" i="8"/>
  <c r="D22" i="8"/>
  <c r="G22" i="8" s="1"/>
  <c r="Q22" i="8" s="1"/>
  <c r="H20" i="8"/>
  <c r="F20" i="8"/>
  <c r="D20" i="8"/>
  <c r="G20" i="8" s="1"/>
  <c r="Q20" i="8" s="1"/>
  <c r="H33" i="8"/>
  <c r="F33" i="8"/>
  <c r="P33" i="8" s="1"/>
  <c r="D33" i="8"/>
  <c r="G33" i="8" s="1"/>
  <c r="O33" i="8" s="1"/>
  <c r="H19" i="8"/>
  <c r="F19" i="8"/>
  <c r="D19" i="8"/>
  <c r="G19" i="8" s="1"/>
  <c r="Q19" i="8" s="1"/>
  <c r="H18" i="8"/>
  <c r="F18" i="8"/>
  <c r="D18" i="8"/>
  <c r="G18" i="8" s="1"/>
  <c r="Q18" i="8" s="1"/>
  <c r="H17" i="8"/>
  <c r="F17" i="8"/>
  <c r="D17" i="8"/>
  <c r="G17" i="8" s="1"/>
  <c r="Q17" i="8" s="1"/>
  <c r="H16" i="8"/>
  <c r="F16" i="8"/>
  <c r="D16" i="8"/>
  <c r="G16" i="8" s="1"/>
  <c r="Q16" i="8" s="1"/>
  <c r="H15" i="8"/>
  <c r="F15" i="8"/>
  <c r="D15" i="8"/>
  <c r="G15" i="8" s="1"/>
  <c r="Q15" i="8" s="1"/>
  <c r="H14" i="8"/>
  <c r="F14" i="8"/>
  <c r="D14" i="8"/>
  <c r="G14" i="8" s="1"/>
  <c r="Q14" i="8" s="1"/>
  <c r="H13" i="8"/>
  <c r="F13" i="8"/>
  <c r="D13" i="8"/>
  <c r="G13" i="8" s="1"/>
  <c r="H12" i="8"/>
  <c r="F12" i="8"/>
  <c r="D12" i="8"/>
  <c r="G12" i="8" s="1"/>
  <c r="H11" i="8"/>
  <c r="F11" i="8"/>
  <c r="D11" i="8"/>
  <c r="G11" i="8" s="1"/>
  <c r="H10" i="8"/>
  <c r="F10" i="8"/>
  <c r="D10" i="8"/>
  <c r="G10" i="8" s="1"/>
  <c r="H9" i="8"/>
  <c r="F9" i="8"/>
  <c r="D9" i="8"/>
  <c r="G9" i="8" s="1"/>
  <c r="Q9" i="8" s="1"/>
  <c r="H8" i="8"/>
  <c r="F8" i="8"/>
  <c r="D8" i="8"/>
  <c r="G8" i="8" s="1"/>
  <c r="Q8" i="8" s="1"/>
  <c r="H7" i="8"/>
  <c r="F7" i="8"/>
  <c r="D7" i="8"/>
  <c r="G7" i="8" s="1"/>
  <c r="Q7" i="8" s="1"/>
  <c r="H6" i="8"/>
  <c r="F6" i="8"/>
  <c r="D6" i="8"/>
  <c r="G6" i="8" s="1"/>
  <c r="Q6" i="8" s="1"/>
  <c r="H5" i="8"/>
  <c r="F5" i="8"/>
  <c r="D5" i="8"/>
  <c r="G5" i="8" s="1"/>
  <c r="Q5" i="8" s="1"/>
  <c r="H4" i="8"/>
  <c r="F4" i="8"/>
  <c r="D4" i="8"/>
  <c r="G4" i="8" s="1"/>
  <c r="Q4" i="8" s="1"/>
  <c r="H3" i="8"/>
  <c r="F3" i="8"/>
  <c r="D3" i="8"/>
  <c r="G3" i="8" s="1"/>
  <c r="Q3" i="8" s="1"/>
  <c r="H2" i="8"/>
  <c r="F2" i="8"/>
  <c r="D2" i="8"/>
  <c r="G2" i="8" s="1"/>
  <c r="Q2" i="8" s="1"/>
  <c r="H144" i="7"/>
  <c r="F144" i="7"/>
  <c r="D144" i="7"/>
  <c r="G144" i="7" s="1"/>
  <c r="H143" i="7"/>
  <c r="F143" i="7"/>
  <c r="D143" i="7"/>
  <c r="G143" i="7" s="1"/>
  <c r="H142" i="7"/>
  <c r="F142" i="7"/>
  <c r="D142" i="7"/>
  <c r="G142" i="7" s="1"/>
  <c r="H128" i="7"/>
  <c r="F128" i="7"/>
  <c r="D128" i="7"/>
  <c r="G128" i="7" s="1"/>
  <c r="H127" i="7"/>
  <c r="F127" i="7"/>
  <c r="D127" i="7"/>
  <c r="G127" i="7" s="1"/>
  <c r="H126" i="7"/>
  <c r="F126" i="7"/>
  <c r="D126" i="7"/>
  <c r="G126" i="7" s="1"/>
  <c r="H125" i="7"/>
  <c r="F125" i="7"/>
  <c r="D125" i="7"/>
  <c r="G125" i="7" s="1"/>
  <c r="H124" i="7"/>
  <c r="F124" i="7"/>
  <c r="D124" i="7"/>
  <c r="G124" i="7" s="1"/>
  <c r="H123" i="7"/>
  <c r="F123" i="7"/>
  <c r="D123" i="7"/>
  <c r="G123" i="7" s="1"/>
  <c r="H122" i="7"/>
  <c r="F122" i="7"/>
  <c r="D122" i="7"/>
  <c r="G122" i="7" s="1"/>
  <c r="H121" i="7"/>
  <c r="F121" i="7"/>
  <c r="D121" i="7"/>
  <c r="G121" i="7" s="1"/>
  <c r="H120" i="7"/>
  <c r="F120" i="7"/>
  <c r="D120" i="7"/>
  <c r="G120" i="7" s="1"/>
  <c r="H119" i="7"/>
  <c r="F119" i="7"/>
  <c r="D119" i="7"/>
  <c r="G119" i="7" s="1"/>
  <c r="H79" i="7"/>
  <c r="F79" i="7"/>
  <c r="D79" i="7"/>
  <c r="G79" i="7" s="1"/>
  <c r="H111" i="7"/>
  <c r="F111" i="7"/>
  <c r="D111" i="7"/>
  <c r="G111" i="7" s="1"/>
  <c r="H110" i="7"/>
  <c r="F110" i="7"/>
  <c r="D110" i="7"/>
  <c r="G110" i="7" s="1"/>
  <c r="H109" i="7"/>
  <c r="F109" i="7"/>
  <c r="D109" i="7"/>
  <c r="G109" i="7" s="1"/>
  <c r="H108" i="7"/>
  <c r="F108" i="7"/>
  <c r="D108" i="7"/>
  <c r="G108" i="7" s="1"/>
  <c r="H107" i="7"/>
  <c r="F107" i="7"/>
  <c r="D107" i="7"/>
  <c r="G107" i="7" s="1"/>
  <c r="H106" i="7"/>
  <c r="F106" i="7"/>
  <c r="D106" i="7"/>
  <c r="G106" i="7" s="1"/>
  <c r="H118" i="7"/>
  <c r="F118" i="7"/>
  <c r="D118" i="7"/>
  <c r="G118" i="7" s="1"/>
  <c r="H117" i="7"/>
  <c r="F117" i="7"/>
  <c r="D117" i="7"/>
  <c r="G117" i="7" s="1"/>
  <c r="H105" i="7"/>
  <c r="F105" i="7"/>
  <c r="D105" i="7"/>
  <c r="G105" i="7" s="1"/>
  <c r="H75" i="7"/>
  <c r="F75" i="7"/>
  <c r="D75" i="7"/>
  <c r="G75" i="7" s="1"/>
  <c r="H78" i="7"/>
  <c r="F78" i="7"/>
  <c r="D78" i="7"/>
  <c r="G78" i="7" s="1"/>
  <c r="H104" i="7"/>
  <c r="F104" i="7"/>
  <c r="D104" i="7"/>
  <c r="G104" i="7" s="1"/>
  <c r="H103" i="7"/>
  <c r="F103" i="7"/>
  <c r="D103" i="7"/>
  <c r="G103" i="7" s="1"/>
  <c r="H102" i="7"/>
  <c r="F102" i="7"/>
  <c r="D102" i="7"/>
  <c r="G102" i="7" s="1"/>
  <c r="H101" i="7"/>
  <c r="F101" i="7"/>
  <c r="D101" i="7"/>
  <c r="G101" i="7" s="1"/>
  <c r="H100" i="7"/>
  <c r="F100" i="7"/>
  <c r="D100" i="7"/>
  <c r="G100" i="7" s="1"/>
  <c r="H99" i="7"/>
  <c r="F99" i="7"/>
  <c r="D99" i="7"/>
  <c r="G99" i="7" s="1"/>
  <c r="H98" i="7"/>
  <c r="F98" i="7"/>
  <c r="D98" i="7"/>
  <c r="G98" i="7" s="1"/>
  <c r="H74" i="7"/>
  <c r="F74" i="7"/>
  <c r="D74" i="7"/>
  <c r="G74" i="7" s="1"/>
  <c r="H73" i="7"/>
  <c r="F73" i="7"/>
  <c r="D73" i="7"/>
  <c r="G73" i="7" s="1"/>
  <c r="H72" i="7"/>
  <c r="F72" i="7"/>
  <c r="D72" i="7"/>
  <c r="G72" i="7" s="1"/>
  <c r="H81" i="7"/>
  <c r="F81" i="7"/>
  <c r="D81" i="7"/>
  <c r="G81" i="7" s="1"/>
  <c r="H71" i="7"/>
  <c r="F71" i="7"/>
  <c r="D71" i="7"/>
  <c r="G71" i="7" s="1"/>
  <c r="H97" i="7"/>
  <c r="F97" i="7"/>
  <c r="D97" i="7"/>
  <c r="G97" i="7" s="1"/>
  <c r="H80" i="7"/>
  <c r="F80" i="7"/>
  <c r="D80" i="7"/>
  <c r="G80" i="7" s="1"/>
  <c r="H70" i="7"/>
  <c r="F70" i="7"/>
  <c r="D70" i="7"/>
  <c r="G70" i="7" s="1"/>
  <c r="H96" i="7"/>
  <c r="F96" i="7"/>
  <c r="D96" i="7"/>
  <c r="G96" i="7" s="1"/>
  <c r="H95" i="7"/>
  <c r="F95" i="7"/>
  <c r="D95" i="7"/>
  <c r="G95" i="7" s="1"/>
  <c r="H94" i="7"/>
  <c r="F94" i="7"/>
  <c r="D94" i="7"/>
  <c r="G94" i="7" s="1"/>
  <c r="H93" i="7"/>
  <c r="F93" i="7"/>
  <c r="D93" i="7"/>
  <c r="G93" i="7" s="1"/>
  <c r="H92" i="7"/>
  <c r="F92" i="7"/>
  <c r="D92" i="7"/>
  <c r="G92" i="7" s="1"/>
  <c r="H69" i="7"/>
  <c r="F69" i="7"/>
  <c r="D69" i="7"/>
  <c r="G69" i="7" s="1"/>
  <c r="H68" i="7"/>
  <c r="F68" i="7"/>
  <c r="D68" i="7"/>
  <c r="G68" i="7" s="1"/>
  <c r="H91" i="7"/>
  <c r="F91" i="7"/>
  <c r="D91" i="7"/>
  <c r="G91" i="7" s="1"/>
  <c r="H90" i="7"/>
  <c r="F90" i="7"/>
  <c r="D90" i="7"/>
  <c r="G90" i="7" s="1"/>
  <c r="H67" i="7"/>
  <c r="F67" i="7"/>
  <c r="D67" i="7"/>
  <c r="G67" i="7" s="1"/>
  <c r="H89" i="7"/>
  <c r="F89" i="7"/>
  <c r="D89" i="7"/>
  <c r="G89" i="7" s="1"/>
  <c r="H66" i="7"/>
  <c r="F66" i="7"/>
  <c r="D66" i="7"/>
  <c r="G66" i="7" s="1"/>
  <c r="H88" i="7"/>
  <c r="F88" i="7"/>
  <c r="D88" i="7"/>
  <c r="G88" i="7" s="1"/>
  <c r="H65" i="7"/>
  <c r="F65" i="7"/>
  <c r="D65" i="7"/>
  <c r="G65" i="7" s="1"/>
  <c r="H64" i="7"/>
  <c r="F64" i="7"/>
  <c r="D64" i="7"/>
  <c r="G64" i="7" s="1"/>
  <c r="H63" i="7"/>
  <c r="F63" i="7"/>
  <c r="D63" i="7"/>
  <c r="G63" i="7" s="1"/>
  <c r="H62" i="7"/>
  <c r="F62" i="7"/>
  <c r="D62" i="7"/>
  <c r="G62" i="7" s="1"/>
  <c r="H61" i="7"/>
  <c r="F61" i="7"/>
  <c r="D61" i="7"/>
  <c r="G61" i="7" s="1"/>
  <c r="H60" i="7"/>
  <c r="F60" i="7"/>
  <c r="D60" i="7"/>
  <c r="G60" i="7" s="1"/>
  <c r="H59" i="7"/>
  <c r="F59" i="7"/>
  <c r="D59" i="7"/>
  <c r="G59" i="7" s="1"/>
  <c r="H84" i="7"/>
  <c r="F84" i="7"/>
  <c r="D84" i="7"/>
  <c r="G84" i="7" s="1"/>
  <c r="H83" i="7"/>
  <c r="F83" i="7"/>
  <c r="D83" i="7"/>
  <c r="G83" i="7" s="1"/>
  <c r="H82" i="7"/>
  <c r="F82" i="7"/>
  <c r="D82" i="7"/>
  <c r="G82" i="7" s="1"/>
  <c r="H43" i="7"/>
  <c r="F43" i="7"/>
  <c r="D43" i="7"/>
  <c r="G43" i="7" s="1"/>
  <c r="H40" i="7"/>
  <c r="F40" i="7"/>
  <c r="D40" i="7"/>
  <c r="G40" i="7" s="1"/>
  <c r="H26" i="7"/>
  <c r="F26" i="7"/>
  <c r="D26" i="7"/>
  <c r="G26" i="7" s="1"/>
  <c r="H39" i="7"/>
  <c r="F39" i="7"/>
  <c r="D39" i="7"/>
  <c r="G39" i="7" s="1"/>
  <c r="H38" i="7"/>
  <c r="F38" i="7"/>
  <c r="D38" i="7"/>
  <c r="G38" i="7" s="1"/>
  <c r="H34" i="7"/>
  <c r="F34" i="7"/>
  <c r="D34" i="7"/>
  <c r="G34" i="7" s="1"/>
  <c r="H33" i="7"/>
  <c r="F33" i="7"/>
  <c r="D33" i="7"/>
  <c r="G33" i="7" s="1"/>
  <c r="H32" i="7"/>
  <c r="F32" i="7"/>
  <c r="D32" i="7"/>
  <c r="G32" i="7" s="1"/>
  <c r="H31" i="7"/>
  <c r="F31" i="7"/>
  <c r="D31" i="7"/>
  <c r="G31" i="7" s="1"/>
  <c r="H37" i="7"/>
  <c r="F37" i="7"/>
  <c r="D37" i="7"/>
  <c r="G37" i="7" s="1"/>
  <c r="H25" i="7"/>
  <c r="F25" i="7"/>
  <c r="D25" i="7"/>
  <c r="G25" i="7" s="1"/>
  <c r="H24" i="7"/>
  <c r="F24" i="7"/>
  <c r="D24" i="7"/>
  <c r="G24" i="7" s="1"/>
  <c r="H23" i="7"/>
  <c r="F23" i="7"/>
  <c r="D23" i="7"/>
  <c r="G23" i="7" s="1"/>
  <c r="H22" i="7"/>
  <c r="F22" i="7"/>
  <c r="D22" i="7"/>
  <c r="G22" i="7" s="1"/>
  <c r="H21" i="7"/>
  <c r="F21" i="7"/>
  <c r="D21" i="7"/>
  <c r="G21" i="7" s="1"/>
  <c r="H36" i="7"/>
  <c r="F36" i="7"/>
  <c r="D36" i="7"/>
  <c r="G36" i="7" s="1"/>
  <c r="H35" i="7"/>
  <c r="F35" i="7"/>
  <c r="D35" i="7"/>
  <c r="G35" i="7" s="1"/>
  <c r="H20" i="7"/>
  <c r="F20" i="7"/>
  <c r="D20" i="7"/>
  <c r="G20" i="7" s="1"/>
  <c r="H10" i="7"/>
  <c r="F10" i="7"/>
  <c r="D10" i="7"/>
  <c r="G10" i="7" s="1"/>
  <c r="H45" i="7"/>
  <c r="F45" i="7"/>
  <c r="D45" i="7"/>
  <c r="G45" i="7" s="1"/>
  <c r="H19" i="7"/>
  <c r="F19" i="7"/>
  <c r="D19" i="7"/>
  <c r="G19" i="7" s="1"/>
  <c r="H18" i="7"/>
  <c r="F18" i="7"/>
  <c r="D18" i="7"/>
  <c r="G18" i="7" s="1"/>
  <c r="H17" i="7"/>
  <c r="F17" i="7"/>
  <c r="D17" i="7"/>
  <c r="G17" i="7" s="1"/>
  <c r="H9" i="7"/>
  <c r="F9" i="7"/>
  <c r="D9" i="7"/>
  <c r="G9" i="7" s="1"/>
  <c r="H16" i="7"/>
  <c r="F16" i="7"/>
  <c r="D16" i="7"/>
  <c r="G16" i="7" s="1"/>
  <c r="H15" i="7"/>
  <c r="F15" i="7"/>
  <c r="D15" i="7"/>
  <c r="G15" i="7" s="1"/>
  <c r="H8" i="7"/>
  <c r="F8" i="7"/>
  <c r="D8" i="7"/>
  <c r="G8" i="7" s="1"/>
  <c r="H14" i="7"/>
  <c r="F14" i="7"/>
  <c r="D14" i="7"/>
  <c r="G14" i="7" s="1"/>
  <c r="H7" i="7"/>
  <c r="F7" i="7"/>
  <c r="D7" i="7"/>
  <c r="G7" i="7" s="1"/>
  <c r="H6" i="7"/>
  <c r="F6" i="7"/>
  <c r="D6" i="7"/>
  <c r="G6" i="7" s="1"/>
  <c r="H5" i="7"/>
  <c r="F5" i="7"/>
  <c r="D5" i="7"/>
  <c r="G5" i="7" s="1"/>
  <c r="H4" i="7"/>
  <c r="F4" i="7"/>
  <c r="D4" i="7"/>
  <c r="G4" i="7" s="1"/>
  <c r="H3" i="7"/>
  <c r="F3" i="7"/>
  <c r="D3" i="7"/>
  <c r="G3" i="7" s="1"/>
  <c r="H13" i="7"/>
  <c r="F13" i="7"/>
  <c r="D13" i="7"/>
  <c r="G13" i="7" s="1"/>
  <c r="H2" i="7"/>
  <c r="F2" i="7"/>
  <c r="D2" i="7"/>
  <c r="G2" i="7" s="1"/>
  <c r="H144" i="6"/>
  <c r="F144" i="6"/>
  <c r="D144" i="6"/>
  <c r="G144" i="6" s="1"/>
  <c r="H143" i="6"/>
  <c r="F143" i="6"/>
  <c r="D143" i="6"/>
  <c r="G143" i="6" s="1"/>
  <c r="H142" i="6"/>
  <c r="F142" i="6"/>
  <c r="D142" i="6"/>
  <c r="G142" i="6" s="1"/>
  <c r="I142" i="6" s="1"/>
  <c r="H125" i="6"/>
  <c r="F125" i="6"/>
  <c r="D125" i="6"/>
  <c r="G125" i="6" s="1"/>
  <c r="H124" i="6"/>
  <c r="F124" i="6"/>
  <c r="D124" i="6"/>
  <c r="G124" i="6" s="1"/>
  <c r="I124" i="6" s="1"/>
  <c r="H123" i="6"/>
  <c r="F123" i="6"/>
  <c r="D123" i="6"/>
  <c r="G123" i="6" s="1"/>
  <c r="H122" i="6"/>
  <c r="F122" i="6"/>
  <c r="D122" i="6"/>
  <c r="G122" i="6" s="1"/>
  <c r="K122" i="6" s="1"/>
  <c r="N122" i="6" s="1"/>
  <c r="H121" i="6"/>
  <c r="F121" i="6"/>
  <c r="D121" i="6"/>
  <c r="G121" i="6" s="1"/>
  <c r="H119" i="6"/>
  <c r="F119" i="6"/>
  <c r="D119" i="6"/>
  <c r="G119" i="6" s="1"/>
  <c r="H117" i="6"/>
  <c r="F117" i="6"/>
  <c r="D117" i="6"/>
  <c r="G117" i="6" s="1"/>
  <c r="H118" i="6"/>
  <c r="F118" i="6"/>
  <c r="D118" i="6"/>
  <c r="G118" i="6" s="1"/>
  <c r="H120" i="6"/>
  <c r="F120" i="6"/>
  <c r="D120" i="6"/>
  <c r="G120" i="6" s="1"/>
  <c r="H109" i="6"/>
  <c r="F109" i="6"/>
  <c r="D109" i="6"/>
  <c r="G109" i="6" s="1"/>
  <c r="H105" i="6"/>
  <c r="F105" i="6"/>
  <c r="D105" i="6"/>
  <c r="G105" i="6" s="1"/>
  <c r="O105" i="6" s="1"/>
  <c r="H108" i="6"/>
  <c r="F108" i="6"/>
  <c r="D108" i="6"/>
  <c r="G108" i="6" s="1"/>
  <c r="H104" i="6"/>
  <c r="F104" i="6"/>
  <c r="D104" i="6"/>
  <c r="G104" i="6" s="1"/>
  <c r="O104" i="6" s="1"/>
  <c r="H103" i="6"/>
  <c r="F103" i="6"/>
  <c r="D103" i="6"/>
  <c r="G103" i="6" s="1"/>
  <c r="J103" i="6" s="1"/>
  <c r="H102" i="6"/>
  <c r="F102" i="6"/>
  <c r="D102" i="6"/>
  <c r="G102" i="6" s="1"/>
  <c r="O102" i="6" s="1"/>
  <c r="H101" i="6"/>
  <c r="F101" i="6"/>
  <c r="D101" i="6"/>
  <c r="G101" i="6" s="1"/>
  <c r="O101" i="6" s="1"/>
  <c r="H100" i="6"/>
  <c r="F100" i="6"/>
  <c r="D100" i="6"/>
  <c r="G100" i="6" s="1"/>
  <c r="K100" i="6" s="1"/>
  <c r="M100" i="6" s="1"/>
  <c r="H99" i="6"/>
  <c r="F99" i="6"/>
  <c r="D99" i="6"/>
  <c r="G99" i="6" s="1"/>
  <c r="O99" i="6" s="1"/>
  <c r="H97" i="6"/>
  <c r="F97" i="6"/>
  <c r="D97" i="6"/>
  <c r="G97" i="6" s="1"/>
  <c r="O97" i="6" s="1"/>
  <c r="H96" i="6"/>
  <c r="F96" i="6"/>
  <c r="D96" i="6"/>
  <c r="G96" i="6" s="1"/>
  <c r="L96" i="6" s="1"/>
  <c r="H95" i="6"/>
  <c r="F95" i="6"/>
  <c r="D95" i="6"/>
  <c r="G95" i="6" s="1"/>
  <c r="O95" i="6" s="1"/>
  <c r="H98" i="6"/>
  <c r="F98" i="6"/>
  <c r="D98" i="6"/>
  <c r="G98" i="6" s="1"/>
  <c r="O98" i="6" s="1"/>
  <c r="H94" i="6"/>
  <c r="F94" i="6"/>
  <c r="D94" i="6"/>
  <c r="G94" i="6" s="1"/>
  <c r="O94" i="6" s="1"/>
  <c r="H89" i="6"/>
  <c r="F89" i="6"/>
  <c r="D89" i="6"/>
  <c r="G89" i="6" s="1"/>
  <c r="O89" i="6" s="1"/>
  <c r="H93" i="6"/>
  <c r="F93" i="6"/>
  <c r="D93" i="6"/>
  <c r="G93" i="6" s="1"/>
  <c r="L93" i="6" s="1"/>
  <c r="H92" i="6"/>
  <c r="F92" i="6"/>
  <c r="D92" i="6"/>
  <c r="G92" i="6" s="1"/>
  <c r="O92" i="6" s="1"/>
  <c r="H91" i="6"/>
  <c r="F91" i="6"/>
  <c r="D91" i="6"/>
  <c r="G91" i="6" s="1"/>
  <c r="O91" i="6" s="1"/>
  <c r="H90" i="6"/>
  <c r="F90" i="6"/>
  <c r="D90" i="6"/>
  <c r="G90" i="6" s="1"/>
  <c r="L90" i="6" s="1"/>
  <c r="H88" i="6"/>
  <c r="F88" i="6"/>
  <c r="D88" i="6"/>
  <c r="G88" i="6" s="1"/>
  <c r="O88" i="6" s="1"/>
  <c r="H86" i="6"/>
  <c r="F86" i="6"/>
  <c r="D86" i="6"/>
  <c r="G86" i="6" s="1"/>
  <c r="L86" i="6" s="1"/>
  <c r="H85" i="6"/>
  <c r="F85" i="6"/>
  <c r="D85" i="6"/>
  <c r="G85" i="6" s="1"/>
  <c r="J85" i="6" s="1"/>
  <c r="H83" i="6"/>
  <c r="F83" i="6"/>
  <c r="D83" i="6"/>
  <c r="G83" i="6" s="1"/>
  <c r="O83" i="6" s="1"/>
  <c r="H79" i="6"/>
  <c r="F79" i="6"/>
  <c r="D79" i="6"/>
  <c r="G79" i="6" s="1"/>
  <c r="O79" i="6" s="1"/>
  <c r="H84" i="6"/>
  <c r="F84" i="6"/>
  <c r="D84" i="6"/>
  <c r="G84" i="6" s="1"/>
  <c r="O84" i="6" s="1"/>
  <c r="H82" i="6"/>
  <c r="F82" i="6"/>
  <c r="D82" i="6"/>
  <c r="G82" i="6" s="1"/>
  <c r="O82" i="6" s="1"/>
  <c r="H81" i="6"/>
  <c r="F81" i="6"/>
  <c r="D81" i="6"/>
  <c r="G81" i="6" s="1"/>
  <c r="O81" i="6" s="1"/>
  <c r="H80" i="6"/>
  <c r="F80" i="6"/>
  <c r="D80" i="6"/>
  <c r="G80" i="6" s="1"/>
  <c r="O80" i="6" s="1"/>
  <c r="H78" i="6"/>
  <c r="F78" i="6"/>
  <c r="D78" i="6"/>
  <c r="G78" i="6" s="1"/>
  <c r="O78" i="6" s="1"/>
  <c r="H77" i="6"/>
  <c r="F77" i="6"/>
  <c r="D77" i="6"/>
  <c r="G77" i="6" s="1"/>
  <c r="O77" i="6" s="1"/>
  <c r="H76" i="6"/>
  <c r="F76" i="6"/>
  <c r="D76" i="6"/>
  <c r="G76" i="6" s="1"/>
  <c r="O76" i="6" s="1"/>
  <c r="H75" i="6"/>
  <c r="F75" i="6"/>
  <c r="D75" i="6"/>
  <c r="G75" i="6" s="1"/>
  <c r="O75" i="6" s="1"/>
  <c r="H74" i="6"/>
  <c r="F74" i="6"/>
  <c r="D74" i="6"/>
  <c r="G74" i="6" s="1"/>
  <c r="O74" i="6" s="1"/>
  <c r="H73" i="6"/>
  <c r="F73" i="6"/>
  <c r="D73" i="6"/>
  <c r="G73" i="6" s="1"/>
  <c r="O73" i="6" s="1"/>
  <c r="H72" i="6"/>
  <c r="F72" i="6"/>
  <c r="D72" i="6"/>
  <c r="G72" i="6" s="1"/>
  <c r="O72" i="6" s="1"/>
  <c r="H70" i="6"/>
  <c r="F70" i="6"/>
  <c r="D70" i="6"/>
  <c r="G70" i="6" s="1"/>
  <c r="L70" i="6" s="1"/>
  <c r="H69" i="6"/>
  <c r="F69" i="6"/>
  <c r="D69" i="6"/>
  <c r="G69" i="6" s="1"/>
  <c r="O69" i="6" s="1"/>
  <c r="H71" i="6"/>
  <c r="F71" i="6"/>
  <c r="D71" i="6"/>
  <c r="G71" i="6" s="1"/>
  <c r="H68" i="6"/>
  <c r="F68" i="6"/>
  <c r="D68" i="6"/>
  <c r="G68" i="6" s="1"/>
  <c r="O68" i="6" s="1"/>
  <c r="H67" i="6"/>
  <c r="F67" i="6"/>
  <c r="D67" i="6"/>
  <c r="G67" i="6" s="1"/>
  <c r="I67" i="6" s="1"/>
  <c r="H66" i="6"/>
  <c r="F66" i="6"/>
  <c r="D66" i="6"/>
  <c r="G66" i="6" s="1"/>
  <c r="I66" i="6" s="1"/>
  <c r="H65" i="6"/>
  <c r="F65" i="6"/>
  <c r="D65" i="6"/>
  <c r="G65" i="6" s="1"/>
  <c r="O65" i="6" s="1"/>
  <c r="H63" i="6"/>
  <c r="F63" i="6"/>
  <c r="D63" i="6"/>
  <c r="G63" i="6" s="1"/>
  <c r="O63" i="6" s="1"/>
  <c r="H64" i="6"/>
  <c r="F64" i="6"/>
  <c r="D64" i="6"/>
  <c r="G64" i="6" s="1"/>
  <c r="O64" i="6" s="1"/>
  <c r="H62" i="6"/>
  <c r="F62" i="6"/>
  <c r="D62" i="6"/>
  <c r="G62" i="6" s="1"/>
  <c r="I62" i="6" s="1"/>
  <c r="H61" i="6"/>
  <c r="F61" i="6"/>
  <c r="D61" i="6"/>
  <c r="G61" i="6" s="1"/>
  <c r="K61" i="6" s="1"/>
  <c r="M61" i="6" s="1"/>
  <c r="H60" i="6"/>
  <c r="F60" i="6"/>
  <c r="D60" i="6"/>
  <c r="G60" i="6" s="1"/>
  <c r="O60" i="6" s="1"/>
  <c r="H59" i="6"/>
  <c r="F59" i="6"/>
  <c r="D59" i="6"/>
  <c r="G59" i="6" s="1"/>
  <c r="L59" i="6" s="1"/>
  <c r="H47" i="6"/>
  <c r="F47" i="6"/>
  <c r="D47" i="6"/>
  <c r="G47" i="6" s="1"/>
  <c r="J47" i="6" s="1"/>
  <c r="H46" i="6"/>
  <c r="F46" i="6"/>
  <c r="D46" i="6"/>
  <c r="G46" i="6" s="1"/>
  <c r="H45" i="6"/>
  <c r="F45" i="6"/>
  <c r="D45" i="6"/>
  <c r="G45" i="6" s="1"/>
  <c r="H41" i="6"/>
  <c r="F41" i="6"/>
  <c r="D41" i="6"/>
  <c r="G41" i="6" s="1"/>
  <c r="H40" i="6"/>
  <c r="F40" i="6"/>
  <c r="D40" i="6"/>
  <c r="G40" i="6" s="1"/>
  <c r="L40" i="6" s="1"/>
  <c r="H39" i="6"/>
  <c r="F39" i="6"/>
  <c r="D39" i="6"/>
  <c r="G39" i="6" s="1"/>
  <c r="H38" i="6"/>
  <c r="F38" i="6"/>
  <c r="D38" i="6"/>
  <c r="G38" i="6" s="1"/>
  <c r="H27" i="6"/>
  <c r="F27" i="6"/>
  <c r="D27" i="6"/>
  <c r="G27" i="6" s="1"/>
  <c r="O27" i="6" s="1"/>
  <c r="H33" i="6"/>
  <c r="F33" i="6"/>
  <c r="D33" i="6"/>
  <c r="G33" i="6" s="1"/>
  <c r="O33" i="6" s="1"/>
  <c r="H14" i="6"/>
  <c r="F14" i="6"/>
  <c r="D14" i="6"/>
  <c r="G14" i="6" s="1"/>
  <c r="L14" i="6" s="1"/>
  <c r="H35" i="6"/>
  <c r="F35" i="6"/>
  <c r="D35" i="6"/>
  <c r="G35" i="6" s="1"/>
  <c r="O35" i="6" s="1"/>
  <c r="H34" i="6"/>
  <c r="F34" i="6"/>
  <c r="D34" i="6"/>
  <c r="G34" i="6" s="1"/>
  <c r="O34" i="6" s="1"/>
  <c r="H20" i="6"/>
  <c r="F20" i="6"/>
  <c r="D20" i="6"/>
  <c r="G20" i="6" s="1"/>
  <c r="O20" i="6" s="1"/>
  <c r="H31" i="6"/>
  <c r="F31" i="6"/>
  <c r="D31" i="6"/>
  <c r="G31" i="6" s="1"/>
  <c r="O31" i="6" s="1"/>
  <c r="H32" i="6"/>
  <c r="F32" i="6"/>
  <c r="D32" i="6"/>
  <c r="G32" i="6" s="1"/>
  <c r="I32" i="6" s="1"/>
  <c r="H26" i="6"/>
  <c r="F26" i="6"/>
  <c r="D26" i="6"/>
  <c r="G26" i="6" s="1"/>
  <c r="L26" i="6" s="1"/>
  <c r="H25" i="6"/>
  <c r="F25" i="6"/>
  <c r="D25" i="6"/>
  <c r="G25" i="6" s="1"/>
  <c r="O25" i="6" s="1"/>
  <c r="H24" i="6"/>
  <c r="F24" i="6"/>
  <c r="D24" i="6"/>
  <c r="G24" i="6" s="1"/>
  <c r="O24" i="6" s="1"/>
  <c r="H23" i="6"/>
  <c r="F23" i="6"/>
  <c r="D23" i="6"/>
  <c r="G23" i="6" s="1"/>
  <c r="O23" i="6" s="1"/>
  <c r="H22" i="6"/>
  <c r="F22" i="6"/>
  <c r="D22" i="6"/>
  <c r="G22" i="6" s="1"/>
  <c r="O22" i="6" s="1"/>
  <c r="H21" i="6"/>
  <c r="F21" i="6"/>
  <c r="D21" i="6"/>
  <c r="G21" i="6" s="1"/>
  <c r="O21" i="6" s="1"/>
  <c r="H19" i="6"/>
  <c r="F19" i="6"/>
  <c r="D19" i="6"/>
  <c r="G19" i="6" s="1"/>
  <c r="O19" i="6" s="1"/>
  <c r="H18" i="6"/>
  <c r="F18" i="6"/>
  <c r="D18" i="6"/>
  <c r="G18" i="6" s="1"/>
  <c r="H13" i="6"/>
  <c r="F13" i="6"/>
  <c r="D13" i="6"/>
  <c r="G13" i="6" s="1"/>
  <c r="K13" i="6" s="1"/>
  <c r="H12" i="6"/>
  <c r="F12" i="6"/>
  <c r="D12" i="6"/>
  <c r="G12" i="6" s="1"/>
  <c r="H17" i="6"/>
  <c r="F17" i="6"/>
  <c r="D17" i="6"/>
  <c r="G17" i="6" s="1"/>
  <c r="O17" i="6" s="1"/>
  <c r="H16" i="6"/>
  <c r="F16" i="6"/>
  <c r="D16" i="6"/>
  <c r="G16" i="6" s="1"/>
  <c r="O16" i="6" s="1"/>
  <c r="H15" i="6"/>
  <c r="F15" i="6"/>
  <c r="D15" i="6"/>
  <c r="G15" i="6" s="1"/>
  <c r="O15" i="6" s="1"/>
  <c r="H11" i="6"/>
  <c r="F11" i="6"/>
  <c r="D11" i="6"/>
  <c r="G11" i="6" s="1"/>
  <c r="O11" i="6" s="1"/>
  <c r="H10" i="6"/>
  <c r="F10" i="6"/>
  <c r="D10" i="6"/>
  <c r="G10" i="6" s="1"/>
  <c r="J10" i="6" s="1"/>
  <c r="H9" i="6"/>
  <c r="F9" i="6"/>
  <c r="D9" i="6"/>
  <c r="G9" i="6" s="1"/>
  <c r="H8" i="6"/>
  <c r="F8" i="6"/>
  <c r="D8" i="6"/>
  <c r="G8" i="6" s="1"/>
  <c r="O8" i="6" s="1"/>
  <c r="H7" i="6"/>
  <c r="F7" i="6"/>
  <c r="D7" i="6"/>
  <c r="G7" i="6" s="1"/>
  <c r="I7" i="6" s="1"/>
  <c r="H6" i="6"/>
  <c r="F6" i="6"/>
  <c r="D6" i="6"/>
  <c r="G6" i="6" s="1"/>
  <c r="O6" i="6" s="1"/>
  <c r="H5" i="6"/>
  <c r="F5" i="6"/>
  <c r="D5" i="6"/>
  <c r="G5" i="6" s="1"/>
  <c r="O5" i="6" s="1"/>
  <c r="H4" i="6"/>
  <c r="F4" i="6"/>
  <c r="D4" i="6"/>
  <c r="G4" i="6" s="1"/>
  <c r="O4" i="6" s="1"/>
  <c r="H3" i="6"/>
  <c r="F3" i="6"/>
  <c r="D3" i="6"/>
  <c r="G3" i="6" s="1"/>
  <c r="O3" i="6" s="1"/>
  <c r="H2" i="6"/>
  <c r="F2" i="6"/>
  <c r="D2" i="6"/>
  <c r="G2" i="6" s="1"/>
  <c r="I4" i="25" l="1"/>
  <c r="Q4" i="25"/>
  <c r="R10" i="25"/>
  <c r="Q10" i="25"/>
  <c r="R12" i="25"/>
  <c r="Q12" i="25"/>
  <c r="J2" i="25"/>
  <c r="Q2" i="25"/>
  <c r="M16" i="25"/>
  <c r="N16" i="25"/>
  <c r="S5" i="25"/>
  <c r="R5" i="25"/>
  <c r="O17" i="25"/>
  <c r="Q17" i="25"/>
  <c r="P17" i="25"/>
  <c r="T17" i="25"/>
  <c r="S17" i="25"/>
  <c r="R17" i="25"/>
  <c r="S6" i="25"/>
  <c r="R6" i="25"/>
  <c r="S15" i="25"/>
  <c r="R15" i="25"/>
  <c r="P15" i="25"/>
  <c r="Q15" i="25"/>
  <c r="O15" i="25"/>
  <c r="T15" i="25"/>
  <c r="T16" i="25"/>
  <c r="S16" i="25"/>
  <c r="R16" i="25"/>
  <c r="Q16" i="25"/>
  <c r="O16" i="25"/>
  <c r="P16" i="25"/>
  <c r="S2" i="25"/>
  <c r="R2" i="25"/>
  <c r="S7" i="25"/>
  <c r="R7" i="25"/>
  <c r="L6" i="25"/>
  <c r="Q6" i="25"/>
  <c r="N17" i="25"/>
  <c r="M17" i="25"/>
  <c r="S3" i="25"/>
  <c r="R3" i="25"/>
  <c r="R4" i="25"/>
  <c r="S4" i="25"/>
  <c r="Q11" i="25"/>
  <c r="R11" i="25"/>
  <c r="M63" i="25"/>
  <c r="M62" i="25"/>
  <c r="L16" i="25"/>
  <c r="L50" i="25"/>
  <c r="L47" i="25"/>
  <c r="L98" i="25"/>
  <c r="K98" i="25"/>
  <c r="J98" i="25"/>
  <c r="I98" i="25"/>
  <c r="L3" i="25"/>
  <c r="J3" i="25"/>
  <c r="I3" i="25"/>
  <c r="L103" i="25"/>
  <c r="K103" i="25"/>
  <c r="J103" i="25"/>
  <c r="I103" i="25"/>
  <c r="L81" i="25"/>
  <c r="K81" i="25"/>
  <c r="J81" i="25"/>
  <c r="I81" i="25"/>
  <c r="L117" i="25"/>
  <c r="J117" i="25"/>
  <c r="I117" i="25"/>
  <c r="K117" i="25"/>
  <c r="K96" i="25"/>
  <c r="J96" i="25"/>
  <c r="I96" i="25"/>
  <c r="L110" i="25"/>
  <c r="K110" i="25"/>
  <c r="J110" i="25"/>
  <c r="I110" i="25"/>
  <c r="L97" i="25"/>
  <c r="K97" i="25"/>
  <c r="J97" i="25"/>
  <c r="I97" i="25"/>
  <c r="L73" i="25"/>
  <c r="I73" i="25"/>
  <c r="K73" i="25"/>
  <c r="J73" i="25"/>
  <c r="L78" i="25"/>
  <c r="K78" i="25"/>
  <c r="J78" i="25"/>
  <c r="I78" i="25"/>
  <c r="L123" i="25"/>
  <c r="J123" i="25"/>
  <c r="K123" i="25"/>
  <c r="I123" i="25"/>
  <c r="L108" i="25"/>
  <c r="K108" i="25"/>
  <c r="J108" i="25"/>
  <c r="I108" i="25"/>
  <c r="L64" i="25"/>
  <c r="J64" i="25"/>
  <c r="O64" i="25" s="1"/>
  <c r="I64" i="25"/>
  <c r="K64" i="25"/>
  <c r="L120" i="25"/>
  <c r="K120" i="25"/>
  <c r="I120" i="25"/>
  <c r="J120" i="25"/>
  <c r="J95" i="25"/>
  <c r="I95" i="25"/>
  <c r="L95" i="25"/>
  <c r="K95" i="25"/>
  <c r="L68" i="25"/>
  <c r="K68" i="25"/>
  <c r="J68" i="25"/>
  <c r="O68" i="25" s="1"/>
  <c r="I68" i="25"/>
  <c r="K143" i="25"/>
  <c r="J105" i="25"/>
  <c r="I63" i="25"/>
  <c r="K105" i="25"/>
  <c r="J63" i="25"/>
  <c r="O63" i="25" s="1"/>
  <c r="I143" i="25"/>
  <c r="I105" i="25"/>
  <c r="I83" i="25"/>
  <c r="I113" i="25"/>
  <c r="I144" i="25"/>
  <c r="J83" i="25"/>
  <c r="J113" i="25"/>
  <c r="J144" i="25"/>
  <c r="K83" i="25"/>
  <c r="K113" i="25"/>
  <c r="K144" i="25"/>
  <c r="K3" i="25"/>
  <c r="I6" i="25"/>
  <c r="J6" i="25"/>
  <c r="K6" i="25"/>
  <c r="K24" i="25"/>
  <c r="J36" i="25"/>
  <c r="I36" i="25"/>
  <c r="L43" i="25"/>
  <c r="J43" i="25"/>
  <c r="K43" i="25"/>
  <c r="I10" i="25"/>
  <c r="L34" i="25"/>
  <c r="K34" i="25"/>
  <c r="I34" i="25"/>
  <c r="J34" i="25"/>
  <c r="K35" i="25"/>
  <c r="J16" i="25"/>
  <c r="I16" i="25"/>
  <c r="L46" i="25"/>
  <c r="J46" i="25"/>
  <c r="K46" i="25"/>
  <c r="L63" i="25"/>
  <c r="L84" i="25"/>
  <c r="K84" i="25"/>
  <c r="J84" i="25"/>
  <c r="I84" i="25"/>
  <c r="K79" i="25"/>
  <c r="J79" i="25"/>
  <c r="I79" i="25"/>
  <c r="L67" i="25"/>
  <c r="K67" i="25"/>
  <c r="J67" i="25"/>
  <c r="O67" i="25" s="1"/>
  <c r="I67" i="25"/>
  <c r="K70" i="25"/>
  <c r="J70" i="25"/>
  <c r="O70" i="25" s="1"/>
  <c r="I70" i="25"/>
  <c r="L122" i="25"/>
  <c r="K122" i="25"/>
  <c r="J122" i="25"/>
  <c r="I122" i="25"/>
  <c r="K15" i="25"/>
  <c r="L15" i="25"/>
  <c r="J15" i="25"/>
  <c r="I15" i="25"/>
  <c r="L17" i="25"/>
  <c r="K36" i="25"/>
  <c r="J44" i="25"/>
  <c r="I44" i="25"/>
  <c r="L62" i="25"/>
  <c r="K89" i="25"/>
  <c r="J89" i="25"/>
  <c r="I89" i="25"/>
  <c r="L82" i="25"/>
  <c r="K82" i="25"/>
  <c r="J82" i="25"/>
  <c r="I82" i="25"/>
  <c r="K101" i="25"/>
  <c r="J101" i="25"/>
  <c r="I101" i="25"/>
  <c r="L107" i="25"/>
  <c r="K107" i="25"/>
  <c r="J107" i="25"/>
  <c r="I107" i="25"/>
  <c r="K111" i="25"/>
  <c r="J111" i="25"/>
  <c r="I111" i="25"/>
  <c r="L142" i="25"/>
  <c r="K142" i="25"/>
  <c r="J142" i="25"/>
  <c r="I142" i="25"/>
  <c r="L11" i="25"/>
  <c r="J11" i="25"/>
  <c r="K11" i="25"/>
  <c r="K45" i="25"/>
  <c r="L45" i="25"/>
  <c r="J45" i="25"/>
  <c r="I45" i="25"/>
  <c r="K48" i="25"/>
  <c r="L48" i="25"/>
  <c r="J48" i="25"/>
  <c r="I48" i="25"/>
  <c r="L75" i="25"/>
  <c r="K75" i="25"/>
  <c r="J75" i="25"/>
  <c r="I75" i="25"/>
  <c r="K86" i="25"/>
  <c r="J86" i="25"/>
  <c r="I86" i="25"/>
  <c r="L102" i="25"/>
  <c r="K102" i="25"/>
  <c r="J102" i="25"/>
  <c r="I102" i="25"/>
  <c r="K106" i="25"/>
  <c r="J106" i="25"/>
  <c r="I106" i="25"/>
  <c r="L115" i="25"/>
  <c r="K115" i="25"/>
  <c r="J115" i="25"/>
  <c r="I115" i="25"/>
  <c r="K121" i="25"/>
  <c r="J121" i="25"/>
  <c r="I121" i="25"/>
  <c r="I11" i="25"/>
  <c r="L38" i="25"/>
  <c r="J38" i="25"/>
  <c r="K38" i="25"/>
  <c r="L20" i="25"/>
  <c r="K20" i="25"/>
  <c r="I20" i="25"/>
  <c r="K32" i="25"/>
  <c r="L32" i="25"/>
  <c r="J32" i="25"/>
  <c r="I32" i="25"/>
  <c r="J41" i="25"/>
  <c r="I41" i="25"/>
  <c r="I43" i="25"/>
  <c r="L49" i="25"/>
  <c r="J49" i="25"/>
  <c r="K49" i="25"/>
  <c r="L2" i="25"/>
  <c r="K2" i="25"/>
  <c r="N2" i="25" s="1"/>
  <c r="I2" i="25"/>
  <c r="K12" i="25"/>
  <c r="L12" i="25"/>
  <c r="J12" i="25"/>
  <c r="I12" i="25"/>
  <c r="L36" i="25"/>
  <c r="J47" i="25"/>
  <c r="I47" i="25"/>
  <c r="I49" i="25"/>
  <c r="L94" i="25"/>
  <c r="J94" i="25"/>
  <c r="K94" i="25"/>
  <c r="I94" i="25"/>
  <c r="K77" i="25"/>
  <c r="J77" i="25"/>
  <c r="I77" i="25"/>
  <c r="J20" i="25"/>
  <c r="K37" i="25"/>
  <c r="L37" i="25"/>
  <c r="J37" i="25"/>
  <c r="I37" i="25"/>
  <c r="K41" i="25"/>
  <c r="J50" i="25"/>
  <c r="I50" i="25"/>
  <c r="K61" i="25"/>
  <c r="J61" i="25"/>
  <c r="O61" i="25" s="1"/>
  <c r="I61" i="25"/>
  <c r="L88" i="25"/>
  <c r="K88" i="25"/>
  <c r="J88" i="25"/>
  <c r="K91" i="25"/>
  <c r="J91" i="25"/>
  <c r="I91" i="25"/>
  <c r="L100" i="25"/>
  <c r="K100" i="25"/>
  <c r="J100" i="25"/>
  <c r="I100" i="25"/>
  <c r="K65" i="25"/>
  <c r="J65" i="25"/>
  <c r="O65" i="25" s="1"/>
  <c r="I65" i="25"/>
  <c r="L109" i="25"/>
  <c r="K109" i="25"/>
  <c r="J109" i="25"/>
  <c r="I109" i="25"/>
  <c r="K114" i="25"/>
  <c r="J114" i="25"/>
  <c r="I114" i="25"/>
  <c r="L119" i="25"/>
  <c r="K119" i="25"/>
  <c r="J119" i="25"/>
  <c r="I119" i="25"/>
  <c r="L77" i="25"/>
  <c r="L23" i="25"/>
  <c r="J23" i="25"/>
  <c r="K23" i="25"/>
  <c r="L39" i="25"/>
  <c r="K39" i="25"/>
  <c r="J39" i="25"/>
  <c r="I39" i="25"/>
  <c r="L41" i="25"/>
  <c r="K44" i="25"/>
  <c r="L89" i="25"/>
  <c r="L101" i="25"/>
  <c r="L111" i="25"/>
  <c r="L4" i="25"/>
  <c r="J4" i="25"/>
  <c r="K4" i="25"/>
  <c r="J24" i="25"/>
  <c r="I24" i="25"/>
  <c r="L7" i="25"/>
  <c r="J7" i="25"/>
  <c r="K7" i="25"/>
  <c r="J35" i="25"/>
  <c r="I35" i="25"/>
  <c r="L59" i="25"/>
  <c r="K59" i="25"/>
  <c r="N59" i="25" s="1"/>
  <c r="J59" i="25"/>
  <c r="I59" i="25"/>
  <c r="L10" i="25"/>
  <c r="K10" i="25"/>
  <c r="J10" i="25"/>
  <c r="L5" i="25"/>
  <c r="K5" i="25"/>
  <c r="I5" i="25"/>
  <c r="J5" i="25"/>
  <c r="J17" i="25"/>
  <c r="I17" i="25"/>
  <c r="I7" i="25"/>
  <c r="L40" i="25"/>
  <c r="J40" i="25"/>
  <c r="K40" i="25"/>
  <c r="J62" i="25"/>
  <c r="O62" i="25" s="1"/>
  <c r="I62" i="25"/>
  <c r="L85" i="25"/>
  <c r="K85" i="25"/>
  <c r="J85" i="25"/>
  <c r="I85" i="25"/>
  <c r="K99" i="25"/>
  <c r="J99" i="25"/>
  <c r="I99" i="25"/>
  <c r="L104" i="25"/>
  <c r="K104" i="25"/>
  <c r="J104" i="25"/>
  <c r="I104" i="25"/>
  <c r="K69" i="25"/>
  <c r="J69" i="25"/>
  <c r="O69" i="25" s="1"/>
  <c r="I69" i="25"/>
  <c r="L33" i="25"/>
  <c r="K33" i="25"/>
  <c r="J33" i="25"/>
  <c r="K42" i="25"/>
  <c r="L42" i="25"/>
  <c r="J42" i="25"/>
  <c r="I42" i="25"/>
  <c r="L90" i="25"/>
  <c r="K90" i="25"/>
  <c r="J90" i="25"/>
  <c r="I90" i="25"/>
  <c r="K80" i="25"/>
  <c r="J80" i="25"/>
  <c r="I80" i="25"/>
  <c r="L74" i="25"/>
  <c r="K74" i="25"/>
  <c r="J74" i="25"/>
  <c r="I74" i="25"/>
  <c r="K66" i="25"/>
  <c r="J66" i="25"/>
  <c r="O66" i="25" s="1"/>
  <c r="I66" i="25"/>
  <c r="L112" i="25"/>
  <c r="K112" i="25"/>
  <c r="J112" i="25"/>
  <c r="I112" i="25"/>
  <c r="K118" i="25"/>
  <c r="J118" i="25"/>
  <c r="I118" i="25"/>
  <c r="J143" i="25"/>
  <c r="L96" i="25"/>
  <c r="J60" i="25"/>
  <c r="O60" i="25" s="1"/>
  <c r="I60" i="25"/>
  <c r="K60" i="25"/>
  <c r="R7" i="24"/>
  <c r="I115" i="24"/>
  <c r="J39" i="24"/>
  <c r="L39" i="24"/>
  <c r="K39" i="24"/>
  <c r="I39" i="24"/>
  <c r="J90" i="24"/>
  <c r="I119" i="24"/>
  <c r="R4" i="24"/>
  <c r="I4" i="24"/>
  <c r="J4" i="24"/>
  <c r="O4" i="24" s="1"/>
  <c r="S4" i="24"/>
  <c r="L4" i="24"/>
  <c r="K4" i="24"/>
  <c r="N4" i="24" s="1"/>
  <c r="K6" i="24"/>
  <c r="I6" i="24"/>
  <c r="L6" i="24"/>
  <c r="J6" i="24"/>
  <c r="O6" i="24" s="1"/>
  <c r="I49" i="24"/>
  <c r="L49" i="24"/>
  <c r="J49" i="24"/>
  <c r="K49" i="24"/>
  <c r="S5" i="24"/>
  <c r="L5" i="24"/>
  <c r="K5" i="24"/>
  <c r="N5" i="24" s="1"/>
  <c r="J5" i="24"/>
  <c r="P5" i="24" s="1"/>
  <c r="I5" i="24"/>
  <c r="I89" i="24"/>
  <c r="K89" i="24"/>
  <c r="J89" i="24"/>
  <c r="K32" i="24"/>
  <c r="L32" i="24"/>
  <c r="K37" i="24"/>
  <c r="J37" i="24"/>
  <c r="L37" i="24"/>
  <c r="I37" i="24"/>
  <c r="S7" i="24"/>
  <c r="I7" i="24"/>
  <c r="J7" i="24"/>
  <c r="P7" i="24" s="1"/>
  <c r="L61" i="24"/>
  <c r="I61" i="24"/>
  <c r="Q61" i="24"/>
  <c r="K61" i="24"/>
  <c r="N61" i="24" s="1"/>
  <c r="J61" i="24"/>
  <c r="O61" i="24" s="1"/>
  <c r="Q3" i="24"/>
  <c r="J109" i="24"/>
  <c r="K93" i="24"/>
  <c r="I112" i="24"/>
  <c r="R8" i="24"/>
  <c r="I12" i="24"/>
  <c r="K44" i="24"/>
  <c r="K12" i="24"/>
  <c r="L12" i="24"/>
  <c r="L3" i="24"/>
  <c r="K3" i="24"/>
  <c r="I3" i="24"/>
  <c r="S3" i="24"/>
  <c r="J3" i="24"/>
  <c r="P64" i="24"/>
  <c r="O64" i="24"/>
  <c r="J35" i="24"/>
  <c r="I35" i="24"/>
  <c r="L35" i="24"/>
  <c r="K35" i="24"/>
  <c r="J15" i="24"/>
  <c r="I15" i="24"/>
  <c r="L15" i="24"/>
  <c r="K15" i="24"/>
  <c r="J38" i="24"/>
  <c r="I38" i="24"/>
  <c r="K38" i="24"/>
  <c r="L38" i="24"/>
  <c r="K62" i="24"/>
  <c r="J62" i="24"/>
  <c r="I62" i="24"/>
  <c r="Q62" i="24"/>
  <c r="L62" i="24"/>
  <c r="J36" i="24"/>
  <c r="L36" i="24"/>
  <c r="K36" i="24"/>
  <c r="I36" i="24"/>
  <c r="J47" i="24"/>
  <c r="I47" i="24"/>
  <c r="L47" i="24"/>
  <c r="K47" i="24"/>
  <c r="J16" i="24"/>
  <c r="K16" i="24"/>
  <c r="I16" i="24"/>
  <c r="L16" i="24"/>
  <c r="J41" i="24"/>
  <c r="I41" i="24"/>
  <c r="L41" i="24"/>
  <c r="K41" i="24"/>
  <c r="J50" i="24"/>
  <c r="I50" i="24"/>
  <c r="L50" i="24"/>
  <c r="K50" i="24"/>
  <c r="J33" i="24"/>
  <c r="K33" i="24"/>
  <c r="I33" i="24"/>
  <c r="L33" i="24"/>
  <c r="K2" i="24"/>
  <c r="I2" i="24"/>
  <c r="S2" i="24"/>
  <c r="L2" i="24"/>
  <c r="J2" i="24"/>
  <c r="L48" i="24"/>
  <c r="J48" i="24"/>
  <c r="K48" i="24"/>
  <c r="I48" i="24"/>
  <c r="J42" i="24"/>
  <c r="K42" i="24"/>
  <c r="I42" i="24"/>
  <c r="L42" i="24"/>
  <c r="L51" i="24"/>
  <c r="J51" i="24"/>
  <c r="K51" i="24"/>
  <c r="I51" i="24"/>
  <c r="N63" i="24"/>
  <c r="M63" i="24"/>
  <c r="J45" i="24"/>
  <c r="I45" i="24"/>
  <c r="L45" i="24"/>
  <c r="K45" i="24"/>
  <c r="J88" i="24"/>
  <c r="I88" i="24"/>
  <c r="K88" i="24"/>
  <c r="L88" i="24"/>
  <c r="S6" i="24"/>
  <c r="L17" i="24"/>
  <c r="I40" i="24"/>
  <c r="K59" i="24"/>
  <c r="L65" i="24"/>
  <c r="J65" i="24"/>
  <c r="K65" i="24"/>
  <c r="Q65" i="24"/>
  <c r="L95" i="24"/>
  <c r="K95" i="24"/>
  <c r="J95" i="24"/>
  <c r="I100" i="24"/>
  <c r="L109" i="24"/>
  <c r="K109" i="24"/>
  <c r="K121" i="24"/>
  <c r="I121" i="24"/>
  <c r="J121" i="24"/>
  <c r="K144" i="24"/>
  <c r="J144" i="24"/>
  <c r="I144" i="24"/>
  <c r="J14" i="24"/>
  <c r="J40" i="24"/>
  <c r="L59" i="24"/>
  <c r="J93" i="24"/>
  <c r="I93" i="24"/>
  <c r="L98" i="24"/>
  <c r="K98" i="24"/>
  <c r="J98" i="24"/>
  <c r="L112" i="24"/>
  <c r="K112" i="24"/>
  <c r="K124" i="24"/>
  <c r="I124" i="24"/>
  <c r="J124" i="24"/>
  <c r="K127" i="24"/>
  <c r="I127" i="24"/>
  <c r="J127" i="24"/>
  <c r="K130" i="24"/>
  <c r="I130" i="24"/>
  <c r="J130" i="24"/>
  <c r="K133" i="24"/>
  <c r="J133" i="24"/>
  <c r="I133" i="24"/>
  <c r="R5" i="24"/>
  <c r="Q5" i="24"/>
  <c r="K96" i="24"/>
  <c r="I96" i="24"/>
  <c r="J96" i="24"/>
  <c r="L107" i="24"/>
  <c r="K107" i="24"/>
  <c r="J107" i="24"/>
  <c r="L122" i="24"/>
  <c r="K122" i="24"/>
  <c r="K66" i="24"/>
  <c r="I66" i="24"/>
  <c r="J66" i="24"/>
  <c r="L69" i="24"/>
  <c r="I69" i="24"/>
  <c r="K99" i="24"/>
  <c r="I99" i="24"/>
  <c r="J99" i="24"/>
  <c r="L110" i="24"/>
  <c r="K110" i="24"/>
  <c r="J110" i="24"/>
  <c r="L125" i="24"/>
  <c r="K125" i="24"/>
  <c r="J125" i="24"/>
  <c r="L128" i="24"/>
  <c r="K128" i="24"/>
  <c r="J128" i="24"/>
  <c r="L131" i="24"/>
  <c r="K131" i="24"/>
  <c r="J131" i="24"/>
  <c r="L142" i="24"/>
  <c r="K142" i="24"/>
  <c r="J142" i="24"/>
  <c r="J8" i="24"/>
  <c r="R9" i="24"/>
  <c r="Q9" i="24"/>
  <c r="I34" i="24"/>
  <c r="I46" i="24"/>
  <c r="K92" i="24"/>
  <c r="J92" i="24"/>
  <c r="I92" i="24"/>
  <c r="L74" i="24"/>
  <c r="K74" i="24"/>
  <c r="K102" i="24"/>
  <c r="I102" i="24"/>
  <c r="J102" i="24"/>
  <c r="L113" i="24"/>
  <c r="K113" i="24"/>
  <c r="J113" i="24"/>
  <c r="K8" i="24"/>
  <c r="I9" i="24"/>
  <c r="I31" i="24"/>
  <c r="J34" i="24"/>
  <c r="J46" i="24"/>
  <c r="L94" i="24"/>
  <c r="K94" i="24"/>
  <c r="L96" i="24"/>
  <c r="K105" i="24"/>
  <c r="I105" i="24"/>
  <c r="J105" i="24"/>
  <c r="I107" i="24"/>
  <c r="L117" i="24"/>
  <c r="K117" i="24"/>
  <c r="J117" i="24"/>
  <c r="I122" i="24"/>
  <c r="L8" i="24"/>
  <c r="J9" i="24"/>
  <c r="J31" i="24"/>
  <c r="K34" i="24"/>
  <c r="K46" i="24"/>
  <c r="I60" i="24"/>
  <c r="L66" i="24"/>
  <c r="L92" i="24"/>
  <c r="J69" i="24"/>
  <c r="L97" i="24"/>
  <c r="K97" i="24"/>
  <c r="L99" i="24"/>
  <c r="K108" i="24"/>
  <c r="I108" i="24"/>
  <c r="J108" i="24"/>
  <c r="I110" i="24"/>
  <c r="L120" i="24"/>
  <c r="K120" i="24"/>
  <c r="J120" i="24"/>
  <c r="J122" i="24"/>
  <c r="I125" i="24"/>
  <c r="I128" i="24"/>
  <c r="I142" i="24"/>
  <c r="M5" i="24"/>
  <c r="K9" i="24"/>
  <c r="L31" i="24"/>
  <c r="I17" i="24"/>
  <c r="I43" i="24"/>
  <c r="J60" i="24"/>
  <c r="L63" i="24"/>
  <c r="J63" i="24"/>
  <c r="Q63" i="24"/>
  <c r="K69" i="24"/>
  <c r="M69" i="24" s="1"/>
  <c r="I74" i="24"/>
  <c r="L100" i="24"/>
  <c r="K100" i="24"/>
  <c r="L102" i="24"/>
  <c r="K111" i="24"/>
  <c r="I111" i="24"/>
  <c r="J111" i="24"/>
  <c r="I113" i="24"/>
  <c r="L123" i="24"/>
  <c r="K123" i="24"/>
  <c r="J123" i="24"/>
  <c r="L126" i="24"/>
  <c r="K126" i="24"/>
  <c r="J126" i="24"/>
  <c r="L129" i="24"/>
  <c r="K129" i="24"/>
  <c r="J129" i="24"/>
  <c r="L143" i="24"/>
  <c r="K143" i="24"/>
  <c r="J143" i="24"/>
  <c r="I143" i="24"/>
  <c r="Q6" i="24"/>
  <c r="L9" i="24"/>
  <c r="J17" i="24"/>
  <c r="J43" i="24"/>
  <c r="I59" i="24"/>
  <c r="K60" i="24"/>
  <c r="Q66" i="24"/>
  <c r="L91" i="24"/>
  <c r="K91" i="24"/>
  <c r="J91" i="24"/>
  <c r="L72" i="24"/>
  <c r="K72" i="24"/>
  <c r="J72" i="24"/>
  <c r="J74" i="24"/>
  <c r="I94" i="24"/>
  <c r="L103" i="24"/>
  <c r="K103" i="24"/>
  <c r="L105" i="24"/>
  <c r="K114" i="24"/>
  <c r="I114" i="24"/>
  <c r="J114" i="24"/>
  <c r="I117" i="24"/>
  <c r="K43" i="24"/>
  <c r="J59" i="24"/>
  <c r="L60" i="24"/>
  <c r="I63" i="24"/>
  <c r="L75" i="24"/>
  <c r="K75" i="24"/>
  <c r="J75" i="24"/>
  <c r="J94" i="24"/>
  <c r="I97" i="24"/>
  <c r="L106" i="24"/>
  <c r="K106" i="24"/>
  <c r="L108" i="24"/>
  <c r="K118" i="24"/>
  <c r="I118" i="24"/>
  <c r="J118" i="24"/>
  <c r="I120" i="24"/>
  <c r="I14" i="24"/>
  <c r="S8" i="24"/>
  <c r="K14" i="24"/>
  <c r="K40" i="24"/>
  <c r="I65" i="24"/>
  <c r="K73" i="24"/>
  <c r="I73" i="24"/>
  <c r="J73" i="24"/>
  <c r="I75" i="24"/>
  <c r="L101" i="24"/>
  <c r="K101" i="24"/>
  <c r="J101" i="24"/>
  <c r="J103" i="24"/>
  <c r="I106" i="24"/>
  <c r="L115" i="24"/>
  <c r="K115" i="24"/>
  <c r="L118" i="24"/>
  <c r="K64" i="24"/>
  <c r="L64" i="24"/>
  <c r="I64" i="24"/>
  <c r="Q64" i="24"/>
  <c r="L132" i="24"/>
  <c r="K132" i="24"/>
  <c r="J132" i="24"/>
  <c r="L7" i="24"/>
  <c r="K7" i="24"/>
  <c r="J32" i="24"/>
  <c r="I32" i="24"/>
  <c r="J44" i="24"/>
  <c r="I44" i="24"/>
  <c r="L90" i="24"/>
  <c r="K90" i="24"/>
  <c r="K76" i="24"/>
  <c r="I76" i="24"/>
  <c r="J76" i="24"/>
  <c r="L104" i="24"/>
  <c r="K104" i="24"/>
  <c r="J104" i="24"/>
  <c r="J106" i="24"/>
  <c r="L119" i="24"/>
  <c r="K119" i="24"/>
  <c r="L89" i="24"/>
  <c r="R7" i="23"/>
  <c r="R4" i="23"/>
  <c r="Q8" i="23"/>
  <c r="Q64" i="23"/>
  <c r="Q6" i="23"/>
  <c r="L9" i="23"/>
  <c r="S9" i="23"/>
  <c r="L40" i="23"/>
  <c r="Q9" i="23"/>
  <c r="Q2" i="23"/>
  <c r="K3" i="23"/>
  <c r="L60" i="23"/>
  <c r="K60" i="23"/>
  <c r="J37" i="23"/>
  <c r="I37" i="23"/>
  <c r="L37" i="23"/>
  <c r="K37" i="23"/>
  <c r="J7" i="23"/>
  <c r="S7" i="23"/>
  <c r="L7" i="23"/>
  <c r="K7" i="23"/>
  <c r="I7" i="23"/>
  <c r="K34" i="23"/>
  <c r="J34" i="23"/>
  <c r="L34" i="23"/>
  <c r="I34" i="23"/>
  <c r="L77" i="23"/>
  <c r="I77" i="23"/>
  <c r="K77" i="23"/>
  <c r="M77" i="23" s="1"/>
  <c r="J77" i="23"/>
  <c r="J70" i="23"/>
  <c r="L70" i="23"/>
  <c r="K70" i="23"/>
  <c r="I70" i="23"/>
  <c r="I15" i="23"/>
  <c r="J15" i="23"/>
  <c r="L15" i="23"/>
  <c r="K15" i="23"/>
  <c r="I43" i="23"/>
  <c r="K43" i="23"/>
  <c r="J43" i="23"/>
  <c r="L43" i="23"/>
  <c r="J6" i="23"/>
  <c r="S6" i="23"/>
  <c r="I46" i="23"/>
  <c r="K46" i="23"/>
  <c r="L46" i="23"/>
  <c r="J46" i="23"/>
  <c r="S2" i="23"/>
  <c r="L2" i="23"/>
  <c r="I49" i="23"/>
  <c r="K64" i="23"/>
  <c r="I20" i="23"/>
  <c r="I92" i="23"/>
  <c r="J20" i="23"/>
  <c r="J49" i="23"/>
  <c r="J92" i="23"/>
  <c r="K20" i="23"/>
  <c r="K49" i="23"/>
  <c r="K92" i="23"/>
  <c r="R3" i="23"/>
  <c r="I40" i="23"/>
  <c r="J73" i="23"/>
  <c r="Q5" i="23"/>
  <c r="I73" i="23"/>
  <c r="J40" i="23"/>
  <c r="K73" i="23"/>
  <c r="K2" i="23"/>
  <c r="N2" i="23" s="1"/>
  <c r="L92" i="23"/>
  <c r="L73" i="23"/>
  <c r="I33" i="23"/>
  <c r="K33" i="23"/>
  <c r="L33" i="23"/>
  <c r="J33" i="23"/>
  <c r="J59" i="23"/>
  <c r="P59" i="23" s="1"/>
  <c r="I59" i="23"/>
  <c r="K59" i="23"/>
  <c r="N59" i="23" s="1"/>
  <c r="L59" i="23"/>
  <c r="K61" i="23"/>
  <c r="L61" i="23"/>
  <c r="J61" i="23"/>
  <c r="I61" i="23"/>
  <c r="J71" i="23"/>
  <c r="I71" i="23"/>
  <c r="K71" i="23"/>
  <c r="L71" i="23"/>
  <c r="L95" i="23"/>
  <c r="K95" i="23"/>
  <c r="J95" i="23"/>
  <c r="I95" i="23"/>
  <c r="L102" i="23"/>
  <c r="K102" i="23"/>
  <c r="J102" i="23"/>
  <c r="I102" i="23"/>
  <c r="L113" i="23"/>
  <c r="K113" i="23"/>
  <c r="J113" i="23"/>
  <c r="I113" i="23"/>
  <c r="L126" i="23"/>
  <c r="K126" i="23"/>
  <c r="J126" i="23"/>
  <c r="I126" i="23"/>
  <c r="J36" i="23"/>
  <c r="I36" i="23"/>
  <c r="K36" i="23"/>
  <c r="L36" i="23"/>
  <c r="J69" i="23"/>
  <c r="I69" i="23"/>
  <c r="K69" i="23"/>
  <c r="O69" i="23" s="1"/>
  <c r="L69" i="23"/>
  <c r="J80" i="23"/>
  <c r="L80" i="23"/>
  <c r="K80" i="23"/>
  <c r="I80" i="23"/>
  <c r="L110" i="23"/>
  <c r="K110" i="23"/>
  <c r="J110" i="23"/>
  <c r="I110" i="23"/>
  <c r="J142" i="23"/>
  <c r="L142" i="23"/>
  <c r="K142" i="23"/>
  <c r="I142" i="23"/>
  <c r="K5" i="23"/>
  <c r="L5" i="23"/>
  <c r="J5" i="23"/>
  <c r="I5" i="23"/>
  <c r="J44" i="23"/>
  <c r="L44" i="23"/>
  <c r="K44" i="23"/>
  <c r="I44" i="23"/>
  <c r="J94" i="23"/>
  <c r="L94" i="23"/>
  <c r="K94" i="23"/>
  <c r="I94" i="23"/>
  <c r="J88" i="23"/>
  <c r="I88" i="23"/>
  <c r="L88" i="23"/>
  <c r="K88" i="23"/>
  <c r="J42" i="23"/>
  <c r="I42" i="23"/>
  <c r="K42" i="23"/>
  <c r="L42" i="23"/>
  <c r="L89" i="23"/>
  <c r="K89" i="23"/>
  <c r="J89" i="23"/>
  <c r="I89" i="23"/>
  <c r="L96" i="23"/>
  <c r="K96" i="23"/>
  <c r="J96" i="23"/>
  <c r="I96" i="23"/>
  <c r="L100" i="23"/>
  <c r="K100" i="23"/>
  <c r="J100" i="23"/>
  <c r="I100" i="23"/>
  <c r="J104" i="23"/>
  <c r="L104" i="23"/>
  <c r="K104" i="23"/>
  <c r="I104" i="23"/>
  <c r="L108" i="23"/>
  <c r="K108" i="23"/>
  <c r="J108" i="23"/>
  <c r="I108" i="23"/>
  <c r="L111" i="23"/>
  <c r="K111" i="23"/>
  <c r="J111" i="23"/>
  <c r="I111" i="23"/>
  <c r="J115" i="23"/>
  <c r="L115" i="23"/>
  <c r="K115" i="23"/>
  <c r="I115" i="23"/>
  <c r="L120" i="23"/>
  <c r="K120" i="23"/>
  <c r="J120" i="23"/>
  <c r="I120" i="23"/>
  <c r="L124" i="23"/>
  <c r="K124" i="23"/>
  <c r="J124" i="23"/>
  <c r="I124" i="23"/>
  <c r="L143" i="23"/>
  <c r="K143" i="23"/>
  <c r="J143" i="23"/>
  <c r="I143" i="23"/>
  <c r="J3" i="23"/>
  <c r="L3" i="23"/>
  <c r="I3" i="23"/>
  <c r="L12" i="23"/>
  <c r="I12" i="23"/>
  <c r="K12" i="23"/>
  <c r="J12" i="23"/>
  <c r="J17" i="23"/>
  <c r="L17" i="23"/>
  <c r="K17" i="23"/>
  <c r="I17" i="23"/>
  <c r="J47" i="23"/>
  <c r="L47" i="23"/>
  <c r="K47" i="23"/>
  <c r="I47" i="23"/>
  <c r="J63" i="23"/>
  <c r="I63" i="23"/>
  <c r="K63" i="23"/>
  <c r="L63" i="23"/>
  <c r="K65" i="23"/>
  <c r="L65" i="23"/>
  <c r="J65" i="23"/>
  <c r="I65" i="23"/>
  <c r="J93" i="23"/>
  <c r="I93" i="23"/>
  <c r="K93" i="23"/>
  <c r="L93" i="23"/>
  <c r="I45" i="23"/>
  <c r="K45" i="23"/>
  <c r="L45" i="23"/>
  <c r="J45" i="23"/>
  <c r="L74" i="23"/>
  <c r="K74" i="23"/>
  <c r="J74" i="23"/>
  <c r="I74" i="23"/>
  <c r="J19" i="23"/>
  <c r="L19" i="23"/>
  <c r="K19" i="23"/>
  <c r="I19" i="23"/>
  <c r="J50" i="23"/>
  <c r="L50" i="23"/>
  <c r="K50" i="23"/>
  <c r="I50" i="23"/>
  <c r="I90" i="23"/>
  <c r="L90" i="23"/>
  <c r="K90" i="23"/>
  <c r="J90" i="23"/>
  <c r="L97" i="23"/>
  <c r="K97" i="23"/>
  <c r="J97" i="23"/>
  <c r="I97" i="23"/>
  <c r="J101" i="23"/>
  <c r="L101" i="23"/>
  <c r="K101" i="23"/>
  <c r="I101" i="23"/>
  <c r="L105" i="23"/>
  <c r="K105" i="23"/>
  <c r="J105" i="23"/>
  <c r="I105" i="23"/>
  <c r="L109" i="23"/>
  <c r="K109" i="23"/>
  <c r="J109" i="23"/>
  <c r="I109" i="23"/>
  <c r="J112" i="23"/>
  <c r="L112" i="23"/>
  <c r="K112" i="23"/>
  <c r="I112" i="23"/>
  <c r="L117" i="23"/>
  <c r="K117" i="23"/>
  <c r="J117" i="23"/>
  <c r="I117" i="23"/>
  <c r="L121" i="23"/>
  <c r="K121" i="23"/>
  <c r="J121" i="23"/>
  <c r="I121" i="23"/>
  <c r="J125" i="23"/>
  <c r="L125" i="23"/>
  <c r="K125" i="23"/>
  <c r="I125" i="23"/>
  <c r="L83" i="23"/>
  <c r="K83" i="23"/>
  <c r="J83" i="23"/>
  <c r="I83" i="23"/>
  <c r="L144" i="23"/>
  <c r="K144" i="23"/>
  <c r="J144" i="23"/>
  <c r="I144" i="23"/>
  <c r="J18" i="23"/>
  <c r="I18" i="23"/>
  <c r="K18" i="23"/>
  <c r="L18" i="23"/>
  <c r="J48" i="23"/>
  <c r="I48" i="23"/>
  <c r="K48" i="23"/>
  <c r="L48" i="23"/>
  <c r="L66" i="23"/>
  <c r="I66" i="23"/>
  <c r="K66" i="23"/>
  <c r="J66" i="23"/>
  <c r="J91" i="23"/>
  <c r="L91" i="23"/>
  <c r="K91" i="23"/>
  <c r="I91" i="23"/>
  <c r="J98" i="23"/>
  <c r="L98" i="23"/>
  <c r="K98" i="23"/>
  <c r="I98" i="23"/>
  <c r="L106" i="23"/>
  <c r="K106" i="23"/>
  <c r="J106" i="23"/>
  <c r="I106" i="23"/>
  <c r="J81" i="23"/>
  <c r="L81" i="23"/>
  <c r="K81" i="23"/>
  <c r="I81" i="23"/>
  <c r="L118" i="23"/>
  <c r="K118" i="23"/>
  <c r="J118" i="23"/>
  <c r="I118" i="23"/>
  <c r="J122" i="23"/>
  <c r="L122" i="23"/>
  <c r="K122" i="23"/>
  <c r="I122" i="23"/>
  <c r="L84" i="23"/>
  <c r="K84" i="23"/>
  <c r="J84" i="23"/>
  <c r="I84" i="23"/>
  <c r="J38" i="23"/>
  <c r="L38" i="23"/>
  <c r="K38" i="23"/>
  <c r="I38" i="23"/>
  <c r="O2" i="23"/>
  <c r="J41" i="23"/>
  <c r="L41" i="23"/>
  <c r="K41" i="23"/>
  <c r="I41" i="23"/>
  <c r="L62" i="23"/>
  <c r="I62" i="23"/>
  <c r="K62" i="23"/>
  <c r="J62" i="23"/>
  <c r="J72" i="23"/>
  <c r="L72" i="23"/>
  <c r="K72" i="23"/>
  <c r="I72" i="23"/>
  <c r="L99" i="23"/>
  <c r="K99" i="23"/>
  <c r="J99" i="23"/>
  <c r="I99" i="23"/>
  <c r="L103" i="23"/>
  <c r="K103" i="23"/>
  <c r="J103" i="23"/>
  <c r="I103" i="23"/>
  <c r="J107" i="23"/>
  <c r="L107" i="23"/>
  <c r="K107" i="23"/>
  <c r="I107" i="23"/>
  <c r="L114" i="23"/>
  <c r="K114" i="23"/>
  <c r="J114" i="23"/>
  <c r="I114" i="23"/>
  <c r="J119" i="23"/>
  <c r="L119" i="23"/>
  <c r="K119" i="23"/>
  <c r="I119" i="23"/>
  <c r="L123" i="23"/>
  <c r="K123" i="23"/>
  <c r="J123" i="23"/>
  <c r="I123" i="23"/>
  <c r="L127" i="23"/>
  <c r="K127" i="23"/>
  <c r="J127" i="23"/>
  <c r="I127" i="23"/>
  <c r="J39" i="23"/>
  <c r="I39" i="23"/>
  <c r="K39" i="23"/>
  <c r="L39" i="23"/>
  <c r="L82" i="23"/>
  <c r="K82" i="23"/>
  <c r="I82" i="23"/>
  <c r="J82" i="23"/>
  <c r="L4" i="23"/>
  <c r="I4" i="23"/>
  <c r="K4" i="23"/>
  <c r="J4" i="23"/>
  <c r="L8" i="23"/>
  <c r="I8" i="23"/>
  <c r="K8" i="23"/>
  <c r="J8" i="23"/>
  <c r="J35" i="23"/>
  <c r="L35" i="23"/>
  <c r="K35" i="23"/>
  <c r="I35" i="23"/>
  <c r="K31" i="23"/>
  <c r="L31" i="23"/>
  <c r="I32" i="23"/>
  <c r="I2" i="23"/>
  <c r="J32" i="23"/>
  <c r="I60" i="23"/>
  <c r="I64" i="23"/>
  <c r="K32" i="23"/>
  <c r="J60" i="23"/>
  <c r="J64" i="23"/>
  <c r="I6" i="23"/>
  <c r="L6" i="23"/>
  <c r="I9" i="23"/>
  <c r="J9" i="23"/>
  <c r="I31" i="23"/>
  <c r="K6" i="23"/>
  <c r="K9" i="23"/>
  <c r="Q13" i="22"/>
  <c r="R12" i="22"/>
  <c r="Q14" i="22"/>
  <c r="Q12" i="22"/>
  <c r="I19" i="22"/>
  <c r="R62" i="22"/>
  <c r="Q71" i="22"/>
  <c r="S71" i="22"/>
  <c r="L12" i="22"/>
  <c r="J19" i="22"/>
  <c r="Q61" i="22"/>
  <c r="K19" i="22"/>
  <c r="Q73" i="22"/>
  <c r="J2" i="22"/>
  <c r="K6" i="22"/>
  <c r="Q76" i="22"/>
  <c r="R64" i="22"/>
  <c r="R59" i="22"/>
  <c r="R66" i="22"/>
  <c r="R71" i="22"/>
  <c r="R60" i="22"/>
  <c r="L121" i="22"/>
  <c r="J12" i="22"/>
  <c r="P12" i="22" s="1"/>
  <c r="Q70" i="22"/>
  <c r="K12" i="22"/>
  <c r="N12" i="22" s="1"/>
  <c r="K79" i="22"/>
  <c r="S79" i="22"/>
  <c r="Q79" i="22"/>
  <c r="L79" i="22"/>
  <c r="I21" i="22"/>
  <c r="K21" i="22"/>
  <c r="L21" i="22"/>
  <c r="J21" i="22"/>
  <c r="K65" i="22"/>
  <c r="L65" i="22"/>
  <c r="J65" i="22"/>
  <c r="I65" i="22"/>
  <c r="P63" i="22"/>
  <c r="O63" i="22"/>
  <c r="L31" i="22"/>
  <c r="S72" i="22"/>
  <c r="Q72" i="22"/>
  <c r="L13" i="22"/>
  <c r="K13" i="22"/>
  <c r="J13" i="22"/>
  <c r="I13" i="22"/>
  <c r="L78" i="22"/>
  <c r="I78" i="22"/>
  <c r="K78" i="22"/>
  <c r="S78" i="22"/>
  <c r="Q78" i="22"/>
  <c r="J78" i="22"/>
  <c r="K64" i="22"/>
  <c r="L64" i="22"/>
  <c r="S69" i="22"/>
  <c r="Q69" i="22"/>
  <c r="I69" i="22"/>
  <c r="L43" i="22"/>
  <c r="I43" i="22"/>
  <c r="J43" i="22"/>
  <c r="K43" i="22"/>
  <c r="J74" i="22"/>
  <c r="S74" i="22"/>
  <c r="I74" i="22"/>
  <c r="Q74" i="22"/>
  <c r="L74" i="22"/>
  <c r="K74" i="22"/>
  <c r="I73" i="22"/>
  <c r="Q75" i="22"/>
  <c r="K63" i="22"/>
  <c r="J73" i="22"/>
  <c r="Q63" i="22"/>
  <c r="Q65" i="22"/>
  <c r="P62" i="22"/>
  <c r="L63" i="22"/>
  <c r="K73" i="22"/>
  <c r="S75" i="22"/>
  <c r="S77" i="22"/>
  <c r="I63" i="22"/>
  <c r="L73" i="22"/>
  <c r="I46" i="22"/>
  <c r="L22" i="22"/>
  <c r="J126" i="22"/>
  <c r="K2" i="22"/>
  <c r="N2" i="22" s="1"/>
  <c r="J46" i="22"/>
  <c r="K126" i="22"/>
  <c r="L2" i="22"/>
  <c r="L6" i="22"/>
  <c r="K46" i="22"/>
  <c r="K62" i="22"/>
  <c r="J121" i="22"/>
  <c r="L126" i="22"/>
  <c r="O71" i="22"/>
  <c r="K22" i="22"/>
  <c r="L62" i="22"/>
  <c r="K121" i="22"/>
  <c r="L32" i="22"/>
  <c r="K32" i="22"/>
  <c r="J32" i="22"/>
  <c r="I32" i="22"/>
  <c r="K33" i="22"/>
  <c r="J33" i="22"/>
  <c r="I33" i="22"/>
  <c r="L33" i="22"/>
  <c r="L105" i="22"/>
  <c r="K105" i="22"/>
  <c r="J105" i="22"/>
  <c r="I105" i="22"/>
  <c r="L115" i="22"/>
  <c r="K115" i="22"/>
  <c r="J115" i="22"/>
  <c r="I115" i="22"/>
  <c r="L45" i="22"/>
  <c r="K45" i="22"/>
  <c r="J45" i="22"/>
  <c r="I45" i="22"/>
  <c r="L88" i="22"/>
  <c r="K88" i="22"/>
  <c r="J88" i="22"/>
  <c r="I88" i="22"/>
  <c r="L76" i="22"/>
  <c r="K76" i="22"/>
  <c r="I76" i="22"/>
  <c r="J76" i="22"/>
  <c r="L109" i="22"/>
  <c r="K109" i="22"/>
  <c r="J109" i="22"/>
  <c r="I109" i="22"/>
  <c r="L41" i="22"/>
  <c r="K41" i="22"/>
  <c r="J41" i="22"/>
  <c r="I41" i="22"/>
  <c r="L113" i="22"/>
  <c r="K113" i="22"/>
  <c r="J113" i="22"/>
  <c r="I113" i="22"/>
  <c r="L61" i="22"/>
  <c r="K61" i="22"/>
  <c r="J61" i="22"/>
  <c r="I61" i="22"/>
  <c r="L101" i="22"/>
  <c r="K101" i="22"/>
  <c r="J101" i="22"/>
  <c r="I101" i="22"/>
  <c r="L119" i="22"/>
  <c r="K119" i="22"/>
  <c r="J119" i="22"/>
  <c r="I119" i="22"/>
  <c r="L93" i="22"/>
  <c r="K93" i="22"/>
  <c r="J93" i="22"/>
  <c r="I93" i="22"/>
  <c r="K120" i="22"/>
  <c r="J120" i="22"/>
  <c r="I120" i="22"/>
  <c r="L120" i="22"/>
  <c r="L112" i="22"/>
  <c r="K112" i="22"/>
  <c r="J112" i="22"/>
  <c r="I112" i="22"/>
  <c r="I38" i="22"/>
  <c r="L38" i="22"/>
  <c r="K38" i="22"/>
  <c r="J38" i="22"/>
  <c r="I110" i="22"/>
  <c r="L110" i="22"/>
  <c r="K110" i="22"/>
  <c r="J110" i="22"/>
  <c r="L36" i="22"/>
  <c r="I40" i="22"/>
  <c r="L122" i="22"/>
  <c r="J122" i="22"/>
  <c r="K122" i="22"/>
  <c r="I122" i="22"/>
  <c r="L71" i="22"/>
  <c r="K71" i="22"/>
  <c r="L91" i="22"/>
  <c r="K91" i="22"/>
  <c r="J91" i="22"/>
  <c r="I91" i="22"/>
  <c r="L100" i="22"/>
  <c r="K100" i="22"/>
  <c r="J100" i="22"/>
  <c r="I100" i="22"/>
  <c r="I102" i="22"/>
  <c r="L102" i="22"/>
  <c r="K102" i="22"/>
  <c r="J102" i="22"/>
  <c r="L108" i="22"/>
  <c r="K108" i="22"/>
  <c r="J108" i="22"/>
  <c r="I108" i="22"/>
  <c r="L127" i="22"/>
  <c r="K127" i="22"/>
  <c r="J127" i="22"/>
  <c r="I127" i="22"/>
  <c r="L34" i="22"/>
  <c r="K34" i="22"/>
  <c r="J34" i="22"/>
  <c r="L104" i="22"/>
  <c r="K104" i="22"/>
  <c r="J104" i="22"/>
  <c r="I104" i="22"/>
  <c r="L37" i="22"/>
  <c r="K37" i="22"/>
  <c r="J37" i="22"/>
  <c r="I37" i="22"/>
  <c r="L118" i="22"/>
  <c r="K118" i="22"/>
  <c r="J118" i="22"/>
  <c r="I118" i="22"/>
  <c r="L111" i="22"/>
  <c r="K111" i="22"/>
  <c r="J111" i="22"/>
  <c r="I111" i="22"/>
  <c r="L35" i="22"/>
  <c r="J35" i="22"/>
  <c r="K35" i="22"/>
  <c r="I35" i="22"/>
  <c r="L5" i="22"/>
  <c r="I5" i="22"/>
  <c r="K5" i="22"/>
  <c r="J5" i="22"/>
  <c r="L44" i="22"/>
  <c r="K44" i="22"/>
  <c r="J44" i="22"/>
  <c r="I44" i="22"/>
  <c r="K70" i="22"/>
  <c r="L70" i="22"/>
  <c r="J70" i="22"/>
  <c r="I70" i="22"/>
  <c r="L89" i="22"/>
  <c r="K89" i="22"/>
  <c r="J89" i="22"/>
  <c r="I89" i="22"/>
  <c r="L97" i="22"/>
  <c r="K97" i="22"/>
  <c r="J97" i="22"/>
  <c r="I97" i="22"/>
  <c r="L99" i="22"/>
  <c r="K99" i="22"/>
  <c r="J99" i="22"/>
  <c r="I99" i="22"/>
  <c r="I143" i="22"/>
  <c r="K143" i="22"/>
  <c r="J143" i="22"/>
  <c r="L143" i="22"/>
  <c r="L7" i="22"/>
  <c r="K7" i="22"/>
  <c r="I7" i="22"/>
  <c r="J7" i="22"/>
  <c r="K9" i="22"/>
  <c r="J9" i="22"/>
  <c r="L9" i="22"/>
  <c r="I9" i="22"/>
  <c r="J40" i="22"/>
  <c r="K4" i="22"/>
  <c r="J4" i="22"/>
  <c r="I4" i="22"/>
  <c r="L4" i="22"/>
  <c r="I36" i="22"/>
  <c r="K40" i="22"/>
  <c r="L48" i="22"/>
  <c r="K48" i="22"/>
  <c r="J48" i="22"/>
  <c r="I48" i="22"/>
  <c r="L39" i="22"/>
  <c r="K39" i="22"/>
  <c r="J39" i="22"/>
  <c r="K59" i="22"/>
  <c r="J59" i="22"/>
  <c r="I59" i="22"/>
  <c r="L3" i="22"/>
  <c r="K3" i="22"/>
  <c r="J3" i="22"/>
  <c r="I3" i="22"/>
  <c r="K8" i="22"/>
  <c r="J8" i="22"/>
  <c r="I8" i="22"/>
  <c r="L8" i="22"/>
  <c r="I42" i="22"/>
  <c r="K42" i="22"/>
  <c r="L42" i="22"/>
  <c r="L66" i="22"/>
  <c r="K66" i="22"/>
  <c r="J66" i="22"/>
  <c r="I66" i="22"/>
  <c r="J36" i="22"/>
  <c r="K17" i="22"/>
  <c r="J17" i="22"/>
  <c r="I17" i="22"/>
  <c r="L17" i="22"/>
  <c r="I71" i="22"/>
  <c r="L92" i="22"/>
  <c r="K92" i="22"/>
  <c r="J92" i="22"/>
  <c r="I92" i="22"/>
  <c r="L96" i="22"/>
  <c r="K96" i="22"/>
  <c r="J96" i="22"/>
  <c r="I96" i="22"/>
  <c r="L117" i="22"/>
  <c r="K117" i="22"/>
  <c r="J117" i="22"/>
  <c r="I117" i="22"/>
  <c r="L125" i="22"/>
  <c r="K125" i="22"/>
  <c r="J125" i="22"/>
  <c r="I125" i="22"/>
  <c r="L82" i="22"/>
  <c r="K82" i="22"/>
  <c r="M82" i="22" s="1"/>
  <c r="J82" i="22"/>
  <c r="I82" i="22"/>
  <c r="K14" i="22"/>
  <c r="L14" i="22"/>
  <c r="L107" i="22"/>
  <c r="K107" i="22"/>
  <c r="J107" i="22"/>
  <c r="I107" i="22"/>
  <c r="I84" i="22"/>
  <c r="L84" i="22"/>
  <c r="J84" i="22"/>
  <c r="K84" i="22"/>
  <c r="I14" i="22"/>
  <c r="L60" i="22"/>
  <c r="K60" i="22"/>
  <c r="I60" i="22"/>
  <c r="J60" i="22"/>
  <c r="I31" i="22"/>
  <c r="J31" i="22"/>
  <c r="I75" i="22"/>
  <c r="L95" i="22"/>
  <c r="K95" i="22"/>
  <c r="J95" i="22"/>
  <c r="I95" i="22"/>
  <c r="I6" i="22"/>
  <c r="K31" i="22"/>
  <c r="J75" i="22"/>
  <c r="L144" i="22"/>
  <c r="K144" i="22"/>
  <c r="J144" i="22"/>
  <c r="I144" i="22"/>
  <c r="K72" i="22"/>
  <c r="J72" i="22"/>
  <c r="I72" i="22"/>
  <c r="L47" i="22"/>
  <c r="K47" i="22"/>
  <c r="J14" i="22"/>
  <c r="L72" i="22"/>
  <c r="I2" i="22"/>
  <c r="J6" i="22"/>
  <c r="L69" i="22"/>
  <c r="K69" i="22"/>
  <c r="J69" i="22"/>
  <c r="K75" i="22"/>
  <c r="L103" i="22"/>
  <c r="K103" i="22"/>
  <c r="J103" i="22"/>
  <c r="I103" i="22"/>
  <c r="I114" i="22"/>
  <c r="L114" i="22"/>
  <c r="J114" i="22"/>
  <c r="K114" i="22"/>
  <c r="K20" i="22"/>
  <c r="J20" i="22"/>
  <c r="I20" i="22"/>
  <c r="L20" i="22"/>
  <c r="I90" i="22"/>
  <c r="L90" i="22"/>
  <c r="K90" i="22"/>
  <c r="J90" i="22"/>
  <c r="I98" i="22"/>
  <c r="L98" i="22"/>
  <c r="K98" i="22"/>
  <c r="J98" i="22"/>
  <c r="L83" i="22"/>
  <c r="K83" i="22"/>
  <c r="J83" i="22"/>
  <c r="I83" i="22"/>
  <c r="I47" i="22"/>
  <c r="I77" i="22"/>
  <c r="L77" i="22"/>
  <c r="K77" i="22"/>
  <c r="J77" i="22"/>
  <c r="I106" i="22"/>
  <c r="L106" i="22"/>
  <c r="K106" i="22"/>
  <c r="J106" i="22"/>
  <c r="J64" i="22"/>
  <c r="I64" i="22"/>
  <c r="I94" i="22"/>
  <c r="L94" i="22"/>
  <c r="K94" i="22"/>
  <c r="J94" i="22"/>
  <c r="K142" i="22"/>
  <c r="J142" i="22"/>
  <c r="I142" i="22"/>
  <c r="I79" i="22"/>
  <c r="I22" i="22"/>
  <c r="I62" i="22"/>
  <c r="J79" i="22"/>
  <c r="Q71" i="21"/>
  <c r="Q119" i="21"/>
  <c r="P90" i="21"/>
  <c r="S97" i="21"/>
  <c r="S98" i="21"/>
  <c r="S99" i="21"/>
  <c r="R108" i="21"/>
  <c r="R109" i="21"/>
  <c r="S90" i="21"/>
  <c r="S91" i="21"/>
  <c r="N112" i="21"/>
  <c r="Q93" i="21"/>
  <c r="S114" i="21"/>
  <c r="Q106" i="21"/>
  <c r="Q91" i="21"/>
  <c r="Q114" i="21"/>
  <c r="Q92" i="21"/>
  <c r="Q100" i="21"/>
  <c r="M116" i="21"/>
  <c r="S92" i="21"/>
  <c r="Q116" i="21"/>
  <c r="S116" i="21"/>
  <c r="U61" i="21"/>
  <c r="Q103" i="21"/>
  <c r="M111" i="21"/>
  <c r="Q117" i="21"/>
  <c r="Q110" i="21"/>
  <c r="Q88" i="21"/>
  <c r="Q95" i="21"/>
  <c r="S103" i="21"/>
  <c r="O97" i="21"/>
  <c r="Q104" i="21"/>
  <c r="Q111" i="21"/>
  <c r="Q102" i="21"/>
  <c r="R97" i="21"/>
  <c r="Q120" i="21"/>
  <c r="T61" i="21"/>
  <c r="M110" i="21"/>
  <c r="U62" i="21"/>
  <c r="S88" i="21"/>
  <c r="Q90" i="21"/>
  <c r="S100" i="21"/>
  <c r="Q99" i="21"/>
  <c r="S111" i="21"/>
  <c r="Q113" i="21"/>
  <c r="M118" i="21"/>
  <c r="S64" i="21"/>
  <c r="S120" i="21"/>
  <c r="Q72" i="21"/>
  <c r="Q94" i="21"/>
  <c r="Q105" i="21"/>
  <c r="N114" i="21"/>
  <c r="Q118" i="21"/>
  <c r="Q89" i="21"/>
  <c r="Q101" i="21"/>
  <c r="S110" i="21"/>
  <c r="Q112" i="21"/>
  <c r="Q96" i="21"/>
  <c r="O98" i="21"/>
  <c r="S105" i="21"/>
  <c r="Q107" i="21"/>
  <c r="S118" i="21"/>
  <c r="Q121" i="21"/>
  <c r="Q79" i="21"/>
  <c r="S112" i="21"/>
  <c r="M120" i="21"/>
  <c r="R98" i="21"/>
  <c r="Q23" i="21"/>
  <c r="S107" i="21"/>
  <c r="S60" i="21"/>
  <c r="Q69" i="21"/>
  <c r="Q74" i="21"/>
  <c r="Q77" i="21"/>
  <c r="Q81" i="21"/>
  <c r="Q15" i="21"/>
  <c r="S65" i="21"/>
  <c r="Q70" i="21"/>
  <c r="Q73" i="21"/>
  <c r="Q75" i="21"/>
  <c r="Q76" i="21"/>
  <c r="Q78" i="21"/>
  <c r="Q80" i="21"/>
  <c r="Q82" i="21"/>
  <c r="Q63" i="21"/>
  <c r="U60" i="21"/>
  <c r="S63" i="21"/>
  <c r="Q5" i="21"/>
  <c r="S7" i="21"/>
  <c r="S62" i="21"/>
  <c r="S66" i="21"/>
  <c r="R18" i="21"/>
  <c r="U63" i="21"/>
  <c r="U66" i="21"/>
  <c r="O15" i="21"/>
  <c r="Q6" i="21"/>
  <c r="N7" i="21"/>
  <c r="R17" i="21"/>
  <c r="Q24" i="21"/>
  <c r="Q26" i="21"/>
  <c r="L39" i="21"/>
  <c r="Q19" i="21"/>
  <c r="O32" i="21"/>
  <c r="Q33" i="21"/>
  <c r="Q4" i="21"/>
  <c r="Q14" i="21"/>
  <c r="S20" i="21"/>
  <c r="M35" i="21"/>
  <c r="R13" i="21"/>
  <c r="Q13" i="21"/>
  <c r="J59" i="21"/>
  <c r="U59" i="21"/>
  <c r="R9" i="21"/>
  <c r="Q9" i="21"/>
  <c r="R21" i="21"/>
  <c r="Q21" i="21"/>
  <c r="R25" i="21"/>
  <c r="Q25" i="21"/>
  <c r="R31" i="21"/>
  <c r="Q31" i="21"/>
  <c r="Q35" i="21"/>
  <c r="R35" i="21"/>
  <c r="R3" i="21"/>
  <c r="Q20" i="21"/>
  <c r="Q7" i="21"/>
  <c r="Q32" i="21"/>
  <c r="Q34" i="21"/>
  <c r="K39" i="21"/>
  <c r="S15" i="21"/>
  <c r="S4" i="21"/>
  <c r="J61" i="21"/>
  <c r="Q16" i="21"/>
  <c r="S59" i="21"/>
  <c r="Q8" i="21"/>
  <c r="Q12" i="21"/>
  <c r="Q22" i="21"/>
  <c r="S16" i="21"/>
  <c r="J92" i="21"/>
  <c r="I95" i="21"/>
  <c r="J93" i="21"/>
  <c r="L93" i="21"/>
  <c r="L59" i="21"/>
  <c r="K59" i="21"/>
  <c r="M59" i="21" s="1"/>
  <c r="K97" i="21"/>
  <c r="K63" i="21"/>
  <c r="L97" i="21"/>
  <c r="L63" i="21"/>
  <c r="L13" i="21"/>
  <c r="I19" i="21"/>
  <c r="K16" i="21"/>
  <c r="I18" i="21"/>
  <c r="J19" i="21"/>
  <c r="J33" i="21"/>
  <c r="L65" i="21"/>
  <c r="L16" i="21"/>
  <c r="J18" i="21"/>
  <c r="I91" i="21"/>
  <c r="K18" i="21"/>
  <c r="J62" i="21"/>
  <c r="I89" i="21"/>
  <c r="L18" i="21"/>
  <c r="J88" i="21"/>
  <c r="I60" i="21"/>
  <c r="L88" i="21"/>
  <c r="I66" i="21"/>
  <c r="K89" i="21"/>
  <c r="I94" i="21"/>
  <c r="L96" i="21"/>
  <c r="K98" i="21"/>
  <c r="J111" i="21"/>
  <c r="J89" i="21"/>
  <c r="I15" i="21"/>
  <c r="J66" i="21"/>
  <c r="L89" i="21"/>
  <c r="J94" i="21"/>
  <c r="K62" i="21"/>
  <c r="J96" i="21"/>
  <c r="K15" i="21"/>
  <c r="I20" i="21"/>
  <c r="K66" i="21"/>
  <c r="K92" i="21"/>
  <c r="K94" i="21"/>
  <c r="Q2" i="21"/>
  <c r="J20" i="21"/>
  <c r="I39" i="21"/>
  <c r="L94" i="21"/>
  <c r="I61" i="21"/>
  <c r="I63" i="21"/>
  <c r="L14" i="21"/>
  <c r="K14" i="21"/>
  <c r="J14" i="21"/>
  <c r="I14" i="21"/>
  <c r="K23" i="21"/>
  <c r="L23" i="21"/>
  <c r="J23" i="21"/>
  <c r="I23" i="21"/>
  <c r="L42" i="21"/>
  <c r="K42" i="21"/>
  <c r="J42" i="21"/>
  <c r="I42" i="21"/>
  <c r="J26" i="21"/>
  <c r="L26" i="21"/>
  <c r="K26" i="21"/>
  <c r="I26" i="21"/>
  <c r="L44" i="21"/>
  <c r="I44" i="21"/>
  <c r="K44" i="21"/>
  <c r="J44" i="21"/>
  <c r="K9" i="21"/>
  <c r="I9" i="21"/>
  <c r="L9" i="21"/>
  <c r="J9" i="21"/>
  <c r="I2" i="21"/>
  <c r="L2" i="21"/>
  <c r="K2" i="21"/>
  <c r="J2" i="21"/>
  <c r="L21" i="21"/>
  <c r="K21" i="21"/>
  <c r="J21" i="21"/>
  <c r="I21" i="21"/>
  <c r="M88" i="21"/>
  <c r="L38" i="21"/>
  <c r="K38" i="21"/>
  <c r="J38" i="21"/>
  <c r="I38" i="21"/>
  <c r="L34" i="21"/>
  <c r="J34" i="21"/>
  <c r="K34" i="21"/>
  <c r="I34" i="21"/>
  <c r="L3" i="21"/>
  <c r="K3" i="21"/>
  <c r="J3" i="21"/>
  <c r="I3" i="21"/>
  <c r="L17" i="21"/>
  <c r="K17" i="21"/>
  <c r="J17" i="21"/>
  <c r="I17" i="21"/>
  <c r="L22" i="21"/>
  <c r="K22" i="21"/>
  <c r="J22" i="21"/>
  <c r="I22" i="21"/>
  <c r="L7" i="21"/>
  <c r="L24" i="21"/>
  <c r="J24" i="21"/>
  <c r="K31" i="21"/>
  <c r="K90" i="21"/>
  <c r="I101" i="21"/>
  <c r="I102" i="21"/>
  <c r="I104" i="21"/>
  <c r="I106" i="21"/>
  <c r="I108" i="21"/>
  <c r="L70" i="21"/>
  <c r="K70" i="21"/>
  <c r="J70" i="21"/>
  <c r="I70" i="21"/>
  <c r="L74" i="21"/>
  <c r="K74" i="21"/>
  <c r="J74" i="21"/>
  <c r="I74" i="21"/>
  <c r="L76" i="21"/>
  <c r="K76" i="21"/>
  <c r="J76" i="21"/>
  <c r="I76" i="21"/>
  <c r="L79" i="21"/>
  <c r="K79" i="21"/>
  <c r="J79" i="21"/>
  <c r="I79" i="21"/>
  <c r="L82" i="21"/>
  <c r="K82" i="21"/>
  <c r="J82" i="21"/>
  <c r="I82" i="21"/>
  <c r="I4" i="21"/>
  <c r="I6" i="21"/>
  <c r="J25" i="21"/>
  <c r="L31" i="21"/>
  <c r="I35" i="21"/>
  <c r="L90" i="21"/>
  <c r="L113" i="21"/>
  <c r="J113" i="21"/>
  <c r="I113" i="21"/>
  <c r="L117" i="21"/>
  <c r="J117" i="21"/>
  <c r="I117" i="21"/>
  <c r="L121" i="21"/>
  <c r="J121" i="21"/>
  <c r="I121" i="21"/>
  <c r="J4" i="21"/>
  <c r="I5" i="21"/>
  <c r="I12" i="21"/>
  <c r="I13" i="21"/>
  <c r="J6" i="21"/>
  <c r="I24" i="21"/>
  <c r="L25" i="21"/>
  <c r="J35" i="21"/>
  <c r="I41" i="21"/>
  <c r="I65" i="21"/>
  <c r="J71" i="21"/>
  <c r="J110" i="21"/>
  <c r="L126" i="21"/>
  <c r="K126" i="21"/>
  <c r="J126" i="21"/>
  <c r="I126" i="21"/>
  <c r="K4" i="21"/>
  <c r="J5" i="21"/>
  <c r="J12" i="21"/>
  <c r="J13" i="21"/>
  <c r="K6" i="21"/>
  <c r="K24" i="21"/>
  <c r="L35" i="21"/>
  <c r="J41" i="21"/>
  <c r="I64" i="21"/>
  <c r="J65" i="21"/>
  <c r="K71" i="21"/>
  <c r="J101" i="21"/>
  <c r="J102" i="21"/>
  <c r="J104" i="21"/>
  <c r="J106" i="21"/>
  <c r="J108" i="21"/>
  <c r="L142" i="21"/>
  <c r="K142" i="21"/>
  <c r="J142" i="21"/>
  <c r="I142" i="21"/>
  <c r="K5" i="21"/>
  <c r="K12" i="21"/>
  <c r="N12" i="21" s="1"/>
  <c r="K13" i="21"/>
  <c r="L6" i="21"/>
  <c r="K41" i="21"/>
  <c r="I88" i="21"/>
  <c r="J64" i="21"/>
  <c r="K65" i="21"/>
  <c r="I93" i="21"/>
  <c r="I96" i="21"/>
  <c r="I98" i="21"/>
  <c r="K101" i="21"/>
  <c r="K102" i="21"/>
  <c r="K104" i="21"/>
  <c r="K106" i="21"/>
  <c r="K108" i="21"/>
  <c r="L111" i="21"/>
  <c r="I111" i="21"/>
  <c r="K113" i="21"/>
  <c r="K117" i="21"/>
  <c r="K121" i="21"/>
  <c r="L127" i="21"/>
  <c r="J127" i="21"/>
  <c r="I127" i="21"/>
  <c r="L72" i="21"/>
  <c r="K72" i="21"/>
  <c r="J72" i="21"/>
  <c r="I72" i="21"/>
  <c r="L75" i="21"/>
  <c r="K75" i="21"/>
  <c r="J75" i="21"/>
  <c r="I75" i="21"/>
  <c r="L77" i="21"/>
  <c r="K77" i="21"/>
  <c r="J77" i="21"/>
  <c r="I77" i="21"/>
  <c r="L80" i="21"/>
  <c r="K80" i="21"/>
  <c r="J80" i="21"/>
  <c r="I80" i="21"/>
  <c r="L5" i="21"/>
  <c r="L12" i="21"/>
  <c r="K33" i="21"/>
  <c r="I33" i="21"/>
  <c r="K64" i="21"/>
  <c r="L101" i="21"/>
  <c r="L102" i="21"/>
  <c r="L104" i="21"/>
  <c r="L106" i="21"/>
  <c r="L108" i="21"/>
  <c r="L114" i="21"/>
  <c r="J114" i="21"/>
  <c r="I114" i="21"/>
  <c r="L118" i="21"/>
  <c r="J118" i="21"/>
  <c r="I118" i="21"/>
  <c r="L124" i="21"/>
  <c r="J124" i="21"/>
  <c r="I124" i="21"/>
  <c r="J16" i="21"/>
  <c r="I62" i="21"/>
  <c r="L64" i="21"/>
  <c r="I92" i="21"/>
  <c r="K93" i="21"/>
  <c r="K96" i="21"/>
  <c r="I100" i="21"/>
  <c r="I99" i="21"/>
  <c r="I103" i="21"/>
  <c r="I105" i="21"/>
  <c r="I107" i="21"/>
  <c r="L109" i="21"/>
  <c r="I109" i="21"/>
  <c r="L143" i="21"/>
  <c r="K143" i="21"/>
  <c r="J143" i="21"/>
  <c r="I143" i="21"/>
  <c r="L8" i="21"/>
  <c r="J8" i="21"/>
  <c r="K43" i="21"/>
  <c r="J43" i="21"/>
  <c r="I43" i="21"/>
  <c r="L69" i="21"/>
  <c r="K69" i="21"/>
  <c r="N69" i="21" s="1"/>
  <c r="J69" i="21"/>
  <c r="I69" i="21"/>
  <c r="L73" i="21"/>
  <c r="K73" i="21"/>
  <c r="J73" i="21"/>
  <c r="I73" i="21"/>
  <c r="L119" i="21"/>
  <c r="K119" i="21"/>
  <c r="J119" i="21"/>
  <c r="I119" i="21"/>
  <c r="L78" i="21"/>
  <c r="K78" i="21"/>
  <c r="J78" i="21"/>
  <c r="I78" i="21"/>
  <c r="L81" i="21"/>
  <c r="K81" i="21"/>
  <c r="J81" i="21"/>
  <c r="I81" i="21"/>
  <c r="I8" i="21"/>
  <c r="L15" i="21"/>
  <c r="K19" i="21"/>
  <c r="K20" i="21"/>
  <c r="I32" i="21"/>
  <c r="L43" i="21"/>
  <c r="I59" i="21"/>
  <c r="J60" i="21"/>
  <c r="K61" i="21"/>
  <c r="J91" i="21"/>
  <c r="J95" i="21"/>
  <c r="I97" i="21"/>
  <c r="L98" i="21"/>
  <c r="J100" i="21"/>
  <c r="J99" i="21"/>
  <c r="J103" i="21"/>
  <c r="J105" i="21"/>
  <c r="J107" i="21"/>
  <c r="J109" i="21"/>
  <c r="L112" i="21"/>
  <c r="J112" i="21"/>
  <c r="I112" i="21"/>
  <c r="L116" i="21"/>
  <c r="J116" i="21"/>
  <c r="I116" i="21"/>
  <c r="L120" i="21"/>
  <c r="J120" i="21"/>
  <c r="I120" i="21"/>
  <c r="L125" i="21"/>
  <c r="K125" i="21"/>
  <c r="J125" i="21"/>
  <c r="I125" i="21"/>
  <c r="L144" i="21"/>
  <c r="K144" i="21"/>
  <c r="J144" i="21"/>
  <c r="I144" i="21"/>
  <c r="I7" i="21"/>
  <c r="K8" i="21"/>
  <c r="L19" i="21"/>
  <c r="K32" i="21"/>
  <c r="K60" i="21"/>
  <c r="I90" i="21"/>
  <c r="K91" i="21"/>
  <c r="K95" i="21"/>
  <c r="K100" i="21"/>
  <c r="K99" i="21"/>
  <c r="K103" i="21"/>
  <c r="K105" i="21"/>
  <c r="K107" i="21"/>
  <c r="K109" i="21"/>
  <c r="J7" i="21"/>
  <c r="K25" i="21"/>
  <c r="I25" i="21"/>
  <c r="J31" i="21"/>
  <c r="L32" i="21"/>
  <c r="L95" i="21"/>
  <c r="I71" i="21"/>
  <c r="L110" i="21"/>
  <c r="I110" i="21"/>
  <c r="R100" i="20"/>
  <c r="Q67" i="20"/>
  <c r="R64" i="20"/>
  <c r="S79" i="20"/>
  <c r="L96" i="20"/>
  <c r="R99" i="20"/>
  <c r="Q101" i="20"/>
  <c r="Q59" i="20"/>
  <c r="L61" i="20"/>
  <c r="L69" i="20"/>
  <c r="I13" i="20"/>
  <c r="L35" i="20"/>
  <c r="R82" i="20"/>
  <c r="Q5" i="20"/>
  <c r="R84" i="20"/>
  <c r="L13" i="20"/>
  <c r="S94" i="20"/>
  <c r="Q102" i="20"/>
  <c r="Q95" i="20"/>
  <c r="Q74" i="20"/>
  <c r="R60" i="20"/>
  <c r="R75" i="20"/>
  <c r="R94" i="20"/>
  <c r="Q61" i="20"/>
  <c r="S75" i="20"/>
  <c r="L15" i="20"/>
  <c r="J15" i="20"/>
  <c r="O15" i="20" s="1"/>
  <c r="K15" i="20"/>
  <c r="L103" i="20"/>
  <c r="Q89" i="20"/>
  <c r="J20" i="20"/>
  <c r="K20" i="20"/>
  <c r="N20" i="20" s="1"/>
  <c r="K39" i="20"/>
  <c r="L71" i="20"/>
  <c r="L98" i="20"/>
  <c r="Q62" i="20"/>
  <c r="Q70" i="20"/>
  <c r="Q81" i="20"/>
  <c r="Q92" i="20"/>
  <c r="P33" i="20"/>
  <c r="Q65" i="20"/>
  <c r="Q96" i="20"/>
  <c r="L85" i="20"/>
  <c r="R97" i="20"/>
  <c r="I20" i="20"/>
  <c r="I39" i="20"/>
  <c r="Q77" i="20"/>
  <c r="S90" i="20"/>
  <c r="I32" i="20"/>
  <c r="S62" i="20"/>
  <c r="Q71" i="20"/>
  <c r="S81" i="20"/>
  <c r="R103" i="20"/>
  <c r="Q90" i="20"/>
  <c r="L32" i="20"/>
  <c r="R63" i="20"/>
  <c r="J6" i="20"/>
  <c r="Q6" i="20"/>
  <c r="L6" i="20"/>
  <c r="K6" i="20"/>
  <c r="I19" i="20"/>
  <c r="Q19" i="20"/>
  <c r="N2" i="20"/>
  <c r="M2" i="20"/>
  <c r="K31" i="20"/>
  <c r="P31" i="20"/>
  <c r="Q21" i="20"/>
  <c r="J21" i="20"/>
  <c r="I4" i="20"/>
  <c r="S63" i="20"/>
  <c r="L63" i="20"/>
  <c r="R73" i="20"/>
  <c r="Q73" i="20"/>
  <c r="R80" i="20"/>
  <c r="Q80" i="20"/>
  <c r="Q10" i="20"/>
  <c r="R79" i="20"/>
  <c r="J4" i="20"/>
  <c r="Q66" i="20"/>
  <c r="R66" i="20"/>
  <c r="L73" i="20"/>
  <c r="Q2" i="20"/>
  <c r="R88" i="20"/>
  <c r="L4" i="20"/>
  <c r="L11" i="20"/>
  <c r="K11" i="20"/>
  <c r="Q16" i="20"/>
  <c r="L16" i="20"/>
  <c r="I63" i="20"/>
  <c r="R76" i="20"/>
  <c r="R83" i="20"/>
  <c r="Q83" i="20"/>
  <c r="Q91" i="20"/>
  <c r="R91" i="20"/>
  <c r="O13" i="20"/>
  <c r="P13" i="20"/>
  <c r="L65" i="20"/>
  <c r="L83" i="20"/>
  <c r="Q69" i="20"/>
  <c r="L60" i="20"/>
  <c r="I60" i="20"/>
  <c r="J2" i="20"/>
  <c r="L5" i="20"/>
  <c r="K5" i="20"/>
  <c r="I14" i="20"/>
  <c r="L14" i="20"/>
  <c r="K14" i="20"/>
  <c r="J14" i="20"/>
  <c r="I35" i="20"/>
  <c r="R85" i="20"/>
  <c r="Q85" i="20"/>
  <c r="S67" i="20"/>
  <c r="I41" i="20"/>
  <c r="R78" i="20"/>
  <c r="Q78" i="20"/>
  <c r="M13" i="20"/>
  <c r="S92" i="20"/>
  <c r="I12" i="20"/>
  <c r="K12" i="20"/>
  <c r="L12" i="20"/>
  <c r="R98" i="20"/>
  <c r="Q98" i="20"/>
  <c r="J12" i="20"/>
  <c r="K24" i="20"/>
  <c r="S88" i="20"/>
  <c r="L88" i="20"/>
  <c r="O5" i="20"/>
  <c r="Q24" i="20"/>
  <c r="I18" i="20"/>
  <c r="Q18" i="20"/>
  <c r="I42" i="20"/>
  <c r="R72" i="20"/>
  <c r="Q86" i="20"/>
  <c r="I2" i="20"/>
  <c r="L2" i="20"/>
  <c r="K4" i="20"/>
  <c r="L23" i="20"/>
  <c r="I23" i="20"/>
  <c r="S77" i="20"/>
  <c r="Q13" i="20"/>
  <c r="Q68" i="20"/>
  <c r="Q93" i="20"/>
  <c r="Q15" i="20"/>
  <c r="L22" i="20"/>
  <c r="I22" i="20"/>
  <c r="K22" i="20"/>
  <c r="J22" i="20"/>
  <c r="L3" i="20"/>
  <c r="K3" i="20"/>
  <c r="J3" i="20"/>
  <c r="I3" i="20"/>
  <c r="L9" i="20"/>
  <c r="K9" i="20"/>
  <c r="J9" i="20"/>
  <c r="I9" i="20"/>
  <c r="J34" i="20"/>
  <c r="I34" i="20"/>
  <c r="L34" i="20"/>
  <c r="K34" i="20"/>
  <c r="L7" i="20"/>
  <c r="K7" i="20"/>
  <c r="J7" i="20"/>
  <c r="I7" i="20"/>
  <c r="J17" i="20"/>
  <c r="L17" i="20"/>
  <c r="K17" i="20"/>
  <c r="I17" i="20"/>
  <c r="L25" i="20"/>
  <c r="I25" i="20"/>
  <c r="K25" i="20"/>
  <c r="J25" i="20"/>
  <c r="L8" i="20"/>
  <c r="K8" i="20"/>
  <c r="J8" i="20"/>
  <c r="I8" i="20"/>
  <c r="J19" i="20"/>
  <c r="L26" i="20"/>
  <c r="K26" i="20"/>
  <c r="I27" i="20"/>
  <c r="I33" i="20"/>
  <c r="L39" i="20"/>
  <c r="J59" i="20"/>
  <c r="K64" i="20"/>
  <c r="J64" i="20"/>
  <c r="I64" i="20"/>
  <c r="K66" i="20"/>
  <c r="J66" i="20"/>
  <c r="I66" i="20"/>
  <c r="K68" i="20"/>
  <c r="J68" i="20"/>
  <c r="I68" i="20"/>
  <c r="K70" i="20"/>
  <c r="J70" i="20"/>
  <c r="I70" i="20"/>
  <c r="K72" i="20"/>
  <c r="J72" i="20"/>
  <c r="I72" i="20"/>
  <c r="K74" i="20"/>
  <c r="M74" i="20" s="1"/>
  <c r="J74" i="20"/>
  <c r="I74" i="20"/>
  <c r="K76" i="20"/>
  <c r="J76" i="20"/>
  <c r="I76" i="20"/>
  <c r="K78" i="20"/>
  <c r="J78" i="20"/>
  <c r="I78" i="20"/>
  <c r="K80" i="20"/>
  <c r="J80" i="20"/>
  <c r="I80" i="20"/>
  <c r="K82" i="20"/>
  <c r="J82" i="20"/>
  <c r="I82" i="20"/>
  <c r="K84" i="20"/>
  <c r="J84" i="20"/>
  <c r="I84" i="20"/>
  <c r="K86" i="20"/>
  <c r="J86" i="20"/>
  <c r="I86" i="20"/>
  <c r="K89" i="20"/>
  <c r="J89" i="20"/>
  <c r="I89" i="20"/>
  <c r="K91" i="20"/>
  <c r="J91" i="20"/>
  <c r="I91" i="20"/>
  <c r="K93" i="20"/>
  <c r="J93" i="20"/>
  <c r="I93" i="20"/>
  <c r="K95" i="20"/>
  <c r="J95" i="20"/>
  <c r="I95" i="20"/>
  <c r="K97" i="20"/>
  <c r="J97" i="20"/>
  <c r="I97" i="20"/>
  <c r="K102" i="20"/>
  <c r="J102" i="20"/>
  <c r="I102" i="20"/>
  <c r="K106" i="20"/>
  <c r="J106" i="20"/>
  <c r="I106" i="20"/>
  <c r="K109" i="20"/>
  <c r="J109" i="20"/>
  <c r="I109" i="20"/>
  <c r="L119" i="20"/>
  <c r="K119" i="20"/>
  <c r="J119" i="20"/>
  <c r="I119" i="20"/>
  <c r="L100" i="20"/>
  <c r="K100" i="20"/>
  <c r="J100" i="20"/>
  <c r="I100" i="20"/>
  <c r="L123" i="20"/>
  <c r="K123" i="20"/>
  <c r="J123" i="20"/>
  <c r="I123" i="20"/>
  <c r="L125" i="20"/>
  <c r="K125" i="20"/>
  <c r="J125" i="20"/>
  <c r="I125" i="20"/>
  <c r="L142" i="20"/>
  <c r="K142" i="20"/>
  <c r="J142" i="20"/>
  <c r="I142" i="20"/>
  <c r="J18" i="20"/>
  <c r="K19" i="20"/>
  <c r="K23" i="20"/>
  <c r="J23" i="20"/>
  <c r="L27" i="20"/>
  <c r="L41" i="20"/>
  <c r="K41" i="20"/>
  <c r="I62" i="20"/>
  <c r="K10" i="20"/>
  <c r="J10" i="20"/>
  <c r="L10" i="20"/>
  <c r="K18" i="20"/>
  <c r="L19" i="20"/>
  <c r="K32" i="20"/>
  <c r="J32" i="20"/>
  <c r="K16" i="20"/>
  <c r="L18" i="20"/>
  <c r="I26" i="20"/>
  <c r="L38" i="20"/>
  <c r="K38" i="20"/>
  <c r="I59" i="20"/>
  <c r="K61" i="20"/>
  <c r="J61" i="20"/>
  <c r="L64" i="20"/>
  <c r="L66" i="20"/>
  <c r="L68" i="20"/>
  <c r="L70" i="20"/>
  <c r="L72" i="20"/>
  <c r="L74" i="20"/>
  <c r="L76" i="20"/>
  <c r="L78" i="20"/>
  <c r="L80" i="20"/>
  <c r="L82" i="20"/>
  <c r="L84" i="20"/>
  <c r="L86" i="20"/>
  <c r="L89" i="20"/>
  <c r="L91" i="20"/>
  <c r="L93" i="20"/>
  <c r="L95" i="20"/>
  <c r="L97" i="20"/>
  <c r="L102" i="20"/>
  <c r="L106" i="20"/>
  <c r="L109" i="20"/>
  <c r="L143" i="20"/>
  <c r="K143" i="20"/>
  <c r="L21" i="20"/>
  <c r="K21" i="20"/>
  <c r="J26" i="20"/>
  <c r="K59" i="20"/>
  <c r="N59" i="20" s="1"/>
  <c r="L107" i="20"/>
  <c r="K107" i="20"/>
  <c r="J107" i="20"/>
  <c r="I107" i="20"/>
  <c r="L117" i="20"/>
  <c r="K117" i="20"/>
  <c r="J117" i="20"/>
  <c r="I117" i="20"/>
  <c r="L120" i="20"/>
  <c r="K120" i="20"/>
  <c r="J120" i="20"/>
  <c r="I120" i="20"/>
  <c r="L121" i="20"/>
  <c r="K121" i="20"/>
  <c r="J121" i="20"/>
  <c r="I121" i="20"/>
  <c r="L124" i="20"/>
  <c r="K124" i="20"/>
  <c r="J124" i="20"/>
  <c r="I124" i="20"/>
  <c r="L126" i="20"/>
  <c r="K126" i="20"/>
  <c r="J126" i="20"/>
  <c r="I126" i="20"/>
  <c r="I6" i="20"/>
  <c r="I16" i="20"/>
  <c r="I38" i="20"/>
  <c r="L59" i="20"/>
  <c r="K63" i="20"/>
  <c r="J63" i="20"/>
  <c r="I5" i="20"/>
  <c r="I15" i="20"/>
  <c r="J16" i="20"/>
  <c r="L20" i="20"/>
  <c r="I21" i="20"/>
  <c r="J38" i="20"/>
  <c r="I61" i="20"/>
  <c r="K65" i="20"/>
  <c r="J65" i="20"/>
  <c r="I65" i="20"/>
  <c r="K67" i="20"/>
  <c r="J67" i="20"/>
  <c r="I67" i="20"/>
  <c r="K69" i="20"/>
  <c r="J69" i="20"/>
  <c r="I69" i="20"/>
  <c r="K71" i="20"/>
  <c r="J71" i="20"/>
  <c r="I71" i="20"/>
  <c r="K73" i="20"/>
  <c r="J73" i="20"/>
  <c r="I73" i="20"/>
  <c r="K75" i="20"/>
  <c r="J75" i="20"/>
  <c r="I75" i="20"/>
  <c r="K77" i="20"/>
  <c r="J77" i="20"/>
  <c r="I77" i="20"/>
  <c r="K79" i="20"/>
  <c r="J79" i="20"/>
  <c r="I79" i="20"/>
  <c r="K81" i="20"/>
  <c r="J81" i="20"/>
  <c r="I81" i="20"/>
  <c r="K83" i="20"/>
  <c r="J83" i="20"/>
  <c r="I83" i="20"/>
  <c r="K85" i="20"/>
  <c r="J85" i="20"/>
  <c r="I85" i="20"/>
  <c r="K88" i="20"/>
  <c r="J88" i="20"/>
  <c r="I88" i="20"/>
  <c r="K90" i="20"/>
  <c r="J90" i="20"/>
  <c r="I90" i="20"/>
  <c r="K92" i="20"/>
  <c r="J92" i="20"/>
  <c r="I92" i="20"/>
  <c r="K94" i="20"/>
  <c r="J94" i="20"/>
  <c r="I94" i="20"/>
  <c r="K96" i="20"/>
  <c r="J96" i="20"/>
  <c r="I96" i="20"/>
  <c r="K98" i="20"/>
  <c r="J98" i="20"/>
  <c r="I98" i="20"/>
  <c r="K103" i="20"/>
  <c r="J103" i="20"/>
  <c r="I103" i="20"/>
  <c r="I143" i="20"/>
  <c r="L108" i="20"/>
  <c r="K108" i="20"/>
  <c r="L31" i="20"/>
  <c r="J31" i="20"/>
  <c r="I31" i="20"/>
  <c r="K35" i="20"/>
  <c r="J35" i="20"/>
  <c r="L42" i="20"/>
  <c r="K42" i="20"/>
  <c r="K60" i="20"/>
  <c r="J60" i="20"/>
  <c r="L118" i="20"/>
  <c r="K118" i="20"/>
  <c r="J118" i="20"/>
  <c r="I118" i="20"/>
  <c r="L99" i="20"/>
  <c r="K99" i="20"/>
  <c r="J99" i="20"/>
  <c r="I99" i="20"/>
  <c r="L122" i="20"/>
  <c r="K122" i="20"/>
  <c r="J122" i="20"/>
  <c r="I122" i="20"/>
  <c r="L101" i="20"/>
  <c r="K101" i="20"/>
  <c r="J101" i="20"/>
  <c r="I101" i="20"/>
  <c r="L127" i="20"/>
  <c r="K127" i="20"/>
  <c r="J127" i="20"/>
  <c r="I127" i="20"/>
  <c r="L144" i="20"/>
  <c r="K144" i="20"/>
  <c r="J144" i="20"/>
  <c r="I144" i="20"/>
  <c r="J11" i="20"/>
  <c r="I11" i="20"/>
  <c r="J24" i="20"/>
  <c r="I24" i="20"/>
  <c r="K27" i="20"/>
  <c r="J27" i="20"/>
  <c r="L33" i="20"/>
  <c r="K33" i="20"/>
  <c r="K62" i="20"/>
  <c r="J62" i="20"/>
  <c r="I108" i="20"/>
  <c r="L46" i="18"/>
  <c r="J46" i="18"/>
  <c r="L106" i="18"/>
  <c r="K106" i="18"/>
  <c r="J106" i="18"/>
  <c r="I106" i="18"/>
  <c r="L123" i="18"/>
  <c r="J123" i="18"/>
  <c r="L95" i="18"/>
  <c r="J95" i="18"/>
  <c r="I95" i="18"/>
  <c r="K95" i="18"/>
  <c r="L103" i="18"/>
  <c r="J103" i="18"/>
  <c r="K103" i="18"/>
  <c r="I103" i="18"/>
  <c r="L26" i="18"/>
  <c r="K26" i="18"/>
  <c r="J26" i="18"/>
  <c r="I26" i="18"/>
  <c r="L37" i="18"/>
  <c r="J37" i="18"/>
  <c r="L120" i="18"/>
  <c r="J120" i="18"/>
  <c r="L6" i="18"/>
  <c r="J6" i="18"/>
  <c r="I6" i="18"/>
  <c r="K6" i="18"/>
  <c r="L122" i="18"/>
  <c r="K122" i="18"/>
  <c r="J122" i="18"/>
  <c r="I122" i="18"/>
  <c r="L68" i="18"/>
  <c r="J68" i="18"/>
  <c r="L4" i="18"/>
  <c r="J4" i="18"/>
  <c r="L97" i="18"/>
  <c r="J97" i="18"/>
  <c r="L18" i="18"/>
  <c r="J18" i="18"/>
  <c r="L21" i="18"/>
  <c r="K21" i="18"/>
  <c r="J21" i="18"/>
  <c r="I21" i="18"/>
  <c r="L64" i="18"/>
  <c r="J64" i="18"/>
  <c r="L62" i="18"/>
  <c r="J62" i="18"/>
  <c r="I62" i="18"/>
  <c r="K62" i="18"/>
  <c r="L76" i="18"/>
  <c r="J76" i="18"/>
  <c r="L133" i="18"/>
  <c r="J133" i="18"/>
  <c r="L10" i="18"/>
  <c r="J10" i="18"/>
  <c r="L70" i="18"/>
  <c r="J70" i="18"/>
  <c r="L108" i="18"/>
  <c r="J108" i="18"/>
  <c r="I108" i="18"/>
  <c r="K108" i="18"/>
  <c r="L33" i="18"/>
  <c r="J33" i="18"/>
  <c r="L39" i="18"/>
  <c r="J39" i="18"/>
  <c r="I39" i="18"/>
  <c r="K39" i="18"/>
  <c r="L3" i="18"/>
  <c r="K3" i="18"/>
  <c r="J3" i="18"/>
  <c r="I3" i="18"/>
  <c r="L36" i="18"/>
  <c r="K36" i="18"/>
  <c r="J36" i="18"/>
  <c r="I36" i="18"/>
  <c r="L143" i="18"/>
  <c r="I143" i="18"/>
  <c r="K143" i="18"/>
  <c r="J143" i="18"/>
  <c r="L9" i="18"/>
  <c r="J9" i="18"/>
  <c r="I9" i="18"/>
  <c r="K9" i="18"/>
  <c r="L31" i="18"/>
  <c r="J31" i="18"/>
  <c r="L69" i="18"/>
  <c r="K69" i="18"/>
  <c r="I69" i="18"/>
  <c r="J69" i="18"/>
  <c r="L73" i="18"/>
  <c r="J73" i="18"/>
  <c r="L100" i="18"/>
  <c r="J100" i="18"/>
  <c r="I100" i="18"/>
  <c r="K100" i="18"/>
  <c r="L104" i="18"/>
  <c r="J104" i="18"/>
  <c r="L22" i="18"/>
  <c r="J22" i="18"/>
  <c r="I22" i="18"/>
  <c r="K22" i="18"/>
  <c r="L59" i="18"/>
  <c r="J59" i="18"/>
  <c r="L93" i="18"/>
  <c r="J93" i="18"/>
  <c r="L77" i="18"/>
  <c r="J77" i="18"/>
  <c r="I77" i="18"/>
  <c r="K77" i="18"/>
  <c r="L43" i="18"/>
  <c r="J43" i="18"/>
  <c r="I43" i="18"/>
  <c r="K43" i="18"/>
  <c r="L67" i="18"/>
  <c r="J67" i="18"/>
  <c r="I67" i="18"/>
  <c r="K67" i="18"/>
  <c r="L101" i="18"/>
  <c r="J101" i="18"/>
  <c r="L110" i="18"/>
  <c r="J110" i="18"/>
  <c r="L66" i="18"/>
  <c r="J66" i="18"/>
  <c r="I66" i="18"/>
  <c r="K66" i="18"/>
  <c r="L81" i="18"/>
  <c r="K81" i="18"/>
  <c r="J81" i="18"/>
  <c r="I81" i="18"/>
  <c r="L17" i="18"/>
  <c r="J17" i="18"/>
  <c r="K17" i="18"/>
  <c r="I17" i="18"/>
  <c r="L75" i="18"/>
  <c r="J75" i="18"/>
  <c r="I75" i="18"/>
  <c r="K75" i="18"/>
  <c r="L119" i="18"/>
  <c r="K119" i="18"/>
  <c r="J119" i="18"/>
  <c r="I119" i="18"/>
  <c r="L63" i="18"/>
  <c r="J63" i="18"/>
  <c r="K63" i="18"/>
  <c r="I63" i="18"/>
  <c r="L12" i="18"/>
  <c r="K12" i="18"/>
  <c r="J12" i="18"/>
  <c r="I12" i="18"/>
  <c r="L72" i="18"/>
  <c r="K72" i="18"/>
  <c r="J72" i="18"/>
  <c r="I72" i="18"/>
  <c r="L107" i="18"/>
  <c r="J107" i="18"/>
  <c r="L20" i="18"/>
  <c r="J20" i="18"/>
  <c r="I20" i="18"/>
  <c r="K20" i="18"/>
  <c r="L47" i="18"/>
  <c r="J47" i="18"/>
  <c r="L92" i="18"/>
  <c r="J92" i="18"/>
  <c r="L117" i="18"/>
  <c r="J117" i="18"/>
  <c r="L130" i="18"/>
  <c r="J130" i="18"/>
  <c r="K130" i="18"/>
  <c r="I130" i="18"/>
  <c r="J7" i="18"/>
  <c r="J13" i="18"/>
  <c r="J40" i="18"/>
  <c r="J89" i="18"/>
  <c r="K132" i="18"/>
  <c r="J91" i="18"/>
  <c r="J60" i="18"/>
  <c r="J99" i="18"/>
  <c r="J109" i="18"/>
  <c r="I132" i="18"/>
  <c r="J132" i="18"/>
  <c r="L121" i="18"/>
  <c r="K121" i="18"/>
  <c r="J121" i="18"/>
  <c r="I121" i="18"/>
  <c r="K5" i="18"/>
  <c r="J5" i="18"/>
  <c r="L5" i="18"/>
  <c r="I5" i="18"/>
  <c r="J19" i="18"/>
  <c r="L19" i="18"/>
  <c r="K19" i="18"/>
  <c r="I19" i="18"/>
  <c r="J38" i="18"/>
  <c r="L38" i="18"/>
  <c r="K38" i="18"/>
  <c r="I38" i="18"/>
  <c r="J65" i="18"/>
  <c r="L65" i="18"/>
  <c r="K65" i="18"/>
  <c r="I65" i="18"/>
  <c r="J74" i="18"/>
  <c r="L74" i="18"/>
  <c r="K74" i="18"/>
  <c r="I74" i="18"/>
  <c r="J98" i="18"/>
  <c r="L98" i="18"/>
  <c r="K98" i="18"/>
  <c r="I98" i="18"/>
  <c r="K126" i="18"/>
  <c r="J126" i="18"/>
  <c r="L126" i="18"/>
  <c r="I126" i="18"/>
  <c r="L124" i="18"/>
  <c r="K124" i="18"/>
  <c r="J124" i="18"/>
  <c r="I124" i="18"/>
  <c r="J16" i="18"/>
  <c r="L16" i="18"/>
  <c r="K16" i="18"/>
  <c r="I16" i="18"/>
  <c r="J35" i="18"/>
  <c r="L35" i="18"/>
  <c r="K35" i="18"/>
  <c r="I35" i="18"/>
  <c r="J88" i="18"/>
  <c r="L88" i="18"/>
  <c r="K88" i="18"/>
  <c r="I88" i="18"/>
  <c r="J96" i="18"/>
  <c r="L96" i="18"/>
  <c r="K96" i="18"/>
  <c r="I96" i="18"/>
  <c r="K105" i="18"/>
  <c r="L105" i="18"/>
  <c r="J105" i="18"/>
  <c r="I105" i="18"/>
  <c r="K2" i="18"/>
  <c r="J2" i="18"/>
  <c r="L2" i="18"/>
  <c r="I2" i="18"/>
  <c r="K8" i="18"/>
  <c r="J8" i="18"/>
  <c r="L8" i="18"/>
  <c r="I8" i="18"/>
  <c r="J32" i="18"/>
  <c r="L32" i="18"/>
  <c r="K32" i="18"/>
  <c r="I32" i="18"/>
  <c r="J45" i="18"/>
  <c r="L45" i="18"/>
  <c r="K45" i="18"/>
  <c r="I45" i="18"/>
  <c r="J90" i="18"/>
  <c r="L90" i="18"/>
  <c r="K90" i="18"/>
  <c r="I90" i="18"/>
  <c r="J61" i="18"/>
  <c r="L61" i="18"/>
  <c r="K61" i="18"/>
  <c r="I61" i="18"/>
  <c r="L125" i="18"/>
  <c r="K125" i="18"/>
  <c r="J125" i="18"/>
  <c r="I125" i="18"/>
  <c r="K127" i="18"/>
  <c r="J127" i="18"/>
  <c r="L127" i="18"/>
  <c r="I127" i="18"/>
  <c r="L131" i="18"/>
  <c r="K131" i="18"/>
  <c r="J131" i="18"/>
  <c r="I131" i="18"/>
  <c r="J71" i="18"/>
  <c r="L71" i="18"/>
  <c r="K71" i="18"/>
  <c r="I71" i="18"/>
  <c r="L144" i="18"/>
  <c r="K144" i="18"/>
  <c r="J144" i="18"/>
  <c r="I144" i="18"/>
  <c r="J11" i="18"/>
  <c r="L11" i="18"/>
  <c r="K11" i="18"/>
  <c r="I11" i="18"/>
  <c r="L34" i="18"/>
  <c r="K34" i="18"/>
  <c r="J34" i="18"/>
  <c r="I34" i="18"/>
  <c r="J23" i="18"/>
  <c r="L23" i="18"/>
  <c r="K23" i="18"/>
  <c r="I23" i="18"/>
  <c r="J80" i="18"/>
  <c r="L80" i="18"/>
  <c r="K80" i="18"/>
  <c r="I80" i="18"/>
  <c r="J94" i="18"/>
  <c r="L94" i="18"/>
  <c r="K94" i="18"/>
  <c r="I94" i="18"/>
  <c r="K102" i="18"/>
  <c r="L102" i="18"/>
  <c r="J102" i="18"/>
  <c r="I102" i="18"/>
  <c r="L118" i="18"/>
  <c r="K118" i="18"/>
  <c r="J118" i="18"/>
  <c r="I118" i="18"/>
  <c r="L142" i="18"/>
  <c r="K142" i="18"/>
  <c r="J142" i="18"/>
  <c r="I142" i="18"/>
  <c r="I4" i="18"/>
  <c r="I7" i="18"/>
  <c r="I10" i="18"/>
  <c r="I31" i="18"/>
  <c r="I18" i="18"/>
  <c r="I13" i="18"/>
  <c r="I33" i="18"/>
  <c r="I47" i="18"/>
  <c r="I37" i="18"/>
  <c r="I40" i="18"/>
  <c r="I46" i="18"/>
  <c r="I59" i="18"/>
  <c r="I64" i="18"/>
  <c r="I89" i="18"/>
  <c r="I68" i="18"/>
  <c r="I70" i="18"/>
  <c r="I73" i="18"/>
  <c r="I91" i="18"/>
  <c r="I92" i="18"/>
  <c r="I60" i="18"/>
  <c r="I93" i="18"/>
  <c r="I76" i="18"/>
  <c r="I97" i="18"/>
  <c r="I99" i="18"/>
  <c r="I101" i="18"/>
  <c r="I104" i="18"/>
  <c r="I107" i="18"/>
  <c r="I109" i="18"/>
  <c r="I117" i="18"/>
  <c r="I120" i="18"/>
  <c r="I123" i="18"/>
  <c r="I110" i="18"/>
  <c r="I133" i="18"/>
  <c r="K4" i="18"/>
  <c r="K7" i="18"/>
  <c r="K10" i="18"/>
  <c r="K31" i="18"/>
  <c r="K18" i="18"/>
  <c r="K13" i="18"/>
  <c r="K33" i="18"/>
  <c r="K47" i="18"/>
  <c r="K37" i="18"/>
  <c r="K40" i="18"/>
  <c r="K46" i="18"/>
  <c r="K59" i="18"/>
  <c r="K64" i="18"/>
  <c r="K89" i="18"/>
  <c r="K68" i="18"/>
  <c r="K70" i="18"/>
  <c r="K73" i="18"/>
  <c r="K91" i="18"/>
  <c r="K92" i="18"/>
  <c r="K60" i="18"/>
  <c r="K93" i="18"/>
  <c r="K76" i="18"/>
  <c r="K97" i="18"/>
  <c r="K99" i="18"/>
  <c r="K101" i="18"/>
  <c r="K104" i="18"/>
  <c r="K107" i="18"/>
  <c r="K109" i="18"/>
  <c r="K117" i="18"/>
  <c r="K120" i="18"/>
  <c r="K123" i="18"/>
  <c r="K110" i="18"/>
  <c r="K133" i="18"/>
  <c r="L60" i="17"/>
  <c r="K42" i="17"/>
  <c r="J35" i="17"/>
  <c r="O35" i="17" s="1"/>
  <c r="K35" i="17"/>
  <c r="N35" i="17" s="1"/>
  <c r="I73" i="17"/>
  <c r="K73" i="17"/>
  <c r="N73" i="17" s="1"/>
  <c r="J73" i="17"/>
  <c r="O73" i="17" s="1"/>
  <c r="L73" i="17"/>
  <c r="I21" i="17"/>
  <c r="K31" i="17"/>
  <c r="N31" i="17" s="1"/>
  <c r="J34" i="17"/>
  <c r="O34" i="17" s="1"/>
  <c r="L34" i="17"/>
  <c r="J85" i="17"/>
  <c r="O85" i="17" s="1"/>
  <c r="I7" i="17"/>
  <c r="J86" i="17"/>
  <c r="O86" i="17" s="1"/>
  <c r="J31" i="17"/>
  <c r="O31" i="17" s="1"/>
  <c r="K21" i="17"/>
  <c r="N21" i="17" s="1"/>
  <c r="L91" i="17"/>
  <c r="J71" i="17"/>
  <c r="O71" i="17" s="1"/>
  <c r="J7" i="17"/>
  <c r="O7" i="17" s="1"/>
  <c r="I34" i="17"/>
  <c r="I35" i="17"/>
  <c r="K66" i="17"/>
  <c r="N66" i="17" s="1"/>
  <c r="J9" i="17"/>
  <c r="O9" i="17" s="1"/>
  <c r="P9" i="17"/>
  <c r="P13" i="17"/>
  <c r="K13" i="17"/>
  <c r="J13" i="17"/>
  <c r="O13" i="17" s="1"/>
  <c r="L43" i="17"/>
  <c r="K43" i="17"/>
  <c r="I43" i="17"/>
  <c r="J43" i="17"/>
  <c r="K68" i="17"/>
  <c r="P68" i="17"/>
  <c r="P126" i="17"/>
  <c r="J126" i="17"/>
  <c r="O126" i="17" s="1"/>
  <c r="K126" i="17"/>
  <c r="N6" i="17"/>
  <c r="M6" i="17"/>
  <c r="J77" i="17"/>
  <c r="O77" i="17" s="1"/>
  <c r="P77" i="17"/>
  <c r="L123" i="17"/>
  <c r="P123" i="17"/>
  <c r="I90" i="17"/>
  <c r="L90" i="17"/>
  <c r="P90" i="17"/>
  <c r="K90" i="17"/>
  <c r="J90" i="17"/>
  <c r="O90" i="17" s="1"/>
  <c r="P14" i="17"/>
  <c r="I14" i="17"/>
  <c r="K14" i="17"/>
  <c r="K22" i="17"/>
  <c r="P22" i="17"/>
  <c r="I40" i="17"/>
  <c r="L40" i="17"/>
  <c r="K40" i="17"/>
  <c r="N99" i="17"/>
  <c r="M99" i="17"/>
  <c r="L94" i="17"/>
  <c r="P94" i="17"/>
  <c r="P4" i="17"/>
  <c r="K4" i="17"/>
  <c r="K129" i="17"/>
  <c r="I129" i="17"/>
  <c r="P129" i="17"/>
  <c r="L129" i="17"/>
  <c r="J129" i="17"/>
  <c r="O129" i="17" s="1"/>
  <c r="I79" i="17"/>
  <c r="P79" i="17"/>
  <c r="L79" i="17"/>
  <c r="J79" i="17"/>
  <c r="O79" i="17" s="1"/>
  <c r="K79" i="17"/>
  <c r="K82" i="17"/>
  <c r="P82" i="17"/>
  <c r="P67" i="17"/>
  <c r="K67" i="17"/>
  <c r="J67" i="17"/>
  <c r="O67" i="17" s="1"/>
  <c r="I76" i="17"/>
  <c r="P76" i="17"/>
  <c r="I144" i="17"/>
  <c r="L144" i="17"/>
  <c r="K144" i="17"/>
  <c r="J144" i="17"/>
  <c r="J5" i="17"/>
  <c r="O5" i="17" s="1"/>
  <c r="P5" i="17"/>
  <c r="L8" i="17"/>
  <c r="P8" i="17"/>
  <c r="P12" i="17"/>
  <c r="P16" i="17"/>
  <c r="P25" i="17"/>
  <c r="L122" i="17"/>
  <c r="L99" i="17"/>
  <c r="J18" i="17"/>
  <c r="O18" i="17" s="1"/>
  <c r="J62" i="17"/>
  <c r="O62" i="17" s="1"/>
  <c r="I128" i="17"/>
  <c r="P3" i="17"/>
  <c r="P24" i="17"/>
  <c r="P63" i="17"/>
  <c r="P66" i="17"/>
  <c r="P73" i="17"/>
  <c r="P95" i="17"/>
  <c r="P127" i="17"/>
  <c r="P118" i="17"/>
  <c r="P128" i="17"/>
  <c r="I62" i="17"/>
  <c r="I3" i="17"/>
  <c r="K18" i="17"/>
  <c r="I80" i="17"/>
  <c r="I98" i="17"/>
  <c r="I105" i="17"/>
  <c r="J128" i="17"/>
  <c r="O128" i="17" s="1"/>
  <c r="K59" i="17"/>
  <c r="N59" i="17" s="1"/>
  <c r="I118" i="17"/>
  <c r="I11" i="17"/>
  <c r="L18" i="17"/>
  <c r="I24" i="17"/>
  <c r="I74" i="17"/>
  <c r="J98" i="17"/>
  <c r="O98" i="17" s="1"/>
  <c r="J105" i="17"/>
  <c r="K128" i="17"/>
  <c r="J130" i="17"/>
  <c r="O130" i="17" s="1"/>
  <c r="P6" i="17"/>
  <c r="J122" i="17"/>
  <c r="O122" i="17" s="1"/>
  <c r="J24" i="17"/>
  <c r="O24" i="17" s="1"/>
  <c r="I6" i="17"/>
  <c r="K24" i="17"/>
  <c r="J25" i="17"/>
  <c r="O25" i="17" s="1"/>
  <c r="P11" i="17"/>
  <c r="P64" i="17"/>
  <c r="P88" i="17"/>
  <c r="P96" i="17"/>
  <c r="P99" i="17"/>
  <c r="P119" i="17"/>
  <c r="I96" i="17"/>
  <c r="J59" i="17"/>
  <c r="O59" i="17" s="1"/>
  <c r="K122" i="17"/>
  <c r="L105" i="17"/>
  <c r="K25" i="17"/>
  <c r="I26" i="17"/>
  <c r="K36" i="17"/>
  <c r="I66" i="17"/>
  <c r="M100" i="17"/>
  <c r="J66" i="17"/>
  <c r="O66" i="17" s="1"/>
  <c r="I103" i="17"/>
  <c r="P2" i="17"/>
  <c r="P122" i="17"/>
  <c r="P100" i="17"/>
  <c r="K72" i="17"/>
  <c r="L72" i="17"/>
  <c r="J72" i="17"/>
  <c r="O72" i="17" s="1"/>
  <c r="I72" i="17"/>
  <c r="L97" i="17"/>
  <c r="K97" i="17"/>
  <c r="J97" i="17"/>
  <c r="O97" i="17" s="1"/>
  <c r="I97" i="17"/>
  <c r="I23" i="17"/>
  <c r="J23" i="17"/>
  <c r="O23" i="17" s="1"/>
  <c r="L23" i="17"/>
  <c r="K23" i="17"/>
  <c r="L92" i="17"/>
  <c r="K92" i="17"/>
  <c r="I92" i="17"/>
  <c r="J92" i="17"/>
  <c r="O92" i="17" s="1"/>
  <c r="K65" i="17"/>
  <c r="I65" i="17"/>
  <c r="L65" i="17"/>
  <c r="J65" i="17"/>
  <c r="O65" i="17" s="1"/>
  <c r="J17" i="17"/>
  <c r="O17" i="17" s="1"/>
  <c r="I17" i="17"/>
  <c r="L17" i="17"/>
  <c r="K17" i="17"/>
  <c r="K2" i="17"/>
  <c r="N2" i="17" s="1"/>
  <c r="K12" i="17"/>
  <c r="J39" i="17"/>
  <c r="I68" i="17"/>
  <c r="I93" i="17"/>
  <c r="L143" i="17"/>
  <c r="K143" i="17"/>
  <c r="J143" i="17"/>
  <c r="I143" i="17"/>
  <c r="I4" i="17"/>
  <c r="I5" i="17"/>
  <c r="J8" i="17"/>
  <c r="O8" i="17" s="1"/>
  <c r="J68" i="17"/>
  <c r="O68" i="17" s="1"/>
  <c r="I78" i="17"/>
  <c r="K78" i="17"/>
  <c r="L78" i="17"/>
  <c r="K80" i="17"/>
  <c r="L93" i="17"/>
  <c r="K91" i="17"/>
  <c r="J91" i="17"/>
  <c r="O91" i="17" s="1"/>
  <c r="I91" i="17"/>
  <c r="K130" i="17"/>
  <c r="I130" i="17"/>
  <c r="L130" i="17"/>
  <c r="K8" i="17"/>
  <c r="J20" i="17"/>
  <c r="O20" i="17" s="1"/>
  <c r="L20" i="17"/>
  <c r="K20" i="17"/>
  <c r="I20" i="17"/>
  <c r="I32" i="17"/>
  <c r="J64" i="17"/>
  <c r="O64" i="17" s="1"/>
  <c r="I64" i="17"/>
  <c r="K64" i="17"/>
  <c r="I67" i="17"/>
  <c r="L67" i="17"/>
  <c r="L117" i="17"/>
  <c r="J117" i="17"/>
  <c r="O117" i="17" s="1"/>
  <c r="K117" i="17"/>
  <c r="I117" i="17"/>
  <c r="I84" i="17"/>
  <c r="L84" i="17"/>
  <c r="K84" i="17"/>
  <c r="J84" i="17"/>
  <c r="O84" i="17" s="1"/>
  <c r="I126" i="17"/>
  <c r="L126" i="17"/>
  <c r="J4" i="17"/>
  <c r="O4" i="17" s="1"/>
  <c r="J14" i="17"/>
  <c r="O14" i="17" s="1"/>
  <c r="I36" i="17"/>
  <c r="K61" i="17"/>
  <c r="I61" i="17"/>
  <c r="J61" i="17"/>
  <c r="O61" i="17" s="1"/>
  <c r="L61" i="17"/>
  <c r="K74" i="17"/>
  <c r="J74" i="17"/>
  <c r="O74" i="17" s="1"/>
  <c r="J78" i="17"/>
  <c r="O78" i="17" s="1"/>
  <c r="L86" i="17"/>
  <c r="K86" i="17"/>
  <c r="I86" i="17"/>
  <c r="K95" i="17"/>
  <c r="J95" i="17"/>
  <c r="O95" i="17" s="1"/>
  <c r="I95" i="17"/>
  <c r="I123" i="17"/>
  <c r="J123" i="17"/>
  <c r="O123" i="17" s="1"/>
  <c r="K123" i="17"/>
  <c r="K120" i="17"/>
  <c r="L120" i="17"/>
  <c r="J120" i="17"/>
  <c r="O120" i="17" s="1"/>
  <c r="L68" i="17"/>
  <c r="K76" i="17"/>
  <c r="L76" i="17"/>
  <c r="J76" i="17"/>
  <c r="O76" i="17" s="1"/>
  <c r="L81" i="17"/>
  <c r="K81" i="17"/>
  <c r="J81" i="17"/>
  <c r="O81" i="17" s="1"/>
  <c r="I81" i="17"/>
  <c r="L5" i="17"/>
  <c r="K5" i="17"/>
  <c r="I8" i="17"/>
  <c r="L32" i="17"/>
  <c r="K32" i="17"/>
  <c r="I69" i="17"/>
  <c r="L69" i="17"/>
  <c r="K69" i="17"/>
  <c r="J69" i="17"/>
  <c r="O69" i="17" s="1"/>
  <c r="I82" i="17"/>
  <c r="L82" i="17"/>
  <c r="J82" i="17"/>
  <c r="O82" i="17" s="1"/>
  <c r="I16" i="17"/>
  <c r="K16" i="17"/>
  <c r="K70" i="17"/>
  <c r="L70" i="17"/>
  <c r="L89" i="17"/>
  <c r="I89" i="17"/>
  <c r="L104" i="17"/>
  <c r="K104" i="17"/>
  <c r="J10" i="17"/>
  <c r="O10" i="17" s="1"/>
  <c r="L10" i="17"/>
  <c r="L121" i="17"/>
  <c r="I121" i="17"/>
  <c r="K121" i="17"/>
  <c r="J121" i="17"/>
  <c r="O121" i="17" s="1"/>
  <c r="J6" i="17"/>
  <c r="O6" i="17" s="1"/>
  <c r="L6" i="17"/>
  <c r="I10" i="17"/>
  <c r="I13" i="17"/>
  <c r="L13" i="17"/>
  <c r="L14" i="17"/>
  <c r="L15" i="17"/>
  <c r="K15" i="17"/>
  <c r="J15" i="17"/>
  <c r="O15" i="17" s="1"/>
  <c r="I15" i="17"/>
  <c r="L31" i="17"/>
  <c r="J21" i="17"/>
  <c r="O21" i="17" s="1"/>
  <c r="L21" i="17"/>
  <c r="I70" i="17"/>
  <c r="L74" i="17"/>
  <c r="J89" i="17"/>
  <c r="O89" i="17" s="1"/>
  <c r="I104" i="17"/>
  <c r="J2" i="17"/>
  <c r="L2" i="17"/>
  <c r="L9" i="17"/>
  <c r="K9" i="17"/>
  <c r="I12" i="17"/>
  <c r="L39" i="17"/>
  <c r="I39" i="17"/>
  <c r="L75" i="17"/>
  <c r="J75" i="17"/>
  <c r="O75" i="17" s="1"/>
  <c r="I75" i="17"/>
  <c r="K75" i="17"/>
  <c r="L127" i="17"/>
  <c r="K127" i="17"/>
  <c r="J127" i="17"/>
  <c r="O127" i="17" s="1"/>
  <c r="K93" i="17"/>
  <c r="J93" i="17"/>
  <c r="O93" i="17" s="1"/>
  <c r="I9" i="17"/>
  <c r="J12" i="17"/>
  <c r="O12" i="17" s="1"/>
  <c r="I120" i="17"/>
  <c r="L16" i="17"/>
  <c r="I19" i="17"/>
  <c r="L19" i="17"/>
  <c r="K19" i="17"/>
  <c r="J19" i="17"/>
  <c r="O19" i="17" s="1"/>
  <c r="L77" i="17"/>
  <c r="K77" i="17"/>
  <c r="K88" i="17"/>
  <c r="L88" i="17"/>
  <c r="J88" i="17"/>
  <c r="O88" i="17" s="1"/>
  <c r="J100" i="17"/>
  <c r="O100" i="17" s="1"/>
  <c r="I100" i="17"/>
  <c r="K119" i="17"/>
  <c r="J119" i="17"/>
  <c r="O119" i="17" s="1"/>
  <c r="I119" i="17"/>
  <c r="L4" i="17"/>
  <c r="L36" i="17"/>
  <c r="J60" i="17"/>
  <c r="O60" i="17" s="1"/>
  <c r="I60" i="17"/>
  <c r="L71" i="17"/>
  <c r="K71" i="17"/>
  <c r="J80" i="17"/>
  <c r="O80" i="17" s="1"/>
  <c r="K106" i="17"/>
  <c r="L106" i="17"/>
  <c r="J106" i="17"/>
  <c r="K33" i="17"/>
  <c r="L33" i="17"/>
  <c r="J33" i="17"/>
  <c r="O33" i="17" s="1"/>
  <c r="I77" i="17"/>
  <c r="L80" i="17"/>
  <c r="K10" i="17"/>
  <c r="I33" i="17"/>
  <c r="I42" i="17"/>
  <c r="J42" i="17"/>
  <c r="K60" i="17"/>
  <c r="L62" i="17"/>
  <c r="K62" i="17"/>
  <c r="J70" i="17"/>
  <c r="O70" i="17" s="1"/>
  <c r="I71" i="17"/>
  <c r="K85" i="17"/>
  <c r="L85" i="17"/>
  <c r="I85" i="17"/>
  <c r="K89" i="17"/>
  <c r="L100" i="17"/>
  <c r="J104" i="17"/>
  <c r="K125" i="17"/>
  <c r="L125" i="17"/>
  <c r="J125" i="17"/>
  <c r="O125" i="17" s="1"/>
  <c r="I125" i="17"/>
  <c r="L22" i="17"/>
  <c r="J22" i="17"/>
  <c r="O22" i="17" s="1"/>
  <c r="I22" i="17"/>
  <c r="I63" i="17"/>
  <c r="L63" i="17"/>
  <c r="K63" i="17"/>
  <c r="L26" i="17"/>
  <c r="K96" i="17"/>
  <c r="I83" i="17"/>
  <c r="K83" i="17"/>
  <c r="J83" i="17"/>
  <c r="O83" i="17" s="1"/>
  <c r="I124" i="17"/>
  <c r="L124" i="17"/>
  <c r="K124" i="17"/>
  <c r="J118" i="17"/>
  <c r="O118" i="17" s="1"/>
  <c r="I142" i="17"/>
  <c r="K142" i="17"/>
  <c r="J142" i="17"/>
  <c r="J40" i="17"/>
  <c r="J26" i="17"/>
  <c r="O26" i="17" s="1"/>
  <c r="L83" i="17"/>
  <c r="L96" i="17"/>
  <c r="I99" i="17"/>
  <c r="J99" i="17"/>
  <c r="O99" i="17" s="1"/>
  <c r="J103" i="17"/>
  <c r="K118" i="17"/>
  <c r="J124" i="17"/>
  <c r="O124" i="17" s="1"/>
  <c r="K94" i="17"/>
  <c r="J94" i="17"/>
  <c r="O94" i="17" s="1"/>
  <c r="I94" i="17"/>
  <c r="L3" i="17"/>
  <c r="K3" i="17"/>
  <c r="L7" i="17"/>
  <c r="K7" i="17"/>
  <c r="L11" i="17"/>
  <c r="K11" i="17"/>
  <c r="I18" i="17"/>
  <c r="I25" i="17"/>
  <c r="K26" i="17"/>
  <c r="I59" i="17"/>
  <c r="L59" i="17"/>
  <c r="K98" i="17"/>
  <c r="L98" i="17"/>
  <c r="L103" i="17"/>
  <c r="K34" i="17"/>
  <c r="Q31" i="16"/>
  <c r="Q29" i="16"/>
  <c r="R88" i="16"/>
  <c r="Q95" i="16"/>
  <c r="Q5" i="16"/>
  <c r="Q76" i="16"/>
  <c r="Q32" i="16"/>
  <c r="R98" i="16"/>
  <c r="R59" i="16"/>
  <c r="S99" i="16"/>
  <c r="S2" i="16"/>
  <c r="Q102" i="16"/>
  <c r="P118" i="16"/>
  <c r="O76" i="16"/>
  <c r="Q9" i="16"/>
  <c r="Q79" i="16"/>
  <c r="M96" i="16"/>
  <c r="R17" i="16"/>
  <c r="R105" i="16"/>
  <c r="Q69" i="16"/>
  <c r="Q73" i="16"/>
  <c r="S17" i="16"/>
  <c r="Q67" i="16"/>
  <c r="Q80" i="16"/>
  <c r="S105" i="16"/>
  <c r="Q18" i="16"/>
  <c r="Q96" i="16"/>
  <c r="Q21" i="16"/>
  <c r="Q68" i="16"/>
  <c r="R83" i="16"/>
  <c r="Q60" i="16"/>
  <c r="P88" i="16"/>
  <c r="S96" i="16"/>
  <c r="R66" i="16"/>
  <c r="Q74" i="16"/>
  <c r="Q19" i="16"/>
  <c r="Q100" i="16"/>
  <c r="Q7" i="16"/>
  <c r="R90" i="16"/>
  <c r="Q91" i="16"/>
  <c r="O102" i="16"/>
  <c r="S25" i="16"/>
  <c r="Q13" i="16"/>
  <c r="Q26" i="16"/>
  <c r="Q62" i="16"/>
  <c r="Q92" i="16"/>
  <c r="R77" i="16"/>
  <c r="Q85" i="16"/>
  <c r="S103" i="16"/>
  <c r="Q61" i="16"/>
  <c r="S13" i="16"/>
  <c r="Q27" i="16"/>
  <c r="Q64" i="16"/>
  <c r="R72" i="16"/>
  <c r="Q78" i="16"/>
  <c r="R104" i="16"/>
  <c r="S27" i="16"/>
  <c r="S97" i="16"/>
  <c r="R28" i="16"/>
  <c r="Q28" i="16"/>
  <c r="R103" i="16"/>
  <c r="Q103" i="16"/>
  <c r="L3" i="16"/>
  <c r="S3" i="16"/>
  <c r="J24" i="16"/>
  <c r="P24" i="16" s="1"/>
  <c r="S24" i="16"/>
  <c r="J70" i="16"/>
  <c r="S70" i="16"/>
  <c r="I77" i="16"/>
  <c r="S77" i="16"/>
  <c r="J81" i="16"/>
  <c r="S81" i="16"/>
  <c r="J94" i="16"/>
  <c r="S94" i="16"/>
  <c r="Q11" i="16"/>
  <c r="Q10" i="16"/>
  <c r="R24" i="16"/>
  <c r="Q24" i="16"/>
  <c r="Q3" i="16"/>
  <c r="Q22" i="16"/>
  <c r="R20" i="16"/>
  <c r="Q20" i="16"/>
  <c r="Q23" i="16"/>
  <c r="R65" i="16"/>
  <c r="Q65" i="16"/>
  <c r="Q14" i="16"/>
  <c r="Q25" i="16"/>
  <c r="Q99" i="16"/>
  <c r="R2" i="16"/>
  <c r="Q2" i="16"/>
  <c r="R4" i="16"/>
  <c r="Q4" i="16"/>
  <c r="R8" i="16"/>
  <c r="Q8" i="16"/>
  <c r="R12" i="16"/>
  <c r="Q12" i="16"/>
  <c r="R16" i="16"/>
  <c r="Q16" i="16"/>
  <c r="Q15" i="16"/>
  <c r="R89" i="16"/>
  <c r="Q89" i="16"/>
  <c r="Q6" i="16"/>
  <c r="Q84" i="16"/>
  <c r="Q93" i="16"/>
  <c r="Q71" i="16"/>
  <c r="Q82" i="16"/>
  <c r="Q97" i="16"/>
  <c r="S10" i="16"/>
  <c r="S14" i="16"/>
  <c r="S18" i="16"/>
  <c r="S22" i="16"/>
  <c r="S76" i="16"/>
  <c r="S88" i="16"/>
  <c r="S102" i="16"/>
  <c r="Q86" i="16"/>
  <c r="R63" i="16"/>
  <c r="Q70" i="16"/>
  <c r="R75" i="16"/>
  <c r="Q81" i="16"/>
  <c r="Q94" i="16"/>
  <c r="R101" i="16"/>
  <c r="S101" i="16"/>
  <c r="I72" i="16"/>
  <c r="K72" i="16"/>
  <c r="J72" i="16"/>
  <c r="J19" i="16"/>
  <c r="L19" i="16"/>
  <c r="I66" i="16"/>
  <c r="K66" i="16"/>
  <c r="J66" i="16"/>
  <c r="M17" i="16"/>
  <c r="I61" i="16"/>
  <c r="K61" i="16"/>
  <c r="J61" i="16"/>
  <c r="J29" i="16"/>
  <c r="L29" i="16"/>
  <c r="K29" i="16"/>
  <c r="I29" i="16"/>
  <c r="I83" i="16"/>
  <c r="K83" i="16"/>
  <c r="J83" i="16"/>
  <c r="I111" i="16"/>
  <c r="K111" i="16"/>
  <c r="J111" i="16"/>
  <c r="I59" i="16"/>
  <c r="K59" i="16"/>
  <c r="N59" i="16" s="1"/>
  <c r="J59" i="16"/>
  <c r="I90" i="16"/>
  <c r="K90" i="16"/>
  <c r="J90" i="16"/>
  <c r="K142" i="16"/>
  <c r="L142" i="16"/>
  <c r="I104" i="16"/>
  <c r="K104" i="16"/>
  <c r="J104" i="16"/>
  <c r="N13" i="16"/>
  <c r="M13" i="16"/>
  <c r="L119" i="16"/>
  <c r="K119" i="16"/>
  <c r="J119" i="16"/>
  <c r="I119" i="16"/>
  <c r="I120" i="16"/>
  <c r="J120" i="16"/>
  <c r="L6" i="16"/>
  <c r="I98" i="16"/>
  <c r="K98" i="16"/>
  <c r="J98" i="16"/>
  <c r="K144" i="16"/>
  <c r="L144" i="16"/>
  <c r="J144" i="16"/>
  <c r="K95" i="16"/>
  <c r="L95" i="16"/>
  <c r="J95" i="16"/>
  <c r="I95" i="16"/>
  <c r="J77" i="16"/>
  <c r="K14" i="16"/>
  <c r="K77" i="16"/>
  <c r="L14" i="16"/>
  <c r="J18" i="16"/>
  <c r="K18" i="16"/>
  <c r="L18" i="16"/>
  <c r="J23" i="16"/>
  <c r="J15" i="16"/>
  <c r="L15" i="16"/>
  <c r="K15" i="16"/>
  <c r="I15" i="16"/>
  <c r="K4" i="16"/>
  <c r="J4" i="16"/>
  <c r="L4" i="16"/>
  <c r="I4" i="16"/>
  <c r="L7" i="16"/>
  <c r="K7" i="16"/>
  <c r="J7" i="16"/>
  <c r="I7" i="16"/>
  <c r="K8" i="16"/>
  <c r="J8" i="16"/>
  <c r="I8" i="16"/>
  <c r="L8" i="16"/>
  <c r="J11" i="16"/>
  <c r="L11" i="16"/>
  <c r="K11" i="16"/>
  <c r="I11" i="16"/>
  <c r="L5" i="16"/>
  <c r="K5" i="16"/>
  <c r="J5" i="16"/>
  <c r="I5" i="16"/>
  <c r="I9" i="16"/>
  <c r="L9" i="16"/>
  <c r="K9" i="16"/>
  <c r="J9" i="16"/>
  <c r="L12" i="16"/>
  <c r="J12" i="16"/>
  <c r="L60" i="16"/>
  <c r="K60" i="16"/>
  <c r="J60" i="16"/>
  <c r="L124" i="16"/>
  <c r="K124" i="16"/>
  <c r="J124" i="16"/>
  <c r="I124" i="16"/>
  <c r="K63" i="16"/>
  <c r="J63" i="16"/>
  <c r="I63" i="16"/>
  <c r="K65" i="16"/>
  <c r="J65" i="16"/>
  <c r="I65" i="16"/>
  <c r="L67" i="16"/>
  <c r="K67" i="16"/>
  <c r="J67" i="16"/>
  <c r="L110" i="16"/>
  <c r="K110" i="16"/>
  <c r="J110" i="16"/>
  <c r="I110" i="16"/>
  <c r="L122" i="16"/>
  <c r="K122" i="16"/>
  <c r="J122" i="16"/>
  <c r="I122" i="16"/>
  <c r="J96" i="16"/>
  <c r="I96" i="16"/>
  <c r="L96" i="16"/>
  <c r="I2" i="16"/>
  <c r="I6" i="16"/>
  <c r="I10" i="16"/>
  <c r="L16" i="16"/>
  <c r="J16" i="16"/>
  <c r="L42" i="16"/>
  <c r="K42" i="16"/>
  <c r="J42" i="16"/>
  <c r="K69" i="16"/>
  <c r="J69" i="16"/>
  <c r="I69" i="16"/>
  <c r="K71" i="16"/>
  <c r="J71" i="16"/>
  <c r="I71" i="16"/>
  <c r="L73" i="16"/>
  <c r="K73" i="16"/>
  <c r="J73" i="16"/>
  <c r="K75" i="16"/>
  <c r="J75" i="16"/>
  <c r="I75" i="16"/>
  <c r="K117" i="16"/>
  <c r="J117" i="16"/>
  <c r="I117" i="16"/>
  <c r="L78" i="16"/>
  <c r="K78" i="16"/>
  <c r="J78" i="16"/>
  <c r="L143" i="16"/>
  <c r="K143" i="16"/>
  <c r="J143" i="16"/>
  <c r="I143" i="16"/>
  <c r="J2" i="16"/>
  <c r="P2" i="16" s="1"/>
  <c r="J6" i="16"/>
  <c r="J10" i="16"/>
  <c r="I12" i="16"/>
  <c r="J27" i="16"/>
  <c r="L20" i="16"/>
  <c r="K20" i="16"/>
  <c r="I20" i="16"/>
  <c r="L35" i="16"/>
  <c r="K35" i="16"/>
  <c r="I35" i="16"/>
  <c r="L28" i="16"/>
  <c r="K28" i="16"/>
  <c r="I28" i="16"/>
  <c r="L41" i="16"/>
  <c r="K41" i="16"/>
  <c r="J41" i="16"/>
  <c r="I41" i="16"/>
  <c r="I60" i="16"/>
  <c r="K80" i="16"/>
  <c r="J80" i="16"/>
  <c r="I80" i="16"/>
  <c r="K82" i="16"/>
  <c r="J82" i="16"/>
  <c r="I82" i="16"/>
  <c r="L84" i="16"/>
  <c r="K84" i="16"/>
  <c r="J84" i="16"/>
  <c r="K2" i="16"/>
  <c r="N2" i="16" s="1"/>
  <c r="K6" i="16"/>
  <c r="K10" i="16"/>
  <c r="K12" i="16"/>
  <c r="L26" i="16"/>
  <c r="K26" i="16"/>
  <c r="J26" i="16"/>
  <c r="I26" i="16"/>
  <c r="K27" i="16"/>
  <c r="L31" i="16"/>
  <c r="K31" i="16"/>
  <c r="J31" i="16"/>
  <c r="L63" i="16"/>
  <c r="L65" i="16"/>
  <c r="I67" i="16"/>
  <c r="K86" i="16"/>
  <c r="J86" i="16"/>
  <c r="I86" i="16"/>
  <c r="K89" i="16"/>
  <c r="J89" i="16"/>
  <c r="I89" i="16"/>
  <c r="L91" i="16"/>
  <c r="K91" i="16"/>
  <c r="J91" i="16"/>
  <c r="K93" i="16"/>
  <c r="J93" i="16"/>
  <c r="I93" i="16"/>
  <c r="K97" i="16"/>
  <c r="J97" i="16"/>
  <c r="I97" i="16"/>
  <c r="L99" i="16"/>
  <c r="K99" i="16"/>
  <c r="J99" i="16"/>
  <c r="K101" i="16"/>
  <c r="J101" i="16"/>
  <c r="I101" i="16"/>
  <c r="K103" i="16"/>
  <c r="J103" i="16"/>
  <c r="I103" i="16"/>
  <c r="L105" i="16"/>
  <c r="K105" i="16"/>
  <c r="J105" i="16"/>
  <c r="L125" i="16"/>
  <c r="K125" i="16"/>
  <c r="J125" i="16"/>
  <c r="I125" i="16"/>
  <c r="I3" i="16"/>
  <c r="I16" i="16"/>
  <c r="I42" i="16"/>
  <c r="I24" i="16"/>
  <c r="L27" i="16"/>
  <c r="L69" i="16"/>
  <c r="L71" i="16"/>
  <c r="I73" i="16"/>
  <c r="L75" i="16"/>
  <c r="L117" i="16"/>
  <c r="I78" i="16"/>
  <c r="L108" i="16"/>
  <c r="K108" i="16"/>
  <c r="J108" i="16"/>
  <c r="I108" i="16"/>
  <c r="J3" i="16"/>
  <c r="K16" i="16"/>
  <c r="K24" i="16"/>
  <c r="J20" i="16"/>
  <c r="J35" i="16"/>
  <c r="J28" i="16"/>
  <c r="L80" i="16"/>
  <c r="L82" i="16"/>
  <c r="I84" i="16"/>
  <c r="L92" i="16"/>
  <c r="K92" i="16"/>
  <c r="J92" i="16"/>
  <c r="I92" i="16"/>
  <c r="K3" i="16"/>
  <c r="L24" i="16"/>
  <c r="I31" i="16"/>
  <c r="L62" i="16"/>
  <c r="K62" i="16"/>
  <c r="J62" i="16"/>
  <c r="I62" i="16"/>
  <c r="L64" i="16"/>
  <c r="K64" i="16"/>
  <c r="I64" i="16"/>
  <c r="L86" i="16"/>
  <c r="L89" i="16"/>
  <c r="I91" i="16"/>
  <c r="L93" i="16"/>
  <c r="L109" i="16"/>
  <c r="K109" i="16"/>
  <c r="I109" i="16"/>
  <c r="L123" i="16"/>
  <c r="K123" i="16"/>
  <c r="J123" i="16"/>
  <c r="I123" i="16"/>
  <c r="L17" i="16"/>
  <c r="J17" i="16"/>
  <c r="I17" i="16"/>
  <c r="J22" i="16"/>
  <c r="L68" i="16"/>
  <c r="K68" i="16"/>
  <c r="J68" i="16"/>
  <c r="I68" i="16"/>
  <c r="L70" i="16"/>
  <c r="K70" i="16"/>
  <c r="I70" i="16"/>
  <c r="L76" i="16"/>
  <c r="K76" i="16"/>
  <c r="I76" i="16"/>
  <c r="L121" i="16"/>
  <c r="K121" i="16"/>
  <c r="J121" i="16"/>
  <c r="I19" i="16"/>
  <c r="L21" i="16"/>
  <c r="K21" i="16"/>
  <c r="J21" i="16"/>
  <c r="I21" i="16"/>
  <c r="K22" i="16"/>
  <c r="L25" i="16"/>
  <c r="K25" i="16"/>
  <c r="J25" i="16"/>
  <c r="L32" i="16"/>
  <c r="K32" i="16"/>
  <c r="J32" i="16"/>
  <c r="I32" i="16"/>
  <c r="L23" i="16"/>
  <c r="K23" i="16"/>
  <c r="I23" i="16"/>
  <c r="L36" i="16"/>
  <c r="K36" i="16"/>
  <c r="I36" i="16"/>
  <c r="L37" i="16"/>
  <c r="K37" i="16"/>
  <c r="I37" i="16"/>
  <c r="L74" i="16"/>
  <c r="K74" i="16"/>
  <c r="J74" i="16"/>
  <c r="I74" i="16"/>
  <c r="L79" i="16"/>
  <c r="K79" i="16"/>
  <c r="J79" i="16"/>
  <c r="I79" i="16"/>
  <c r="L81" i="16"/>
  <c r="K81" i="16"/>
  <c r="I81" i="16"/>
  <c r="L118" i="16"/>
  <c r="K118" i="16"/>
  <c r="R118" i="16" s="1"/>
  <c r="I118" i="16"/>
  <c r="L100" i="16"/>
  <c r="K100" i="16"/>
  <c r="J100" i="16"/>
  <c r="I100" i="16"/>
  <c r="L13" i="16"/>
  <c r="J13" i="16"/>
  <c r="I13" i="16"/>
  <c r="J14" i="16"/>
  <c r="K19" i="16"/>
  <c r="L22" i="16"/>
  <c r="J64" i="16"/>
  <c r="L85" i="16"/>
  <c r="K85" i="16"/>
  <c r="J85" i="16"/>
  <c r="I85" i="16"/>
  <c r="L88" i="16"/>
  <c r="K88" i="16"/>
  <c r="I88" i="16"/>
  <c r="L94" i="16"/>
  <c r="K94" i="16"/>
  <c r="I94" i="16"/>
  <c r="L102" i="16"/>
  <c r="K102" i="16"/>
  <c r="I102" i="16"/>
  <c r="J109" i="16"/>
  <c r="K120" i="16"/>
  <c r="L59" i="16"/>
  <c r="L66" i="16"/>
  <c r="L72" i="16"/>
  <c r="L77" i="16"/>
  <c r="L83" i="16"/>
  <c r="L90" i="16"/>
  <c r="L98" i="16"/>
  <c r="L104" i="16"/>
  <c r="L61" i="16"/>
  <c r="L111" i="16"/>
  <c r="L120" i="16"/>
  <c r="I142" i="16"/>
  <c r="J142" i="16"/>
  <c r="I144" i="16"/>
  <c r="L2" i="15"/>
  <c r="K2" i="15"/>
  <c r="J2" i="15"/>
  <c r="I2" i="15"/>
  <c r="L3" i="15"/>
  <c r="K3" i="15"/>
  <c r="J3" i="15"/>
  <c r="I3" i="15"/>
  <c r="L4" i="15"/>
  <c r="K4" i="15"/>
  <c r="J4" i="15"/>
  <c r="I4" i="15"/>
  <c r="L5" i="15"/>
  <c r="K5" i="15"/>
  <c r="J5" i="15"/>
  <c r="I5" i="15"/>
  <c r="L6" i="15"/>
  <c r="K6" i="15"/>
  <c r="J6" i="15"/>
  <c r="I6" i="15"/>
  <c r="L7" i="15"/>
  <c r="K7" i="15"/>
  <c r="J7" i="15"/>
  <c r="I7" i="15"/>
  <c r="L8" i="15"/>
  <c r="K8" i="15"/>
  <c r="J8" i="15"/>
  <c r="I8" i="15"/>
  <c r="L9" i="15"/>
  <c r="K9" i="15"/>
  <c r="J9" i="15"/>
  <c r="I9" i="15"/>
  <c r="L10" i="15"/>
  <c r="K10" i="15"/>
  <c r="J10" i="15"/>
  <c r="I10" i="15"/>
  <c r="L11" i="15"/>
  <c r="K11" i="15"/>
  <c r="J11" i="15"/>
  <c r="I11" i="15"/>
  <c r="L12" i="15"/>
  <c r="K12" i="15"/>
  <c r="J12" i="15"/>
  <c r="I12" i="15"/>
  <c r="L13" i="15"/>
  <c r="K13" i="15"/>
  <c r="J13" i="15"/>
  <c r="I13" i="15"/>
  <c r="L18" i="15"/>
  <c r="K18" i="15"/>
  <c r="J18" i="15"/>
  <c r="I18" i="15"/>
  <c r="L19" i="15"/>
  <c r="K19" i="15"/>
  <c r="J19" i="15"/>
  <c r="I19" i="15"/>
  <c r="L20" i="15"/>
  <c r="K20" i="15"/>
  <c r="J20" i="15"/>
  <c r="I20" i="15"/>
  <c r="L21" i="15"/>
  <c r="K21" i="15"/>
  <c r="J21" i="15"/>
  <c r="I21" i="15"/>
  <c r="L27" i="15"/>
  <c r="K27" i="15"/>
  <c r="J27" i="15"/>
  <c r="I27" i="15"/>
  <c r="L14" i="15"/>
  <c r="K14" i="15"/>
  <c r="J14" i="15"/>
  <c r="I14" i="15"/>
  <c r="L31" i="15"/>
  <c r="K31" i="15"/>
  <c r="J31" i="15"/>
  <c r="I31" i="15"/>
  <c r="L32" i="15"/>
  <c r="K32" i="15"/>
  <c r="J32" i="15"/>
  <c r="I32" i="15"/>
  <c r="L15" i="15"/>
  <c r="K15" i="15"/>
  <c r="J15" i="15"/>
  <c r="I15" i="15"/>
  <c r="L33" i="15"/>
  <c r="K33" i="15"/>
  <c r="J33" i="15"/>
  <c r="I33" i="15"/>
  <c r="L34" i="15"/>
  <c r="K34" i="15"/>
  <c r="J34" i="15"/>
  <c r="I34" i="15"/>
  <c r="L35" i="15"/>
  <c r="K35" i="15"/>
  <c r="J35" i="15"/>
  <c r="I35" i="15"/>
  <c r="L36" i="15"/>
  <c r="K36" i="15"/>
  <c r="J36" i="15"/>
  <c r="I36" i="15"/>
  <c r="L37" i="15"/>
  <c r="K37" i="15"/>
  <c r="J37" i="15"/>
  <c r="I37" i="15"/>
  <c r="L38" i="15"/>
  <c r="K38" i="15"/>
  <c r="J38" i="15"/>
  <c r="I38" i="15"/>
  <c r="L22" i="15"/>
  <c r="K22" i="15"/>
  <c r="J22" i="15"/>
  <c r="I22" i="15"/>
  <c r="L39" i="15"/>
  <c r="K39" i="15"/>
  <c r="J39" i="15"/>
  <c r="I39" i="15"/>
  <c r="L40" i="15"/>
  <c r="K40" i="15"/>
  <c r="J40" i="15"/>
  <c r="I40" i="15"/>
  <c r="L41" i="15"/>
  <c r="K41" i="15"/>
  <c r="J41" i="15"/>
  <c r="I41" i="15"/>
  <c r="L42" i="15"/>
  <c r="K42" i="15"/>
  <c r="J42" i="15"/>
  <c r="I42" i="15"/>
  <c r="L29" i="15"/>
  <c r="K29" i="15"/>
  <c r="J29" i="15"/>
  <c r="I29" i="15"/>
  <c r="L23" i="15"/>
  <c r="K23" i="15"/>
  <c r="J23" i="15"/>
  <c r="I23" i="15"/>
  <c r="L24" i="15"/>
  <c r="K24" i="15"/>
  <c r="J24" i="15"/>
  <c r="I24" i="15"/>
  <c r="L59" i="15"/>
  <c r="K59" i="15"/>
  <c r="J59" i="15"/>
  <c r="I59" i="15"/>
  <c r="L94" i="15"/>
  <c r="K94" i="15"/>
  <c r="J94" i="15"/>
  <c r="I94" i="15"/>
  <c r="L60" i="15"/>
  <c r="K60" i="15"/>
  <c r="J60" i="15"/>
  <c r="I60" i="15"/>
  <c r="L61" i="15"/>
  <c r="K61" i="15"/>
  <c r="J61" i="15"/>
  <c r="I61" i="15"/>
  <c r="L62" i="15"/>
  <c r="K62" i="15"/>
  <c r="J62" i="15"/>
  <c r="I62" i="15"/>
  <c r="L63" i="15"/>
  <c r="K63" i="15"/>
  <c r="J63" i="15"/>
  <c r="I63" i="15"/>
  <c r="L64" i="15"/>
  <c r="K64" i="15"/>
  <c r="J64" i="15"/>
  <c r="I64" i="15"/>
  <c r="L65" i="15"/>
  <c r="K65" i="15"/>
  <c r="J65" i="15"/>
  <c r="I65" i="15"/>
  <c r="L66" i="15"/>
  <c r="K66" i="15"/>
  <c r="J66" i="15"/>
  <c r="I66" i="15"/>
  <c r="L67" i="15"/>
  <c r="K67" i="15"/>
  <c r="J67" i="15"/>
  <c r="I67" i="15"/>
  <c r="L68" i="15"/>
  <c r="K68" i="15"/>
  <c r="J68" i="15"/>
  <c r="I68" i="15"/>
  <c r="L69" i="15"/>
  <c r="K69" i="15"/>
  <c r="J69" i="15"/>
  <c r="I69" i="15"/>
  <c r="L70" i="15"/>
  <c r="K70" i="15"/>
  <c r="J70" i="15"/>
  <c r="I70" i="15"/>
  <c r="L71" i="15"/>
  <c r="K71" i="15"/>
  <c r="J71" i="15"/>
  <c r="I71" i="15"/>
  <c r="L72" i="15"/>
  <c r="K72" i="15"/>
  <c r="J72" i="15"/>
  <c r="I72" i="15"/>
  <c r="L73" i="15"/>
  <c r="K73" i="15"/>
  <c r="J73" i="15"/>
  <c r="I73" i="15"/>
  <c r="L74" i="15"/>
  <c r="K74" i="15"/>
  <c r="J74" i="15"/>
  <c r="I74" i="15"/>
  <c r="L75" i="15"/>
  <c r="K75" i="15"/>
  <c r="J75" i="15"/>
  <c r="I75" i="15"/>
  <c r="L92" i="15"/>
  <c r="K92" i="15"/>
  <c r="J92" i="15"/>
  <c r="I92" i="15"/>
  <c r="L93" i="15"/>
  <c r="K93" i="15"/>
  <c r="J93" i="15"/>
  <c r="I93" i="15"/>
  <c r="L76" i="15"/>
  <c r="K76" i="15"/>
  <c r="J76" i="15"/>
  <c r="I76" i="15"/>
  <c r="L77" i="15"/>
  <c r="K77" i="15"/>
  <c r="J77" i="15"/>
  <c r="I77" i="15"/>
  <c r="L78" i="15"/>
  <c r="K78" i="15"/>
  <c r="J78" i="15"/>
  <c r="I78" i="15"/>
  <c r="L95" i="15"/>
  <c r="K95" i="15"/>
  <c r="J95" i="15"/>
  <c r="I95" i="15"/>
  <c r="L79" i="15"/>
  <c r="K79" i="15"/>
  <c r="J79" i="15"/>
  <c r="I79" i="15"/>
  <c r="L80" i="15"/>
  <c r="K80" i="15"/>
  <c r="J80" i="15"/>
  <c r="I80" i="15"/>
  <c r="L81" i="15"/>
  <c r="K81" i="15"/>
  <c r="J81" i="15"/>
  <c r="I81" i="15"/>
  <c r="L82" i="15"/>
  <c r="K82" i="15"/>
  <c r="J82" i="15"/>
  <c r="I82" i="15"/>
  <c r="L83" i="15"/>
  <c r="K83" i="15"/>
  <c r="J83" i="15"/>
  <c r="I83" i="15"/>
  <c r="L96" i="15"/>
  <c r="K96" i="15"/>
  <c r="J96" i="15"/>
  <c r="I96" i="15"/>
  <c r="L97" i="15"/>
  <c r="K97" i="15"/>
  <c r="J97" i="15"/>
  <c r="I97" i="15"/>
  <c r="L89" i="15"/>
  <c r="K89" i="15"/>
  <c r="J89" i="15"/>
  <c r="I89" i="15"/>
  <c r="L99" i="15"/>
  <c r="K99" i="15"/>
  <c r="J99" i="15"/>
  <c r="I99" i="15"/>
  <c r="L123" i="15"/>
  <c r="K123" i="15"/>
  <c r="J123" i="15"/>
  <c r="I123" i="15"/>
  <c r="L100" i="15"/>
  <c r="K100" i="15"/>
  <c r="J100" i="15"/>
  <c r="I100" i="15"/>
  <c r="L101" i="15"/>
  <c r="K101" i="15"/>
  <c r="J101" i="15"/>
  <c r="I101" i="15"/>
  <c r="L84" i="15"/>
  <c r="K84" i="15"/>
  <c r="J84" i="15"/>
  <c r="I84" i="15"/>
  <c r="L85" i="15"/>
  <c r="K85" i="15"/>
  <c r="J85" i="15"/>
  <c r="I85" i="15"/>
  <c r="L86" i="15"/>
  <c r="K86" i="15"/>
  <c r="J86" i="15"/>
  <c r="I86" i="15"/>
  <c r="L88" i="15"/>
  <c r="K88" i="15"/>
  <c r="J88" i="15"/>
  <c r="I88" i="15"/>
  <c r="L98" i="15"/>
  <c r="K98" i="15"/>
  <c r="J98" i="15"/>
  <c r="I98" i="15"/>
  <c r="L102" i="15"/>
  <c r="K102" i="15"/>
  <c r="J102" i="15"/>
  <c r="I102" i="15"/>
  <c r="L103" i="15"/>
  <c r="K103" i="15"/>
  <c r="J103" i="15"/>
  <c r="I103" i="15"/>
  <c r="L104" i="15"/>
  <c r="K104" i="15"/>
  <c r="J104" i="15"/>
  <c r="I104" i="15"/>
  <c r="L105" i="15"/>
  <c r="K105" i="15"/>
  <c r="J105" i="15"/>
  <c r="I105" i="15"/>
  <c r="L106" i="15"/>
  <c r="K106" i="15"/>
  <c r="J106" i="15"/>
  <c r="I106" i="15"/>
  <c r="L113" i="15"/>
  <c r="K113" i="15"/>
  <c r="J113" i="15"/>
  <c r="I113" i="15"/>
  <c r="L117" i="15"/>
  <c r="K117" i="15"/>
  <c r="J117" i="15"/>
  <c r="I117" i="15"/>
  <c r="L118" i="15"/>
  <c r="K118" i="15"/>
  <c r="J118" i="15"/>
  <c r="I118" i="15"/>
  <c r="L119" i="15"/>
  <c r="K119" i="15"/>
  <c r="J119" i="15"/>
  <c r="I119" i="15"/>
  <c r="L120" i="15"/>
  <c r="K120" i="15"/>
  <c r="J120" i="15"/>
  <c r="I120" i="15"/>
  <c r="L121" i="15"/>
  <c r="K121" i="15"/>
  <c r="J121" i="15"/>
  <c r="I121" i="15"/>
  <c r="L122" i="15"/>
  <c r="K122" i="15"/>
  <c r="J122" i="15"/>
  <c r="I122" i="15"/>
  <c r="L124" i="15"/>
  <c r="K124" i="15"/>
  <c r="J124" i="15"/>
  <c r="I124" i="15"/>
  <c r="L125" i="15"/>
  <c r="K125" i="15"/>
  <c r="J125" i="15"/>
  <c r="I125" i="15"/>
  <c r="L129" i="15"/>
  <c r="K129" i="15"/>
  <c r="J129" i="15"/>
  <c r="I129" i="15"/>
  <c r="L126" i="15"/>
  <c r="K126" i="15"/>
  <c r="J126" i="15"/>
  <c r="I126" i="15"/>
  <c r="L130" i="15"/>
  <c r="K130" i="15"/>
  <c r="J130" i="15"/>
  <c r="I130" i="15"/>
  <c r="L131" i="15"/>
  <c r="K131" i="15"/>
  <c r="J131" i="15"/>
  <c r="I131" i="15"/>
  <c r="L132" i="15"/>
  <c r="K132" i="15"/>
  <c r="J132" i="15"/>
  <c r="I132" i="15"/>
  <c r="L142" i="15"/>
  <c r="K142" i="15"/>
  <c r="J142" i="15"/>
  <c r="I142" i="15"/>
  <c r="L143" i="15"/>
  <c r="K143" i="15"/>
  <c r="J143" i="15"/>
  <c r="I143" i="15"/>
  <c r="L144" i="15"/>
  <c r="K144" i="15"/>
  <c r="J144" i="15"/>
  <c r="I144" i="15"/>
  <c r="P119" i="14"/>
  <c r="P120" i="14"/>
  <c r="P84" i="14"/>
  <c r="Q20" i="14"/>
  <c r="Q63" i="14"/>
  <c r="Q3" i="14"/>
  <c r="Q7" i="14"/>
  <c r="L35" i="14"/>
  <c r="P70" i="14"/>
  <c r="Q77" i="14"/>
  <c r="Q94" i="14"/>
  <c r="P99" i="14"/>
  <c r="L68" i="14"/>
  <c r="Q102" i="14"/>
  <c r="Q72" i="14"/>
  <c r="P76" i="14"/>
  <c r="P103" i="14"/>
  <c r="Q83" i="14"/>
  <c r="Q9" i="14"/>
  <c r="Q85" i="14"/>
  <c r="P122" i="14"/>
  <c r="Q11" i="14"/>
  <c r="I68" i="14"/>
  <c r="P86" i="14"/>
  <c r="J68" i="14"/>
  <c r="O68" i="14" s="1"/>
  <c r="Q62" i="14"/>
  <c r="P123" i="14"/>
  <c r="Q89" i="14"/>
  <c r="P125" i="14"/>
  <c r="Q13" i="14"/>
  <c r="Q65" i="14"/>
  <c r="Q88" i="14"/>
  <c r="P100" i="14"/>
  <c r="Q118" i="14"/>
  <c r="P64" i="14"/>
  <c r="K63" i="14"/>
  <c r="P67" i="14"/>
  <c r="P80" i="14"/>
  <c r="P91" i="14"/>
  <c r="Q95" i="14"/>
  <c r="K71" i="14"/>
  <c r="M71" i="14" s="1"/>
  <c r="Q75" i="14"/>
  <c r="P90" i="14"/>
  <c r="Q22" i="14"/>
  <c r="P61" i="14"/>
  <c r="Q96" i="14"/>
  <c r="P126" i="14"/>
  <c r="Q23" i="14"/>
  <c r="P69" i="14"/>
  <c r="Q82" i="14"/>
  <c r="Q92" i="14"/>
  <c r="P101" i="14"/>
  <c r="R26" i="14"/>
  <c r="I34" i="14"/>
  <c r="L34" i="14"/>
  <c r="K34" i="14"/>
  <c r="J34" i="14"/>
  <c r="P2" i="14"/>
  <c r="O2" i="14"/>
  <c r="R93" i="14"/>
  <c r="N93" i="14"/>
  <c r="M93" i="14"/>
  <c r="Q79" i="14"/>
  <c r="P79" i="14"/>
  <c r="Q6" i="14"/>
  <c r="Q19" i="14"/>
  <c r="R19" i="14"/>
  <c r="L21" i="14"/>
  <c r="K21" i="14"/>
  <c r="S21" i="14" s="1"/>
  <c r="J21" i="14"/>
  <c r="P21" i="14" s="1"/>
  <c r="Q98" i="14"/>
  <c r="P98" i="14"/>
  <c r="Q81" i="14"/>
  <c r="P81" i="14"/>
  <c r="P73" i="14"/>
  <c r="R12" i="14"/>
  <c r="Q12" i="14"/>
  <c r="Q60" i="14"/>
  <c r="P60" i="14"/>
  <c r="Q68" i="14"/>
  <c r="P68" i="14"/>
  <c r="Q59" i="14"/>
  <c r="P78" i="14"/>
  <c r="P97" i="14"/>
  <c r="P117" i="14"/>
  <c r="Q117" i="14"/>
  <c r="Q66" i="14"/>
  <c r="R25" i="14"/>
  <c r="Q25" i="14"/>
  <c r="R14" i="14"/>
  <c r="Q14" i="14"/>
  <c r="Q8" i="14"/>
  <c r="P71" i="14"/>
  <c r="I32" i="14"/>
  <c r="J107" i="14"/>
  <c r="L107" i="14"/>
  <c r="K107" i="14"/>
  <c r="I143" i="14"/>
  <c r="R2" i="14"/>
  <c r="Q2" i="14"/>
  <c r="Q121" i="14"/>
  <c r="P121" i="14"/>
  <c r="P124" i="14"/>
  <c r="Q124" i="14"/>
  <c r="R4" i="14"/>
  <c r="Q4" i="14"/>
  <c r="Q10" i="14"/>
  <c r="R10" i="14"/>
  <c r="Q74" i="14"/>
  <c r="P74" i="14"/>
  <c r="R68" i="14"/>
  <c r="M68" i="14"/>
  <c r="N68" i="14"/>
  <c r="J79" i="14"/>
  <c r="O79" i="14" s="1"/>
  <c r="I79" i="14"/>
  <c r="K79" i="14"/>
  <c r="N126" i="14"/>
  <c r="M126" i="14"/>
  <c r="Q5" i="14"/>
  <c r="Q16" i="14"/>
  <c r="P93" i="14"/>
  <c r="L126" i="14"/>
  <c r="L64" i="14"/>
  <c r="K64" i="14"/>
  <c r="I64" i="14"/>
  <c r="L123" i="14"/>
  <c r="K123" i="14"/>
  <c r="J123" i="14"/>
  <c r="O123" i="14" s="1"/>
  <c r="I123" i="14"/>
  <c r="L27" i="14"/>
  <c r="K27" i="14"/>
  <c r="J27" i="14"/>
  <c r="I109" i="14"/>
  <c r="L109" i="14"/>
  <c r="K3" i="14"/>
  <c r="J3" i="14"/>
  <c r="K40" i="14"/>
  <c r="L60" i="14"/>
  <c r="K60" i="14"/>
  <c r="J60" i="14"/>
  <c r="O60" i="14" s="1"/>
  <c r="I60" i="14"/>
  <c r="Q18" i="14"/>
  <c r="I18" i="14"/>
  <c r="J22" i="14"/>
  <c r="L22" i="14"/>
  <c r="K22" i="14"/>
  <c r="J109" i="14"/>
  <c r="R15" i="14"/>
  <c r="Q15" i="14"/>
  <c r="K20" i="14"/>
  <c r="L20" i="14"/>
  <c r="K18" i="14"/>
  <c r="L88" i="14"/>
  <c r="K88" i="14"/>
  <c r="I29" i="14"/>
  <c r="L93" i="14"/>
  <c r="J13" i="14"/>
  <c r="L13" i="14"/>
  <c r="K13" i="14"/>
  <c r="I13" i="14"/>
  <c r="J29" i="14"/>
  <c r="J20" i="14"/>
  <c r="I88" i="14"/>
  <c r="J110" i="14"/>
  <c r="K29" i="14"/>
  <c r="K103" i="14"/>
  <c r="J103" i="14"/>
  <c r="O103" i="14" s="1"/>
  <c r="I103" i="14"/>
  <c r="K110" i="14"/>
  <c r="Q29" i="14"/>
  <c r="J35" i="14"/>
  <c r="I93" i="14"/>
  <c r="L110" i="14"/>
  <c r="L122" i="14"/>
  <c r="K122" i="14"/>
  <c r="J122" i="14"/>
  <c r="O122" i="14" s="1"/>
  <c r="I122" i="14"/>
  <c r="L143" i="14"/>
  <c r="K143" i="14"/>
  <c r="J18" i="14"/>
  <c r="L67" i="14"/>
  <c r="K67" i="14"/>
  <c r="L89" i="14"/>
  <c r="K89" i="14"/>
  <c r="L120" i="14"/>
  <c r="K120" i="14"/>
  <c r="O12" i="14"/>
  <c r="L84" i="14"/>
  <c r="K84" i="14"/>
  <c r="J84" i="14"/>
  <c r="O84" i="14" s="1"/>
  <c r="I20" i="14"/>
  <c r="R21" i="14"/>
  <c r="Q21" i="14"/>
  <c r="K35" i="14"/>
  <c r="J93" i="14"/>
  <c r="O93" i="14" s="1"/>
  <c r="R27" i="14"/>
  <c r="I80" i="14"/>
  <c r="I83" i="14"/>
  <c r="Q17" i="14"/>
  <c r="Q28" i="14"/>
  <c r="J83" i="14"/>
  <c r="O83" i="14" s="1"/>
  <c r="Q24" i="14"/>
  <c r="I107" i="14"/>
  <c r="I63" i="14"/>
  <c r="K83" i="14"/>
  <c r="L86" i="14"/>
  <c r="J86" i="14"/>
  <c r="O86" i="14" s="1"/>
  <c r="K86" i="14"/>
  <c r="I86" i="14"/>
  <c r="I9" i="14"/>
  <c r="L9" i="14"/>
  <c r="K9" i="14"/>
  <c r="J9" i="14"/>
  <c r="L19" i="14"/>
  <c r="K19" i="14"/>
  <c r="J19" i="14"/>
  <c r="L11" i="14"/>
  <c r="K11" i="14"/>
  <c r="I11" i="14"/>
  <c r="J11" i="14"/>
  <c r="L99" i="14"/>
  <c r="J99" i="14"/>
  <c r="O99" i="14" s="1"/>
  <c r="K99" i="14"/>
  <c r="I99" i="14"/>
  <c r="L33" i="14"/>
  <c r="K33" i="14"/>
  <c r="J33" i="14"/>
  <c r="I33" i="14"/>
  <c r="K121" i="14"/>
  <c r="J121" i="14"/>
  <c r="O121" i="14" s="1"/>
  <c r="I121" i="14"/>
  <c r="L31" i="14"/>
  <c r="K31" i="14"/>
  <c r="I31" i="14"/>
  <c r="J31" i="14"/>
  <c r="K10" i="14"/>
  <c r="J10" i="14"/>
  <c r="I10" i="14"/>
  <c r="L10" i="14"/>
  <c r="L77" i="14"/>
  <c r="J77" i="14"/>
  <c r="O77" i="14" s="1"/>
  <c r="K77" i="14"/>
  <c r="L85" i="14"/>
  <c r="K85" i="14"/>
  <c r="J85" i="14"/>
  <c r="O85" i="14" s="1"/>
  <c r="I85" i="14"/>
  <c r="L23" i="14"/>
  <c r="K23" i="14"/>
  <c r="J23" i="14"/>
  <c r="I23" i="14"/>
  <c r="L76" i="14"/>
  <c r="K76" i="14"/>
  <c r="J76" i="14"/>
  <c r="O76" i="14" s="1"/>
  <c r="I76" i="14"/>
  <c r="L81" i="14"/>
  <c r="J81" i="14"/>
  <c r="O81" i="14" s="1"/>
  <c r="K81" i="14"/>
  <c r="I81" i="14"/>
  <c r="L119" i="14"/>
  <c r="J119" i="14"/>
  <c r="O119" i="14" s="1"/>
  <c r="K119" i="14"/>
  <c r="I119" i="14"/>
  <c r="L124" i="14"/>
  <c r="K124" i="14"/>
  <c r="J124" i="14"/>
  <c r="O124" i="14" s="1"/>
  <c r="I124" i="14"/>
  <c r="J59" i="14"/>
  <c r="I59" i="14"/>
  <c r="L59" i="14"/>
  <c r="K59" i="14"/>
  <c r="L15" i="14"/>
  <c r="K15" i="14"/>
  <c r="J15" i="14"/>
  <c r="I15" i="14"/>
  <c r="L26" i="14"/>
  <c r="I26" i="14"/>
  <c r="J26" i="14"/>
  <c r="K26" i="14"/>
  <c r="J72" i="14"/>
  <c r="O72" i="14" s="1"/>
  <c r="I72" i="14"/>
  <c r="L72" i="14"/>
  <c r="K72" i="14"/>
  <c r="J82" i="14"/>
  <c r="O82" i="14" s="1"/>
  <c r="I82" i="14"/>
  <c r="L82" i="14"/>
  <c r="K82" i="14"/>
  <c r="L97" i="14"/>
  <c r="K97" i="14"/>
  <c r="J97" i="14"/>
  <c r="O97" i="14" s="1"/>
  <c r="I97" i="14"/>
  <c r="L117" i="14"/>
  <c r="K117" i="14"/>
  <c r="N117" i="14" s="1"/>
  <c r="I117" i="14"/>
  <c r="J117" i="14"/>
  <c r="O117" i="14" s="1"/>
  <c r="I24" i="14"/>
  <c r="L24" i="14"/>
  <c r="K24" i="14"/>
  <c r="J24" i="14"/>
  <c r="I77" i="14"/>
  <c r="I27" i="14"/>
  <c r="L80" i="14"/>
  <c r="K80" i="14"/>
  <c r="L101" i="14"/>
  <c r="J101" i="14"/>
  <c r="O101" i="14" s="1"/>
  <c r="K101" i="14"/>
  <c r="I101" i="14"/>
  <c r="L73" i="14"/>
  <c r="J73" i="14"/>
  <c r="O73" i="14" s="1"/>
  <c r="K73" i="14"/>
  <c r="I73" i="14"/>
  <c r="J102" i="14"/>
  <c r="O102" i="14" s="1"/>
  <c r="I102" i="14"/>
  <c r="L102" i="14"/>
  <c r="K102" i="14"/>
  <c r="L6" i="14"/>
  <c r="K6" i="14"/>
  <c r="J6" i="14"/>
  <c r="J17" i="14"/>
  <c r="L17" i="14"/>
  <c r="K17" i="14"/>
  <c r="I17" i="14"/>
  <c r="L5" i="14"/>
  <c r="K5" i="14"/>
  <c r="I5" i="14"/>
  <c r="J5" i="14"/>
  <c r="L69" i="14"/>
  <c r="K69" i="14"/>
  <c r="J69" i="14"/>
  <c r="O69" i="14" s="1"/>
  <c r="I69" i="14"/>
  <c r="L92" i="14"/>
  <c r="J92" i="14"/>
  <c r="O92" i="14" s="1"/>
  <c r="K92" i="14"/>
  <c r="I19" i="14"/>
  <c r="L121" i="14"/>
  <c r="I16" i="14"/>
  <c r="L16" i="14"/>
  <c r="K16" i="14"/>
  <c r="J16" i="14"/>
  <c r="I7" i="14"/>
  <c r="L7" i="14"/>
  <c r="K7" i="14"/>
  <c r="J7" i="14"/>
  <c r="L70" i="14"/>
  <c r="J70" i="14"/>
  <c r="O70" i="14" s="1"/>
  <c r="K70" i="14"/>
  <c r="I70" i="14"/>
  <c r="L142" i="14"/>
  <c r="K142" i="14"/>
  <c r="I142" i="14"/>
  <c r="J142" i="14"/>
  <c r="L61" i="14"/>
  <c r="J61" i="14"/>
  <c r="O61" i="14" s="1"/>
  <c r="K61" i="14"/>
  <c r="I61" i="14"/>
  <c r="J91" i="14"/>
  <c r="O91" i="14" s="1"/>
  <c r="L91" i="14"/>
  <c r="K91" i="14"/>
  <c r="I91" i="14"/>
  <c r="J36" i="14"/>
  <c r="I36" i="14"/>
  <c r="K36" i="14"/>
  <c r="L36" i="14"/>
  <c r="I92" i="14"/>
  <c r="L106" i="14"/>
  <c r="K106" i="14"/>
  <c r="J106" i="14"/>
  <c r="I106" i="14"/>
  <c r="L25" i="14"/>
  <c r="J25" i="14"/>
  <c r="L4" i="14"/>
  <c r="K4" i="14"/>
  <c r="J4" i="14"/>
  <c r="J62" i="14"/>
  <c r="O62" i="14" s="1"/>
  <c r="I62" i="14"/>
  <c r="K62" i="14"/>
  <c r="J98" i="14"/>
  <c r="O98" i="14" s="1"/>
  <c r="I98" i="14"/>
  <c r="J78" i="14"/>
  <c r="O78" i="14" s="1"/>
  <c r="I78" i="14"/>
  <c r="L96" i="14"/>
  <c r="K96" i="14"/>
  <c r="J96" i="14"/>
  <c r="O96" i="14" s="1"/>
  <c r="I96" i="14"/>
  <c r="I12" i="14"/>
  <c r="I25" i="14"/>
  <c r="I4" i="14"/>
  <c r="L75" i="14"/>
  <c r="K75" i="14"/>
  <c r="J75" i="14"/>
  <c r="O75" i="14" s="1"/>
  <c r="I94" i="14"/>
  <c r="L108" i="14"/>
  <c r="K108" i="14"/>
  <c r="I108" i="14"/>
  <c r="J108" i="14"/>
  <c r="I14" i="14"/>
  <c r="K25" i="14"/>
  <c r="I3" i="14"/>
  <c r="L3" i="14"/>
  <c r="L62" i="14"/>
  <c r="J71" i="14"/>
  <c r="O71" i="14" s="1"/>
  <c r="I71" i="14"/>
  <c r="J94" i="14"/>
  <c r="O94" i="14" s="1"/>
  <c r="K98" i="14"/>
  <c r="K118" i="14"/>
  <c r="J118" i="14"/>
  <c r="O118" i="14" s="1"/>
  <c r="I118" i="14"/>
  <c r="L125" i="14"/>
  <c r="K125" i="14"/>
  <c r="J125" i="14"/>
  <c r="O125" i="14" s="1"/>
  <c r="I125" i="14"/>
  <c r="J14" i="14"/>
  <c r="I21" i="14"/>
  <c r="I28" i="14"/>
  <c r="K78" i="14"/>
  <c r="K94" i="14"/>
  <c r="J120" i="14"/>
  <c r="O120" i="14" s="1"/>
  <c r="I120" i="14"/>
  <c r="L98" i="14"/>
  <c r="K14" i="14"/>
  <c r="J28" i="14"/>
  <c r="L65" i="14"/>
  <c r="J65" i="14"/>
  <c r="O65" i="14" s="1"/>
  <c r="K65" i="14"/>
  <c r="I75" i="14"/>
  <c r="L78" i="14"/>
  <c r="L144" i="14"/>
  <c r="K144" i="14"/>
  <c r="J144" i="14"/>
  <c r="I144" i="14"/>
  <c r="K12" i="14"/>
  <c r="L14" i="14"/>
  <c r="J32" i="14"/>
  <c r="K28" i="14"/>
  <c r="L2" i="14"/>
  <c r="K2" i="14"/>
  <c r="I2" i="14"/>
  <c r="L8" i="14"/>
  <c r="K8" i="14"/>
  <c r="J8" i="14"/>
  <c r="I8" i="14"/>
  <c r="J66" i="14"/>
  <c r="O66" i="14" s="1"/>
  <c r="I66" i="14"/>
  <c r="K66" i="14"/>
  <c r="J90" i="14"/>
  <c r="O90" i="14" s="1"/>
  <c r="I90" i="14"/>
  <c r="K90" i="14"/>
  <c r="J100" i="14"/>
  <c r="O100" i="14" s="1"/>
  <c r="I100" i="14"/>
  <c r="L100" i="14"/>
  <c r="K100" i="14"/>
  <c r="L12" i="14"/>
  <c r="I22" i="14"/>
  <c r="K32" i="14"/>
  <c r="J40" i="14"/>
  <c r="I40" i="14"/>
  <c r="J64" i="14"/>
  <c r="O64" i="14" s="1"/>
  <c r="I65" i="14"/>
  <c r="J74" i="14"/>
  <c r="O74" i="14" s="1"/>
  <c r="I74" i="14"/>
  <c r="L74" i="14"/>
  <c r="K74" i="14"/>
  <c r="J63" i="14"/>
  <c r="O63" i="14" s="1"/>
  <c r="J88" i="14"/>
  <c r="O88" i="14" s="1"/>
  <c r="L79" i="14"/>
  <c r="L103" i="14"/>
  <c r="J126" i="14"/>
  <c r="O126" i="14" s="1"/>
  <c r="I126" i="14"/>
  <c r="J67" i="14"/>
  <c r="O67" i="14" s="1"/>
  <c r="I67" i="14"/>
  <c r="J89" i="14"/>
  <c r="O89" i="14" s="1"/>
  <c r="I89" i="14"/>
  <c r="J95" i="14"/>
  <c r="O95" i="14" s="1"/>
  <c r="I95" i="14"/>
  <c r="K95" i="14"/>
  <c r="R12" i="13"/>
  <c r="Q94" i="13"/>
  <c r="Q93" i="13"/>
  <c r="Q95" i="13"/>
  <c r="Q84" i="13"/>
  <c r="S84" i="13"/>
  <c r="Q98" i="13"/>
  <c r="Q80" i="13"/>
  <c r="Q70" i="13"/>
  <c r="R36" i="13"/>
  <c r="Q39" i="13"/>
  <c r="Q4" i="13"/>
  <c r="R73" i="13"/>
  <c r="Q90" i="13"/>
  <c r="Q99" i="13"/>
  <c r="S103" i="13"/>
  <c r="K103" i="13"/>
  <c r="N103" i="13" s="1"/>
  <c r="I27" i="13"/>
  <c r="K27" i="13"/>
  <c r="M27" i="13" s="1"/>
  <c r="J27" i="13"/>
  <c r="L27" i="13"/>
  <c r="S59" i="13"/>
  <c r="K59" i="13"/>
  <c r="M59" i="13" s="1"/>
  <c r="M65" i="13"/>
  <c r="N65" i="13"/>
  <c r="I73" i="13"/>
  <c r="S73" i="13"/>
  <c r="J73" i="13"/>
  <c r="P73" i="13" s="1"/>
  <c r="M77" i="13"/>
  <c r="N77" i="13"/>
  <c r="L100" i="13"/>
  <c r="J100" i="13"/>
  <c r="P100" i="13" s="1"/>
  <c r="R75" i="13"/>
  <c r="K84" i="13"/>
  <c r="R104" i="13"/>
  <c r="Q16" i="13"/>
  <c r="R68" i="13"/>
  <c r="K24" i="13"/>
  <c r="N24" i="13" s="1"/>
  <c r="Q18" i="13"/>
  <c r="I84" i="13"/>
  <c r="R60" i="13"/>
  <c r="Q62" i="13"/>
  <c r="R34" i="13"/>
  <c r="Q83" i="13"/>
  <c r="R7" i="13"/>
  <c r="R88" i="13"/>
  <c r="L69" i="13"/>
  <c r="K69" i="13"/>
  <c r="J69" i="13"/>
  <c r="S69" i="13"/>
  <c r="L76" i="13"/>
  <c r="S76" i="13"/>
  <c r="K76" i="13"/>
  <c r="K35" i="13"/>
  <c r="S35" i="13"/>
  <c r="L35" i="13"/>
  <c r="S2" i="13"/>
  <c r="L2" i="13"/>
  <c r="K2" i="13"/>
  <c r="J2" i="13"/>
  <c r="I4" i="13"/>
  <c r="L4" i="13"/>
  <c r="K4" i="13"/>
  <c r="J4" i="13"/>
  <c r="S4" i="13"/>
  <c r="L14" i="13"/>
  <c r="K14" i="13"/>
  <c r="I14" i="13"/>
  <c r="S14" i="13"/>
  <c r="K86" i="13"/>
  <c r="I86" i="13"/>
  <c r="S86" i="13"/>
  <c r="I88" i="13"/>
  <c r="J88" i="13"/>
  <c r="L88" i="13"/>
  <c r="K88" i="13"/>
  <c r="S88" i="13"/>
  <c r="L19" i="13"/>
  <c r="S19" i="13"/>
  <c r="I12" i="13"/>
  <c r="L12" i="13"/>
  <c r="K12" i="13"/>
  <c r="J12" i="13"/>
  <c r="K92" i="13"/>
  <c r="L92" i="13"/>
  <c r="S92" i="13"/>
  <c r="K6" i="13"/>
  <c r="S6" i="13"/>
  <c r="L6" i="13"/>
  <c r="L11" i="13"/>
  <c r="K11" i="13"/>
  <c r="J11" i="13"/>
  <c r="S11" i="13"/>
  <c r="L64" i="13"/>
  <c r="K64" i="13"/>
  <c r="S64" i="13"/>
  <c r="K22" i="13"/>
  <c r="N22" i="13" s="1"/>
  <c r="I22" i="13"/>
  <c r="K93" i="13"/>
  <c r="I93" i="13"/>
  <c r="I104" i="13"/>
  <c r="L104" i="13"/>
  <c r="J104" i="13"/>
  <c r="S104" i="13"/>
  <c r="L82" i="13"/>
  <c r="K82" i="13"/>
  <c r="J82" i="13"/>
  <c r="S82" i="13"/>
  <c r="K40" i="13"/>
  <c r="I40" i="13"/>
  <c r="S40" i="13"/>
  <c r="L13" i="13"/>
  <c r="S13" i="13"/>
  <c r="I60" i="13"/>
  <c r="L60" i="13"/>
  <c r="K60" i="13"/>
  <c r="J60" i="13"/>
  <c r="S60" i="13"/>
  <c r="Q32" i="13"/>
  <c r="R37" i="13"/>
  <c r="Q5" i="13"/>
  <c r="R11" i="13"/>
  <c r="Q19" i="13"/>
  <c r="R64" i="13"/>
  <c r="Q71" i="13"/>
  <c r="R76" i="13"/>
  <c r="Q85" i="13"/>
  <c r="R91" i="13"/>
  <c r="S100" i="13"/>
  <c r="Q102" i="13"/>
  <c r="K73" i="13"/>
  <c r="K100" i="13"/>
  <c r="Q2" i="13"/>
  <c r="Q14" i="13"/>
  <c r="Q66" i="13"/>
  <c r="Q78" i="13"/>
  <c r="S91" i="13"/>
  <c r="Q96" i="13"/>
  <c r="I59" i="13"/>
  <c r="L65" i="13"/>
  <c r="L73" i="13"/>
  <c r="I103" i="13"/>
  <c r="S34" i="13"/>
  <c r="Q10" i="13"/>
  <c r="Q63" i="13"/>
  <c r="R81" i="13"/>
  <c r="J31" i="13"/>
  <c r="K16" i="13"/>
  <c r="K91" i="13"/>
  <c r="Q31" i="13"/>
  <c r="S16" i="13"/>
  <c r="Q101" i="13"/>
  <c r="K31" i="13"/>
  <c r="K34" i="13"/>
  <c r="I72" i="13"/>
  <c r="L77" i="13"/>
  <c r="Q38" i="13"/>
  <c r="Q13" i="13"/>
  <c r="Q65" i="13"/>
  <c r="Q77" i="13"/>
  <c r="Q92" i="13"/>
  <c r="L31" i="13"/>
  <c r="K72" i="13"/>
  <c r="S31" i="13"/>
  <c r="Q33" i="13"/>
  <c r="Q6" i="13"/>
  <c r="Q59" i="13"/>
  <c r="Q72" i="13"/>
  <c r="Q86" i="13"/>
  <c r="Q103" i="13"/>
  <c r="Q3" i="13"/>
  <c r="Q15" i="13"/>
  <c r="S65" i="13"/>
  <c r="Q67" i="13"/>
  <c r="S77" i="13"/>
  <c r="Q79" i="13"/>
  <c r="Q97" i="13"/>
  <c r="Q35" i="13"/>
  <c r="Q8" i="13"/>
  <c r="Q61" i="13"/>
  <c r="Q74" i="13"/>
  <c r="Q89" i="13"/>
  <c r="Q105" i="13"/>
  <c r="Q40" i="13"/>
  <c r="Q17" i="13"/>
  <c r="Q69" i="13"/>
  <c r="Q82" i="13"/>
  <c r="Q100" i="13"/>
  <c r="L68" i="13"/>
  <c r="K68" i="13"/>
  <c r="J68" i="13"/>
  <c r="I68" i="13"/>
  <c r="L78" i="13"/>
  <c r="K78" i="13"/>
  <c r="J78" i="13"/>
  <c r="I78" i="13"/>
  <c r="L99" i="13"/>
  <c r="K99" i="13"/>
  <c r="J99" i="13"/>
  <c r="I99" i="13"/>
  <c r="L108" i="13"/>
  <c r="K108" i="13"/>
  <c r="J108" i="13"/>
  <c r="I108" i="13"/>
  <c r="L112" i="13"/>
  <c r="K112" i="13"/>
  <c r="J112" i="13"/>
  <c r="I112" i="13"/>
  <c r="L119" i="13"/>
  <c r="K119" i="13"/>
  <c r="J119" i="13"/>
  <c r="I119" i="13"/>
  <c r="K5" i="13"/>
  <c r="J5" i="13"/>
  <c r="I5" i="13"/>
  <c r="L5" i="13"/>
  <c r="L71" i="13"/>
  <c r="K71" i="13"/>
  <c r="J71" i="13"/>
  <c r="I71" i="13"/>
  <c r="L102" i="13"/>
  <c r="K102" i="13"/>
  <c r="J102" i="13"/>
  <c r="I102" i="13"/>
  <c r="K94" i="13"/>
  <c r="J94" i="13"/>
  <c r="I94" i="13"/>
  <c r="L94" i="13"/>
  <c r="L79" i="13"/>
  <c r="K79" i="13"/>
  <c r="J79" i="13"/>
  <c r="I79" i="13"/>
  <c r="L109" i="13"/>
  <c r="K109" i="13"/>
  <c r="J109" i="13"/>
  <c r="I109" i="13"/>
  <c r="K80" i="13"/>
  <c r="J80" i="13"/>
  <c r="I80" i="13"/>
  <c r="L80" i="13"/>
  <c r="L143" i="13"/>
  <c r="K143" i="13"/>
  <c r="J143" i="13"/>
  <c r="I143" i="13"/>
  <c r="L37" i="13"/>
  <c r="K37" i="13"/>
  <c r="J37" i="13"/>
  <c r="I37" i="13"/>
  <c r="L10" i="13"/>
  <c r="K10" i="13"/>
  <c r="J10" i="13"/>
  <c r="I10" i="13"/>
  <c r="L9" i="13"/>
  <c r="K9" i="13"/>
  <c r="J9" i="13"/>
  <c r="I9" i="13"/>
  <c r="K63" i="13"/>
  <c r="J63" i="13"/>
  <c r="I63" i="13"/>
  <c r="L63" i="13"/>
  <c r="K90" i="13"/>
  <c r="J90" i="13"/>
  <c r="I90" i="13"/>
  <c r="L90" i="13"/>
  <c r="J95" i="13"/>
  <c r="I95" i="13"/>
  <c r="L95" i="13"/>
  <c r="K95" i="13"/>
  <c r="J32" i="13"/>
  <c r="I32" i="13"/>
  <c r="L32" i="13"/>
  <c r="K32" i="13"/>
  <c r="L38" i="13"/>
  <c r="K38" i="13"/>
  <c r="J38" i="13"/>
  <c r="I38" i="13"/>
  <c r="J23" i="13"/>
  <c r="I23" i="13"/>
  <c r="L23" i="13"/>
  <c r="K23" i="13"/>
  <c r="L25" i="13"/>
  <c r="K25" i="13"/>
  <c r="J25" i="13"/>
  <c r="I25" i="13"/>
  <c r="J74" i="13"/>
  <c r="I74" i="13"/>
  <c r="L74" i="13"/>
  <c r="K74" i="13"/>
  <c r="J120" i="13"/>
  <c r="I120" i="13"/>
  <c r="L120" i="13"/>
  <c r="K120" i="13"/>
  <c r="L39" i="13"/>
  <c r="K39" i="13"/>
  <c r="J39" i="13"/>
  <c r="I39" i="13"/>
  <c r="L17" i="13"/>
  <c r="K17" i="13"/>
  <c r="J17" i="13"/>
  <c r="I17" i="13"/>
  <c r="L67" i="13"/>
  <c r="K67" i="13"/>
  <c r="J67" i="13"/>
  <c r="I67" i="13"/>
  <c r="L97" i="13"/>
  <c r="K97" i="13"/>
  <c r="J97" i="13"/>
  <c r="I97" i="13"/>
  <c r="K62" i="13"/>
  <c r="J62" i="13"/>
  <c r="I62" i="13"/>
  <c r="L62" i="13"/>
  <c r="L111" i="13"/>
  <c r="K111" i="13"/>
  <c r="J111" i="13"/>
  <c r="I111" i="13"/>
  <c r="J124" i="13"/>
  <c r="I124" i="13"/>
  <c r="L124" i="13"/>
  <c r="K124" i="13"/>
  <c r="K33" i="13"/>
  <c r="J33" i="13"/>
  <c r="I33" i="13"/>
  <c r="L33" i="13"/>
  <c r="L7" i="13"/>
  <c r="K7" i="13"/>
  <c r="J7" i="13"/>
  <c r="I7" i="13"/>
  <c r="K75" i="13"/>
  <c r="J75" i="13"/>
  <c r="I75" i="13"/>
  <c r="L75" i="13"/>
  <c r="L26" i="13"/>
  <c r="K26" i="13"/>
  <c r="J26" i="13"/>
  <c r="I26" i="13"/>
  <c r="L117" i="13"/>
  <c r="K117" i="13"/>
  <c r="J117" i="13"/>
  <c r="I117" i="13"/>
  <c r="L118" i="13"/>
  <c r="K118" i="13"/>
  <c r="J118" i="13"/>
  <c r="I118" i="13"/>
  <c r="J15" i="13"/>
  <c r="I15" i="13"/>
  <c r="L15" i="13"/>
  <c r="K15" i="13"/>
  <c r="L18" i="13"/>
  <c r="K18" i="13"/>
  <c r="J18" i="13"/>
  <c r="I18" i="13"/>
  <c r="L142" i="13"/>
  <c r="K142" i="13"/>
  <c r="J142" i="13"/>
  <c r="I142" i="13"/>
  <c r="L36" i="13"/>
  <c r="K36" i="13"/>
  <c r="J36" i="13"/>
  <c r="I36" i="13"/>
  <c r="L8" i="13"/>
  <c r="K8" i="13"/>
  <c r="J8" i="13"/>
  <c r="I8" i="13"/>
  <c r="J61" i="13"/>
  <c r="I61" i="13"/>
  <c r="L61" i="13"/>
  <c r="K61" i="13"/>
  <c r="J89" i="13"/>
  <c r="I89" i="13"/>
  <c r="L89" i="13"/>
  <c r="K89" i="13"/>
  <c r="L121" i="13"/>
  <c r="K121" i="13"/>
  <c r="J121" i="13"/>
  <c r="I121" i="13"/>
  <c r="L123" i="13"/>
  <c r="K123" i="13"/>
  <c r="J123" i="13"/>
  <c r="I123" i="13"/>
  <c r="L66" i="13"/>
  <c r="K66" i="13"/>
  <c r="J66" i="13"/>
  <c r="I66" i="13"/>
  <c r="L81" i="13"/>
  <c r="K81" i="13"/>
  <c r="J81" i="13"/>
  <c r="I81" i="13"/>
  <c r="L96" i="13"/>
  <c r="K96" i="13"/>
  <c r="J96" i="13"/>
  <c r="I96" i="13"/>
  <c r="J105" i="13"/>
  <c r="I105" i="13"/>
  <c r="L105" i="13"/>
  <c r="K105" i="13"/>
  <c r="K110" i="13"/>
  <c r="J110" i="13"/>
  <c r="I110" i="13"/>
  <c r="L110" i="13"/>
  <c r="J98" i="13"/>
  <c r="I98" i="13"/>
  <c r="L98" i="13"/>
  <c r="K98" i="13"/>
  <c r="L144" i="13"/>
  <c r="K144" i="13"/>
  <c r="J144" i="13"/>
  <c r="I144" i="13"/>
  <c r="L44" i="13"/>
  <c r="K44" i="13"/>
  <c r="J44" i="13"/>
  <c r="I44" i="13"/>
  <c r="L85" i="13"/>
  <c r="K85" i="13"/>
  <c r="J85" i="13"/>
  <c r="I85" i="13"/>
  <c r="J122" i="13"/>
  <c r="I122" i="13"/>
  <c r="L122" i="13"/>
  <c r="K122" i="13"/>
  <c r="J40" i="13"/>
  <c r="J14" i="13"/>
  <c r="J22" i="13"/>
  <c r="J59" i="13"/>
  <c r="J72" i="13"/>
  <c r="J86" i="13"/>
  <c r="J103" i="13"/>
  <c r="K104" i="13"/>
  <c r="J93" i="13"/>
  <c r="J84" i="13"/>
  <c r="I3" i="13"/>
  <c r="I13" i="13"/>
  <c r="I19" i="13"/>
  <c r="I70" i="13"/>
  <c r="I83" i="13"/>
  <c r="I101" i="13"/>
  <c r="I2" i="13"/>
  <c r="J3" i="13"/>
  <c r="L40" i="13"/>
  <c r="I11" i="13"/>
  <c r="J13" i="13"/>
  <c r="J19" i="13"/>
  <c r="L22" i="13"/>
  <c r="L59" i="13"/>
  <c r="I69" i="13"/>
  <c r="J70" i="13"/>
  <c r="L72" i="13"/>
  <c r="I82" i="13"/>
  <c r="J83" i="13"/>
  <c r="L86" i="13"/>
  <c r="I100" i="13"/>
  <c r="J101" i="13"/>
  <c r="L103" i="13"/>
  <c r="L93" i="13"/>
  <c r="K3" i="13"/>
  <c r="K13" i="13"/>
  <c r="K19" i="13"/>
  <c r="K70" i="13"/>
  <c r="K83" i="13"/>
  <c r="K101" i="13"/>
  <c r="L3" i="13"/>
  <c r="L70" i="13"/>
  <c r="L83" i="13"/>
  <c r="L101" i="13"/>
  <c r="I35" i="13"/>
  <c r="I6" i="13"/>
  <c r="I65" i="13"/>
  <c r="I77" i="13"/>
  <c r="I92" i="13"/>
  <c r="I34" i="13"/>
  <c r="J35" i="13"/>
  <c r="J6" i="13"/>
  <c r="I16" i="13"/>
  <c r="I24" i="13"/>
  <c r="I64" i="13"/>
  <c r="J65" i="13"/>
  <c r="I76" i="13"/>
  <c r="J77" i="13"/>
  <c r="I91" i="13"/>
  <c r="J92" i="13"/>
  <c r="J34" i="13"/>
  <c r="J16" i="13"/>
  <c r="J24" i="13"/>
  <c r="J64" i="13"/>
  <c r="J76" i="13"/>
  <c r="J91" i="13"/>
  <c r="L132" i="12"/>
  <c r="I132" i="12"/>
  <c r="J97" i="12"/>
  <c r="L38" i="12"/>
  <c r="L22" i="12"/>
  <c r="I92" i="12"/>
  <c r="L47" i="12"/>
  <c r="K47" i="12"/>
  <c r="I67" i="12"/>
  <c r="J67" i="12"/>
  <c r="K67" i="12"/>
  <c r="L67" i="12"/>
  <c r="I34" i="12"/>
  <c r="I65" i="12"/>
  <c r="L122" i="12"/>
  <c r="J122" i="12"/>
  <c r="K122" i="12"/>
  <c r="I122" i="12"/>
  <c r="L119" i="12"/>
  <c r="J73" i="12"/>
  <c r="K73" i="12"/>
  <c r="K10" i="12"/>
  <c r="I47" i="12"/>
  <c r="I70" i="12"/>
  <c r="I129" i="12"/>
  <c r="K69" i="12"/>
  <c r="K124" i="12"/>
  <c r="J124" i="12"/>
  <c r="I124" i="12"/>
  <c r="L124" i="12"/>
  <c r="K42" i="12"/>
  <c r="J42" i="12"/>
  <c r="K75" i="12"/>
  <c r="I75" i="12"/>
  <c r="J75" i="12"/>
  <c r="L75" i="12"/>
  <c r="L74" i="12"/>
  <c r="I74" i="12"/>
  <c r="J74" i="12"/>
  <c r="K48" i="12"/>
  <c r="I48" i="12"/>
  <c r="K61" i="12"/>
  <c r="J61" i="12"/>
  <c r="K60" i="12"/>
  <c r="K91" i="12"/>
  <c r="J91" i="12"/>
  <c r="I2" i="12"/>
  <c r="L35" i="12"/>
  <c r="I35" i="12"/>
  <c r="K35" i="12"/>
  <c r="J35" i="12"/>
  <c r="J12" i="12"/>
  <c r="L12" i="12"/>
  <c r="J94" i="12"/>
  <c r="I94" i="12"/>
  <c r="I96" i="12"/>
  <c r="K96" i="12"/>
  <c r="L37" i="12"/>
  <c r="J37" i="12"/>
  <c r="J9" i="12"/>
  <c r="L16" i="12"/>
  <c r="K76" i="12"/>
  <c r="J76" i="12"/>
  <c r="K45" i="12"/>
  <c r="J45" i="12"/>
  <c r="L71" i="12"/>
  <c r="J71" i="12"/>
  <c r="L80" i="12"/>
  <c r="J80" i="12"/>
  <c r="J88" i="12"/>
  <c r="I88" i="12"/>
  <c r="L117" i="12"/>
  <c r="I117" i="12"/>
  <c r="L62" i="12"/>
  <c r="J62" i="12"/>
  <c r="J93" i="12"/>
  <c r="J3" i="12"/>
  <c r="L8" i="12"/>
  <c r="J59" i="12"/>
  <c r="I120" i="12"/>
  <c r="J120" i="12"/>
  <c r="I119" i="12"/>
  <c r="L120" i="12"/>
  <c r="I6" i="12"/>
  <c r="I11" i="12"/>
  <c r="K34" i="12"/>
  <c r="I40" i="12"/>
  <c r="I46" i="12"/>
  <c r="I90" i="12"/>
  <c r="L70" i="12"/>
  <c r="K108" i="12"/>
  <c r="J119" i="12"/>
  <c r="I110" i="12"/>
  <c r="J105" i="12"/>
  <c r="K11" i="12"/>
  <c r="I95" i="12"/>
  <c r="K107" i="12"/>
  <c r="K119" i="12"/>
  <c r="I111" i="12"/>
  <c r="L11" i="12"/>
  <c r="K18" i="12"/>
  <c r="K44" i="12"/>
  <c r="K132" i="12"/>
  <c r="L63" i="12"/>
  <c r="K63" i="12"/>
  <c r="J63" i="12"/>
  <c r="I63" i="12"/>
  <c r="K72" i="12"/>
  <c r="L72" i="12"/>
  <c r="J72" i="12"/>
  <c r="I72" i="12"/>
  <c r="K100" i="12"/>
  <c r="L100" i="12"/>
  <c r="J100" i="12"/>
  <c r="I100" i="12"/>
  <c r="K130" i="12"/>
  <c r="L130" i="12"/>
  <c r="J130" i="12"/>
  <c r="I130" i="12"/>
  <c r="J5" i="12"/>
  <c r="L5" i="12"/>
  <c r="K5" i="12"/>
  <c r="I5" i="12"/>
  <c r="L13" i="12"/>
  <c r="K13" i="12"/>
  <c r="J13" i="12"/>
  <c r="I13" i="12"/>
  <c r="I99" i="12"/>
  <c r="L99" i="12"/>
  <c r="J99" i="12"/>
  <c r="K99" i="12"/>
  <c r="L131" i="12"/>
  <c r="K131" i="12"/>
  <c r="J131" i="12"/>
  <c r="I131" i="12"/>
  <c r="L4" i="12"/>
  <c r="K4" i="12"/>
  <c r="J4" i="12"/>
  <c r="I4" i="12"/>
  <c r="J32" i="12"/>
  <c r="L32" i="12"/>
  <c r="K32" i="12"/>
  <c r="I32" i="12"/>
  <c r="L103" i="12"/>
  <c r="I103" i="12"/>
  <c r="K103" i="12"/>
  <c r="J103" i="12"/>
  <c r="L128" i="12"/>
  <c r="K128" i="12"/>
  <c r="J128" i="12"/>
  <c r="I128" i="12"/>
  <c r="L7" i="12"/>
  <c r="K7" i="12"/>
  <c r="J7" i="12"/>
  <c r="I7" i="12"/>
  <c r="L41" i="12"/>
  <c r="I41" i="12"/>
  <c r="K41" i="12"/>
  <c r="J41" i="12"/>
  <c r="J101" i="12"/>
  <c r="L101" i="12"/>
  <c r="K101" i="12"/>
  <c r="I101" i="12"/>
  <c r="L19" i="12"/>
  <c r="J19" i="12"/>
  <c r="I19" i="12"/>
  <c r="K19" i="12"/>
  <c r="K39" i="12"/>
  <c r="I39" i="12"/>
  <c r="L2" i="12"/>
  <c r="J2" i="12"/>
  <c r="L3" i="12"/>
  <c r="L36" i="12"/>
  <c r="J36" i="12"/>
  <c r="K37" i="12"/>
  <c r="L34" i="12"/>
  <c r="L42" i="12"/>
  <c r="L46" i="12"/>
  <c r="I17" i="12"/>
  <c r="L17" i="12"/>
  <c r="L59" i="12"/>
  <c r="J89" i="12"/>
  <c r="K89" i="12"/>
  <c r="K66" i="12"/>
  <c r="L73" i="12"/>
  <c r="L104" i="12"/>
  <c r="K105" i="12"/>
  <c r="L93" i="12"/>
  <c r="J109" i="12"/>
  <c r="K109" i="12"/>
  <c r="K129" i="12"/>
  <c r="L142" i="12"/>
  <c r="J142" i="12"/>
  <c r="I142" i="12"/>
  <c r="I9" i="12"/>
  <c r="K33" i="12"/>
  <c r="J39" i="12"/>
  <c r="J44" i="12"/>
  <c r="J47" i="12"/>
  <c r="I18" i="12"/>
  <c r="J96" i="12"/>
  <c r="K64" i="12"/>
  <c r="I64" i="12"/>
  <c r="J69" i="12"/>
  <c r="L105" i="12"/>
  <c r="I107" i="12"/>
  <c r="L129" i="12"/>
  <c r="K79" i="12"/>
  <c r="J79" i="12"/>
  <c r="I79" i="12"/>
  <c r="J112" i="12"/>
  <c r="L112" i="12"/>
  <c r="K112" i="12"/>
  <c r="J113" i="12"/>
  <c r="L113" i="12"/>
  <c r="K113" i="12"/>
  <c r="J121" i="12"/>
  <c r="L121" i="12"/>
  <c r="K121" i="12"/>
  <c r="J123" i="12"/>
  <c r="L123" i="12"/>
  <c r="K123" i="12"/>
  <c r="J125" i="12"/>
  <c r="L125" i="12"/>
  <c r="K125" i="12"/>
  <c r="K2" i="12"/>
  <c r="I8" i="12"/>
  <c r="K9" i="12"/>
  <c r="K12" i="12"/>
  <c r="I12" i="12"/>
  <c r="K36" i="12"/>
  <c r="I33" i="12"/>
  <c r="L44" i="12"/>
  <c r="K17" i="12"/>
  <c r="J48" i="12"/>
  <c r="I22" i="12"/>
  <c r="I89" i="12"/>
  <c r="K94" i="12"/>
  <c r="J95" i="12"/>
  <c r="L96" i="12"/>
  <c r="J64" i="12"/>
  <c r="J66" i="12"/>
  <c r="J104" i="12"/>
  <c r="L107" i="12"/>
  <c r="I109" i="12"/>
  <c r="K118" i="12"/>
  <c r="J118" i="12"/>
  <c r="K142" i="12"/>
  <c r="I106" i="12"/>
  <c r="J31" i="12"/>
  <c r="J8" i="12"/>
  <c r="L9" i="12"/>
  <c r="J33" i="12"/>
  <c r="J38" i="12"/>
  <c r="L48" i="12"/>
  <c r="J22" i="12"/>
  <c r="L89" i="12"/>
  <c r="L94" i="12"/>
  <c r="K95" i="12"/>
  <c r="L64" i="12"/>
  <c r="J65" i="12"/>
  <c r="K65" i="12"/>
  <c r="L66" i="12"/>
  <c r="I68" i="12"/>
  <c r="K102" i="12"/>
  <c r="K74" i="12"/>
  <c r="K104" i="12"/>
  <c r="L109" i="12"/>
  <c r="K117" i="12"/>
  <c r="J117" i="12"/>
  <c r="K80" i="12"/>
  <c r="I80" i="12"/>
  <c r="L79" i="12"/>
  <c r="K31" i="12"/>
  <c r="L33" i="12"/>
  <c r="K38" i="12"/>
  <c r="K40" i="12"/>
  <c r="J40" i="12"/>
  <c r="I43" i="12"/>
  <c r="L61" i="12"/>
  <c r="I61" i="12"/>
  <c r="L95" i="12"/>
  <c r="I98" i="12"/>
  <c r="J68" i="12"/>
  <c r="K71" i="12"/>
  <c r="I71" i="12"/>
  <c r="J106" i="12"/>
  <c r="I118" i="12"/>
  <c r="I112" i="12"/>
  <c r="I113" i="12"/>
  <c r="I121" i="12"/>
  <c r="I123" i="12"/>
  <c r="I125" i="12"/>
  <c r="J43" i="12"/>
  <c r="I60" i="12"/>
  <c r="L60" i="12"/>
  <c r="J60" i="12"/>
  <c r="I97" i="12"/>
  <c r="K98" i="12"/>
  <c r="K68" i="12"/>
  <c r="K106" i="12"/>
  <c r="I108" i="12"/>
  <c r="L108" i="12"/>
  <c r="J108" i="12"/>
  <c r="K111" i="12"/>
  <c r="L111" i="12"/>
  <c r="L143" i="12"/>
  <c r="K143" i="12"/>
  <c r="J143" i="12"/>
  <c r="I143" i="12"/>
  <c r="I31" i="12"/>
  <c r="K6" i="12"/>
  <c r="I10" i="12"/>
  <c r="K43" i="12"/>
  <c r="L98" i="12"/>
  <c r="L68" i="12"/>
  <c r="L106" i="12"/>
  <c r="K16" i="12"/>
  <c r="I16" i="12"/>
  <c r="L45" i="12"/>
  <c r="K46" i="12"/>
  <c r="J46" i="12"/>
  <c r="K62" i="12"/>
  <c r="L91" i="12"/>
  <c r="J92" i="12"/>
  <c r="K92" i="12"/>
  <c r="K110" i="12"/>
  <c r="L110" i="12"/>
  <c r="L144" i="12"/>
  <c r="K144" i="12"/>
  <c r="J144" i="12"/>
  <c r="I144" i="12"/>
  <c r="I102" i="12"/>
  <c r="L102" i="12"/>
  <c r="J102" i="12"/>
  <c r="K59" i="12"/>
  <c r="I59" i="12"/>
  <c r="K90" i="12"/>
  <c r="L90" i="12"/>
  <c r="L76" i="12"/>
  <c r="I76" i="12"/>
  <c r="K93" i="12"/>
  <c r="I93" i="12"/>
  <c r="K88" i="12"/>
  <c r="L88" i="12"/>
  <c r="I3" i="12"/>
  <c r="J6" i="12"/>
  <c r="J10" i="12"/>
  <c r="I37" i="12"/>
  <c r="I42" i="12"/>
  <c r="J16" i="12"/>
  <c r="I45" i="12"/>
  <c r="J18" i="12"/>
  <c r="I62" i="12"/>
  <c r="K97" i="12"/>
  <c r="I91" i="12"/>
  <c r="I69" i="12"/>
  <c r="K70" i="12"/>
  <c r="I73" i="12"/>
  <c r="J111" i="12"/>
  <c r="O118" i="11"/>
  <c r="R118" i="11"/>
  <c r="S118" i="11"/>
  <c r="T118" i="11"/>
  <c r="U118" i="11"/>
  <c r="T119" i="11"/>
  <c r="T120" i="11"/>
  <c r="U120" i="11"/>
  <c r="V120" i="11"/>
  <c r="V124" i="11"/>
  <c r="T126" i="11"/>
  <c r="U126" i="11"/>
  <c r="S127" i="11"/>
  <c r="T127" i="11"/>
  <c r="R128" i="11"/>
  <c r="R125" i="11"/>
  <c r="S125" i="11"/>
  <c r="T125" i="11"/>
  <c r="S130" i="11"/>
  <c r="V125" i="11"/>
  <c r="T130" i="11"/>
  <c r="R119" i="11"/>
  <c r="R126" i="11"/>
  <c r="U130" i="11"/>
  <c r="U129" i="11"/>
  <c r="V129" i="11"/>
  <c r="R130" i="11"/>
  <c r="U125" i="11"/>
  <c r="S119" i="11"/>
  <c r="S126" i="11"/>
  <c r="V130" i="11"/>
  <c r="R123" i="11"/>
  <c r="V127" i="11"/>
  <c r="O127" i="11"/>
  <c r="S123" i="11"/>
  <c r="S128" i="11"/>
  <c r="U123" i="11"/>
  <c r="R131" i="11"/>
  <c r="S131" i="11"/>
  <c r="V119" i="11"/>
  <c r="S124" i="11"/>
  <c r="T131" i="11"/>
  <c r="R120" i="11"/>
  <c r="T124" i="11"/>
  <c r="V126" i="11"/>
  <c r="S129" i="11"/>
  <c r="U131" i="11"/>
  <c r="U127" i="11"/>
  <c r="T123" i="11"/>
  <c r="T128" i="11"/>
  <c r="U128" i="11"/>
  <c r="U119" i="11"/>
  <c r="R124" i="11"/>
  <c r="R129" i="11"/>
  <c r="T129" i="11"/>
  <c r="V131" i="11"/>
  <c r="O123" i="11"/>
  <c r="O124" i="11"/>
  <c r="O128" i="11"/>
  <c r="O120" i="11"/>
  <c r="O31" i="11"/>
  <c r="R31" i="11"/>
  <c r="O34" i="11"/>
  <c r="Q31" i="11"/>
  <c r="Q34" i="11"/>
  <c r="T35" i="11"/>
  <c r="U35" i="11"/>
  <c r="O36" i="11"/>
  <c r="U36" i="11"/>
  <c r="Q35" i="11"/>
  <c r="U37" i="11"/>
  <c r="S34" i="11"/>
  <c r="U32" i="11"/>
  <c r="R35" i="11"/>
  <c r="Q36" i="11"/>
  <c r="S36" i="11"/>
  <c r="T36" i="11"/>
  <c r="R34" i="11"/>
  <c r="S35" i="11"/>
  <c r="O38" i="11"/>
  <c r="Q32" i="11"/>
  <c r="S31" i="11"/>
  <c r="S38" i="11"/>
  <c r="R32" i="11"/>
  <c r="T31" i="11"/>
  <c r="R37" i="11"/>
  <c r="T38" i="11"/>
  <c r="O33" i="11"/>
  <c r="T34" i="11"/>
  <c r="O32" i="11"/>
  <c r="U34" i="11"/>
  <c r="O37" i="11"/>
  <c r="T33" i="11"/>
  <c r="Q37" i="11"/>
  <c r="S32" i="11"/>
  <c r="U31" i="11"/>
  <c r="S37" i="11"/>
  <c r="U38" i="11"/>
  <c r="Q33" i="11"/>
  <c r="R33" i="11"/>
  <c r="S33" i="11"/>
  <c r="Q38" i="11"/>
  <c r="R38" i="11"/>
  <c r="L2" i="11"/>
  <c r="K2" i="11"/>
  <c r="J2" i="11"/>
  <c r="I2" i="11"/>
  <c r="L3" i="11"/>
  <c r="K3" i="11"/>
  <c r="J3" i="11"/>
  <c r="I3" i="11"/>
  <c r="L4" i="11"/>
  <c r="K4" i="11"/>
  <c r="J4" i="11"/>
  <c r="I4" i="11"/>
  <c r="L5" i="11"/>
  <c r="K5" i="11"/>
  <c r="J5" i="11"/>
  <c r="I5" i="11"/>
  <c r="L6" i="11"/>
  <c r="K6" i="11"/>
  <c r="J6" i="11"/>
  <c r="I6" i="11"/>
  <c r="L7" i="11"/>
  <c r="K7" i="11"/>
  <c r="J7" i="11"/>
  <c r="I7" i="11"/>
  <c r="L8" i="11"/>
  <c r="K8" i="11"/>
  <c r="J8" i="11"/>
  <c r="I8" i="11"/>
  <c r="L9" i="11"/>
  <c r="K9" i="11"/>
  <c r="J9" i="11"/>
  <c r="I9" i="11"/>
  <c r="L10" i="11"/>
  <c r="K10" i="11"/>
  <c r="J10" i="11"/>
  <c r="I10" i="11"/>
  <c r="L11" i="11"/>
  <c r="K11" i="11"/>
  <c r="J11" i="11"/>
  <c r="I11" i="11"/>
  <c r="L12" i="11"/>
  <c r="K12" i="11"/>
  <c r="J12" i="11"/>
  <c r="I12" i="11"/>
  <c r="L13" i="11"/>
  <c r="K13" i="11"/>
  <c r="J13" i="11"/>
  <c r="I13" i="11"/>
  <c r="L14" i="11"/>
  <c r="K14" i="11"/>
  <c r="J14" i="11"/>
  <c r="I14" i="11"/>
  <c r="L15" i="11"/>
  <c r="K15" i="11"/>
  <c r="J15" i="11"/>
  <c r="I15" i="11"/>
  <c r="L17" i="11"/>
  <c r="K17" i="11"/>
  <c r="J17" i="11"/>
  <c r="I17" i="11"/>
  <c r="L18" i="11"/>
  <c r="K18" i="11"/>
  <c r="J18" i="11"/>
  <c r="I18" i="11"/>
  <c r="L32" i="11"/>
  <c r="K32" i="11"/>
  <c r="J32" i="11"/>
  <c r="I32" i="11"/>
  <c r="L19" i="11"/>
  <c r="K19" i="11"/>
  <c r="J19" i="11"/>
  <c r="I19" i="11"/>
  <c r="L20" i="11"/>
  <c r="K20" i="11"/>
  <c r="J20" i="11"/>
  <c r="I20" i="11"/>
  <c r="L21" i="11"/>
  <c r="K21" i="11"/>
  <c r="J21" i="11"/>
  <c r="I21" i="11"/>
  <c r="L22" i="11"/>
  <c r="K22" i="11"/>
  <c r="J22" i="11"/>
  <c r="I22" i="11"/>
  <c r="L23" i="11"/>
  <c r="K23" i="11"/>
  <c r="J23" i="11"/>
  <c r="I23" i="11"/>
  <c r="L24" i="11"/>
  <c r="K24" i="11"/>
  <c r="J24" i="11"/>
  <c r="I24" i="11"/>
  <c r="L25" i="11"/>
  <c r="K25" i="11"/>
  <c r="J25" i="11"/>
  <c r="I25" i="11"/>
  <c r="L26" i="11"/>
  <c r="K26" i="11"/>
  <c r="J26" i="11"/>
  <c r="I26" i="11"/>
  <c r="L27" i="11"/>
  <c r="K27" i="11"/>
  <c r="J27" i="11"/>
  <c r="I27" i="11"/>
  <c r="L31" i="11"/>
  <c r="K31" i="11"/>
  <c r="J31" i="11"/>
  <c r="I31" i="11"/>
  <c r="L16" i="11"/>
  <c r="K16" i="11"/>
  <c r="J16" i="11"/>
  <c r="I16" i="11"/>
  <c r="L33" i="11"/>
  <c r="K33" i="11"/>
  <c r="J33" i="11"/>
  <c r="I33" i="11"/>
  <c r="L34" i="11"/>
  <c r="K34" i="11"/>
  <c r="J34" i="11"/>
  <c r="I34" i="11"/>
  <c r="L35" i="11"/>
  <c r="K35" i="11"/>
  <c r="J35" i="11"/>
  <c r="I35" i="11"/>
  <c r="L36" i="11"/>
  <c r="K36" i="11"/>
  <c r="J36" i="11"/>
  <c r="I36" i="11"/>
  <c r="L37" i="11"/>
  <c r="K37" i="11"/>
  <c r="J37" i="11"/>
  <c r="I37" i="11"/>
  <c r="L38" i="11"/>
  <c r="K38" i="11"/>
  <c r="J38" i="11"/>
  <c r="I38" i="11"/>
  <c r="L41" i="11"/>
  <c r="K41" i="11"/>
  <c r="J41" i="11"/>
  <c r="I41" i="11"/>
  <c r="L59" i="11"/>
  <c r="K59" i="11"/>
  <c r="J59" i="11"/>
  <c r="I59" i="11"/>
  <c r="L60" i="11"/>
  <c r="K60" i="11"/>
  <c r="J60" i="11"/>
  <c r="I60" i="11"/>
  <c r="L61" i="11"/>
  <c r="K61" i="11"/>
  <c r="J61" i="11"/>
  <c r="I61" i="11"/>
  <c r="L101" i="11"/>
  <c r="K101" i="11"/>
  <c r="J101" i="11"/>
  <c r="I101" i="11"/>
  <c r="L62" i="11"/>
  <c r="K62" i="11"/>
  <c r="J62" i="11"/>
  <c r="I62" i="11"/>
  <c r="L63" i="11"/>
  <c r="K63" i="11"/>
  <c r="J63" i="11"/>
  <c r="I63" i="11"/>
  <c r="L64" i="11"/>
  <c r="K64" i="11"/>
  <c r="J64" i="11"/>
  <c r="I64" i="11"/>
  <c r="L65" i="11"/>
  <c r="K65" i="11"/>
  <c r="J65" i="11"/>
  <c r="I65" i="11"/>
  <c r="L66" i="11"/>
  <c r="K66" i="11"/>
  <c r="J66" i="11"/>
  <c r="I66" i="11"/>
  <c r="L67" i="11"/>
  <c r="K67" i="11"/>
  <c r="J67" i="11"/>
  <c r="I67" i="11"/>
  <c r="L68" i="11"/>
  <c r="K68" i="11"/>
  <c r="J68" i="11"/>
  <c r="I68" i="11"/>
  <c r="L69" i="11"/>
  <c r="K69" i="11"/>
  <c r="J69" i="11"/>
  <c r="I69" i="11"/>
  <c r="L70" i="11"/>
  <c r="K70" i="11"/>
  <c r="J70" i="11"/>
  <c r="I70" i="11"/>
  <c r="L71" i="11"/>
  <c r="K71" i="11"/>
  <c r="J71" i="11"/>
  <c r="I71" i="11"/>
  <c r="L73" i="11"/>
  <c r="K73" i="11"/>
  <c r="J73" i="11"/>
  <c r="I73" i="11"/>
  <c r="L74" i="11"/>
  <c r="K74" i="11"/>
  <c r="J74" i="11"/>
  <c r="I74" i="11"/>
  <c r="L75" i="11"/>
  <c r="K75" i="11"/>
  <c r="J75" i="11"/>
  <c r="I75" i="11"/>
  <c r="L117" i="11"/>
  <c r="K117" i="11"/>
  <c r="J117" i="11"/>
  <c r="I117" i="11"/>
  <c r="L76" i="11"/>
  <c r="K76" i="11"/>
  <c r="J76" i="11"/>
  <c r="I76" i="11"/>
  <c r="L77" i="11"/>
  <c r="K77" i="11"/>
  <c r="J77" i="11"/>
  <c r="I77" i="11"/>
  <c r="L78" i="11"/>
  <c r="K78" i="11"/>
  <c r="J78" i="11"/>
  <c r="I78" i="11"/>
  <c r="L79" i="11"/>
  <c r="K79" i="11"/>
  <c r="J79" i="11"/>
  <c r="I79" i="11"/>
  <c r="L80" i="11"/>
  <c r="K80" i="11"/>
  <c r="J80" i="11"/>
  <c r="I80" i="11"/>
  <c r="L81" i="11"/>
  <c r="K81" i="11"/>
  <c r="J81" i="11"/>
  <c r="I81" i="11"/>
  <c r="L82" i="11"/>
  <c r="K82" i="11"/>
  <c r="J82" i="11"/>
  <c r="I82" i="11"/>
  <c r="L83" i="11"/>
  <c r="K83" i="11"/>
  <c r="J83" i="11"/>
  <c r="I83" i="11"/>
  <c r="L84" i="11"/>
  <c r="K84" i="11"/>
  <c r="J84" i="11"/>
  <c r="I84" i="11"/>
  <c r="L85" i="11"/>
  <c r="K85" i="11"/>
  <c r="J85" i="11"/>
  <c r="I85" i="11"/>
  <c r="L86" i="11"/>
  <c r="K86" i="11"/>
  <c r="J86" i="11"/>
  <c r="I86" i="11"/>
  <c r="L118" i="11"/>
  <c r="K118" i="11"/>
  <c r="J118" i="11"/>
  <c r="I118" i="11"/>
  <c r="L88" i="11"/>
  <c r="K88" i="11"/>
  <c r="J88" i="11"/>
  <c r="I88" i="11"/>
  <c r="L89" i="11"/>
  <c r="K89" i="11"/>
  <c r="J89" i="11"/>
  <c r="I89" i="11"/>
  <c r="L90" i="11"/>
  <c r="K90" i="11"/>
  <c r="J90" i="11"/>
  <c r="I90" i="11"/>
  <c r="L122" i="11"/>
  <c r="K122" i="11"/>
  <c r="J122" i="11"/>
  <c r="I122" i="11"/>
  <c r="L91" i="11"/>
  <c r="K91" i="11"/>
  <c r="J91" i="11"/>
  <c r="I91" i="11"/>
  <c r="L92" i="11"/>
  <c r="K92" i="11"/>
  <c r="J92" i="11"/>
  <c r="I92" i="11"/>
  <c r="L93" i="11"/>
  <c r="K93" i="11"/>
  <c r="J93" i="11"/>
  <c r="I93" i="11"/>
  <c r="L94" i="11"/>
  <c r="K94" i="11"/>
  <c r="J94" i="11"/>
  <c r="I94" i="11"/>
  <c r="L95" i="11"/>
  <c r="K95" i="11"/>
  <c r="J95" i="11"/>
  <c r="I95" i="11"/>
  <c r="L96" i="11"/>
  <c r="K96" i="11"/>
  <c r="J96" i="11"/>
  <c r="I96" i="11"/>
  <c r="L98" i="11"/>
  <c r="K98" i="11"/>
  <c r="J98" i="11"/>
  <c r="I98" i="11"/>
  <c r="L72" i="11"/>
  <c r="K72" i="11"/>
  <c r="J72" i="11"/>
  <c r="I72" i="11"/>
  <c r="L102" i="11"/>
  <c r="K102" i="11"/>
  <c r="J102" i="11"/>
  <c r="I102" i="11"/>
  <c r="L103" i="11"/>
  <c r="K103" i="11"/>
  <c r="J103" i="11"/>
  <c r="I103" i="11"/>
  <c r="L121" i="11"/>
  <c r="K121" i="11"/>
  <c r="J121" i="11"/>
  <c r="I121" i="11"/>
  <c r="L104" i="11"/>
  <c r="K104" i="11"/>
  <c r="J104" i="11"/>
  <c r="I104" i="11"/>
  <c r="L105" i="11"/>
  <c r="K105" i="11"/>
  <c r="J105" i="11"/>
  <c r="I105" i="11"/>
  <c r="L106" i="11"/>
  <c r="K106" i="11"/>
  <c r="J106" i="11"/>
  <c r="I106" i="11"/>
  <c r="L119" i="11"/>
  <c r="K119" i="11"/>
  <c r="J119" i="11"/>
  <c r="I119" i="11"/>
  <c r="L120" i="11"/>
  <c r="K120" i="11"/>
  <c r="J120" i="11"/>
  <c r="I120" i="11"/>
  <c r="L123" i="11"/>
  <c r="K123" i="11"/>
  <c r="J123" i="11"/>
  <c r="I123" i="11"/>
  <c r="L124" i="11"/>
  <c r="K124" i="11"/>
  <c r="J124" i="11"/>
  <c r="I124" i="11"/>
  <c r="L125" i="11"/>
  <c r="K125" i="11"/>
  <c r="J125" i="11"/>
  <c r="I125" i="11"/>
  <c r="L126" i="11"/>
  <c r="K126" i="11"/>
  <c r="J126" i="11"/>
  <c r="I126" i="11"/>
  <c r="L127" i="11"/>
  <c r="K127" i="11"/>
  <c r="J127" i="11"/>
  <c r="I127" i="11"/>
  <c r="L128" i="11"/>
  <c r="K128" i="11"/>
  <c r="J128" i="11"/>
  <c r="I128" i="11"/>
  <c r="L129" i="11"/>
  <c r="K129" i="11"/>
  <c r="J129" i="11"/>
  <c r="I129" i="11"/>
  <c r="L130" i="11"/>
  <c r="K130" i="11"/>
  <c r="J130" i="11"/>
  <c r="I130" i="11"/>
  <c r="L131" i="11"/>
  <c r="K131" i="11"/>
  <c r="J131" i="11"/>
  <c r="I131" i="11"/>
  <c r="L97" i="11"/>
  <c r="K97" i="11"/>
  <c r="J97" i="11"/>
  <c r="I97" i="11"/>
  <c r="L142" i="11"/>
  <c r="K142" i="11"/>
  <c r="J142" i="11"/>
  <c r="I142" i="11"/>
  <c r="L143" i="11"/>
  <c r="K143" i="11"/>
  <c r="J143" i="11"/>
  <c r="I143" i="11"/>
  <c r="L144" i="11"/>
  <c r="K144" i="11"/>
  <c r="J144" i="11"/>
  <c r="I144" i="11"/>
  <c r="K69" i="10"/>
  <c r="T69" i="10"/>
  <c r="S69" i="10"/>
  <c r="R69" i="10"/>
  <c r="Q69" i="10"/>
  <c r="R60" i="10"/>
  <c r="Q60" i="10"/>
  <c r="R64" i="10"/>
  <c r="Q64" i="10"/>
  <c r="R73" i="10"/>
  <c r="Q73" i="10"/>
  <c r="R76" i="10"/>
  <c r="Q76" i="10"/>
  <c r="R80" i="10"/>
  <c r="Q80" i="10"/>
  <c r="R84" i="10"/>
  <c r="Q84" i="10"/>
  <c r="R89" i="10"/>
  <c r="Q89" i="10"/>
  <c r="R92" i="10"/>
  <c r="Q92" i="10"/>
  <c r="R98" i="10"/>
  <c r="Q98" i="10"/>
  <c r="S61" i="10"/>
  <c r="T61" i="10"/>
  <c r="T65" i="10"/>
  <c r="S65" i="10"/>
  <c r="S70" i="10"/>
  <c r="T70" i="10"/>
  <c r="I103" i="10"/>
  <c r="S77" i="10"/>
  <c r="T77" i="10"/>
  <c r="L81" i="10"/>
  <c r="T81" i="10"/>
  <c r="S81" i="10"/>
  <c r="K85" i="10"/>
  <c r="T85" i="10"/>
  <c r="S85" i="10"/>
  <c r="S90" i="10"/>
  <c r="T90" i="10"/>
  <c r="S93" i="10"/>
  <c r="T93" i="10"/>
  <c r="T95" i="10"/>
  <c r="S95" i="10"/>
  <c r="T99" i="10"/>
  <c r="S99" i="10"/>
  <c r="R68" i="10"/>
  <c r="Q68" i="10"/>
  <c r="R90" i="10"/>
  <c r="Q90" i="10"/>
  <c r="R62" i="10"/>
  <c r="Q62" i="10"/>
  <c r="Q66" i="10"/>
  <c r="R66" i="10"/>
  <c r="R71" i="10"/>
  <c r="Q71" i="10"/>
  <c r="R74" i="10"/>
  <c r="Q74" i="10"/>
  <c r="R78" i="10"/>
  <c r="Q78" i="10"/>
  <c r="R82" i="10"/>
  <c r="Q82" i="10"/>
  <c r="R86" i="10"/>
  <c r="Q86" i="10"/>
  <c r="R91" i="10"/>
  <c r="Q91" i="10"/>
  <c r="R96" i="10"/>
  <c r="Q96" i="10"/>
  <c r="R70" i="10"/>
  <c r="Q70" i="10"/>
  <c r="R81" i="10"/>
  <c r="Q81" i="10"/>
  <c r="Q99" i="10"/>
  <c r="R99" i="10"/>
  <c r="T66" i="10"/>
  <c r="S66" i="10"/>
  <c r="T71" i="10"/>
  <c r="S71" i="10"/>
  <c r="S78" i="10"/>
  <c r="T78" i="10"/>
  <c r="S86" i="10"/>
  <c r="T86" i="10"/>
  <c r="S96" i="10"/>
  <c r="T96" i="10"/>
  <c r="T59" i="10"/>
  <c r="S59" i="10"/>
  <c r="T63" i="10"/>
  <c r="S63" i="10"/>
  <c r="I67" i="10"/>
  <c r="T67" i="10"/>
  <c r="S67" i="10"/>
  <c r="S72" i="10"/>
  <c r="T72" i="10"/>
  <c r="J75" i="10"/>
  <c r="T75" i="10"/>
  <c r="S75" i="10"/>
  <c r="I79" i="10"/>
  <c r="T79" i="10"/>
  <c r="S79" i="10"/>
  <c r="S83" i="10"/>
  <c r="T83" i="10"/>
  <c r="S88" i="10"/>
  <c r="T88" i="10"/>
  <c r="S94" i="10"/>
  <c r="T94" i="10"/>
  <c r="T97" i="10"/>
  <c r="S97" i="10"/>
  <c r="R85" i="10"/>
  <c r="Q85" i="10"/>
  <c r="Q93" i="10"/>
  <c r="R93" i="10"/>
  <c r="S74" i="10"/>
  <c r="T74" i="10"/>
  <c r="R61" i="10"/>
  <c r="Q61" i="10"/>
  <c r="R65" i="10"/>
  <c r="Q65" i="10"/>
  <c r="R77" i="10"/>
  <c r="Q77" i="10"/>
  <c r="R95" i="10"/>
  <c r="Q95" i="10"/>
  <c r="J62" i="10"/>
  <c r="T62" i="10"/>
  <c r="S62" i="10"/>
  <c r="T82" i="10"/>
  <c r="S82" i="10"/>
  <c r="T91" i="10"/>
  <c r="S91" i="10"/>
  <c r="L128" i="10"/>
  <c r="R59" i="10"/>
  <c r="Q59" i="10"/>
  <c r="R63" i="10"/>
  <c r="Q63" i="10"/>
  <c r="R67" i="10"/>
  <c r="Q67" i="10"/>
  <c r="R72" i="10"/>
  <c r="Q72" i="10"/>
  <c r="Q75" i="10"/>
  <c r="R75" i="10"/>
  <c r="R79" i="10"/>
  <c r="Q79" i="10"/>
  <c r="R83" i="10"/>
  <c r="Q83" i="10"/>
  <c r="R88" i="10"/>
  <c r="Q88" i="10"/>
  <c r="R94" i="10"/>
  <c r="Q94" i="10"/>
  <c r="R97" i="10"/>
  <c r="Q97" i="10"/>
  <c r="T60" i="10"/>
  <c r="S60" i="10"/>
  <c r="S64" i="10"/>
  <c r="T64" i="10"/>
  <c r="T68" i="10"/>
  <c r="S68" i="10"/>
  <c r="T73" i="10"/>
  <c r="S73" i="10"/>
  <c r="T76" i="10"/>
  <c r="S76" i="10"/>
  <c r="S80" i="10"/>
  <c r="T80" i="10"/>
  <c r="L84" i="10"/>
  <c r="T84" i="10"/>
  <c r="S84" i="10"/>
  <c r="T89" i="10"/>
  <c r="S89" i="10"/>
  <c r="S92" i="10"/>
  <c r="T92" i="10"/>
  <c r="I121" i="10"/>
  <c r="T98" i="10"/>
  <c r="S98" i="10"/>
  <c r="L78" i="10"/>
  <c r="L126" i="10"/>
  <c r="J126" i="10"/>
  <c r="I78" i="10"/>
  <c r="L37" i="10"/>
  <c r="K37" i="10"/>
  <c r="K66" i="10"/>
  <c r="K80" i="10"/>
  <c r="J63" i="10"/>
  <c r="I63" i="10"/>
  <c r="I117" i="10"/>
  <c r="K117" i="10"/>
  <c r="K5" i="10"/>
  <c r="T5" i="10"/>
  <c r="S5" i="10"/>
  <c r="N9" i="10"/>
  <c r="M9" i="10"/>
  <c r="L76" i="10"/>
  <c r="O76" i="10" s="1"/>
  <c r="L35" i="10"/>
  <c r="L108" i="10"/>
  <c r="K108" i="10"/>
  <c r="J108" i="10"/>
  <c r="I108" i="10"/>
  <c r="I142" i="10"/>
  <c r="L142" i="10"/>
  <c r="K142" i="10"/>
  <c r="J142" i="10"/>
  <c r="L32" i="10"/>
  <c r="I118" i="10"/>
  <c r="K118" i="10"/>
  <c r="L118" i="10"/>
  <c r="J118" i="10"/>
  <c r="I24" i="10"/>
  <c r="T24" i="10"/>
  <c r="S24" i="10"/>
  <c r="L120" i="10"/>
  <c r="K120" i="10"/>
  <c r="J120" i="10"/>
  <c r="I120" i="10"/>
  <c r="I95" i="10"/>
  <c r="K95" i="10"/>
  <c r="T2" i="10"/>
  <c r="S2" i="10"/>
  <c r="T8" i="10"/>
  <c r="S8" i="10"/>
  <c r="L8" i="10"/>
  <c r="K8" i="10"/>
  <c r="I8" i="10"/>
  <c r="S13" i="10"/>
  <c r="T13" i="10"/>
  <c r="P19" i="10"/>
  <c r="O19" i="10"/>
  <c r="J38" i="10"/>
  <c r="J18" i="10"/>
  <c r="T18" i="10"/>
  <c r="S18" i="10"/>
  <c r="T27" i="10"/>
  <c r="S27" i="10"/>
  <c r="T25" i="10"/>
  <c r="S25" i="10"/>
  <c r="I38" i="10"/>
  <c r="T15" i="10"/>
  <c r="S15" i="10"/>
  <c r="T22" i="10"/>
  <c r="S22" i="10"/>
  <c r="R2" i="10"/>
  <c r="Q2" i="10"/>
  <c r="L20" i="10"/>
  <c r="T20" i="10"/>
  <c r="S20" i="10"/>
  <c r="J144" i="10"/>
  <c r="R15" i="10"/>
  <c r="Q15" i="10"/>
  <c r="I23" i="10"/>
  <c r="T23" i="10"/>
  <c r="S23" i="10"/>
  <c r="L77" i="10"/>
  <c r="R8" i="10"/>
  <c r="Q8" i="10"/>
  <c r="T12" i="10"/>
  <c r="S12" i="10"/>
  <c r="T16" i="10"/>
  <c r="S16" i="10"/>
  <c r="R20" i="10"/>
  <c r="Q20" i="10"/>
  <c r="Q25" i="10"/>
  <c r="R25" i="10"/>
  <c r="R6" i="10"/>
  <c r="Q6" i="10"/>
  <c r="R23" i="10"/>
  <c r="Q23" i="10"/>
  <c r="I127" i="10"/>
  <c r="R26" i="10"/>
  <c r="Q26" i="10"/>
  <c r="R5" i="10"/>
  <c r="Q5" i="10"/>
  <c r="T14" i="10"/>
  <c r="S14" i="10"/>
  <c r="R12" i="10"/>
  <c r="Q12" i="10"/>
  <c r="R16" i="10"/>
  <c r="Q16" i="10"/>
  <c r="J19" i="10"/>
  <c r="T19" i="10"/>
  <c r="S19" i="10"/>
  <c r="K23" i="10"/>
  <c r="I33" i="10"/>
  <c r="I36" i="10"/>
  <c r="K68" i="10"/>
  <c r="J127" i="10"/>
  <c r="J9" i="10"/>
  <c r="T9" i="10"/>
  <c r="S9" i="10"/>
  <c r="P10" i="10"/>
  <c r="O10" i="10"/>
  <c r="T11" i="10"/>
  <c r="S11" i="10"/>
  <c r="R18" i="10"/>
  <c r="Q18" i="10"/>
  <c r="R27" i="10"/>
  <c r="Q27" i="10"/>
  <c r="J65" i="10"/>
  <c r="L70" i="10"/>
  <c r="J77" i="10"/>
  <c r="I144" i="10"/>
  <c r="J6" i="10"/>
  <c r="T6" i="10"/>
  <c r="S6" i="10"/>
  <c r="R22" i="10"/>
  <c r="Q22" i="10"/>
  <c r="I3" i="10"/>
  <c r="T3" i="10"/>
  <c r="S3" i="10"/>
  <c r="T7" i="10"/>
  <c r="S7" i="10"/>
  <c r="R19" i="10"/>
  <c r="Q19" i="10"/>
  <c r="L23" i="10"/>
  <c r="I66" i="10"/>
  <c r="L68" i="10"/>
  <c r="K127" i="10"/>
  <c r="K4" i="10"/>
  <c r="T4" i="10"/>
  <c r="S4" i="10"/>
  <c r="R17" i="10"/>
  <c r="Q17" i="10"/>
  <c r="R9" i="10"/>
  <c r="Q9" i="10"/>
  <c r="R10" i="10"/>
  <c r="Q10" i="10"/>
  <c r="K21" i="10"/>
  <c r="T21" i="10"/>
  <c r="S21" i="10"/>
  <c r="R4" i="10"/>
  <c r="Q4" i="10"/>
  <c r="R13" i="10"/>
  <c r="Q13" i="10"/>
  <c r="Q21" i="10"/>
  <c r="R21" i="10"/>
  <c r="I65" i="10"/>
  <c r="I77" i="10"/>
  <c r="K9" i="10"/>
  <c r="K38" i="10"/>
  <c r="L9" i="10"/>
  <c r="L38" i="10"/>
  <c r="K65" i="10"/>
  <c r="K77" i="10"/>
  <c r="L79" i="10"/>
  <c r="Q11" i="10"/>
  <c r="R11" i="10"/>
  <c r="L65" i="10"/>
  <c r="R14" i="10"/>
  <c r="Q14" i="10"/>
  <c r="I19" i="10"/>
  <c r="R24" i="10"/>
  <c r="Q24" i="10"/>
  <c r="I37" i="10"/>
  <c r="L26" i="10"/>
  <c r="T26" i="10"/>
  <c r="S26" i="10"/>
  <c r="J66" i="10"/>
  <c r="J78" i="10"/>
  <c r="L127" i="10"/>
  <c r="R3" i="10"/>
  <c r="Q3" i="10"/>
  <c r="T10" i="10"/>
  <c r="S10" i="10"/>
  <c r="R7" i="10"/>
  <c r="Q7" i="10"/>
  <c r="L17" i="10"/>
  <c r="T17" i="10"/>
  <c r="S17" i="10"/>
  <c r="K19" i="10"/>
  <c r="J37" i="10"/>
  <c r="J23" i="10"/>
  <c r="L18" i="10"/>
  <c r="L6" i="10"/>
  <c r="K6" i="10"/>
  <c r="I6" i="10"/>
  <c r="J16" i="10"/>
  <c r="K16" i="10"/>
  <c r="I16" i="10"/>
  <c r="L16" i="10"/>
  <c r="J7" i="10"/>
  <c r="L7" i="10"/>
  <c r="K7" i="10"/>
  <c r="I7" i="10"/>
  <c r="L90" i="10"/>
  <c r="J90" i="10"/>
  <c r="K90" i="10"/>
  <c r="I90" i="10"/>
  <c r="J125" i="10"/>
  <c r="I125" i="10"/>
  <c r="L125" i="10"/>
  <c r="K125" i="10"/>
  <c r="J34" i="10"/>
  <c r="L34" i="10"/>
  <c r="K34" i="10"/>
  <c r="I34" i="10"/>
  <c r="L83" i="10"/>
  <c r="K83" i="10"/>
  <c r="J83" i="10"/>
  <c r="I83" i="10"/>
  <c r="L72" i="10"/>
  <c r="K72" i="10"/>
  <c r="J72" i="10"/>
  <c r="I72" i="10"/>
  <c r="L73" i="10"/>
  <c r="K73" i="10"/>
  <c r="J73" i="10"/>
  <c r="I73" i="10"/>
  <c r="L99" i="10"/>
  <c r="J99" i="10"/>
  <c r="K99" i="10"/>
  <c r="I99" i="10"/>
  <c r="J13" i="10"/>
  <c r="L13" i="10"/>
  <c r="K13" i="10"/>
  <c r="I13" i="10"/>
  <c r="L104" i="10"/>
  <c r="K104" i="10"/>
  <c r="J104" i="10"/>
  <c r="I104" i="10"/>
  <c r="L89" i="10"/>
  <c r="J89" i="10"/>
  <c r="K89" i="10"/>
  <c r="I89" i="10"/>
  <c r="L107" i="10"/>
  <c r="K107" i="10"/>
  <c r="J107" i="10"/>
  <c r="I107" i="10"/>
  <c r="K124" i="10"/>
  <c r="J124" i="10"/>
  <c r="I124" i="10"/>
  <c r="L124" i="10"/>
  <c r="J12" i="10"/>
  <c r="L12" i="10"/>
  <c r="K12" i="10"/>
  <c r="I12" i="10"/>
  <c r="J15" i="10"/>
  <c r="L15" i="10"/>
  <c r="K15" i="10"/>
  <c r="I15" i="10"/>
  <c r="L60" i="10"/>
  <c r="I60" i="10"/>
  <c r="K60" i="10"/>
  <c r="J60" i="10"/>
  <c r="L22" i="10"/>
  <c r="I27" i="10"/>
  <c r="L27" i="10"/>
  <c r="K27" i="10"/>
  <c r="J27" i="10"/>
  <c r="L74" i="10"/>
  <c r="K74" i="10"/>
  <c r="I5" i="10"/>
  <c r="K17" i="10"/>
  <c r="K20" i="10"/>
  <c r="J21" i="10"/>
  <c r="I25" i="10"/>
  <c r="K35" i="10"/>
  <c r="I41" i="10"/>
  <c r="I64" i="10"/>
  <c r="I74" i="10"/>
  <c r="L80" i="10"/>
  <c r="L91" i="10"/>
  <c r="J91" i="10"/>
  <c r="L123" i="10"/>
  <c r="K123" i="10"/>
  <c r="J123" i="10"/>
  <c r="I123" i="10"/>
  <c r="L93" i="10"/>
  <c r="J93" i="10"/>
  <c r="K93" i="10"/>
  <c r="I93" i="10"/>
  <c r="I4" i="10"/>
  <c r="J25" i="10"/>
  <c r="K41" i="10"/>
  <c r="J64" i="10"/>
  <c r="J67" i="10"/>
  <c r="J74" i="10"/>
  <c r="I76" i="10"/>
  <c r="I84" i="10"/>
  <c r="J86" i="10"/>
  <c r="L86" i="10"/>
  <c r="K86" i="10"/>
  <c r="I86" i="10"/>
  <c r="L109" i="10"/>
  <c r="J109" i="10"/>
  <c r="K109" i="10"/>
  <c r="I109" i="10"/>
  <c r="L21" i="10"/>
  <c r="J33" i="10"/>
  <c r="L33" i="10"/>
  <c r="K33" i="10"/>
  <c r="J14" i="10"/>
  <c r="I14" i="10"/>
  <c r="K14" i="10"/>
  <c r="I18" i="10"/>
  <c r="K25" i="10"/>
  <c r="L41" i="10"/>
  <c r="K64" i="10"/>
  <c r="K67" i="10"/>
  <c r="J76" i="10"/>
  <c r="J79" i="10"/>
  <c r="J84" i="10"/>
  <c r="I91" i="10"/>
  <c r="L121" i="10"/>
  <c r="J121" i="10"/>
  <c r="K121" i="10"/>
  <c r="K128" i="10"/>
  <c r="J5" i="10"/>
  <c r="L5" i="10"/>
  <c r="J4" i="10"/>
  <c r="L4" i="10"/>
  <c r="L14" i="10"/>
  <c r="K18" i="10"/>
  <c r="L25" i="10"/>
  <c r="K26" i="10"/>
  <c r="J26" i="10"/>
  <c r="I26" i="10"/>
  <c r="L63" i="10"/>
  <c r="L64" i="10"/>
  <c r="L67" i="10"/>
  <c r="K70" i="10"/>
  <c r="J70" i="10"/>
  <c r="I70" i="10"/>
  <c r="K76" i="10"/>
  <c r="K79" i="10"/>
  <c r="K84" i="10"/>
  <c r="K91" i="10"/>
  <c r="L92" i="10"/>
  <c r="J92" i="10"/>
  <c r="K92" i="10"/>
  <c r="I92" i="10"/>
  <c r="L96" i="10"/>
  <c r="J96" i="10"/>
  <c r="K96" i="10"/>
  <c r="I96" i="10"/>
  <c r="J2" i="10"/>
  <c r="L2" i="10"/>
  <c r="K2" i="10"/>
  <c r="L61" i="10"/>
  <c r="K61" i="10"/>
  <c r="J61" i="10"/>
  <c r="L143" i="10"/>
  <c r="K143" i="10"/>
  <c r="J143" i="10"/>
  <c r="I143" i="10"/>
  <c r="J32" i="10"/>
  <c r="I2" i="10"/>
  <c r="I22" i="10"/>
  <c r="I61" i="10"/>
  <c r="I75" i="10"/>
  <c r="L100" i="10"/>
  <c r="K100" i="10"/>
  <c r="J100" i="10"/>
  <c r="I100" i="10"/>
  <c r="J69" i="10"/>
  <c r="L69" i="10"/>
  <c r="J3" i="10"/>
  <c r="J11" i="10"/>
  <c r="L11" i="10"/>
  <c r="K11" i="10"/>
  <c r="I11" i="10"/>
  <c r="J36" i="10"/>
  <c r="K3" i="10"/>
  <c r="J8" i="10"/>
  <c r="I32" i="10"/>
  <c r="J22" i="10"/>
  <c r="K36" i="10"/>
  <c r="K63" i="10"/>
  <c r="L66" i="10"/>
  <c r="J68" i="10"/>
  <c r="I68" i="10"/>
  <c r="K78" i="10"/>
  <c r="L24" i="10"/>
  <c r="K24" i="10"/>
  <c r="J24" i="10"/>
  <c r="L75" i="10"/>
  <c r="K81" i="10"/>
  <c r="J81" i="10"/>
  <c r="I81" i="10"/>
  <c r="J85" i="10"/>
  <c r="I85" i="10"/>
  <c r="L98" i="10"/>
  <c r="J98" i="10"/>
  <c r="K98" i="10"/>
  <c r="I98" i="10"/>
  <c r="J31" i="10"/>
  <c r="L31" i="10"/>
  <c r="K31" i="10"/>
  <c r="I31" i="10"/>
  <c r="L59" i="10"/>
  <c r="K59" i="10"/>
  <c r="J59" i="10"/>
  <c r="I59" i="10"/>
  <c r="L103" i="10"/>
  <c r="K103" i="10"/>
  <c r="J103" i="10"/>
  <c r="L119" i="10"/>
  <c r="J119" i="10"/>
  <c r="K119" i="10"/>
  <c r="I119" i="10"/>
  <c r="J105" i="10"/>
  <c r="L105" i="10"/>
  <c r="L122" i="10"/>
  <c r="K122" i="10"/>
  <c r="J122" i="10"/>
  <c r="I122" i="10"/>
  <c r="L3" i="10"/>
  <c r="J10" i="10"/>
  <c r="K10" i="10"/>
  <c r="I10" i="10"/>
  <c r="K32" i="10"/>
  <c r="K22" i="10"/>
  <c r="L36" i="10"/>
  <c r="K75" i="10"/>
  <c r="J80" i="10"/>
  <c r="I80" i="10"/>
  <c r="L85" i="10"/>
  <c r="L88" i="10"/>
  <c r="J88" i="10"/>
  <c r="K88" i="10"/>
  <c r="I88" i="10"/>
  <c r="K105" i="10"/>
  <c r="I69" i="10"/>
  <c r="J17" i="10"/>
  <c r="J20" i="10"/>
  <c r="I20" i="10"/>
  <c r="J35" i="10"/>
  <c r="K62" i="10"/>
  <c r="L62" i="10"/>
  <c r="L94" i="10"/>
  <c r="J94" i="10"/>
  <c r="K94" i="10"/>
  <c r="L97" i="10"/>
  <c r="J97" i="10"/>
  <c r="K97" i="10"/>
  <c r="I97" i="10"/>
  <c r="L106" i="10"/>
  <c r="J106" i="10"/>
  <c r="K106" i="10"/>
  <c r="I106" i="10"/>
  <c r="L71" i="10"/>
  <c r="K71" i="10"/>
  <c r="J71" i="10"/>
  <c r="I71" i="10"/>
  <c r="I17" i="10"/>
  <c r="I21" i="10"/>
  <c r="I35" i="10"/>
  <c r="I62" i="10"/>
  <c r="L82" i="10"/>
  <c r="K82" i="10"/>
  <c r="J82" i="10"/>
  <c r="I82" i="10"/>
  <c r="I94" i="10"/>
  <c r="J128" i="10"/>
  <c r="I128" i="10"/>
  <c r="L117" i="10"/>
  <c r="J117" i="10"/>
  <c r="L95" i="10"/>
  <c r="J95" i="10"/>
  <c r="K126" i="10"/>
  <c r="K144" i="10"/>
  <c r="P104" i="9"/>
  <c r="P69" i="9"/>
  <c r="P74" i="9"/>
  <c r="P90" i="9"/>
  <c r="P64" i="9"/>
  <c r="P72" i="9"/>
  <c r="P121" i="9"/>
  <c r="P61" i="9"/>
  <c r="O20" i="9"/>
  <c r="O6" i="9"/>
  <c r="O15" i="9"/>
  <c r="O28" i="9"/>
  <c r="O2" i="9"/>
  <c r="O5" i="9"/>
  <c r="O18" i="9"/>
  <c r="O25" i="9"/>
  <c r="L26" i="9"/>
  <c r="J26" i="9"/>
  <c r="K26" i="9"/>
  <c r="I26" i="9"/>
  <c r="I78" i="9"/>
  <c r="I99" i="9"/>
  <c r="L144" i="9"/>
  <c r="I144" i="9"/>
  <c r="I79" i="9"/>
  <c r="L142" i="9"/>
  <c r="K142" i="9"/>
  <c r="J142" i="9"/>
  <c r="I142" i="9"/>
  <c r="L27" i="9"/>
  <c r="K27" i="9"/>
  <c r="J27" i="9"/>
  <c r="I27" i="9"/>
  <c r="J80" i="9"/>
  <c r="I80" i="9"/>
  <c r="L80" i="9"/>
  <c r="K80" i="9"/>
  <c r="L95" i="9"/>
  <c r="K95" i="9"/>
  <c r="J95" i="9"/>
  <c r="I95" i="9"/>
  <c r="L4" i="9"/>
  <c r="K4" i="9"/>
  <c r="J4" i="9"/>
  <c r="I4" i="9"/>
  <c r="L67" i="9"/>
  <c r="K67" i="9"/>
  <c r="J67" i="9"/>
  <c r="I67" i="9"/>
  <c r="L12" i="9"/>
  <c r="K12" i="9"/>
  <c r="J12" i="9"/>
  <c r="I12" i="9"/>
  <c r="L23" i="9"/>
  <c r="K23" i="9"/>
  <c r="J23" i="9"/>
  <c r="I23" i="9"/>
  <c r="L93" i="9"/>
  <c r="K93" i="9"/>
  <c r="J93" i="9"/>
  <c r="I93" i="9"/>
  <c r="L124" i="9"/>
  <c r="K124" i="9"/>
  <c r="J124" i="9"/>
  <c r="I124" i="9"/>
  <c r="L17" i="9"/>
  <c r="K17" i="9"/>
  <c r="J17" i="9"/>
  <c r="I17" i="9"/>
  <c r="J75" i="9"/>
  <c r="I75" i="9"/>
  <c r="L75" i="9"/>
  <c r="K75" i="9"/>
  <c r="L82" i="9"/>
  <c r="K82" i="9"/>
  <c r="J82" i="9"/>
  <c r="I82" i="9"/>
  <c r="L107" i="9"/>
  <c r="K107" i="9"/>
  <c r="J107" i="9"/>
  <c r="I107" i="9"/>
  <c r="L65" i="9"/>
  <c r="K65" i="9"/>
  <c r="J65" i="9"/>
  <c r="I65" i="9"/>
  <c r="L68" i="9"/>
  <c r="K68" i="9"/>
  <c r="J68" i="9"/>
  <c r="I68" i="9"/>
  <c r="K76" i="9"/>
  <c r="J76" i="9"/>
  <c r="I76" i="9"/>
  <c r="L76" i="9"/>
  <c r="L111" i="9"/>
  <c r="K111" i="9"/>
  <c r="J111" i="9"/>
  <c r="I111" i="9"/>
  <c r="J8" i="9"/>
  <c r="I8" i="9"/>
  <c r="L8" i="9"/>
  <c r="K8" i="9"/>
  <c r="L89" i="9"/>
  <c r="K89" i="9"/>
  <c r="J89" i="9"/>
  <c r="I89" i="9"/>
  <c r="J19" i="9"/>
  <c r="I19" i="9"/>
  <c r="L19" i="9"/>
  <c r="K19" i="9"/>
  <c r="L13" i="9"/>
  <c r="K13" i="9"/>
  <c r="J13" i="9"/>
  <c r="I13" i="9"/>
  <c r="L21" i="9"/>
  <c r="K21" i="9"/>
  <c r="J21" i="9"/>
  <c r="I21" i="9"/>
  <c r="J34" i="9"/>
  <c r="I34" i="9"/>
  <c r="L34" i="9"/>
  <c r="K34" i="9"/>
  <c r="L94" i="9"/>
  <c r="K94" i="9"/>
  <c r="J94" i="9"/>
  <c r="I94" i="9"/>
  <c r="K29" i="9"/>
  <c r="J29" i="9"/>
  <c r="I29" i="9"/>
  <c r="L29" i="9"/>
  <c r="K62" i="9"/>
  <c r="J62" i="9"/>
  <c r="I62" i="9"/>
  <c r="L62" i="9"/>
  <c r="L73" i="9"/>
  <c r="K73" i="9"/>
  <c r="J73" i="9"/>
  <c r="I73" i="9"/>
  <c r="L81" i="9"/>
  <c r="K81" i="9"/>
  <c r="J81" i="9"/>
  <c r="I81" i="9"/>
  <c r="L86" i="9"/>
  <c r="K86" i="9"/>
  <c r="J86" i="9"/>
  <c r="I86" i="9"/>
  <c r="L108" i="9"/>
  <c r="K108" i="9"/>
  <c r="J108" i="9"/>
  <c r="I108" i="9"/>
  <c r="L122" i="9"/>
  <c r="K122" i="9"/>
  <c r="J122" i="9"/>
  <c r="I122" i="9"/>
  <c r="L125" i="9"/>
  <c r="K125" i="9"/>
  <c r="J125" i="9"/>
  <c r="I125" i="9"/>
  <c r="K14" i="9"/>
  <c r="J14" i="9"/>
  <c r="I14" i="9"/>
  <c r="L14" i="9"/>
  <c r="J120" i="9"/>
  <c r="I120" i="9"/>
  <c r="L120" i="9"/>
  <c r="K120" i="9"/>
  <c r="L22" i="9"/>
  <c r="K22" i="9"/>
  <c r="J22" i="9"/>
  <c r="I22" i="9"/>
  <c r="L118" i="9"/>
  <c r="K118" i="9"/>
  <c r="N118" i="9" s="1"/>
  <c r="J118" i="9"/>
  <c r="I118" i="9"/>
  <c r="J32" i="9"/>
  <c r="I32" i="9"/>
  <c r="L32" i="9"/>
  <c r="K32" i="9"/>
  <c r="J39" i="9"/>
  <c r="I39" i="9"/>
  <c r="L39" i="9"/>
  <c r="K39" i="9"/>
  <c r="K7" i="9"/>
  <c r="J7" i="9"/>
  <c r="I7" i="9"/>
  <c r="L7" i="9"/>
  <c r="L117" i="9"/>
  <c r="K117" i="9"/>
  <c r="J117" i="9"/>
  <c r="I117" i="9"/>
  <c r="J77" i="9"/>
  <c r="I77" i="9"/>
  <c r="L77" i="9"/>
  <c r="K77" i="9"/>
  <c r="L91" i="9"/>
  <c r="K91" i="9"/>
  <c r="J91" i="9"/>
  <c r="I91" i="9"/>
  <c r="K96" i="9"/>
  <c r="J96" i="9"/>
  <c r="I96" i="9"/>
  <c r="L96" i="9"/>
  <c r="L66" i="9"/>
  <c r="K66" i="9"/>
  <c r="J66" i="9"/>
  <c r="I66" i="9"/>
  <c r="J100" i="9"/>
  <c r="I100" i="9"/>
  <c r="L100" i="9"/>
  <c r="K100" i="9"/>
  <c r="L123" i="9"/>
  <c r="K123" i="9"/>
  <c r="J123" i="9"/>
  <c r="I123" i="9"/>
  <c r="L11" i="9"/>
  <c r="K11" i="9"/>
  <c r="J11" i="9"/>
  <c r="I11" i="9"/>
  <c r="L60" i="9"/>
  <c r="K60" i="9"/>
  <c r="J60" i="9"/>
  <c r="I60" i="9"/>
  <c r="L71" i="9"/>
  <c r="K71" i="9"/>
  <c r="J71" i="9"/>
  <c r="I71" i="9"/>
  <c r="L16" i="9"/>
  <c r="K16" i="9"/>
  <c r="J16" i="9"/>
  <c r="I16" i="9"/>
  <c r="L85" i="9"/>
  <c r="K85" i="9"/>
  <c r="J85" i="9"/>
  <c r="I85" i="9"/>
  <c r="J36" i="9"/>
  <c r="I36" i="9"/>
  <c r="L36" i="9"/>
  <c r="K36" i="9"/>
  <c r="K101" i="9"/>
  <c r="J101" i="9"/>
  <c r="I101" i="9"/>
  <c r="L101" i="9"/>
  <c r="L98" i="9"/>
  <c r="K98" i="9"/>
  <c r="J98" i="9"/>
  <c r="I98" i="9"/>
  <c r="L9" i="9"/>
  <c r="K9" i="9"/>
  <c r="J9" i="9"/>
  <c r="I9" i="9"/>
  <c r="L10" i="9"/>
  <c r="K10" i="9"/>
  <c r="J10" i="9"/>
  <c r="I10" i="9"/>
  <c r="L33" i="9"/>
  <c r="K33" i="9"/>
  <c r="J33" i="9"/>
  <c r="I33" i="9"/>
  <c r="L24" i="9"/>
  <c r="K24" i="9"/>
  <c r="J24" i="9"/>
  <c r="I24" i="9"/>
  <c r="L59" i="9"/>
  <c r="K59" i="9"/>
  <c r="N59" i="9" s="1"/>
  <c r="J59" i="9"/>
  <c r="I59" i="9"/>
  <c r="L97" i="9"/>
  <c r="K97" i="9"/>
  <c r="J97" i="9"/>
  <c r="I97" i="9"/>
  <c r="L103" i="9"/>
  <c r="K103" i="9"/>
  <c r="J103" i="9"/>
  <c r="I103" i="9"/>
  <c r="L110" i="9"/>
  <c r="K110" i="9"/>
  <c r="J110" i="9"/>
  <c r="I110" i="9"/>
  <c r="L3" i="9"/>
  <c r="K3" i="9"/>
  <c r="J3" i="9"/>
  <c r="I3" i="9"/>
  <c r="J31" i="9"/>
  <c r="I31" i="9"/>
  <c r="L31" i="9"/>
  <c r="K31" i="9"/>
  <c r="J35" i="9"/>
  <c r="I35" i="9"/>
  <c r="L35" i="9"/>
  <c r="K35" i="9"/>
  <c r="J63" i="9"/>
  <c r="I63" i="9"/>
  <c r="L63" i="9"/>
  <c r="K63" i="9"/>
  <c r="L70" i="9"/>
  <c r="K70" i="9"/>
  <c r="J70" i="9"/>
  <c r="I70" i="9"/>
  <c r="L84" i="9"/>
  <c r="K84" i="9"/>
  <c r="J84" i="9"/>
  <c r="I84" i="9"/>
  <c r="L88" i="9"/>
  <c r="K88" i="9"/>
  <c r="J88" i="9"/>
  <c r="I88" i="9"/>
  <c r="J5" i="9"/>
  <c r="J20" i="9"/>
  <c r="J64" i="9"/>
  <c r="J78" i="9"/>
  <c r="J79" i="9"/>
  <c r="J83" i="9"/>
  <c r="J99" i="9"/>
  <c r="J109" i="9"/>
  <c r="J112" i="9"/>
  <c r="J121" i="9"/>
  <c r="I143" i="9"/>
  <c r="K5" i="9"/>
  <c r="K20" i="9"/>
  <c r="K64" i="9"/>
  <c r="K78" i="9"/>
  <c r="K79" i="9"/>
  <c r="K83" i="9"/>
  <c r="K99" i="9"/>
  <c r="K109" i="9"/>
  <c r="K112" i="9"/>
  <c r="K121" i="9"/>
  <c r="J143" i="9"/>
  <c r="L5" i="9"/>
  <c r="L20" i="9"/>
  <c r="L64" i="9"/>
  <c r="L78" i="9"/>
  <c r="L79" i="9"/>
  <c r="L83" i="9"/>
  <c r="L99" i="9"/>
  <c r="L109" i="9"/>
  <c r="L112" i="9"/>
  <c r="L121" i="9"/>
  <c r="K143" i="9"/>
  <c r="I2" i="9"/>
  <c r="I15" i="9"/>
  <c r="I25" i="9"/>
  <c r="I69" i="9"/>
  <c r="I72" i="9"/>
  <c r="I90" i="9"/>
  <c r="I92" i="9"/>
  <c r="J2" i="9"/>
  <c r="J15" i="9"/>
  <c r="J25" i="9"/>
  <c r="J69" i="9"/>
  <c r="J72" i="9"/>
  <c r="J90" i="9"/>
  <c r="J92" i="9"/>
  <c r="K2" i="9"/>
  <c r="N2" i="9" s="1"/>
  <c r="K15" i="9"/>
  <c r="K25" i="9"/>
  <c r="K69" i="9"/>
  <c r="K72" i="9"/>
  <c r="K90" i="9"/>
  <c r="K92" i="9"/>
  <c r="I6" i="9"/>
  <c r="I18" i="9"/>
  <c r="I28" i="9"/>
  <c r="I61" i="9"/>
  <c r="I74" i="9"/>
  <c r="L92" i="9"/>
  <c r="I102" i="9"/>
  <c r="I104" i="9"/>
  <c r="I119" i="9"/>
  <c r="J6" i="9"/>
  <c r="J18" i="9"/>
  <c r="J28" i="9"/>
  <c r="J61" i="9"/>
  <c r="J74" i="9"/>
  <c r="J102" i="9"/>
  <c r="J104" i="9"/>
  <c r="J119" i="9"/>
  <c r="J144" i="9"/>
  <c r="K6" i="9"/>
  <c r="K18" i="9"/>
  <c r="K28" i="9"/>
  <c r="K61" i="9"/>
  <c r="K74" i="9"/>
  <c r="K102" i="9"/>
  <c r="K104" i="9"/>
  <c r="K119" i="9"/>
  <c r="K144" i="9"/>
  <c r="L29" i="8"/>
  <c r="Q29" i="8"/>
  <c r="I85" i="8"/>
  <c r="Q85" i="8"/>
  <c r="L103" i="8"/>
  <c r="I98" i="8"/>
  <c r="Q98" i="8"/>
  <c r="K99" i="8"/>
  <c r="Q99" i="8"/>
  <c r="L64" i="8"/>
  <c r="L14" i="8"/>
  <c r="K23" i="8"/>
  <c r="N23" i="8" s="1"/>
  <c r="J23" i="8"/>
  <c r="O23" i="8" s="1"/>
  <c r="L23" i="8"/>
  <c r="Q59" i="8"/>
  <c r="J59" i="8"/>
  <c r="O59" i="8" s="1"/>
  <c r="I59" i="8"/>
  <c r="L59" i="8"/>
  <c r="K59" i="8"/>
  <c r="N59" i="8" s="1"/>
  <c r="K14" i="8"/>
  <c r="N14" i="8" s="1"/>
  <c r="K76" i="8"/>
  <c r="M76" i="8" s="1"/>
  <c r="K73" i="8"/>
  <c r="M73" i="8" s="1"/>
  <c r="L76" i="8"/>
  <c r="L85" i="8"/>
  <c r="I23" i="8"/>
  <c r="Q72" i="8"/>
  <c r="L72" i="8"/>
  <c r="K72" i="8"/>
  <c r="J72" i="8"/>
  <c r="I72" i="8"/>
  <c r="L96" i="8"/>
  <c r="I96" i="8"/>
  <c r="K96" i="8"/>
  <c r="J96" i="8"/>
  <c r="O125" i="8"/>
  <c r="P125" i="8"/>
  <c r="L28" i="8"/>
  <c r="K28" i="8"/>
  <c r="J28" i="8"/>
  <c r="I28" i="8"/>
  <c r="L107" i="8"/>
  <c r="K107" i="8"/>
  <c r="J107" i="8"/>
  <c r="I107" i="8"/>
  <c r="L94" i="8"/>
  <c r="K94" i="8"/>
  <c r="J94" i="8"/>
  <c r="I94" i="8"/>
  <c r="Q10" i="8"/>
  <c r="L10" i="8"/>
  <c r="K10" i="8"/>
  <c r="J10" i="8"/>
  <c r="I10" i="8"/>
  <c r="Q60" i="8"/>
  <c r="L60" i="8"/>
  <c r="J21" i="8"/>
  <c r="I21" i="8"/>
  <c r="Q91" i="8"/>
  <c r="I91" i="8"/>
  <c r="J91" i="8"/>
  <c r="K84" i="8"/>
  <c r="K98" i="8"/>
  <c r="J11" i="8"/>
  <c r="Q11" i="8"/>
  <c r="L74" i="8"/>
  <c r="Q74" i="8"/>
  <c r="K11" i="8"/>
  <c r="J111" i="8"/>
  <c r="I84" i="8"/>
  <c r="L11" i="8"/>
  <c r="I63" i="8"/>
  <c r="Q63" i="8"/>
  <c r="J24" i="8"/>
  <c r="L84" i="8"/>
  <c r="L98" i="8"/>
  <c r="K24" i="8"/>
  <c r="J63" i="8"/>
  <c r="K111" i="8"/>
  <c r="J84" i="8"/>
  <c r="J98" i="8"/>
  <c r="L12" i="8"/>
  <c r="Q12" i="8"/>
  <c r="I24" i="8"/>
  <c r="L111" i="8"/>
  <c r="I75" i="8"/>
  <c r="Q75" i="8"/>
  <c r="N122" i="8"/>
  <c r="M122" i="8"/>
  <c r="I13" i="8"/>
  <c r="Q13" i="8"/>
  <c r="J33" i="8"/>
  <c r="L24" i="8"/>
  <c r="K63" i="8"/>
  <c r="J81" i="8"/>
  <c r="I83" i="8"/>
  <c r="I25" i="8"/>
  <c r="Q25" i="8"/>
  <c r="L63" i="8"/>
  <c r="J73" i="8"/>
  <c r="Q73" i="8"/>
  <c r="J83" i="8"/>
  <c r="K83" i="8"/>
  <c r="P120" i="8"/>
  <c r="O120" i="8"/>
  <c r="L83" i="8"/>
  <c r="L86" i="8"/>
  <c r="Q86" i="8"/>
  <c r="N123" i="8"/>
  <c r="M123" i="8"/>
  <c r="L104" i="8"/>
  <c r="K104" i="8"/>
  <c r="J104" i="8"/>
  <c r="I104" i="8"/>
  <c r="J9" i="8"/>
  <c r="L9" i="8"/>
  <c r="K9" i="8"/>
  <c r="I9" i="8"/>
  <c r="L70" i="8"/>
  <c r="K70" i="8"/>
  <c r="J70" i="8"/>
  <c r="I70" i="8"/>
  <c r="K77" i="8"/>
  <c r="J77" i="8"/>
  <c r="I77" i="8"/>
  <c r="L77" i="8"/>
  <c r="L92" i="8"/>
  <c r="K92" i="8"/>
  <c r="J92" i="8"/>
  <c r="I92" i="8"/>
  <c r="K142" i="8"/>
  <c r="J142" i="8"/>
  <c r="I142" i="8"/>
  <c r="L5" i="8"/>
  <c r="K5" i="8"/>
  <c r="J5" i="8"/>
  <c r="I5" i="8"/>
  <c r="L35" i="8"/>
  <c r="K35" i="8"/>
  <c r="J35" i="8"/>
  <c r="I35" i="8"/>
  <c r="L69" i="8"/>
  <c r="J69" i="8"/>
  <c r="K69" i="8"/>
  <c r="I120" i="8"/>
  <c r="L120" i="8"/>
  <c r="K120" i="8"/>
  <c r="L34" i="8"/>
  <c r="K34" i="8"/>
  <c r="J34" i="8"/>
  <c r="I34" i="8"/>
  <c r="L16" i="8"/>
  <c r="K16" i="8"/>
  <c r="I16" i="8"/>
  <c r="J16" i="8"/>
  <c r="K100" i="8"/>
  <c r="J100" i="8"/>
  <c r="I100" i="8"/>
  <c r="L100" i="8"/>
  <c r="K3" i="8"/>
  <c r="J3" i="8"/>
  <c r="I3" i="8"/>
  <c r="L3" i="8"/>
  <c r="L7" i="8"/>
  <c r="K7" i="8"/>
  <c r="K30" i="8"/>
  <c r="J30" i="8"/>
  <c r="I30" i="8"/>
  <c r="L30" i="8"/>
  <c r="L62" i="8"/>
  <c r="K62" i="8"/>
  <c r="I62" i="8"/>
  <c r="J62" i="8"/>
  <c r="L80" i="8"/>
  <c r="K80" i="8"/>
  <c r="J80" i="8"/>
  <c r="I80" i="8"/>
  <c r="L90" i="8"/>
  <c r="J90" i="8"/>
  <c r="K90" i="8"/>
  <c r="I90" i="8"/>
  <c r="L101" i="8"/>
  <c r="K101" i="8"/>
  <c r="J101" i="8"/>
  <c r="I101" i="8"/>
  <c r="L118" i="8"/>
  <c r="I118" i="8"/>
  <c r="K118" i="8"/>
  <c r="J118" i="8"/>
  <c r="L124" i="8"/>
  <c r="I124" i="8"/>
  <c r="K124" i="8"/>
  <c r="J124" i="8"/>
  <c r="L4" i="8"/>
  <c r="K4" i="8"/>
  <c r="J4" i="8"/>
  <c r="K15" i="8"/>
  <c r="J15" i="8"/>
  <c r="I15" i="8"/>
  <c r="L15" i="8"/>
  <c r="J2" i="8"/>
  <c r="I2" i="8"/>
  <c r="L2" i="8"/>
  <c r="K2" i="8"/>
  <c r="N2" i="8" s="1"/>
  <c r="L19" i="8"/>
  <c r="K19" i="8"/>
  <c r="J19" i="8"/>
  <c r="I19" i="8"/>
  <c r="L79" i="8"/>
  <c r="K79" i="8"/>
  <c r="J79" i="8"/>
  <c r="I79" i="8"/>
  <c r="L89" i="8"/>
  <c r="K89" i="8"/>
  <c r="J89" i="8"/>
  <c r="I89" i="8"/>
  <c r="L6" i="8"/>
  <c r="J6" i="8"/>
  <c r="I6" i="8"/>
  <c r="K6" i="8"/>
  <c r="K108" i="8"/>
  <c r="L108" i="8"/>
  <c r="J108" i="8"/>
  <c r="I108" i="8"/>
  <c r="J117" i="8"/>
  <c r="I117" i="8"/>
  <c r="K117" i="8"/>
  <c r="N117" i="8" s="1"/>
  <c r="L117" i="8"/>
  <c r="J67" i="8"/>
  <c r="L67" i="8"/>
  <c r="K67" i="8"/>
  <c r="I67" i="8"/>
  <c r="L17" i="8"/>
  <c r="K17" i="8"/>
  <c r="J17" i="8"/>
  <c r="I17" i="8"/>
  <c r="I7" i="8"/>
  <c r="K39" i="8"/>
  <c r="L39" i="8"/>
  <c r="J39" i="8"/>
  <c r="I39" i="8"/>
  <c r="L68" i="8"/>
  <c r="K68" i="8"/>
  <c r="I68" i="8"/>
  <c r="J68" i="8"/>
  <c r="I81" i="8"/>
  <c r="L81" i="8"/>
  <c r="K81" i="8"/>
  <c r="J102" i="8"/>
  <c r="L102" i="8"/>
  <c r="K102" i="8"/>
  <c r="I102" i="8"/>
  <c r="L8" i="8"/>
  <c r="K8" i="8"/>
  <c r="J8" i="8"/>
  <c r="I8" i="8"/>
  <c r="I69" i="8"/>
  <c r="I33" i="8"/>
  <c r="L33" i="8"/>
  <c r="K33" i="8"/>
  <c r="L78" i="8"/>
  <c r="K78" i="8"/>
  <c r="I78" i="8"/>
  <c r="J78" i="8"/>
  <c r="L144" i="8"/>
  <c r="K144" i="8"/>
  <c r="J144" i="8"/>
  <c r="I144" i="8"/>
  <c r="I4" i="8"/>
  <c r="J7" i="8"/>
  <c r="K18" i="8"/>
  <c r="L18" i="8"/>
  <c r="J18" i="8"/>
  <c r="I18" i="8"/>
  <c r="L32" i="8"/>
  <c r="K32" i="8"/>
  <c r="I32" i="8"/>
  <c r="J32" i="8"/>
  <c r="J112" i="8"/>
  <c r="L112" i="8"/>
  <c r="K112" i="8"/>
  <c r="I112" i="8"/>
  <c r="K65" i="8"/>
  <c r="J65" i="8"/>
  <c r="I65" i="8"/>
  <c r="L65" i="8"/>
  <c r="K119" i="8"/>
  <c r="L119" i="8"/>
  <c r="I119" i="8"/>
  <c r="J119" i="8"/>
  <c r="L66" i="8"/>
  <c r="K66" i="8"/>
  <c r="I66" i="8"/>
  <c r="J66" i="8"/>
  <c r="I71" i="8"/>
  <c r="I22" i="8"/>
  <c r="J71" i="8"/>
  <c r="I82" i="8"/>
  <c r="J93" i="8"/>
  <c r="I97" i="8"/>
  <c r="I122" i="8"/>
  <c r="I143" i="8"/>
  <c r="K27" i="8"/>
  <c r="J27" i="8"/>
  <c r="I27" i="8"/>
  <c r="K125" i="8"/>
  <c r="L125" i="8"/>
  <c r="I36" i="8"/>
  <c r="I125" i="8"/>
  <c r="J75" i="8"/>
  <c r="J82" i="8"/>
  <c r="K93" i="8"/>
  <c r="J97" i="8"/>
  <c r="K26" i="8"/>
  <c r="L71" i="8"/>
  <c r="K82" i="8"/>
  <c r="K86" i="8"/>
  <c r="K97" i="8"/>
  <c r="K143" i="8"/>
  <c r="I12" i="8"/>
  <c r="I20" i="8"/>
  <c r="L26" i="8"/>
  <c r="I29" i="8"/>
  <c r="L110" i="8"/>
  <c r="K61" i="8"/>
  <c r="J64" i="8"/>
  <c r="I64" i="8"/>
  <c r="I74" i="8"/>
  <c r="L75" i="8"/>
  <c r="I109" i="8"/>
  <c r="L82" i="8"/>
  <c r="L97" i="8"/>
  <c r="I121" i="8"/>
  <c r="L122" i="8"/>
  <c r="L143" i="8"/>
  <c r="L27" i="8"/>
  <c r="J86" i="8"/>
  <c r="I86" i="8"/>
  <c r="L88" i="8"/>
  <c r="I93" i="8"/>
  <c r="J36" i="8"/>
  <c r="I110" i="8"/>
  <c r="J13" i="8"/>
  <c r="J22" i="8"/>
  <c r="K36" i="8"/>
  <c r="J110" i="8"/>
  <c r="K71" i="8"/>
  <c r="J122" i="8"/>
  <c r="K13" i="8"/>
  <c r="K22" i="8"/>
  <c r="L36" i="8"/>
  <c r="J61" i="8"/>
  <c r="K75" i="8"/>
  <c r="L93" i="8"/>
  <c r="L13" i="8"/>
  <c r="L22" i="8"/>
  <c r="J12" i="8"/>
  <c r="J20" i="8"/>
  <c r="I60" i="8"/>
  <c r="L61" i="8"/>
  <c r="J74" i="8"/>
  <c r="J109" i="8"/>
  <c r="I95" i="8"/>
  <c r="J99" i="8"/>
  <c r="I99" i="8"/>
  <c r="I103" i="8"/>
  <c r="J121" i="8"/>
  <c r="I11" i="8"/>
  <c r="K12" i="8"/>
  <c r="K20" i="8"/>
  <c r="J25" i="8"/>
  <c r="K29" i="8"/>
  <c r="J60" i="8"/>
  <c r="I73" i="8"/>
  <c r="K74" i="8"/>
  <c r="K109" i="8"/>
  <c r="J85" i="8"/>
  <c r="J95" i="8"/>
  <c r="J103" i="8"/>
  <c r="K121" i="8"/>
  <c r="J29" i="8"/>
  <c r="L20" i="8"/>
  <c r="K25" i="8"/>
  <c r="K60" i="8"/>
  <c r="K64" i="8"/>
  <c r="L109" i="8"/>
  <c r="K85" i="8"/>
  <c r="K95" i="8"/>
  <c r="K103" i="8"/>
  <c r="J123" i="8"/>
  <c r="I123" i="8"/>
  <c r="K88" i="8"/>
  <c r="J88" i="8"/>
  <c r="I88" i="8"/>
  <c r="J26" i="8"/>
  <c r="I26" i="8"/>
  <c r="I61" i="8"/>
  <c r="J14" i="8"/>
  <c r="I14" i="8"/>
  <c r="K21" i="8"/>
  <c r="L21" i="8"/>
  <c r="J76" i="8"/>
  <c r="I76" i="8"/>
  <c r="K91" i="8"/>
  <c r="L91" i="8"/>
  <c r="L95" i="8"/>
  <c r="L2" i="7"/>
  <c r="K2" i="7"/>
  <c r="J2" i="7"/>
  <c r="I2" i="7"/>
  <c r="L13" i="7"/>
  <c r="K13" i="7"/>
  <c r="J13" i="7"/>
  <c r="I13" i="7"/>
  <c r="L3" i="7"/>
  <c r="K3" i="7"/>
  <c r="J3" i="7"/>
  <c r="I3" i="7"/>
  <c r="L4" i="7"/>
  <c r="K4" i="7"/>
  <c r="J4" i="7"/>
  <c r="I4" i="7"/>
  <c r="L5" i="7"/>
  <c r="K5" i="7"/>
  <c r="J5" i="7"/>
  <c r="I5" i="7"/>
  <c r="L6" i="7"/>
  <c r="K6" i="7"/>
  <c r="J6" i="7"/>
  <c r="I6" i="7"/>
  <c r="L7" i="7"/>
  <c r="K7" i="7"/>
  <c r="J7" i="7"/>
  <c r="I7" i="7"/>
  <c r="L14" i="7"/>
  <c r="K14" i="7"/>
  <c r="J14" i="7"/>
  <c r="I14" i="7"/>
  <c r="L8" i="7"/>
  <c r="K8" i="7"/>
  <c r="J8" i="7"/>
  <c r="I8" i="7"/>
  <c r="L15" i="7"/>
  <c r="K15" i="7"/>
  <c r="J15" i="7"/>
  <c r="I15" i="7"/>
  <c r="L16" i="7"/>
  <c r="K16" i="7"/>
  <c r="J16" i="7"/>
  <c r="I16" i="7"/>
  <c r="L9" i="7"/>
  <c r="K9" i="7"/>
  <c r="J9" i="7"/>
  <c r="I9" i="7"/>
  <c r="L17" i="7"/>
  <c r="K17" i="7"/>
  <c r="J17" i="7"/>
  <c r="I17" i="7"/>
  <c r="L18" i="7"/>
  <c r="K18" i="7"/>
  <c r="J18" i="7"/>
  <c r="I18" i="7"/>
  <c r="L19" i="7"/>
  <c r="K19" i="7"/>
  <c r="J19" i="7"/>
  <c r="I19" i="7"/>
  <c r="L45" i="7"/>
  <c r="K45" i="7"/>
  <c r="J45" i="7"/>
  <c r="I45" i="7"/>
  <c r="L10" i="7"/>
  <c r="K10" i="7"/>
  <c r="J10" i="7"/>
  <c r="I10" i="7"/>
  <c r="L20" i="7"/>
  <c r="K20" i="7"/>
  <c r="J20" i="7"/>
  <c r="I20" i="7"/>
  <c r="L35" i="7"/>
  <c r="K35" i="7"/>
  <c r="J35" i="7"/>
  <c r="I35" i="7"/>
  <c r="L36" i="7"/>
  <c r="K36" i="7"/>
  <c r="J36" i="7"/>
  <c r="I36" i="7"/>
  <c r="L21" i="7"/>
  <c r="K21" i="7"/>
  <c r="J21" i="7"/>
  <c r="I21" i="7"/>
  <c r="L22" i="7"/>
  <c r="K22" i="7"/>
  <c r="J22" i="7"/>
  <c r="I22" i="7"/>
  <c r="L23" i="7"/>
  <c r="K23" i="7"/>
  <c r="J23" i="7"/>
  <c r="I23" i="7"/>
  <c r="L24" i="7"/>
  <c r="K24" i="7"/>
  <c r="J24" i="7"/>
  <c r="I24" i="7"/>
  <c r="L25" i="7"/>
  <c r="K25" i="7"/>
  <c r="J25" i="7"/>
  <c r="I25" i="7"/>
  <c r="L37" i="7"/>
  <c r="K37" i="7"/>
  <c r="J37" i="7"/>
  <c r="I37" i="7"/>
  <c r="L31" i="7"/>
  <c r="K31" i="7"/>
  <c r="J31" i="7"/>
  <c r="I31" i="7"/>
  <c r="L32" i="7"/>
  <c r="K32" i="7"/>
  <c r="J32" i="7"/>
  <c r="I32" i="7"/>
  <c r="L33" i="7"/>
  <c r="K33" i="7"/>
  <c r="J33" i="7"/>
  <c r="I33" i="7"/>
  <c r="L34" i="7"/>
  <c r="K34" i="7"/>
  <c r="J34" i="7"/>
  <c r="I34" i="7"/>
  <c r="L38" i="7"/>
  <c r="K38" i="7"/>
  <c r="J38" i="7"/>
  <c r="I38" i="7"/>
  <c r="L39" i="7"/>
  <c r="K39" i="7"/>
  <c r="J39" i="7"/>
  <c r="I39" i="7"/>
  <c r="L26" i="7"/>
  <c r="K26" i="7"/>
  <c r="J26" i="7"/>
  <c r="I26" i="7"/>
  <c r="L40" i="7"/>
  <c r="K40" i="7"/>
  <c r="J40" i="7"/>
  <c r="I40" i="7"/>
  <c r="L43" i="7"/>
  <c r="K43" i="7"/>
  <c r="J43" i="7"/>
  <c r="I43" i="7"/>
  <c r="L82" i="7"/>
  <c r="K82" i="7"/>
  <c r="J82" i="7"/>
  <c r="I82" i="7"/>
  <c r="L83" i="7"/>
  <c r="K83" i="7"/>
  <c r="J83" i="7"/>
  <c r="I83" i="7"/>
  <c r="L84" i="7"/>
  <c r="K84" i="7"/>
  <c r="J84" i="7"/>
  <c r="I84" i="7"/>
  <c r="L59" i="7"/>
  <c r="K59" i="7"/>
  <c r="J59" i="7"/>
  <c r="I59" i="7"/>
  <c r="L60" i="7"/>
  <c r="K60" i="7"/>
  <c r="J60" i="7"/>
  <c r="I60" i="7"/>
  <c r="L61" i="7"/>
  <c r="K61" i="7"/>
  <c r="J61" i="7"/>
  <c r="I61" i="7"/>
  <c r="L62" i="7"/>
  <c r="K62" i="7"/>
  <c r="J62" i="7"/>
  <c r="I62" i="7"/>
  <c r="L63" i="7"/>
  <c r="K63" i="7"/>
  <c r="J63" i="7"/>
  <c r="I63" i="7"/>
  <c r="L64" i="7"/>
  <c r="K64" i="7"/>
  <c r="J64" i="7"/>
  <c r="I64" i="7"/>
  <c r="L65" i="7"/>
  <c r="K65" i="7"/>
  <c r="J65" i="7"/>
  <c r="I65" i="7"/>
  <c r="L88" i="7"/>
  <c r="K88" i="7"/>
  <c r="J88" i="7"/>
  <c r="I88" i="7"/>
  <c r="L66" i="7"/>
  <c r="K66" i="7"/>
  <c r="J66" i="7"/>
  <c r="I66" i="7"/>
  <c r="L89" i="7"/>
  <c r="K89" i="7"/>
  <c r="J89" i="7"/>
  <c r="I89" i="7"/>
  <c r="L67" i="7"/>
  <c r="K67" i="7"/>
  <c r="J67" i="7"/>
  <c r="I67" i="7"/>
  <c r="L90" i="7"/>
  <c r="K90" i="7"/>
  <c r="J90" i="7"/>
  <c r="I90" i="7"/>
  <c r="L91" i="7"/>
  <c r="K91" i="7"/>
  <c r="J91" i="7"/>
  <c r="I91" i="7"/>
  <c r="L68" i="7"/>
  <c r="K68" i="7"/>
  <c r="J68" i="7"/>
  <c r="I68" i="7"/>
  <c r="L69" i="7"/>
  <c r="K69" i="7"/>
  <c r="J69" i="7"/>
  <c r="I69" i="7"/>
  <c r="L92" i="7"/>
  <c r="K92" i="7"/>
  <c r="J92" i="7"/>
  <c r="I92" i="7"/>
  <c r="L93" i="7"/>
  <c r="K93" i="7"/>
  <c r="J93" i="7"/>
  <c r="I93" i="7"/>
  <c r="L94" i="7"/>
  <c r="K94" i="7"/>
  <c r="J94" i="7"/>
  <c r="I94" i="7"/>
  <c r="L95" i="7"/>
  <c r="K95" i="7"/>
  <c r="J95" i="7"/>
  <c r="I95" i="7"/>
  <c r="L96" i="7"/>
  <c r="K96" i="7"/>
  <c r="J96" i="7"/>
  <c r="I96" i="7"/>
  <c r="L70" i="7"/>
  <c r="K70" i="7"/>
  <c r="J70" i="7"/>
  <c r="I70" i="7"/>
  <c r="L80" i="7"/>
  <c r="K80" i="7"/>
  <c r="J80" i="7"/>
  <c r="I80" i="7"/>
  <c r="L97" i="7"/>
  <c r="K97" i="7"/>
  <c r="J97" i="7"/>
  <c r="I97" i="7"/>
  <c r="L71" i="7"/>
  <c r="K71" i="7"/>
  <c r="J71" i="7"/>
  <c r="I71" i="7"/>
  <c r="L81" i="7"/>
  <c r="K81" i="7"/>
  <c r="J81" i="7"/>
  <c r="I81" i="7"/>
  <c r="L72" i="7"/>
  <c r="K72" i="7"/>
  <c r="J72" i="7"/>
  <c r="I72" i="7"/>
  <c r="L73" i="7"/>
  <c r="K73" i="7"/>
  <c r="J73" i="7"/>
  <c r="I73" i="7"/>
  <c r="L74" i="7"/>
  <c r="K74" i="7"/>
  <c r="J74" i="7"/>
  <c r="I74" i="7"/>
  <c r="L98" i="7"/>
  <c r="K98" i="7"/>
  <c r="J98" i="7"/>
  <c r="I98" i="7"/>
  <c r="L99" i="7"/>
  <c r="K99" i="7"/>
  <c r="J99" i="7"/>
  <c r="I99" i="7"/>
  <c r="L100" i="7"/>
  <c r="K100" i="7"/>
  <c r="J100" i="7"/>
  <c r="I100" i="7"/>
  <c r="L101" i="7"/>
  <c r="K101" i="7"/>
  <c r="J101" i="7"/>
  <c r="I101" i="7"/>
  <c r="L102" i="7"/>
  <c r="K102" i="7"/>
  <c r="J102" i="7"/>
  <c r="I102" i="7"/>
  <c r="L103" i="7"/>
  <c r="K103" i="7"/>
  <c r="J103" i="7"/>
  <c r="I103" i="7"/>
  <c r="L104" i="7"/>
  <c r="K104" i="7"/>
  <c r="J104" i="7"/>
  <c r="I104" i="7"/>
  <c r="L78" i="7"/>
  <c r="K78" i="7"/>
  <c r="J78" i="7"/>
  <c r="I78" i="7"/>
  <c r="L75" i="7"/>
  <c r="K75" i="7"/>
  <c r="J75" i="7"/>
  <c r="I75" i="7"/>
  <c r="L105" i="7"/>
  <c r="K105" i="7"/>
  <c r="J105" i="7"/>
  <c r="I105" i="7"/>
  <c r="L117" i="7"/>
  <c r="K117" i="7"/>
  <c r="J117" i="7"/>
  <c r="I117" i="7"/>
  <c r="L118" i="7"/>
  <c r="K118" i="7"/>
  <c r="J118" i="7"/>
  <c r="I118" i="7"/>
  <c r="L106" i="7"/>
  <c r="K106" i="7"/>
  <c r="J106" i="7"/>
  <c r="I106" i="7"/>
  <c r="L107" i="7"/>
  <c r="K107" i="7"/>
  <c r="J107" i="7"/>
  <c r="I107" i="7"/>
  <c r="L108" i="7"/>
  <c r="K108" i="7"/>
  <c r="J108" i="7"/>
  <c r="I108" i="7"/>
  <c r="L109" i="7"/>
  <c r="K109" i="7"/>
  <c r="J109" i="7"/>
  <c r="I109" i="7"/>
  <c r="L110" i="7"/>
  <c r="K110" i="7"/>
  <c r="J110" i="7"/>
  <c r="I110" i="7"/>
  <c r="L111" i="7"/>
  <c r="K111" i="7"/>
  <c r="J111" i="7"/>
  <c r="I111" i="7"/>
  <c r="L79" i="7"/>
  <c r="K79" i="7"/>
  <c r="J79" i="7"/>
  <c r="I79" i="7"/>
  <c r="L119" i="7"/>
  <c r="K119" i="7"/>
  <c r="J119" i="7"/>
  <c r="I119" i="7"/>
  <c r="L120" i="7"/>
  <c r="K120" i="7"/>
  <c r="J120" i="7"/>
  <c r="I120" i="7"/>
  <c r="L121" i="7"/>
  <c r="K121" i="7"/>
  <c r="J121" i="7"/>
  <c r="I121" i="7"/>
  <c r="L122" i="7"/>
  <c r="K122" i="7"/>
  <c r="J122" i="7"/>
  <c r="I122" i="7"/>
  <c r="L123" i="7"/>
  <c r="K123" i="7"/>
  <c r="J123" i="7"/>
  <c r="I123" i="7"/>
  <c r="L124" i="7"/>
  <c r="K124" i="7"/>
  <c r="J124" i="7"/>
  <c r="I124" i="7"/>
  <c r="L125" i="7"/>
  <c r="K125" i="7"/>
  <c r="J125" i="7"/>
  <c r="I125" i="7"/>
  <c r="L126" i="7"/>
  <c r="K126" i="7"/>
  <c r="J126" i="7"/>
  <c r="I126" i="7"/>
  <c r="L127" i="7"/>
  <c r="K127" i="7"/>
  <c r="J127" i="7"/>
  <c r="I127" i="7"/>
  <c r="L128" i="7"/>
  <c r="K128" i="7"/>
  <c r="J128" i="7"/>
  <c r="I128" i="7"/>
  <c r="L142" i="7"/>
  <c r="K142" i="7"/>
  <c r="J142" i="7"/>
  <c r="I142" i="7"/>
  <c r="L143" i="7"/>
  <c r="K143" i="7"/>
  <c r="J143" i="7"/>
  <c r="I143" i="7"/>
  <c r="L144" i="7"/>
  <c r="K144" i="7"/>
  <c r="J144" i="7"/>
  <c r="I144" i="7"/>
  <c r="O14" i="6"/>
  <c r="N61" i="6"/>
  <c r="O90" i="6"/>
  <c r="O93" i="6"/>
  <c r="O67" i="6"/>
  <c r="N100" i="6"/>
  <c r="L61" i="6"/>
  <c r="O70" i="6"/>
  <c r="O100" i="6"/>
  <c r="K71" i="6"/>
  <c r="O71" i="6"/>
  <c r="M122" i="6"/>
  <c r="O96" i="6"/>
  <c r="K94" i="6"/>
  <c r="L94" i="6"/>
  <c r="L13" i="6"/>
  <c r="O61" i="6"/>
  <c r="O85" i="6"/>
  <c r="O62" i="6"/>
  <c r="O66" i="6"/>
  <c r="O86" i="6"/>
  <c r="O103" i="6"/>
  <c r="L109" i="6"/>
  <c r="I109" i="6"/>
  <c r="K109" i="6"/>
  <c r="J109" i="6"/>
  <c r="L32" i="6"/>
  <c r="K93" i="6"/>
  <c r="I122" i="6"/>
  <c r="I61" i="6"/>
  <c r="L122" i="6"/>
  <c r="O10" i="6"/>
  <c r="J122" i="6"/>
  <c r="J61" i="6"/>
  <c r="J93" i="6"/>
  <c r="O7" i="6"/>
  <c r="K47" i="6"/>
  <c r="I121" i="6"/>
  <c r="L121" i="6"/>
  <c r="K121" i="6"/>
  <c r="J121" i="6"/>
  <c r="O18" i="6"/>
  <c r="J18" i="6"/>
  <c r="I18" i="6"/>
  <c r="K18" i="6"/>
  <c r="L18" i="6"/>
  <c r="I95" i="6"/>
  <c r="L95" i="6"/>
  <c r="K95" i="6"/>
  <c r="J95" i="6"/>
  <c r="I12" i="6"/>
  <c r="O12" i="6"/>
  <c r="I84" i="6"/>
  <c r="J84" i="6"/>
  <c r="L84" i="6"/>
  <c r="K84" i="6"/>
  <c r="J38" i="6"/>
  <c r="I38" i="6"/>
  <c r="K38" i="6"/>
  <c r="M38" i="6" s="1"/>
  <c r="L38" i="6"/>
  <c r="I98" i="6"/>
  <c r="J98" i="6"/>
  <c r="L98" i="6"/>
  <c r="K98" i="6"/>
  <c r="K69" i="6"/>
  <c r="L69" i="6"/>
  <c r="N13" i="6"/>
  <c r="M13" i="6"/>
  <c r="I9" i="6"/>
  <c r="O9" i="6"/>
  <c r="K9" i="6"/>
  <c r="L9" i="6"/>
  <c r="K79" i="6"/>
  <c r="L79" i="6"/>
  <c r="I26" i="6"/>
  <c r="I14" i="6"/>
  <c r="I40" i="6"/>
  <c r="J72" i="6"/>
  <c r="O13" i="6"/>
  <c r="O26" i="6"/>
  <c r="J5" i="6"/>
  <c r="J97" i="6"/>
  <c r="I13" i="6"/>
  <c r="K23" i="6"/>
  <c r="J26" i="6"/>
  <c r="J14" i="6"/>
  <c r="K72" i="6"/>
  <c r="K67" i="6"/>
  <c r="K16" i="6"/>
  <c r="J13" i="6"/>
  <c r="K26" i="6"/>
  <c r="K14" i="6"/>
  <c r="L72" i="6"/>
  <c r="I94" i="6"/>
  <c r="J67" i="6"/>
  <c r="L67" i="6"/>
  <c r="I72" i="6"/>
  <c r="J94" i="6"/>
  <c r="O32" i="6"/>
  <c r="L27" i="6"/>
  <c r="K27" i="6"/>
  <c r="J27" i="6"/>
  <c r="I27" i="6"/>
  <c r="L102" i="6"/>
  <c r="K102" i="6"/>
  <c r="J102" i="6"/>
  <c r="I102" i="6"/>
  <c r="L118" i="6"/>
  <c r="K118" i="6"/>
  <c r="J118" i="6"/>
  <c r="I118" i="6"/>
  <c r="L22" i="6"/>
  <c r="J22" i="6"/>
  <c r="K22" i="6"/>
  <c r="I22" i="6"/>
  <c r="L92" i="6"/>
  <c r="K92" i="6"/>
  <c r="J92" i="6"/>
  <c r="I92" i="6"/>
  <c r="J123" i="6"/>
  <c r="I123" i="6"/>
  <c r="L123" i="6"/>
  <c r="K123" i="6"/>
  <c r="L119" i="6"/>
  <c r="K119" i="6"/>
  <c r="J119" i="6"/>
  <c r="I119" i="6"/>
  <c r="L60" i="6"/>
  <c r="K60" i="6"/>
  <c r="J60" i="6"/>
  <c r="I71" i="6"/>
  <c r="K80" i="6"/>
  <c r="L80" i="6"/>
  <c r="L17" i="6"/>
  <c r="K17" i="6"/>
  <c r="J17" i="6"/>
  <c r="I17" i="6"/>
  <c r="J24" i="6"/>
  <c r="L24" i="6"/>
  <c r="K24" i="6"/>
  <c r="I24" i="6"/>
  <c r="L20" i="6"/>
  <c r="I60" i="6"/>
  <c r="L108" i="6"/>
  <c r="K108" i="6"/>
  <c r="J108" i="6"/>
  <c r="K4" i="6"/>
  <c r="J4" i="6"/>
  <c r="I8" i="6"/>
  <c r="L15" i="6"/>
  <c r="K15" i="6"/>
  <c r="J15" i="6"/>
  <c r="J71" i="6"/>
  <c r="K86" i="6"/>
  <c r="J8" i="6"/>
  <c r="I80" i="6"/>
  <c r="J100" i="6"/>
  <c r="I100" i="6"/>
  <c r="I19" i="6"/>
  <c r="J19" i="6"/>
  <c r="L65" i="6"/>
  <c r="K65" i="6"/>
  <c r="J65" i="6"/>
  <c r="I65" i="6"/>
  <c r="L39" i="6"/>
  <c r="J39" i="6"/>
  <c r="K39" i="6"/>
  <c r="M39" i="6" s="1"/>
  <c r="I39" i="6"/>
  <c r="L105" i="6"/>
  <c r="K105" i="6"/>
  <c r="J105" i="6"/>
  <c r="I105" i="6"/>
  <c r="K25" i="6"/>
  <c r="L25" i="6"/>
  <c r="J25" i="6"/>
  <c r="J20" i="6"/>
  <c r="L78" i="6"/>
  <c r="J78" i="6"/>
  <c r="I78" i="6"/>
  <c r="K78" i="6"/>
  <c r="L16" i="6"/>
  <c r="I16" i="6"/>
  <c r="I23" i="6"/>
  <c r="L23" i="6"/>
  <c r="L85" i="6"/>
  <c r="K85" i="6"/>
  <c r="L7" i="6"/>
  <c r="K7" i="6"/>
  <c r="J7" i="6"/>
  <c r="I3" i="6"/>
  <c r="L3" i="6"/>
  <c r="K3" i="6"/>
  <c r="J3" i="6"/>
  <c r="K11" i="6"/>
  <c r="I11" i="6"/>
  <c r="L11" i="6"/>
  <c r="J11" i="6"/>
  <c r="K31" i="6"/>
  <c r="I31" i="6"/>
  <c r="J31" i="6"/>
  <c r="L31" i="6"/>
  <c r="J33" i="6"/>
  <c r="I33" i="6"/>
  <c r="L33" i="6"/>
  <c r="K33" i="6"/>
  <c r="K63" i="6"/>
  <c r="J63" i="6"/>
  <c r="L63" i="6"/>
  <c r="L71" i="6"/>
  <c r="I86" i="6"/>
  <c r="J86" i="6"/>
  <c r="L142" i="6"/>
  <c r="K142" i="6"/>
  <c r="J142" i="6"/>
  <c r="L41" i="6"/>
  <c r="K41" i="6"/>
  <c r="M41" i="6" s="1"/>
  <c r="J41" i="6"/>
  <c r="I41" i="6"/>
  <c r="I63" i="6"/>
  <c r="J75" i="6"/>
  <c r="I75" i="6"/>
  <c r="K75" i="6"/>
  <c r="L75" i="6"/>
  <c r="J80" i="6"/>
  <c r="L35" i="6"/>
  <c r="K35" i="6"/>
  <c r="J35" i="6"/>
  <c r="I35" i="6"/>
  <c r="L81" i="6"/>
  <c r="K81" i="6"/>
  <c r="I81" i="6"/>
  <c r="J81" i="6"/>
  <c r="L91" i="6"/>
  <c r="K91" i="6"/>
  <c r="J91" i="6"/>
  <c r="I91" i="6"/>
  <c r="L103" i="6"/>
  <c r="K103" i="6"/>
  <c r="I103" i="6"/>
  <c r="L6" i="6"/>
  <c r="K6" i="6"/>
  <c r="J6" i="6"/>
  <c r="I6" i="6"/>
  <c r="J73" i="6"/>
  <c r="I73" i="6"/>
  <c r="L73" i="6"/>
  <c r="L100" i="6"/>
  <c r="I108" i="6"/>
  <c r="L124" i="6"/>
  <c r="K124" i="6"/>
  <c r="J124" i="6"/>
  <c r="L2" i="6"/>
  <c r="K2" i="6"/>
  <c r="N2" i="6" s="1"/>
  <c r="J2" i="6"/>
  <c r="I2" i="6"/>
  <c r="I4" i="6"/>
  <c r="K8" i="6"/>
  <c r="I15" i="6"/>
  <c r="I20" i="6"/>
  <c r="L89" i="6"/>
  <c r="K89" i="6"/>
  <c r="J89" i="6"/>
  <c r="I89" i="6"/>
  <c r="K143" i="6"/>
  <c r="L143" i="6"/>
  <c r="J143" i="6"/>
  <c r="I143" i="6"/>
  <c r="L4" i="6"/>
  <c r="L8" i="6"/>
  <c r="L12" i="6"/>
  <c r="K12" i="6"/>
  <c r="J12" i="6"/>
  <c r="K19" i="6"/>
  <c r="L19" i="6"/>
  <c r="K20" i="6"/>
  <c r="L45" i="6"/>
  <c r="J45" i="6"/>
  <c r="K45" i="6"/>
  <c r="J64" i="6"/>
  <c r="I64" i="6"/>
  <c r="K64" i="6"/>
  <c r="L64" i="6"/>
  <c r="L68" i="6"/>
  <c r="J68" i="6"/>
  <c r="K68" i="6"/>
  <c r="I68" i="6"/>
  <c r="K73" i="6"/>
  <c r="K76" i="6"/>
  <c r="J76" i="6"/>
  <c r="L82" i="6"/>
  <c r="K82" i="6"/>
  <c r="J82" i="6"/>
  <c r="O2" i="6"/>
  <c r="I25" i="6"/>
  <c r="K40" i="6"/>
  <c r="M40" i="6" s="1"/>
  <c r="J40" i="6"/>
  <c r="I74" i="6"/>
  <c r="L74" i="6"/>
  <c r="J74" i="6"/>
  <c r="K74" i="6"/>
  <c r="I99" i="6"/>
  <c r="L99" i="6"/>
  <c r="K99" i="6"/>
  <c r="J99" i="6"/>
  <c r="I45" i="6"/>
  <c r="L66" i="6"/>
  <c r="J66" i="6"/>
  <c r="K66" i="6"/>
  <c r="I76" i="6"/>
  <c r="L104" i="6"/>
  <c r="K104" i="6"/>
  <c r="I104" i="6"/>
  <c r="J104" i="6"/>
  <c r="J16" i="6"/>
  <c r="J23" i="6"/>
  <c r="I46" i="6"/>
  <c r="L46" i="6"/>
  <c r="K46" i="6"/>
  <c r="J46" i="6"/>
  <c r="L76" i="6"/>
  <c r="I82" i="6"/>
  <c r="I85" i="6"/>
  <c r="K90" i="6"/>
  <c r="J90" i="6"/>
  <c r="I90" i="6"/>
  <c r="K96" i="6"/>
  <c r="I96" i="6"/>
  <c r="J96" i="6"/>
  <c r="L125" i="6"/>
  <c r="K125" i="6"/>
  <c r="I125" i="6"/>
  <c r="J125" i="6"/>
  <c r="K21" i="6"/>
  <c r="J21" i="6"/>
  <c r="K101" i="6"/>
  <c r="J101" i="6"/>
  <c r="I101" i="6"/>
  <c r="I21" i="6"/>
  <c r="I34" i="6"/>
  <c r="I120" i="6"/>
  <c r="K120" i="6"/>
  <c r="L120" i="6"/>
  <c r="K10" i="6"/>
  <c r="J62" i="6"/>
  <c r="J70" i="6"/>
  <c r="L10" i="6"/>
  <c r="K70" i="6"/>
  <c r="L83" i="6"/>
  <c r="J83" i="6"/>
  <c r="K83" i="6"/>
  <c r="J88" i="6"/>
  <c r="I88" i="6"/>
  <c r="L77" i="6"/>
  <c r="K77" i="6"/>
  <c r="K88" i="6"/>
  <c r="L117" i="6"/>
  <c r="I117" i="6"/>
  <c r="I10" i="6"/>
  <c r="I59" i="6"/>
  <c r="I70" i="6"/>
  <c r="I83" i="6"/>
  <c r="L88" i="6"/>
  <c r="K97" i="6"/>
  <c r="L97" i="6"/>
  <c r="L5" i="6"/>
  <c r="K5" i="6"/>
  <c r="L21" i="6"/>
  <c r="J34" i="6"/>
  <c r="J59" i="6"/>
  <c r="L144" i="6"/>
  <c r="K144" i="6"/>
  <c r="J144" i="6"/>
  <c r="I144" i="6"/>
  <c r="J32" i="6"/>
  <c r="K34" i="6"/>
  <c r="K59" i="6"/>
  <c r="N59" i="6" s="1"/>
  <c r="K62" i="6"/>
  <c r="I69" i="6"/>
  <c r="I77" i="6"/>
  <c r="J79" i="6"/>
  <c r="I79" i="6"/>
  <c r="L101" i="6"/>
  <c r="J117" i="6"/>
  <c r="I5" i="6"/>
  <c r="J9" i="6"/>
  <c r="K32" i="6"/>
  <c r="L34" i="6"/>
  <c r="L47" i="6"/>
  <c r="I47" i="6"/>
  <c r="O59" i="6"/>
  <c r="L62" i="6"/>
  <c r="J69" i="6"/>
  <c r="J77" i="6"/>
  <c r="I93" i="6"/>
  <c r="I97" i="6"/>
  <c r="J120" i="6"/>
  <c r="K117" i="6"/>
  <c r="O2" i="25" l="1"/>
  <c r="P2" i="25"/>
  <c r="P3" i="25"/>
  <c r="O3" i="25"/>
  <c r="N4" i="25"/>
  <c r="M4" i="25"/>
  <c r="P4" i="25"/>
  <c r="O4" i="25"/>
  <c r="O12" i="25"/>
  <c r="P12" i="25"/>
  <c r="M12" i="25"/>
  <c r="N12" i="25"/>
  <c r="P6" i="25"/>
  <c r="O6" i="25"/>
  <c r="O5" i="25"/>
  <c r="P5" i="25"/>
  <c r="M7" i="25"/>
  <c r="N7" i="25"/>
  <c r="N11" i="25"/>
  <c r="M11" i="25"/>
  <c r="N3" i="25"/>
  <c r="M3" i="25"/>
  <c r="N5" i="25"/>
  <c r="M5" i="25"/>
  <c r="P7" i="25"/>
  <c r="O7" i="25"/>
  <c r="P11" i="25"/>
  <c r="O11" i="25"/>
  <c r="N6" i="25"/>
  <c r="M6" i="25"/>
  <c r="M69" i="25"/>
  <c r="N69" i="25"/>
  <c r="N70" i="25"/>
  <c r="M70" i="25"/>
  <c r="N60" i="25"/>
  <c r="M60" i="25"/>
  <c r="N83" i="25"/>
  <c r="M83" i="25"/>
  <c r="M64" i="25"/>
  <c r="N64" i="25"/>
  <c r="N66" i="25"/>
  <c r="M66" i="25"/>
  <c r="N67" i="25"/>
  <c r="M67" i="25"/>
  <c r="N81" i="25"/>
  <c r="M81" i="25"/>
  <c r="N82" i="25"/>
  <c r="M82" i="25"/>
  <c r="N68" i="25"/>
  <c r="M68" i="25"/>
  <c r="P74" i="25"/>
  <c r="O74" i="25"/>
  <c r="N74" i="25"/>
  <c r="M74" i="25"/>
  <c r="O73" i="25"/>
  <c r="P73" i="25"/>
  <c r="N78" i="25"/>
  <c r="M78" i="25"/>
  <c r="M65" i="25"/>
  <c r="N65" i="25"/>
  <c r="N77" i="25"/>
  <c r="M77" i="25"/>
  <c r="N79" i="25"/>
  <c r="M79" i="25"/>
  <c r="M73" i="25"/>
  <c r="N73" i="25"/>
  <c r="M61" i="25"/>
  <c r="N61" i="25"/>
  <c r="M86" i="25"/>
  <c r="N86" i="25"/>
  <c r="M80" i="25"/>
  <c r="N80" i="25"/>
  <c r="N85" i="25"/>
  <c r="M85" i="25"/>
  <c r="O75" i="25"/>
  <c r="P75" i="25"/>
  <c r="N84" i="25"/>
  <c r="M84" i="25"/>
  <c r="N75" i="25"/>
  <c r="M75" i="25"/>
  <c r="N15" i="25"/>
  <c r="M15" i="25"/>
  <c r="P10" i="25"/>
  <c r="O10" i="25"/>
  <c r="N10" i="25"/>
  <c r="M10" i="25"/>
  <c r="M2" i="25"/>
  <c r="O59" i="25"/>
  <c r="M59" i="25"/>
  <c r="M61" i="24"/>
  <c r="P61" i="24"/>
  <c r="P4" i="24"/>
  <c r="O5" i="24"/>
  <c r="M4" i="24"/>
  <c r="O7" i="24"/>
  <c r="P6" i="24"/>
  <c r="N6" i="24"/>
  <c r="M6" i="24"/>
  <c r="P59" i="24"/>
  <c r="O59" i="24"/>
  <c r="P65" i="24"/>
  <c r="O65" i="24"/>
  <c r="P63" i="24"/>
  <c r="O63" i="24"/>
  <c r="N8" i="24"/>
  <c r="M8" i="24"/>
  <c r="N59" i="24"/>
  <c r="M59" i="24"/>
  <c r="M62" i="24"/>
  <c r="N62" i="24"/>
  <c r="P60" i="24"/>
  <c r="O60" i="24"/>
  <c r="M64" i="24"/>
  <c r="N64" i="24"/>
  <c r="O2" i="24"/>
  <c r="P2" i="24"/>
  <c r="P3" i="24"/>
  <c r="O3" i="24"/>
  <c r="M60" i="24"/>
  <c r="N60" i="24"/>
  <c r="P66" i="24"/>
  <c r="O66" i="24"/>
  <c r="N9" i="24"/>
  <c r="M9" i="24"/>
  <c r="O62" i="24"/>
  <c r="P62" i="24"/>
  <c r="N7" i="24"/>
  <c r="M7" i="24"/>
  <c r="N66" i="24"/>
  <c r="M66" i="24"/>
  <c r="N3" i="24"/>
  <c r="M3" i="24"/>
  <c r="M65" i="24"/>
  <c r="N65" i="24"/>
  <c r="O9" i="24"/>
  <c r="P9" i="24"/>
  <c r="O8" i="24"/>
  <c r="P8" i="24"/>
  <c r="N2" i="24"/>
  <c r="M2" i="24"/>
  <c r="N70" i="23"/>
  <c r="O70" i="23"/>
  <c r="M70" i="23"/>
  <c r="O73" i="23"/>
  <c r="N73" i="23"/>
  <c r="M73" i="23"/>
  <c r="O74" i="23"/>
  <c r="N74" i="23"/>
  <c r="M74" i="23"/>
  <c r="O72" i="23"/>
  <c r="N72" i="23"/>
  <c r="M72" i="23"/>
  <c r="O71" i="23"/>
  <c r="N71" i="23"/>
  <c r="M71" i="23"/>
  <c r="N69" i="23"/>
  <c r="M69" i="23"/>
  <c r="P60" i="23"/>
  <c r="O60" i="23"/>
  <c r="O63" i="23"/>
  <c r="P63" i="23"/>
  <c r="P62" i="23"/>
  <c r="O62" i="23"/>
  <c r="N60" i="23"/>
  <c r="M60" i="23"/>
  <c r="M62" i="23"/>
  <c r="N62" i="23"/>
  <c r="P61" i="23"/>
  <c r="O61" i="23"/>
  <c r="O65" i="23"/>
  <c r="P65" i="23"/>
  <c r="M65" i="23"/>
  <c r="N65" i="23"/>
  <c r="M61" i="23"/>
  <c r="N61" i="23"/>
  <c r="P66" i="23"/>
  <c r="O66" i="23"/>
  <c r="O64" i="23"/>
  <c r="P64" i="23"/>
  <c r="M66" i="23"/>
  <c r="N66" i="23"/>
  <c r="M63" i="23"/>
  <c r="N63" i="23"/>
  <c r="N64" i="23"/>
  <c r="M64" i="23"/>
  <c r="N3" i="23"/>
  <c r="M3" i="23"/>
  <c r="M2" i="23"/>
  <c r="N8" i="23"/>
  <c r="M8" i="23"/>
  <c r="P7" i="23"/>
  <c r="O7" i="23"/>
  <c r="O12" i="23"/>
  <c r="N12" i="23"/>
  <c r="M7" i="23"/>
  <c r="N7" i="23"/>
  <c r="P8" i="23"/>
  <c r="O8" i="23"/>
  <c r="P3" i="23"/>
  <c r="O3" i="23"/>
  <c r="N9" i="23"/>
  <c r="M9" i="23"/>
  <c r="P4" i="23"/>
  <c r="O4" i="23"/>
  <c r="P6" i="23"/>
  <c r="O6" i="23"/>
  <c r="N6" i="23"/>
  <c r="M6" i="23"/>
  <c r="N4" i="23"/>
  <c r="M4" i="23"/>
  <c r="P5" i="23"/>
  <c r="O5" i="23"/>
  <c r="O9" i="23"/>
  <c r="P9" i="23"/>
  <c r="N5" i="23"/>
  <c r="M5" i="23"/>
  <c r="O59" i="23"/>
  <c r="M59" i="23"/>
  <c r="M12" i="23"/>
  <c r="P8" i="22"/>
  <c r="O8" i="22"/>
  <c r="N7" i="22"/>
  <c r="M7" i="22"/>
  <c r="M8" i="22"/>
  <c r="N8" i="22"/>
  <c r="P4" i="22"/>
  <c r="O4" i="22"/>
  <c r="P13" i="22"/>
  <c r="O13" i="22"/>
  <c r="O6" i="22"/>
  <c r="P6" i="22"/>
  <c r="O5" i="22"/>
  <c r="P5" i="22"/>
  <c r="M14" i="22"/>
  <c r="N14" i="22"/>
  <c r="P3" i="22"/>
  <c r="O3" i="22"/>
  <c r="N5" i="22"/>
  <c r="M5" i="22"/>
  <c r="M3" i="22"/>
  <c r="N3" i="22"/>
  <c r="P7" i="22"/>
  <c r="O7" i="22"/>
  <c r="P14" i="22"/>
  <c r="O14" i="22"/>
  <c r="P9" i="22"/>
  <c r="O9" i="22"/>
  <c r="N6" i="22"/>
  <c r="M6" i="22"/>
  <c r="M4" i="22"/>
  <c r="N4" i="22"/>
  <c r="N13" i="22"/>
  <c r="M13" i="22"/>
  <c r="N9" i="22"/>
  <c r="M9" i="22"/>
  <c r="O2" i="22"/>
  <c r="P2" i="22"/>
  <c r="M12" i="22"/>
  <c r="O12" i="22"/>
  <c r="N72" i="22"/>
  <c r="M72" i="22"/>
  <c r="P59" i="22"/>
  <c r="O59" i="22"/>
  <c r="P73" i="22"/>
  <c r="O73" i="22"/>
  <c r="R73" i="22"/>
  <c r="S59" i="22"/>
  <c r="N59" i="22"/>
  <c r="S63" i="22"/>
  <c r="N63" i="22"/>
  <c r="M63" i="22"/>
  <c r="S66" i="22"/>
  <c r="N66" i="22"/>
  <c r="M66" i="22"/>
  <c r="M2" i="22"/>
  <c r="N61" i="22"/>
  <c r="S61" i="22"/>
  <c r="M61" i="22"/>
  <c r="N74" i="22"/>
  <c r="M74" i="22"/>
  <c r="S64" i="22"/>
  <c r="N64" i="22"/>
  <c r="M64" i="22"/>
  <c r="P76" i="22"/>
  <c r="R76" i="22"/>
  <c r="O76" i="22"/>
  <c r="P78" i="22"/>
  <c r="O78" i="22"/>
  <c r="R78" i="22"/>
  <c r="M75" i="22"/>
  <c r="N75" i="22"/>
  <c r="P65" i="22"/>
  <c r="O65" i="22"/>
  <c r="P69" i="22"/>
  <c r="R69" i="22"/>
  <c r="O69" i="22"/>
  <c r="O61" i="22"/>
  <c r="P61" i="22"/>
  <c r="P75" i="22"/>
  <c r="R75" i="22"/>
  <c r="O75" i="22"/>
  <c r="O60" i="22"/>
  <c r="P60" i="22"/>
  <c r="N71" i="22"/>
  <c r="M71" i="22"/>
  <c r="N73" i="22"/>
  <c r="M73" i="22"/>
  <c r="P74" i="22"/>
  <c r="R74" i="22"/>
  <c r="O74" i="22"/>
  <c r="P64" i="22"/>
  <c r="O64" i="22"/>
  <c r="N69" i="22"/>
  <c r="M69" i="22"/>
  <c r="N70" i="22"/>
  <c r="M70" i="22"/>
  <c r="N62" i="22"/>
  <c r="M62" i="22"/>
  <c r="S62" i="22"/>
  <c r="N65" i="22"/>
  <c r="S65" i="22"/>
  <c r="M65" i="22"/>
  <c r="P79" i="22"/>
  <c r="R79" i="22"/>
  <c r="O79" i="22"/>
  <c r="O77" i="22"/>
  <c r="R77" i="22"/>
  <c r="P77" i="22"/>
  <c r="N76" i="22"/>
  <c r="M76" i="22"/>
  <c r="P70" i="22"/>
  <c r="O70" i="22"/>
  <c r="R70" i="22"/>
  <c r="P72" i="22"/>
  <c r="R72" i="22"/>
  <c r="O72" i="22"/>
  <c r="N77" i="22"/>
  <c r="M77" i="22"/>
  <c r="S60" i="22"/>
  <c r="N60" i="22"/>
  <c r="M60" i="22"/>
  <c r="O66" i="22"/>
  <c r="P66" i="22"/>
  <c r="N78" i="22"/>
  <c r="M78" i="22"/>
  <c r="N79" i="22"/>
  <c r="M79" i="22"/>
  <c r="M84" i="22"/>
  <c r="M59" i="22"/>
  <c r="M83" i="22"/>
  <c r="M71" i="21"/>
  <c r="N71" i="21"/>
  <c r="P71" i="21"/>
  <c r="O71" i="21"/>
  <c r="P119" i="21"/>
  <c r="O119" i="21"/>
  <c r="N119" i="21"/>
  <c r="M119" i="21"/>
  <c r="N105" i="21"/>
  <c r="M105" i="21"/>
  <c r="P104" i="21"/>
  <c r="O104" i="21"/>
  <c r="N103" i="21"/>
  <c r="M103" i="21"/>
  <c r="P116" i="21"/>
  <c r="O116" i="21"/>
  <c r="N96" i="21"/>
  <c r="M96" i="21"/>
  <c r="P102" i="21"/>
  <c r="O102" i="21"/>
  <c r="P113" i="21"/>
  <c r="O113" i="21"/>
  <c r="O88" i="21"/>
  <c r="P88" i="21"/>
  <c r="P92" i="21"/>
  <c r="O92" i="21"/>
  <c r="M99" i="21"/>
  <c r="N99" i="21"/>
  <c r="O95" i="21"/>
  <c r="P95" i="21"/>
  <c r="N93" i="21"/>
  <c r="M93" i="21"/>
  <c r="P114" i="21"/>
  <c r="O114" i="21"/>
  <c r="M108" i="21"/>
  <c r="N108" i="21"/>
  <c r="O101" i="21"/>
  <c r="P101" i="21"/>
  <c r="N109" i="21"/>
  <c r="M109" i="21"/>
  <c r="P99" i="21"/>
  <c r="O99" i="21"/>
  <c r="N117" i="21"/>
  <c r="M117" i="21"/>
  <c r="O108" i="21"/>
  <c r="P108" i="21"/>
  <c r="P93" i="21"/>
  <c r="O93" i="21"/>
  <c r="N107" i="21"/>
  <c r="M107" i="21"/>
  <c r="O100" i="21"/>
  <c r="P100" i="21"/>
  <c r="O118" i="21"/>
  <c r="P118" i="21"/>
  <c r="M113" i="21"/>
  <c r="N113" i="21"/>
  <c r="M90" i="21"/>
  <c r="N90" i="21"/>
  <c r="P94" i="21"/>
  <c r="O94" i="21"/>
  <c r="N100" i="21"/>
  <c r="M100" i="21"/>
  <c r="P91" i="21"/>
  <c r="O91" i="21"/>
  <c r="N106" i="21"/>
  <c r="M106" i="21"/>
  <c r="O89" i="21"/>
  <c r="P89" i="21"/>
  <c r="N95" i="21"/>
  <c r="M95" i="21"/>
  <c r="O112" i="21"/>
  <c r="P112" i="21"/>
  <c r="N104" i="21"/>
  <c r="M104" i="21"/>
  <c r="N94" i="21"/>
  <c r="M94" i="21"/>
  <c r="O111" i="21"/>
  <c r="P111" i="21"/>
  <c r="M91" i="21"/>
  <c r="N91" i="21"/>
  <c r="M102" i="21"/>
  <c r="N102" i="21"/>
  <c r="N92" i="21"/>
  <c r="M92" i="21"/>
  <c r="N98" i="21"/>
  <c r="M98" i="21"/>
  <c r="P109" i="21"/>
  <c r="O109" i="21"/>
  <c r="N101" i="21"/>
  <c r="M101" i="21"/>
  <c r="P110" i="21"/>
  <c r="O110" i="21"/>
  <c r="M97" i="21"/>
  <c r="N97" i="21"/>
  <c r="P107" i="21"/>
  <c r="O107" i="21"/>
  <c r="P121" i="21"/>
  <c r="O121" i="21"/>
  <c r="O120" i="21"/>
  <c r="P120" i="21"/>
  <c r="P105" i="21"/>
  <c r="O105" i="21"/>
  <c r="N89" i="21"/>
  <c r="M89" i="21"/>
  <c r="P117" i="21"/>
  <c r="O117" i="21"/>
  <c r="O106" i="21"/>
  <c r="P106" i="21"/>
  <c r="P103" i="21"/>
  <c r="O103" i="21"/>
  <c r="M121" i="21"/>
  <c r="N121" i="21"/>
  <c r="P96" i="21"/>
  <c r="O96" i="21"/>
  <c r="P79" i="21"/>
  <c r="O79" i="21"/>
  <c r="P70" i="21"/>
  <c r="O70" i="21"/>
  <c r="P75" i="21"/>
  <c r="O75" i="21"/>
  <c r="N79" i="21"/>
  <c r="M79" i="21"/>
  <c r="N70" i="21"/>
  <c r="M70" i="21"/>
  <c r="P81" i="21"/>
  <c r="O81" i="21"/>
  <c r="P73" i="21"/>
  <c r="O73" i="21"/>
  <c r="N75" i="21"/>
  <c r="M75" i="21"/>
  <c r="M81" i="21"/>
  <c r="N81" i="21"/>
  <c r="N73" i="21"/>
  <c r="M73" i="21"/>
  <c r="P76" i="21"/>
  <c r="O76" i="21"/>
  <c r="P72" i="21"/>
  <c r="O72" i="21"/>
  <c r="M76" i="21"/>
  <c r="N76" i="21"/>
  <c r="P78" i="21"/>
  <c r="O78" i="21"/>
  <c r="N72" i="21"/>
  <c r="M72" i="21"/>
  <c r="P82" i="21"/>
  <c r="O82" i="21"/>
  <c r="P77" i="21"/>
  <c r="O77" i="21"/>
  <c r="N82" i="21"/>
  <c r="M82" i="21"/>
  <c r="M74" i="21"/>
  <c r="N74" i="21"/>
  <c r="P80" i="21"/>
  <c r="O80" i="21"/>
  <c r="P69" i="21"/>
  <c r="O69" i="21"/>
  <c r="N80" i="21"/>
  <c r="M80" i="21"/>
  <c r="N78" i="21"/>
  <c r="M78" i="21"/>
  <c r="P74" i="21"/>
  <c r="O74" i="21"/>
  <c r="N77" i="21"/>
  <c r="M77" i="21"/>
  <c r="O60" i="21"/>
  <c r="N60" i="21"/>
  <c r="M60" i="21"/>
  <c r="P60" i="21"/>
  <c r="R66" i="21"/>
  <c r="Q66" i="21"/>
  <c r="P61" i="21"/>
  <c r="O61" i="21"/>
  <c r="N61" i="21"/>
  <c r="M61" i="21"/>
  <c r="O64" i="21"/>
  <c r="P64" i="21"/>
  <c r="N64" i="21"/>
  <c r="M64" i="21"/>
  <c r="R60" i="21"/>
  <c r="Q60" i="21"/>
  <c r="R65" i="21"/>
  <c r="Q65" i="21"/>
  <c r="R62" i="21"/>
  <c r="Q62" i="21"/>
  <c r="P66" i="21"/>
  <c r="O66" i="21"/>
  <c r="N66" i="21"/>
  <c r="M66" i="21"/>
  <c r="O63" i="21"/>
  <c r="M63" i="21"/>
  <c r="P63" i="21"/>
  <c r="N63" i="21"/>
  <c r="N65" i="21"/>
  <c r="O65" i="21"/>
  <c r="P65" i="21"/>
  <c r="M65" i="21"/>
  <c r="N62" i="21"/>
  <c r="P62" i="21"/>
  <c r="O62" i="21"/>
  <c r="M62" i="21"/>
  <c r="R64" i="21"/>
  <c r="Q64" i="21"/>
  <c r="R61" i="21"/>
  <c r="Q61" i="21"/>
  <c r="M21" i="21"/>
  <c r="N21" i="21"/>
  <c r="N13" i="21"/>
  <c r="M13" i="21"/>
  <c r="P34" i="21"/>
  <c r="O34" i="21"/>
  <c r="N23" i="21"/>
  <c r="M23" i="21"/>
  <c r="O4" i="21"/>
  <c r="P4" i="21"/>
  <c r="P17" i="21"/>
  <c r="O17" i="21"/>
  <c r="N26" i="21"/>
  <c r="M26" i="21"/>
  <c r="P14" i="21"/>
  <c r="O14" i="21"/>
  <c r="N18" i="21"/>
  <c r="M18" i="21"/>
  <c r="N17" i="21"/>
  <c r="M17" i="21"/>
  <c r="N14" i="21"/>
  <c r="M14" i="21"/>
  <c r="N24" i="21"/>
  <c r="M24" i="21"/>
  <c r="P31" i="21"/>
  <c r="O31" i="21"/>
  <c r="N6" i="21"/>
  <c r="M6" i="21"/>
  <c r="N31" i="21"/>
  <c r="M31" i="21"/>
  <c r="P9" i="21"/>
  <c r="O9" i="21"/>
  <c r="P13" i="21"/>
  <c r="O13" i="21"/>
  <c r="P24" i="21"/>
  <c r="O24" i="21"/>
  <c r="P3" i="21"/>
  <c r="O3" i="21"/>
  <c r="R59" i="21"/>
  <c r="Q59" i="21"/>
  <c r="N25" i="21"/>
  <c r="M25" i="21"/>
  <c r="O12" i="21"/>
  <c r="P12" i="21"/>
  <c r="P35" i="21"/>
  <c r="O35" i="21"/>
  <c r="P25" i="21"/>
  <c r="O25" i="21"/>
  <c r="N3" i="21"/>
  <c r="M3" i="21"/>
  <c r="P33" i="21"/>
  <c r="O33" i="21"/>
  <c r="N59" i="21"/>
  <c r="P59" i="21"/>
  <c r="O59" i="21"/>
  <c r="N4" i="21"/>
  <c r="M4" i="21"/>
  <c r="M32" i="21"/>
  <c r="N32" i="21"/>
  <c r="P6" i="21"/>
  <c r="O6" i="21"/>
  <c r="P22" i="21"/>
  <c r="O22" i="21"/>
  <c r="M34" i="21"/>
  <c r="N34" i="21"/>
  <c r="P23" i="21"/>
  <c r="O23" i="21"/>
  <c r="O20" i="21"/>
  <c r="P20" i="21"/>
  <c r="N16" i="21"/>
  <c r="M16" i="21"/>
  <c r="N33" i="21"/>
  <c r="M33" i="21"/>
  <c r="N22" i="21"/>
  <c r="M22" i="21"/>
  <c r="N8" i="21"/>
  <c r="M8" i="21"/>
  <c r="N5" i="21"/>
  <c r="M5" i="21"/>
  <c r="N20" i="21"/>
  <c r="M20" i="21"/>
  <c r="N19" i="21"/>
  <c r="M19" i="21"/>
  <c r="P8" i="21"/>
  <c r="O8" i="21"/>
  <c r="P16" i="21"/>
  <c r="O16" i="21"/>
  <c r="P26" i="21"/>
  <c r="O26" i="21"/>
  <c r="N15" i="21"/>
  <c r="M15" i="21"/>
  <c r="P18" i="21"/>
  <c r="O18" i="21"/>
  <c r="P7" i="21"/>
  <c r="O7" i="21"/>
  <c r="O5" i="21"/>
  <c r="P5" i="21"/>
  <c r="P21" i="21"/>
  <c r="O21" i="21"/>
  <c r="N9" i="21"/>
  <c r="M9" i="21"/>
  <c r="P19" i="21"/>
  <c r="O19" i="21"/>
  <c r="O2" i="21"/>
  <c r="P2" i="21"/>
  <c r="M12" i="21"/>
  <c r="M69" i="21"/>
  <c r="N2" i="21"/>
  <c r="M2" i="21"/>
  <c r="P99" i="20"/>
  <c r="O99" i="20"/>
  <c r="M99" i="20"/>
  <c r="N99" i="20"/>
  <c r="P101" i="20"/>
  <c r="O101" i="20"/>
  <c r="P100" i="20"/>
  <c r="O100" i="20"/>
  <c r="N101" i="20"/>
  <c r="M101" i="20"/>
  <c r="N100" i="20"/>
  <c r="M100" i="20"/>
  <c r="P15" i="20"/>
  <c r="O20" i="20"/>
  <c r="P20" i="20"/>
  <c r="P22" i="20"/>
  <c r="O22" i="20"/>
  <c r="N22" i="20"/>
  <c r="M22" i="20"/>
  <c r="M20" i="20"/>
  <c r="N15" i="20"/>
  <c r="M15" i="20"/>
  <c r="P2" i="20"/>
  <c r="O2" i="20"/>
  <c r="O4" i="20"/>
  <c r="P4" i="20"/>
  <c r="O62" i="20"/>
  <c r="P62" i="20"/>
  <c r="N122" i="20"/>
  <c r="M122" i="20"/>
  <c r="N103" i="20"/>
  <c r="M103" i="20"/>
  <c r="M83" i="20"/>
  <c r="N83" i="20"/>
  <c r="M67" i="20"/>
  <c r="N67" i="20"/>
  <c r="M125" i="20"/>
  <c r="N125" i="20"/>
  <c r="P97" i="20"/>
  <c r="O97" i="20"/>
  <c r="O80" i="20"/>
  <c r="P80" i="20"/>
  <c r="P64" i="20"/>
  <c r="O64" i="20"/>
  <c r="N4" i="20"/>
  <c r="M4" i="20"/>
  <c r="M89" i="20"/>
  <c r="N89" i="20"/>
  <c r="N72" i="20"/>
  <c r="M72" i="20"/>
  <c r="P25" i="20"/>
  <c r="O25" i="20"/>
  <c r="O12" i="20"/>
  <c r="P12" i="20"/>
  <c r="N33" i="20"/>
  <c r="M33" i="20"/>
  <c r="P98" i="20"/>
  <c r="O98" i="20"/>
  <c r="O90" i="20"/>
  <c r="P90" i="20"/>
  <c r="P81" i="20"/>
  <c r="O81" i="20"/>
  <c r="P73" i="20"/>
  <c r="O73" i="20"/>
  <c r="O65" i="20"/>
  <c r="P65" i="20"/>
  <c r="N16" i="20"/>
  <c r="M16" i="20"/>
  <c r="O23" i="20"/>
  <c r="P23" i="20"/>
  <c r="O59" i="20"/>
  <c r="P59" i="20"/>
  <c r="N25" i="20"/>
  <c r="M25" i="20"/>
  <c r="M92" i="20"/>
  <c r="N92" i="20"/>
  <c r="N75" i="20"/>
  <c r="M75" i="20"/>
  <c r="N63" i="20"/>
  <c r="M63" i="20"/>
  <c r="N119" i="20"/>
  <c r="M119" i="20"/>
  <c r="P89" i="20"/>
  <c r="O89" i="20"/>
  <c r="P72" i="20"/>
  <c r="O72" i="20"/>
  <c r="M24" i="20"/>
  <c r="N24" i="20"/>
  <c r="N62" i="20"/>
  <c r="M62" i="20"/>
  <c r="N97" i="20"/>
  <c r="M97" i="20"/>
  <c r="N80" i="20"/>
  <c r="M80" i="20"/>
  <c r="M64" i="20"/>
  <c r="N64" i="20"/>
  <c r="M34" i="20"/>
  <c r="N34" i="20"/>
  <c r="N31" i="20"/>
  <c r="M31" i="20"/>
  <c r="N35" i="20"/>
  <c r="M35" i="20"/>
  <c r="N98" i="20"/>
  <c r="M98" i="20"/>
  <c r="N90" i="20"/>
  <c r="M90" i="20"/>
  <c r="N81" i="20"/>
  <c r="M81" i="20"/>
  <c r="N73" i="20"/>
  <c r="M73" i="20"/>
  <c r="N65" i="20"/>
  <c r="M65" i="20"/>
  <c r="M121" i="20"/>
  <c r="N121" i="20"/>
  <c r="N23" i="20"/>
  <c r="M23" i="20"/>
  <c r="P95" i="20"/>
  <c r="O95" i="20"/>
  <c r="O86" i="20"/>
  <c r="P86" i="20"/>
  <c r="P78" i="20"/>
  <c r="O78" i="20"/>
  <c r="P70" i="20"/>
  <c r="O70" i="20"/>
  <c r="M11" i="20"/>
  <c r="N11" i="20"/>
  <c r="N60" i="20"/>
  <c r="M60" i="20"/>
  <c r="P103" i="20"/>
  <c r="O103" i="20"/>
  <c r="P92" i="20"/>
  <c r="O92" i="20"/>
  <c r="P83" i="20"/>
  <c r="O83" i="20"/>
  <c r="P67" i="20"/>
  <c r="O67" i="20"/>
  <c r="P63" i="20"/>
  <c r="O63" i="20"/>
  <c r="M124" i="20"/>
  <c r="N124" i="20"/>
  <c r="N8" i="20"/>
  <c r="M8" i="20"/>
  <c r="N7" i="20"/>
  <c r="M7" i="20"/>
  <c r="M3" i="20"/>
  <c r="N3" i="20"/>
  <c r="P27" i="20"/>
  <c r="O27" i="20"/>
  <c r="N127" i="20"/>
  <c r="M127" i="20"/>
  <c r="N32" i="20"/>
  <c r="M32" i="20"/>
  <c r="N19" i="20"/>
  <c r="M19" i="20"/>
  <c r="N123" i="20"/>
  <c r="M123" i="20"/>
  <c r="M95" i="20"/>
  <c r="N95" i="20"/>
  <c r="N86" i="20"/>
  <c r="M86" i="20"/>
  <c r="N78" i="20"/>
  <c r="M78" i="20"/>
  <c r="M70" i="20"/>
  <c r="N70" i="20"/>
  <c r="P14" i="20"/>
  <c r="O14" i="20"/>
  <c r="M27" i="20"/>
  <c r="N27" i="20"/>
  <c r="P96" i="20"/>
  <c r="O96" i="20"/>
  <c r="P88" i="20"/>
  <c r="O88" i="20"/>
  <c r="P79" i="20"/>
  <c r="O79" i="20"/>
  <c r="P71" i="20"/>
  <c r="O71" i="20"/>
  <c r="P18" i="20"/>
  <c r="O18" i="20"/>
  <c r="N12" i="20"/>
  <c r="M12" i="20"/>
  <c r="M14" i="20"/>
  <c r="N14" i="20"/>
  <c r="M96" i="20"/>
  <c r="N96" i="20"/>
  <c r="N88" i="20"/>
  <c r="M88" i="20"/>
  <c r="M79" i="20"/>
  <c r="N79" i="20"/>
  <c r="N71" i="20"/>
  <c r="M71" i="20"/>
  <c r="O26" i="20"/>
  <c r="P26" i="20"/>
  <c r="N18" i="20"/>
  <c r="M18" i="20"/>
  <c r="O93" i="20"/>
  <c r="P93" i="20"/>
  <c r="P84" i="20"/>
  <c r="O84" i="20"/>
  <c r="P76" i="20"/>
  <c r="O76" i="20"/>
  <c r="O68" i="20"/>
  <c r="P68" i="20"/>
  <c r="N26" i="20"/>
  <c r="M26" i="20"/>
  <c r="M17" i="20"/>
  <c r="N17" i="20"/>
  <c r="P9" i="20"/>
  <c r="O9" i="20"/>
  <c r="N6" i="20"/>
  <c r="M6" i="20"/>
  <c r="P24" i="20"/>
  <c r="O24" i="20"/>
  <c r="N126" i="20"/>
  <c r="M126" i="20"/>
  <c r="M120" i="20"/>
  <c r="N120" i="20"/>
  <c r="N21" i="20"/>
  <c r="M21" i="20"/>
  <c r="P61" i="20"/>
  <c r="O61" i="20"/>
  <c r="N93" i="20"/>
  <c r="M93" i="20"/>
  <c r="N84" i="20"/>
  <c r="M84" i="20"/>
  <c r="M76" i="20"/>
  <c r="N76" i="20"/>
  <c r="N68" i="20"/>
  <c r="M68" i="20"/>
  <c r="N9" i="20"/>
  <c r="M9" i="20"/>
  <c r="P75" i="20"/>
  <c r="O75" i="20"/>
  <c r="N118" i="20"/>
  <c r="M118" i="20"/>
  <c r="P94" i="20"/>
  <c r="O94" i="20"/>
  <c r="P85" i="20"/>
  <c r="O85" i="20"/>
  <c r="O77" i="20"/>
  <c r="P77" i="20"/>
  <c r="O69" i="20"/>
  <c r="P69" i="20"/>
  <c r="O16" i="20"/>
  <c r="P16" i="20"/>
  <c r="N61" i="20"/>
  <c r="M61" i="20"/>
  <c r="P10" i="20"/>
  <c r="O10" i="20"/>
  <c r="O19" i="20"/>
  <c r="P19" i="20"/>
  <c r="P17" i="20"/>
  <c r="O17" i="20"/>
  <c r="M5" i="20"/>
  <c r="N5" i="20"/>
  <c r="P60" i="20"/>
  <c r="O60" i="20"/>
  <c r="N102" i="20"/>
  <c r="M102" i="20"/>
  <c r="M91" i="20"/>
  <c r="N91" i="20"/>
  <c r="M82" i="20"/>
  <c r="N82" i="20"/>
  <c r="N74" i="20"/>
  <c r="N66" i="20"/>
  <c r="M66" i="20"/>
  <c r="P8" i="20"/>
  <c r="O8" i="20"/>
  <c r="O7" i="20"/>
  <c r="P7" i="20"/>
  <c r="P3" i="20"/>
  <c r="O3" i="20"/>
  <c r="P21" i="20"/>
  <c r="O21" i="20"/>
  <c r="P11" i="20"/>
  <c r="O11" i="20"/>
  <c r="N94" i="20"/>
  <c r="M94" i="20"/>
  <c r="M85" i="20"/>
  <c r="N85" i="20"/>
  <c r="N77" i="20"/>
  <c r="M77" i="20"/>
  <c r="N69" i="20"/>
  <c r="M69" i="20"/>
  <c r="M10" i="20"/>
  <c r="N10" i="20"/>
  <c r="O102" i="20"/>
  <c r="P102" i="20"/>
  <c r="P91" i="20"/>
  <c r="O91" i="20"/>
  <c r="P82" i="20"/>
  <c r="O82" i="20"/>
  <c r="O74" i="20"/>
  <c r="P74" i="20"/>
  <c r="O66" i="20"/>
  <c r="P66" i="20"/>
  <c r="P6" i="20"/>
  <c r="O6" i="20"/>
  <c r="N117" i="20"/>
  <c r="M117" i="20"/>
  <c r="M59" i="20"/>
  <c r="M35" i="17"/>
  <c r="M73" i="17"/>
  <c r="M21" i="17"/>
  <c r="M66" i="17"/>
  <c r="M31" i="17"/>
  <c r="N16" i="17"/>
  <c r="M16" i="17"/>
  <c r="N120" i="17"/>
  <c r="M120" i="17"/>
  <c r="N7" i="17"/>
  <c r="M7" i="17"/>
  <c r="N83" i="17"/>
  <c r="M83" i="17"/>
  <c r="N60" i="17"/>
  <c r="M60" i="17"/>
  <c r="N121" i="17"/>
  <c r="M121" i="17"/>
  <c r="N123" i="17"/>
  <c r="M123" i="17"/>
  <c r="N80" i="17"/>
  <c r="M80" i="17"/>
  <c r="N97" i="17"/>
  <c r="M97" i="17"/>
  <c r="N128" i="17"/>
  <c r="M128" i="17"/>
  <c r="N5" i="17"/>
  <c r="M5" i="17"/>
  <c r="N74" i="17"/>
  <c r="M74" i="17"/>
  <c r="N34" i="17"/>
  <c r="M34" i="17"/>
  <c r="N125" i="17"/>
  <c r="M125" i="17"/>
  <c r="M20" i="17"/>
  <c r="N20" i="17"/>
  <c r="N65" i="17"/>
  <c r="M65" i="17"/>
  <c r="N33" i="17"/>
  <c r="M33" i="17"/>
  <c r="M59" i="17"/>
  <c r="N71" i="17"/>
  <c r="M71" i="17"/>
  <c r="N9" i="17"/>
  <c r="M9" i="17"/>
  <c r="N36" i="17"/>
  <c r="M36" i="17"/>
  <c r="N18" i="17"/>
  <c r="M18" i="17"/>
  <c r="N88" i="17"/>
  <c r="M88" i="17"/>
  <c r="N81" i="17"/>
  <c r="M81" i="17"/>
  <c r="N61" i="17"/>
  <c r="M61" i="17"/>
  <c r="N129" i="17"/>
  <c r="M129" i="17"/>
  <c r="N98" i="17"/>
  <c r="M98" i="17"/>
  <c r="N63" i="17"/>
  <c r="M63" i="17"/>
  <c r="N89" i="17"/>
  <c r="M89" i="17"/>
  <c r="M10" i="17"/>
  <c r="N10" i="17"/>
  <c r="N77" i="17"/>
  <c r="M77" i="17"/>
  <c r="N8" i="17"/>
  <c r="M8" i="17"/>
  <c r="N12" i="17"/>
  <c r="M12" i="17"/>
  <c r="N92" i="17"/>
  <c r="M92" i="17"/>
  <c r="N25" i="17"/>
  <c r="M25" i="17"/>
  <c r="N4" i="17"/>
  <c r="M4" i="17"/>
  <c r="N14" i="17"/>
  <c r="M14" i="17"/>
  <c r="N13" i="17"/>
  <c r="M13" i="17"/>
  <c r="N118" i="17"/>
  <c r="M118" i="17"/>
  <c r="N124" i="17"/>
  <c r="M124" i="17"/>
  <c r="N32" i="17"/>
  <c r="M32" i="17"/>
  <c r="N90" i="17"/>
  <c r="M90" i="17"/>
  <c r="N11" i="17"/>
  <c r="M11" i="17"/>
  <c r="N62" i="17"/>
  <c r="M62" i="17"/>
  <c r="N22" i="17"/>
  <c r="M22" i="17"/>
  <c r="N127" i="17"/>
  <c r="M127" i="17"/>
  <c r="N69" i="17"/>
  <c r="M69" i="17"/>
  <c r="N95" i="17"/>
  <c r="M95" i="17"/>
  <c r="N72" i="17"/>
  <c r="M72" i="17"/>
  <c r="N24" i="17"/>
  <c r="M24" i="17"/>
  <c r="N82" i="17"/>
  <c r="M82" i="17"/>
  <c r="N119" i="17"/>
  <c r="M119" i="17"/>
  <c r="N70" i="17"/>
  <c r="M70" i="17"/>
  <c r="N84" i="17"/>
  <c r="M84" i="17"/>
  <c r="N91" i="17"/>
  <c r="M91" i="17"/>
  <c r="N68" i="17"/>
  <c r="M68" i="17"/>
  <c r="N3" i="17"/>
  <c r="M3" i="17"/>
  <c r="N96" i="17"/>
  <c r="M96" i="17"/>
  <c r="N117" i="17"/>
  <c r="M117" i="17"/>
  <c r="N78" i="17"/>
  <c r="M78" i="17"/>
  <c r="N67" i="17"/>
  <c r="M67" i="17"/>
  <c r="N93" i="17"/>
  <c r="M93" i="17"/>
  <c r="N15" i="17"/>
  <c r="M15" i="17"/>
  <c r="N94" i="17"/>
  <c r="M94" i="17"/>
  <c r="N17" i="17"/>
  <c r="M17" i="17"/>
  <c r="N23" i="17"/>
  <c r="M23" i="17"/>
  <c r="N122" i="17"/>
  <c r="M122" i="17"/>
  <c r="N79" i="17"/>
  <c r="M79" i="17"/>
  <c r="N126" i="17"/>
  <c r="M126" i="17"/>
  <c r="N26" i="17"/>
  <c r="M26" i="17"/>
  <c r="N85" i="17"/>
  <c r="M85" i="17"/>
  <c r="N19" i="17"/>
  <c r="M19" i="17"/>
  <c r="N75" i="17"/>
  <c r="M75" i="17"/>
  <c r="N76" i="17"/>
  <c r="M76" i="17"/>
  <c r="N86" i="17"/>
  <c r="M86" i="17"/>
  <c r="N64" i="17"/>
  <c r="M64" i="17"/>
  <c r="N130" i="17"/>
  <c r="M130" i="17"/>
  <c r="M2" i="17"/>
  <c r="O2" i="17"/>
  <c r="P117" i="16"/>
  <c r="O117" i="16"/>
  <c r="R117" i="16"/>
  <c r="N117" i="16"/>
  <c r="M117" i="16"/>
  <c r="P96" i="16"/>
  <c r="O96" i="16"/>
  <c r="N95" i="16"/>
  <c r="M95" i="16"/>
  <c r="P95" i="16"/>
  <c r="O95" i="16"/>
  <c r="P61" i="16"/>
  <c r="O61" i="16"/>
  <c r="N61" i="16"/>
  <c r="M61" i="16"/>
  <c r="O24" i="16"/>
  <c r="O100" i="16"/>
  <c r="P100" i="16"/>
  <c r="N62" i="16"/>
  <c r="M62" i="16"/>
  <c r="P73" i="16"/>
  <c r="O73" i="16"/>
  <c r="N63" i="16"/>
  <c r="M63" i="16"/>
  <c r="R120" i="16"/>
  <c r="N120" i="16"/>
  <c r="M120" i="16"/>
  <c r="O85" i="16"/>
  <c r="P85" i="16"/>
  <c r="N100" i="16"/>
  <c r="M100" i="16"/>
  <c r="O68" i="16"/>
  <c r="P68" i="16"/>
  <c r="P105" i="16"/>
  <c r="O105" i="16"/>
  <c r="N73" i="16"/>
  <c r="M73" i="16"/>
  <c r="P119" i="16"/>
  <c r="O119" i="16"/>
  <c r="N72" i="16"/>
  <c r="M72" i="16"/>
  <c r="N89" i="16"/>
  <c r="M89" i="16"/>
  <c r="M82" i="16"/>
  <c r="N82" i="16"/>
  <c r="N90" i="16"/>
  <c r="M90" i="16"/>
  <c r="P72" i="16"/>
  <c r="O72" i="16"/>
  <c r="O70" i="16"/>
  <c r="P70" i="16"/>
  <c r="N85" i="16"/>
  <c r="M85" i="16"/>
  <c r="O74" i="16"/>
  <c r="P74" i="16"/>
  <c r="N68" i="16"/>
  <c r="M68" i="16"/>
  <c r="M105" i="16"/>
  <c r="N105" i="16"/>
  <c r="P97" i="16"/>
  <c r="O97" i="16"/>
  <c r="P86" i="16"/>
  <c r="O86" i="16"/>
  <c r="O80" i="16"/>
  <c r="P80" i="16"/>
  <c r="P124" i="16"/>
  <c r="O124" i="16"/>
  <c r="R119" i="16"/>
  <c r="N119" i="16"/>
  <c r="M119" i="16"/>
  <c r="O59" i="16"/>
  <c r="P59" i="16"/>
  <c r="M102" i="16"/>
  <c r="N102" i="16"/>
  <c r="P64" i="16"/>
  <c r="O64" i="16"/>
  <c r="R121" i="16"/>
  <c r="N121" i="16"/>
  <c r="M121" i="16"/>
  <c r="M78" i="16"/>
  <c r="N78" i="16"/>
  <c r="P71" i="16"/>
  <c r="O71" i="16"/>
  <c r="P67" i="16"/>
  <c r="O67" i="16"/>
  <c r="P103" i="16"/>
  <c r="O103" i="16"/>
  <c r="P93" i="16"/>
  <c r="O93" i="16"/>
  <c r="N71" i="16"/>
  <c r="M71" i="16"/>
  <c r="M67" i="16"/>
  <c r="N67" i="16"/>
  <c r="P60" i="16"/>
  <c r="O60" i="16"/>
  <c r="N101" i="16"/>
  <c r="M101" i="16"/>
  <c r="P122" i="16"/>
  <c r="O122" i="16"/>
  <c r="N83" i="16"/>
  <c r="M83" i="16"/>
  <c r="O79" i="16"/>
  <c r="P79" i="16"/>
  <c r="M70" i="16"/>
  <c r="N70" i="16"/>
  <c r="R123" i="16"/>
  <c r="N123" i="16"/>
  <c r="M123" i="16"/>
  <c r="P125" i="16"/>
  <c r="O125" i="16"/>
  <c r="P99" i="16"/>
  <c r="O99" i="16"/>
  <c r="P75" i="16"/>
  <c r="O75" i="16"/>
  <c r="R122" i="16"/>
  <c r="N122" i="16"/>
  <c r="M122" i="16"/>
  <c r="P120" i="16"/>
  <c r="O120" i="16"/>
  <c r="O62" i="16"/>
  <c r="P62" i="16"/>
  <c r="N99" i="16"/>
  <c r="M99" i="16"/>
  <c r="N75" i="16"/>
  <c r="M75" i="16"/>
  <c r="P63" i="16"/>
  <c r="O63" i="16"/>
  <c r="N74" i="16"/>
  <c r="M74" i="16"/>
  <c r="N86" i="16"/>
  <c r="M86" i="16"/>
  <c r="N80" i="16"/>
  <c r="M80" i="16"/>
  <c r="P78" i="16"/>
  <c r="O78" i="16"/>
  <c r="R124" i="16"/>
  <c r="N124" i="16"/>
  <c r="M124" i="16"/>
  <c r="O92" i="16"/>
  <c r="P92" i="16"/>
  <c r="N103" i="16"/>
  <c r="M103" i="16"/>
  <c r="N93" i="16"/>
  <c r="M93" i="16"/>
  <c r="N60" i="16"/>
  <c r="M60" i="16"/>
  <c r="P98" i="16"/>
  <c r="O98" i="16"/>
  <c r="O104" i="16"/>
  <c r="P104" i="16"/>
  <c r="P94" i="16"/>
  <c r="O94" i="16"/>
  <c r="M94" i="16"/>
  <c r="N94" i="16"/>
  <c r="M81" i="16"/>
  <c r="N81" i="16"/>
  <c r="M76" i="16"/>
  <c r="N76" i="16"/>
  <c r="N92" i="16"/>
  <c r="M92" i="16"/>
  <c r="P91" i="16"/>
  <c r="O91" i="16"/>
  <c r="P84" i="16"/>
  <c r="O84" i="16"/>
  <c r="P69" i="16"/>
  <c r="O69" i="16"/>
  <c r="N98" i="16"/>
  <c r="M98" i="16"/>
  <c r="M104" i="16"/>
  <c r="N104" i="16"/>
  <c r="P66" i="16"/>
  <c r="O66" i="16"/>
  <c r="O123" i="16"/>
  <c r="P123" i="16"/>
  <c r="N65" i="16"/>
  <c r="M65" i="16"/>
  <c r="M88" i="16"/>
  <c r="N88" i="16"/>
  <c r="P77" i="16"/>
  <c r="O77" i="16"/>
  <c r="N79" i="16"/>
  <c r="M79" i="16"/>
  <c r="R125" i="16"/>
  <c r="N125" i="16"/>
  <c r="M125" i="16"/>
  <c r="O89" i="16"/>
  <c r="P89" i="16"/>
  <c r="P82" i="16"/>
  <c r="O82" i="16"/>
  <c r="P90" i="16"/>
  <c r="O90" i="16"/>
  <c r="O121" i="16"/>
  <c r="P121" i="16"/>
  <c r="M97" i="16"/>
  <c r="N97" i="16"/>
  <c r="M64" i="16"/>
  <c r="N64" i="16"/>
  <c r="P101" i="16"/>
  <c r="O101" i="16"/>
  <c r="M91" i="16"/>
  <c r="N91" i="16"/>
  <c r="N84" i="16"/>
  <c r="M84" i="16"/>
  <c r="N69" i="16"/>
  <c r="M69" i="16"/>
  <c r="P65" i="16"/>
  <c r="O65" i="16"/>
  <c r="M77" i="16"/>
  <c r="N77" i="16"/>
  <c r="P83" i="16"/>
  <c r="O83" i="16"/>
  <c r="M66" i="16"/>
  <c r="N66" i="16"/>
  <c r="P81" i="16"/>
  <c r="O81" i="16"/>
  <c r="N35" i="16"/>
  <c r="Q35" i="16"/>
  <c r="M36" i="16"/>
  <c r="Q36" i="16"/>
  <c r="N36" i="16"/>
  <c r="Q37" i="16"/>
  <c r="N37" i="16"/>
  <c r="M37" i="16"/>
  <c r="P19" i="16"/>
  <c r="O19" i="16"/>
  <c r="N20" i="16"/>
  <c r="M20" i="16"/>
  <c r="P11" i="16"/>
  <c r="O11" i="16"/>
  <c r="P13" i="16"/>
  <c r="O13" i="16"/>
  <c r="N22" i="16"/>
  <c r="M22" i="16"/>
  <c r="O17" i="16"/>
  <c r="P17" i="16"/>
  <c r="N27" i="16"/>
  <c r="M27" i="16"/>
  <c r="P9" i="16"/>
  <c r="O9" i="16"/>
  <c r="P4" i="16"/>
  <c r="O4" i="16"/>
  <c r="O18" i="16"/>
  <c r="P18" i="16"/>
  <c r="P27" i="16"/>
  <c r="O27" i="16"/>
  <c r="N9" i="16"/>
  <c r="M9" i="16"/>
  <c r="M4" i="16"/>
  <c r="N4" i="16"/>
  <c r="P21" i="16"/>
  <c r="O21" i="16"/>
  <c r="P28" i="16"/>
  <c r="O28" i="16"/>
  <c r="P26" i="16"/>
  <c r="O26" i="16"/>
  <c r="P16" i="16"/>
  <c r="O16" i="16"/>
  <c r="P8" i="16"/>
  <c r="O8" i="16"/>
  <c r="M29" i="16"/>
  <c r="N29" i="16"/>
  <c r="N19" i="16"/>
  <c r="M19" i="16"/>
  <c r="P25" i="16"/>
  <c r="O25" i="16"/>
  <c r="P31" i="16"/>
  <c r="O31" i="16"/>
  <c r="N11" i="16"/>
  <c r="M11" i="16"/>
  <c r="P14" i="16"/>
  <c r="O14" i="16"/>
  <c r="N25" i="16"/>
  <c r="M25" i="16"/>
  <c r="P22" i="16"/>
  <c r="O22" i="16"/>
  <c r="M3" i="16"/>
  <c r="N3" i="16"/>
  <c r="M31" i="16"/>
  <c r="N31" i="16"/>
  <c r="P12" i="16"/>
  <c r="O12" i="16"/>
  <c r="N23" i="16"/>
  <c r="M23" i="16"/>
  <c r="N21" i="16"/>
  <c r="M21" i="16"/>
  <c r="N26" i="16"/>
  <c r="M26" i="16"/>
  <c r="P10" i="16"/>
  <c r="O10" i="16"/>
  <c r="N8" i="16"/>
  <c r="M8" i="16"/>
  <c r="M15" i="16"/>
  <c r="N15" i="16"/>
  <c r="P23" i="16"/>
  <c r="O23" i="16"/>
  <c r="P20" i="16"/>
  <c r="O20" i="16"/>
  <c r="O6" i="16"/>
  <c r="P6" i="16"/>
  <c r="N24" i="16"/>
  <c r="M24" i="16"/>
  <c r="N12" i="16"/>
  <c r="M12" i="16"/>
  <c r="N28" i="16"/>
  <c r="M28" i="16"/>
  <c r="O5" i="16"/>
  <c r="P5" i="16"/>
  <c r="P15" i="16"/>
  <c r="O15" i="16"/>
  <c r="O29" i="16"/>
  <c r="P29" i="16"/>
  <c r="M59" i="16"/>
  <c r="O32" i="16"/>
  <c r="P32" i="16"/>
  <c r="M16" i="16"/>
  <c r="N16" i="16"/>
  <c r="N10" i="16"/>
  <c r="M10" i="16"/>
  <c r="N5" i="16"/>
  <c r="M5" i="16"/>
  <c r="N18" i="16"/>
  <c r="M18" i="16"/>
  <c r="N32" i="16"/>
  <c r="M32" i="16"/>
  <c r="P3" i="16"/>
  <c r="O3" i="16"/>
  <c r="N6" i="16"/>
  <c r="M6" i="16"/>
  <c r="P7" i="16"/>
  <c r="O7" i="16"/>
  <c r="N7" i="16"/>
  <c r="M7" i="16"/>
  <c r="N14" i="16"/>
  <c r="M14" i="16"/>
  <c r="M2" i="16"/>
  <c r="M35" i="16"/>
  <c r="O2" i="16"/>
  <c r="M118" i="16"/>
  <c r="N118" i="16"/>
  <c r="O35" i="16"/>
  <c r="N120" i="14"/>
  <c r="M120" i="14"/>
  <c r="N119" i="14"/>
  <c r="M119" i="14"/>
  <c r="R84" i="14"/>
  <c r="M84" i="14"/>
  <c r="N84" i="14"/>
  <c r="P20" i="14"/>
  <c r="O20" i="14"/>
  <c r="S20" i="14"/>
  <c r="N20" i="14"/>
  <c r="M20" i="14"/>
  <c r="N32" i="14"/>
  <c r="M32" i="14"/>
  <c r="P32" i="14"/>
  <c r="O32" i="14"/>
  <c r="N21" i="14"/>
  <c r="O21" i="14"/>
  <c r="N63" i="14"/>
  <c r="M63" i="14"/>
  <c r="R63" i="14"/>
  <c r="R71" i="14"/>
  <c r="N71" i="14"/>
  <c r="N95" i="14"/>
  <c r="M95" i="14"/>
  <c r="R95" i="14"/>
  <c r="N100" i="14"/>
  <c r="M100" i="14"/>
  <c r="R100" i="14"/>
  <c r="N8" i="14"/>
  <c r="M8" i="14"/>
  <c r="S8" i="14"/>
  <c r="N78" i="14"/>
  <c r="R78" i="14"/>
  <c r="M78" i="14"/>
  <c r="O7" i="14"/>
  <c r="P7" i="14"/>
  <c r="N72" i="14"/>
  <c r="R72" i="14"/>
  <c r="M72" i="14"/>
  <c r="N59" i="14"/>
  <c r="R59" i="14"/>
  <c r="M122" i="14"/>
  <c r="N122" i="14"/>
  <c r="N74" i="14"/>
  <c r="M74" i="14"/>
  <c r="R74" i="14"/>
  <c r="N61" i="14"/>
  <c r="M61" i="14"/>
  <c r="R61" i="14"/>
  <c r="N7" i="14"/>
  <c r="M7" i="14"/>
  <c r="S7" i="14"/>
  <c r="O6" i="14"/>
  <c r="P6" i="14"/>
  <c r="R101" i="14"/>
  <c r="N101" i="14"/>
  <c r="M101" i="14"/>
  <c r="R81" i="14"/>
  <c r="N81" i="14"/>
  <c r="M81" i="14"/>
  <c r="M31" i="14"/>
  <c r="N31" i="14"/>
  <c r="N88" i="14"/>
  <c r="M88" i="14"/>
  <c r="R88" i="14"/>
  <c r="N96" i="14"/>
  <c r="M96" i="14"/>
  <c r="R96" i="14"/>
  <c r="N91" i="14"/>
  <c r="R91" i="14"/>
  <c r="M91" i="14"/>
  <c r="R70" i="14"/>
  <c r="N70" i="14"/>
  <c r="M70" i="14"/>
  <c r="N73" i="14"/>
  <c r="M73" i="14"/>
  <c r="R73" i="14"/>
  <c r="P10" i="14"/>
  <c r="O10" i="14"/>
  <c r="O9" i="14"/>
  <c r="P9" i="14"/>
  <c r="N118" i="14"/>
  <c r="M118" i="14"/>
  <c r="N92" i="14"/>
  <c r="M92" i="14"/>
  <c r="R92" i="14"/>
  <c r="S10" i="14"/>
  <c r="N10" i="14"/>
  <c r="M10" i="14"/>
  <c r="S9" i="14"/>
  <c r="N9" i="14"/>
  <c r="M9" i="14"/>
  <c r="R103" i="14"/>
  <c r="N103" i="14"/>
  <c r="M103" i="14"/>
  <c r="O8" i="14"/>
  <c r="P8" i="14"/>
  <c r="N94" i="14"/>
  <c r="M94" i="14"/>
  <c r="R94" i="14"/>
  <c r="N98" i="14"/>
  <c r="M98" i="14"/>
  <c r="R98" i="14"/>
  <c r="P31" i="14"/>
  <c r="O31" i="14"/>
  <c r="M99" i="14"/>
  <c r="N99" i="14"/>
  <c r="R99" i="14"/>
  <c r="N75" i="14"/>
  <c r="M75" i="14"/>
  <c r="R75" i="14"/>
  <c r="N6" i="14"/>
  <c r="M6" i="14"/>
  <c r="S6" i="14"/>
  <c r="N85" i="14"/>
  <c r="R85" i="14"/>
  <c r="M85" i="14"/>
  <c r="O11" i="14"/>
  <c r="P11" i="14"/>
  <c r="R86" i="14"/>
  <c r="N86" i="14"/>
  <c r="M86" i="14"/>
  <c r="S2" i="14"/>
  <c r="N2" i="14"/>
  <c r="M2" i="14"/>
  <c r="N65" i="14"/>
  <c r="M65" i="14"/>
  <c r="R65" i="14"/>
  <c r="N62" i="14"/>
  <c r="M62" i="14"/>
  <c r="R62" i="14"/>
  <c r="N69" i="14"/>
  <c r="R69" i="14"/>
  <c r="M69" i="14"/>
  <c r="N89" i="14"/>
  <c r="R89" i="14"/>
  <c r="M89" i="14"/>
  <c r="N90" i="14"/>
  <c r="R90" i="14"/>
  <c r="M90" i="14"/>
  <c r="N102" i="14"/>
  <c r="M102" i="14"/>
  <c r="R102" i="14"/>
  <c r="N80" i="14"/>
  <c r="M80" i="14"/>
  <c r="R80" i="14"/>
  <c r="N77" i="14"/>
  <c r="M77" i="14"/>
  <c r="R77" i="14"/>
  <c r="N11" i="14"/>
  <c r="S11" i="14"/>
  <c r="M11" i="14"/>
  <c r="N35" i="14"/>
  <c r="M35" i="14"/>
  <c r="O35" i="14"/>
  <c r="P35" i="14"/>
  <c r="N60" i="14"/>
  <c r="R60" i="14"/>
  <c r="M60" i="14"/>
  <c r="N123" i="14"/>
  <c r="M123" i="14"/>
  <c r="R79" i="14"/>
  <c r="N79" i="14"/>
  <c r="M79" i="14"/>
  <c r="O5" i="14"/>
  <c r="P5" i="14"/>
  <c r="M121" i="14"/>
  <c r="N121" i="14"/>
  <c r="R83" i="14"/>
  <c r="N83" i="14"/>
  <c r="M83" i="14"/>
  <c r="N67" i="14"/>
  <c r="R67" i="14"/>
  <c r="M67" i="14"/>
  <c r="P34" i="14"/>
  <c r="O34" i="14"/>
  <c r="N125" i="14"/>
  <c r="M125" i="14"/>
  <c r="P4" i="14"/>
  <c r="O4" i="14"/>
  <c r="N97" i="14"/>
  <c r="M97" i="14"/>
  <c r="R97" i="14"/>
  <c r="N124" i="14"/>
  <c r="M124" i="14"/>
  <c r="N76" i="14"/>
  <c r="R76" i="14"/>
  <c r="M76" i="14"/>
  <c r="M34" i="14"/>
  <c r="N34" i="14"/>
  <c r="N66" i="14"/>
  <c r="M66" i="14"/>
  <c r="R66" i="14"/>
  <c r="S4" i="14"/>
  <c r="N4" i="14"/>
  <c r="M4" i="14"/>
  <c r="S5" i="14"/>
  <c r="N5" i="14"/>
  <c r="M5" i="14"/>
  <c r="P33" i="14"/>
  <c r="O33" i="14"/>
  <c r="P3" i="14"/>
  <c r="O3" i="14"/>
  <c r="N64" i="14"/>
  <c r="R64" i="14"/>
  <c r="M64" i="14"/>
  <c r="N82" i="14"/>
  <c r="M82" i="14"/>
  <c r="R82" i="14"/>
  <c r="N33" i="14"/>
  <c r="M33" i="14"/>
  <c r="M21" i="14"/>
  <c r="M3" i="14"/>
  <c r="S3" i="14"/>
  <c r="N3" i="14"/>
  <c r="P25" i="14"/>
  <c r="O25" i="14"/>
  <c r="P16" i="14"/>
  <c r="O16" i="14"/>
  <c r="P23" i="14"/>
  <c r="O23" i="14"/>
  <c r="P13" i="14"/>
  <c r="O13" i="14"/>
  <c r="N12" i="14"/>
  <c r="S12" i="14"/>
  <c r="N16" i="14"/>
  <c r="M16" i="14"/>
  <c r="S16" i="14"/>
  <c r="M23" i="14"/>
  <c r="S23" i="14"/>
  <c r="N23" i="14"/>
  <c r="N29" i="14"/>
  <c r="M29" i="14"/>
  <c r="S29" i="14"/>
  <c r="P24" i="14"/>
  <c r="O24" i="14"/>
  <c r="P27" i="14"/>
  <c r="O27" i="14"/>
  <c r="P28" i="14"/>
  <c r="O28" i="14"/>
  <c r="N24" i="14"/>
  <c r="M24" i="14"/>
  <c r="S24" i="14"/>
  <c r="S27" i="14"/>
  <c r="M27" i="14"/>
  <c r="N27" i="14"/>
  <c r="N14" i="14"/>
  <c r="M14" i="14"/>
  <c r="S14" i="14"/>
  <c r="S17" i="14"/>
  <c r="N17" i="14"/>
  <c r="M17" i="14"/>
  <c r="P26" i="14"/>
  <c r="O26" i="14"/>
  <c r="O29" i="14"/>
  <c r="P29" i="14"/>
  <c r="S25" i="14"/>
  <c r="N25" i="14"/>
  <c r="M25" i="14"/>
  <c r="P17" i="14"/>
  <c r="O17" i="14"/>
  <c r="O22" i="14"/>
  <c r="P22" i="14"/>
  <c r="P15" i="14"/>
  <c r="O15" i="14"/>
  <c r="N26" i="14"/>
  <c r="M26" i="14"/>
  <c r="S26" i="14"/>
  <c r="S28" i="14"/>
  <c r="N28" i="14"/>
  <c r="M28" i="14"/>
  <c r="S15" i="14"/>
  <c r="N15" i="14"/>
  <c r="M15" i="14"/>
  <c r="P19" i="14"/>
  <c r="O19" i="14"/>
  <c r="O18" i="14"/>
  <c r="P18" i="14"/>
  <c r="S13" i="14"/>
  <c r="N13" i="14"/>
  <c r="M13" i="14"/>
  <c r="S18" i="14"/>
  <c r="N18" i="14"/>
  <c r="M18" i="14"/>
  <c r="P14" i="14"/>
  <c r="O14" i="14"/>
  <c r="N22" i="14"/>
  <c r="M22" i="14"/>
  <c r="S22" i="14"/>
  <c r="N19" i="14"/>
  <c r="M19" i="14"/>
  <c r="S19" i="14"/>
  <c r="M59" i="14"/>
  <c r="M12" i="14"/>
  <c r="M117" i="14"/>
  <c r="O59" i="14"/>
  <c r="P12" i="13"/>
  <c r="O12" i="13"/>
  <c r="M12" i="13"/>
  <c r="N12" i="13"/>
  <c r="P98" i="13"/>
  <c r="O98" i="13"/>
  <c r="P80" i="13"/>
  <c r="O80" i="13"/>
  <c r="P94" i="13"/>
  <c r="O94" i="13"/>
  <c r="N80" i="13"/>
  <c r="M80" i="13"/>
  <c r="N94" i="13"/>
  <c r="M94" i="13"/>
  <c r="N84" i="13"/>
  <c r="M84" i="13"/>
  <c r="N93" i="13"/>
  <c r="M93" i="13"/>
  <c r="O93" i="13"/>
  <c r="P93" i="13"/>
  <c r="N95" i="13"/>
  <c r="M95" i="13"/>
  <c r="P84" i="13"/>
  <c r="O84" i="13"/>
  <c r="N98" i="13"/>
  <c r="M98" i="13"/>
  <c r="P95" i="13"/>
  <c r="O95" i="13"/>
  <c r="M22" i="13"/>
  <c r="M103" i="13"/>
  <c r="O73" i="13"/>
  <c r="N27" i="13"/>
  <c r="O100" i="13"/>
  <c r="M24" i="13"/>
  <c r="N59" i="13"/>
  <c r="P62" i="13"/>
  <c r="O62" i="13"/>
  <c r="M62" i="13"/>
  <c r="N62" i="13"/>
  <c r="P19" i="13"/>
  <c r="O19" i="13"/>
  <c r="N66" i="13"/>
  <c r="M66" i="13"/>
  <c r="P99" i="13"/>
  <c r="O99" i="13"/>
  <c r="P91" i="13"/>
  <c r="O91" i="13"/>
  <c r="P13" i="13"/>
  <c r="O13" i="13"/>
  <c r="O14" i="13"/>
  <c r="P14" i="13"/>
  <c r="P105" i="13"/>
  <c r="O105" i="13"/>
  <c r="P36" i="13"/>
  <c r="O36" i="13"/>
  <c r="N67" i="13"/>
  <c r="M67" i="13"/>
  <c r="M99" i="13"/>
  <c r="N99" i="13"/>
  <c r="P31" i="13"/>
  <c r="O31" i="13"/>
  <c r="N60" i="13"/>
  <c r="M60" i="13"/>
  <c r="O92" i="13"/>
  <c r="P92" i="13"/>
  <c r="N89" i="13"/>
  <c r="M89" i="13"/>
  <c r="M15" i="13"/>
  <c r="N15" i="13"/>
  <c r="N7" i="13"/>
  <c r="M7" i="13"/>
  <c r="P67" i="13"/>
  <c r="O67" i="13"/>
  <c r="N63" i="13"/>
  <c r="M63" i="13"/>
  <c r="N102" i="13"/>
  <c r="M102" i="13"/>
  <c r="M16" i="13"/>
  <c r="N16" i="13"/>
  <c r="P60" i="13"/>
  <c r="O60" i="13"/>
  <c r="M86" i="13"/>
  <c r="N86" i="13"/>
  <c r="P76" i="13"/>
  <c r="O76" i="13"/>
  <c r="P77" i="13"/>
  <c r="O77" i="13"/>
  <c r="P101" i="13"/>
  <c r="O101" i="13"/>
  <c r="P40" i="13"/>
  <c r="O40" i="13"/>
  <c r="N36" i="13"/>
  <c r="M36" i="13"/>
  <c r="P79" i="13"/>
  <c r="O79" i="13"/>
  <c r="P104" i="13"/>
  <c r="O104" i="13"/>
  <c r="P11" i="13"/>
  <c r="O11" i="13"/>
  <c r="P64" i="13"/>
  <c r="O64" i="13"/>
  <c r="O96" i="13"/>
  <c r="P96" i="13"/>
  <c r="P89" i="13"/>
  <c r="O89" i="13"/>
  <c r="P15" i="13"/>
  <c r="O15" i="13"/>
  <c r="N79" i="13"/>
  <c r="M79" i="13"/>
  <c r="P71" i="13"/>
  <c r="O71" i="13"/>
  <c r="P65" i="13"/>
  <c r="O65" i="13"/>
  <c r="P3" i="13"/>
  <c r="O3" i="13"/>
  <c r="N96" i="13"/>
  <c r="M96" i="13"/>
  <c r="N61" i="13"/>
  <c r="M61" i="13"/>
  <c r="P33" i="13"/>
  <c r="O33" i="13"/>
  <c r="P17" i="13"/>
  <c r="O17" i="13"/>
  <c r="N74" i="13"/>
  <c r="M74" i="13"/>
  <c r="N71" i="13"/>
  <c r="M71" i="13"/>
  <c r="O78" i="13"/>
  <c r="P78" i="13"/>
  <c r="N35" i="13"/>
  <c r="M35" i="13"/>
  <c r="P16" i="13"/>
  <c r="O16" i="13"/>
  <c r="N101" i="13"/>
  <c r="M101" i="13"/>
  <c r="P83" i="13"/>
  <c r="O83" i="13"/>
  <c r="M33" i="13"/>
  <c r="N33" i="13"/>
  <c r="N17" i="13"/>
  <c r="M17" i="13"/>
  <c r="O38" i="13"/>
  <c r="P38" i="13"/>
  <c r="N78" i="13"/>
  <c r="M78" i="13"/>
  <c r="N76" i="13"/>
  <c r="M76" i="13"/>
  <c r="P34" i="13"/>
  <c r="O34" i="13"/>
  <c r="N83" i="13"/>
  <c r="M83" i="13"/>
  <c r="N38" i="13"/>
  <c r="M38" i="13"/>
  <c r="P10" i="13"/>
  <c r="O10" i="13"/>
  <c r="M72" i="13"/>
  <c r="N72" i="13"/>
  <c r="N34" i="13"/>
  <c r="M34" i="13"/>
  <c r="N88" i="13"/>
  <c r="M88" i="13"/>
  <c r="P4" i="13"/>
  <c r="O4" i="13"/>
  <c r="N70" i="13"/>
  <c r="M70" i="13"/>
  <c r="N104" i="13"/>
  <c r="M104" i="13"/>
  <c r="P81" i="13"/>
  <c r="O81" i="13"/>
  <c r="P61" i="13"/>
  <c r="O61" i="13"/>
  <c r="P74" i="13"/>
  <c r="O74" i="13"/>
  <c r="P90" i="13"/>
  <c r="O90" i="13"/>
  <c r="N10" i="13"/>
  <c r="M10" i="13"/>
  <c r="N31" i="13"/>
  <c r="M31" i="13"/>
  <c r="N100" i="13"/>
  <c r="M100" i="13"/>
  <c r="N6" i="13"/>
  <c r="M6" i="13"/>
  <c r="N4" i="13"/>
  <c r="M4" i="13"/>
  <c r="P6" i="13"/>
  <c r="O6" i="13"/>
  <c r="O70" i="13"/>
  <c r="P70" i="13"/>
  <c r="P103" i="13"/>
  <c r="O103" i="13"/>
  <c r="M81" i="13"/>
  <c r="N81" i="13"/>
  <c r="P75" i="13"/>
  <c r="O75" i="13"/>
  <c r="P97" i="13"/>
  <c r="O97" i="13"/>
  <c r="P39" i="13"/>
  <c r="O39" i="13"/>
  <c r="N32" i="13"/>
  <c r="M32" i="13"/>
  <c r="N90" i="13"/>
  <c r="M90" i="13"/>
  <c r="P5" i="13"/>
  <c r="O5" i="13"/>
  <c r="P68" i="13"/>
  <c r="O68" i="13"/>
  <c r="N73" i="13"/>
  <c r="M73" i="13"/>
  <c r="N40" i="13"/>
  <c r="M40" i="13"/>
  <c r="P88" i="13"/>
  <c r="O88" i="13"/>
  <c r="N14" i="13"/>
  <c r="M14" i="13"/>
  <c r="P35" i="13"/>
  <c r="O35" i="13"/>
  <c r="N19" i="13"/>
  <c r="M19" i="13"/>
  <c r="P86" i="13"/>
  <c r="O86" i="13"/>
  <c r="P85" i="13"/>
  <c r="O85" i="13"/>
  <c r="P8" i="13"/>
  <c r="O8" i="13"/>
  <c r="P18" i="13"/>
  <c r="O18" i="13"/>
  <c r="N75" i="13"/>
  <c r="M75" i="13"/>
  <c r="M97" i="13"/>
  <c r="N97" i="13"/>
  <c r="M39" i="13"/>
  <c r="N39" i="13"/>
  <c r="N5" i="13"/>
  <c r="M5" i="13"/>
  <c r="M68" i="13"/>
  <c r="N68" i="13"/>
  <c r="P69" i="13"/>
  <c r="O69" i="13"/>
  <c r="N11" i="13"/>
  <c r="M11" i="13"/>
  <c r="N13" i="13"/>
  <c r="M13" i="13"/>
  <c r="P72" i="13"/>
  <c r="O72" i="13"/>
  <c r="N85" i="13"/>
  <c r="M85" i="13"/>
  <c r="N105" i="13"/>
  <c r="M105" i="13"/>
  <c r="N8" i="13"/>
  <c r="M8" i="13"/>
  <c r="N18" i="13"/>
  <c r="M18" i="13"/>
  <c r="P37" i="13"/>
  <c r="O37" i="13"/>
  <c r="P82" i="13"/>
  <c r="O82" i="13"/>
  <c r="N92" i="13"/>
  <c r="M92" i="13"/>
  <c r="O2" i="13"/>
  <c r="P2" i="13"/>
  <c r="N69" i="13"/>
  <c r="M69" i="13"/>
  <c r="N3" i="13"/>
  <c r="M3" i="13"/>
  <c r="P59" i="13"/>
  <c r="O59" i="13"/>
  <c r="O66" i="13"/>
  <c r="P66" i="13"/>
  <c r="P7" i="13"/>
  <c r="O7" i="13"/>
  <c r="P32" i="13"/>
  <c r="O32" i="13"/>
  <c r="P63" i="13"/>
  <c r="O63" i="13"/>
  <c r="N37" i="13"/>
  <c r="M37" i="13"/>
  <c r="P102" i="13"/>
  <c r="O102" i="13"/>
  <c r="N91" i="13"/>
  <c r="M91" i="13"/>
  <c r="N82" i="13"/>
  <c r="M82" i="13"/>
  <c r="N64" i="13"/>
  <c r="M64" i="13"/>
  <c r="N2" i="13"/>
  <c r="M2" i="13"/>
  <c r="N120" i="13"/>
  <c r="M120" i="13"/>
  <c r="N25" i="13"/>
  <c r="M25" i="13"/>
  <c r="N23" i="13"/>
  <c r="M23" i="13"/>
  <c r="N121" i="13"/>
  <c r="M121" i="13"/>
  <c r="N26" i="13"/>
  <c r="M26" i="13"/>
  <c r="N122" i="13"/>
  <c r="M122" i="13"/>
  <c r="N118" i="13"/>
  <c r="M118" i="13"/>
  <c r="N123" i="13"/>
  <c r="M123" i="13"/>
  <c r="N117" i="13"/>
  <c r="M117" i="13"/>
  <c r="N124" i="13"/>
  <c r="M124" i="13"/>
  <c r="N119" i="13"/>
  <c r="M119" i="13"/>
  <c r="P80" i="12"/>
  <c r="O80" i="12"/>
  <c r="N80" i="12"/>
  <c r="M80" i="12"/>
  <c r="P79" i="12"/>
  <c r="O79" i="12"/>
  <c r="N79" i="12"/>
  <c r="M79" i="12"/>
  <c r="Q118" i="11"/>
  <c r="N118" i="11"/>
  <c r="M118" i="11"/>
  <c r="M127" i="11"/>
  <c r="Q127" i="11"/>
  <c r="N127" i="11"/>
  <c r="Q119" i="11"/>
  <c r="N119" i="11"/>
  <c r="M119" i="11"/>
  <c r="N129" i="11"/>
  <c r="Q129" i="11"/>
  <c r="M129" i="11"/>
  <c r="Q126" i="11"/>
  <c r="M126" i="11"/>
  <c r="N126" i="11"/>
  <c r="M123" i="11"/>
  <c r="Q123" i="11"/>
  <c r="N123" i="11"/>
  <c r="Q131" i="11"/>
  <c r="M131" i="11"/>
  <c r="N131" i="11"/>
  <c r="Q128" i="11"/>
  <c r="N128" i="11"/>
  <c r="M128" i="11"/>
  <c r="N125" i="11"/>
  <c r="M125" i="11"/>
  <c r="Q125" i="11"/>
  <c r="N120" i="11"/>
  <c r="Q120" i="11"/>
  <c r="M120" i="11"/>
  <c r="Q130" i="11"/>
  <c r="N130" i="11"/>
  <c r="M130" i="11"/>
  <c r="N124" i="11"/>
  <c r="M124" i="11"/>
  <c r="Q124" i="11"/>
  <c r="Q122" i="11"/>
  <c r="N122" i="11"/>
  <c r="M122" i="11"/>
  <c r="N72" i="11"/>
  <c r="M72" i="11"/>
  <c r="N96" i="11"/>
  <c r="M96" i="11"/>
  <c r="N85" i="11"/>
  <c r="M85" i="11"/>
  <c r="N79" i="11"/>
  <c r="M79" i="11"/>
  <c r="M74" i="11"/>
  <c r="N74" i="11"/>
  <c r="M67" i="11"/>
  <c r="N67" i="11"/>
  <c r="N93" i="11"/>
  <c r="M93" i="11"/>
  <c r="N88" i="11"/>
  <c r="M88" i="11"/>
  <c r="N82" i="11"/>
  <c r="M82" i="11"/>
  <c r="N76" i="11"/>
  <c r="M76" i="11"/>
  <c r="N70" i="11"/>
  <c r="M70" i="11"/>
  <c r="M64" i="11"/>
  <c r="N64" i="11"/>
  <c r="N59" i="11"/>
  <c r="M59" i="11"/>
  <c r="M95" i="11"/>
  <c r="N95" i="11"/>
  <c r="N90" i="11"/>
  <c r="M90" i="11"/>
  <c r="M81" i="11"/>
  <c r="N81" i="11"/>
  <c r="N78" i="11"/>
  <c r="M78" i="11"/>
  <c r="M73" i="11"/>
  <c r="N73" i="11"/>
  <c r="N69" i="11"/>
  <c r="M69" i="11"/>
  <c r="N66" i="11"/>
  <c r="M66" i="11"/>
  <c r="N61" i="11"/>
  <c r="M61" i="11"/>
  <c r="N98" i="11"/>
  <c r="M98" i="11"/>
  <c r="N94" i="11"/>
  <c r="M94" i="11"/>
  <c r="N91" i="11"/>
  <c r="M91" i="11"/>
  <c r="N89" i="11"/>
  <c r="M89" i="11"/>
  <c r="N86" i="11"/>
  <c r="M86" i="11"/>
  <c r="M83" i="11"/>
  <c r="N83" i="11"/>
  <c r="M80" i="11"/>
  <c r="N80" i="11"/>
  <c r="N77" i="11"/>
  <c r="M77" i="11"/>
  <c r="N75" i="11"/>
  <c r="M75" i="11"/>
  <c r="N71" i="11"/>
  <c r="M71" i="11"/>
  <c r="N68" i="11"/>
  <c r="M68" i="11"/>
  <c r="M65" i="11"/>
  <c r="N65" i="11"/>
  <c r="N62" i="11"/>
  <c r="M62" i="11"/>
  <c r="M60" i="11"/>
  <c r="N60" i="11"/>
  <c r="M97" i="11"/>
  <c r="N97" i="11"/>
  <c r="N92" i="11"/>
  <c r="M92" i="11"/>
  <c r="N84" i="11"/>
  <c r="M84" i="11"/>
  <c r="N63" i="11"/>
  <c r="M63" i="11"/>
  <c r="N4" i="11"/>
  <c r="M4" i="11"/>
  <c r="N36" i="11"/>
  <c r="M36" i="11"/>
  <c r="N33" i="11"/>
  <c r="M33" i="11"/>
  <c r="N27" i="11"/>
  <c r="M27" i="11"/>
  <c r="N24" i="11"/>
  <c r="M24" i="11"/>
  <c r="M21" i="11"/>
  <c r="N21" i="11"/>
  <c r="M32" i="11"/>
  <c r="N32" i="11"/>
  <c r="N15" i="11"/>
  <c r="M15" i="11"/>
  <c r="N12" i="11"/>
  <c r="M12" i="11"/>
  <c r="M9" i="11"/>
  <c r="N9" i="11"/>
  <c r="M6" i="11"/>
  <c r="N6" i="11"/>
  <c r="N3" i="11"/>
  <c r="M3" i="11"/>
  <c r="N37" i="11"/>
  <c r="M37" i="11"/>
  <c r="N34" i="11"/>
  <c r="M34" i="11"/>
  <c r="M31" i="11"/>
  <c r="N31" i="11"/>
  <c r="N25" i="11"/>
  <c r="M25" i="11"/>
  <c r="N22" i="11"/>
  <c r="M22" i="11"/>
  <c r="N19" i="11"/>
  <c r="M19" i="11"/>
  <c r="N17" i="11"/>
  <c r="M17" i="11"/>
  <c r="N13" i="11"/>
  <c r="M13" i="11"/>
  <c r="M10" i="11"/>
  <c r="N10" i="11"/>
  <c r="N7" i="11"/>
  <c r="M7" i="11"/>
  <c r="N38" i="11"/>
  <c r="M38" i="11"/>
  <c r="N35" i="11"/>
  <c r="M35" i="11"/>
  <c r="M16" i="11"/>
  <c r="N16" i="11"/>
  <c r="N26" i="11"/>
  <c r="M26" i="11"/>
  <c r="M23" i="11"/>
  <c r="N23" i="11"/>
  <c r="M20" i="11"/>
  <c r="N20" i="11"/>
  <c r="N18" i="11"/>
  <c r="M18" i="11"/>
  <c r="M14" i="11"/>
  <c r="N14" i="11"/>
  <c r="N11" i="11"/>
  <c r="M11" i="11"/>
  <c r="M8" i="11"/>
  <c r="N8" i="11"/>
  <c r="N5" i="11"/>
  <c r="M5" i="11"/>
  <c r="M2" i="11"/>
  <c r="N2" i="11"/>
  <c r="N32" i="10"/>
  <c r="M32" i="10"/>
  <c r="P32" i="10"/>
  <c r="O32" i="10"/>
  <c r="P121" i="10"/>
  <c r="O121" i="10"/>
  <c r="N121" i="10"/>
  <c r="M121" i="10"/>
  <c r="P118" i="10"/>
  <c r="O118" i="10"/>
  <c r="P126" i="10"/>
  <c r="O126" i="10"/>
  <c r="P119" i="10"/>
  <c r="O119" i="10"/>
  <c r="N119" i="10"/>
  <c r="M119" i="10"/>
  <c r="M124" i="10"/>
  <c r="N124" i="10"/>
  <c r="N123" i="10"/>
  <c r="M123" i="10"/>
  <c r="P123" i="10"/>
  <c r="O123" i="10"/>
  <c r="P124" i="10"/>
  <c r="O124" i="10"/>
  <c r="N127" i="10"/>
  <c r="M127" i="10"/>
  <c r="P125" i="10"/>
  <c r="O125" i="10"/>
  <c r="N126" i="10"/>
  <c r="M126" i="10"/>
  <c r="N128" i="10"/>
  <c r="M128" i="10"/>
  <c r="N122" i="10"/>
  <c r="M122" i="10"/>
  <c r="P117" i="10"/>
  <c r="O117" i="10"/>
  <c r="N117" i="10"/>
  <c r="M117" i="10"/>
  <c r="M120" i="10"/>
  <c r="N120" i="10"/>
  <c r="P120" i="10"/>
  <c r="O120" i="10"/>
  <c r="P122" i="10"/>
  <c r="O122" i="10"/>
  <c r="P127" i="10"/>
  <c r="O127" i="10"/>
  <c r="N125" i="10"/>
  <c r="M125" i="10"/>
  <c r="P128" i="10"/>
  <c r="O128" i="10"/>
  <c r="N118" i="10"/>
  <c r="M118" i="10"/>
  <c r="N69" i="10"/>
  <c r="M69" i="10"/>
  <c r="P69" i="10"/>
  <c r="O69" i="10"/>
  <c r="P93" i="10"/>
  <c r="O93" i="10"/>
  <c r="N31" i="10"/>
  <c r="M31" i="10"/>
  <c r="N36" i="10"/>
  <c r="M36" i="10"/>
  <c r="P61" i="10"/>
  <c r="O61" i="10"/>
  <c r="N91" i="10"/>
  <c r="M91" i="10"/>
  <c r="P33" i="10"/>
  <c r="O33" i="10"/>
  <c r="N73" i="10"/>
  <c r="M73" i="10"/>
  <c r="P90" i="10"/>
  <c r="O90" i="10"/>
  <c r="N63" i="10"/>
  <c r="M63" i="10"/>
  <c r="N67" i="10"/>
  <c r="M67" i="10"/>
  <c r="P81" i="10"/>
  <c r="O81" i="10"/>
  <c r="P97" i="10"/>
  <c r="O97" i="10"/>
  <c r="N88" i="10"/>
  <c r="M88" i="10"/>
  <c r="N75" i="10"/>
  <c r="M75" i="10"/>
  <c r="M60" i="10"/>
  <c r="N60" i="10"/>
  <c r="P34" i="10"/>
  <c r="O34" i="10"/>
  <c r="P65" i="10"/>
  <c r="O65" i="10"/>
  <c r="O77" i="10"/>
  <c r="P77" i="10"/>
  <c r="N38" i="10"/>
  <c r="M38" i="10"/>
  <c r="N33" i="10"/>
  <c r="M33" i="10"/>
  <c r="N37" i="10"/>
  <c r="M37" i="10"/>
  <c r="P59" i="10"/>
  <c r="O59" i="10"/>
  <c r="P64" i="10"/>
  <c r="O64" i="10"/>
  <c r="O63" i="10"/>
  <c r="P63" i="10"/>
  <c r="P78" i="10"/>
  <c r="O78" i="10"/>
  <c r="P75" i="10"/>
  <c r="O75" i="10"/>
  <c r="P86" i="10"/>
  <c r="O86" i="10"/>
  <c r="P68" i="10"/>
  <c r="O68" i="10"/>
  <c r="P83" i="10"/>
  <c r="O83" i="10"/>
  <c r="N66" i="10"/>
  <c r="M66" i="10"/>
  <c r="P71" i="10"/>
  <c r="O71" i="10"/>
  <c r="P73" i="10"/>
  <c r="O73" i="10"/>
  <c r="N34" i="10"/>
  <c r="M34" i="10"/>
  <c r="O94" i="10"/>
  <c r="P94" i="10"/>
  <c r="P88" i="10"/>
  <c r="O88" i="10"/>
  <c r="O98" i="10"/>
  <c r="P98" i="10"/>
  <c r="O79" i="10"/>
  <c r="P79" i="10"/>
  <c r="P76" i="10"/>
  <c r="P37" i="10"/>
  <c r="O37" i="10"/>
  <c r="N62" i="10"/>
  <c r="M62" i="10"/>
  <c r="M92" i="10"/>
  <c r="N92" i="10"/>
  <c r="N86" i="10"/>
  <c r="M86" i="10"/>
  <c r="N64" i="10"/>
  <c r="M64" i="10"/>
  <c r="O95" i="10"/>
  <c r="P95" i="10"/>
  <c r="P84" i="10"/>
  <c r="O84" i="10"/>
  <c r="O31" i="10"/>
  <c r="P31" i="10"/>
  <c r="O35" i="10"/>
  <c r="P35" i="10"/>
  <c r="P92" i="10"/>
  <c r="O92" i="10"/>
  <c r="O89" i="10"/>
  <c r="P89" i="10"/>
  <c r="P99" i="10"/>
  <c r="O99" i="10"/>
  <c r="O38" i="10"/>
  <c r="P38" i="10"/>
  <c r="N61" i="10"/>
  <c r="M61" i="10"/>
  <c r="O60" i="10"/>
  <c r="P60" i="10"/>
  <c r="M68" i="10"/>
  <c r="N68" i="10"/>
  <c r="P70" i="10"/>
  <c r="O70" i="10"/>
  <c r="P62" i="10"/>
  <c r="O62" i="10"/>
  <c r="O85" i="10"/>
  <c r="P85" i="10"/>
  <c r="N59" i="10"/>
  <c r="M59" i="10"/>
  <c r="P66" i="10"/>
  <c r="O66" i="10"/>
  <c r="P91" i="10"/>
  <c r="O91" i="10"/>
  <c r="P74" i="10"/>
  <c r="O74" i="10"/>
  <c r="N80" i="10"/>
  <c r="M80" i="10"/>
  <c r="P80" i="10"/>
  <c r="O80" i="10"/>
  <c r="N83" i="10"/>
  <c r="M83" i="10"/>
  <c r="O82" i="10"/>
  <c r="P82" i="10"/>
  <c r="M35" i="10"/>
  <c r="N35" i="10"/>
  <c r="N81" i="10"/>
  <c r="M81" i="10"/>
  <c r="P36" i="10"/>
  <c r="O36" i="10"/>
  <c r="O96" i="10"/>
  <c r="P96" i="10"/>
  <c r="P67" i="10"/>
  <c r="O67" i="10"/>
  <c r="P72" i="10"/>
  <c r="O72" i="10"/>
  <c r="N13" i="10"/>
  <c r="M13" i="10"/>
  <c r="P15" i="10"/>
  <c r="O15" i="10"/>
  <c r="P6" i="10"/>
  <c r="O6" i="10"/>
  <c r="P18" i="10"/>
  <c r="O18" i="10"/>
  <c r="P7" i="10"/>
  <c r="O7" i="10"/>
  <c r="P25" i="10"/>
  <c r="O25" i="10"/>
  <c r="P9" i="10"/>
  <c r="O9" i="10"/>
  <c r="P16" i="10"/>
  <c r="O16" i="10"/>
  <c r="P14" i="10"/>
  <c r="O14" i="10"/>
  <c r="P27" i="10"/>
  <c r="O27" i="10"/>
  <c r="P13" i="10"/>
  <c r="O13" i="10"/>
  <c r="P12" i="10"/>
  <c r="O12" i="10"/>
  <c r="N10" i="10"/>
  <c r="M10" i="10"/>
  <c r="N2" i="10"/>
  <c r="M2" i="10"/>
  <c r="P3" i="10"/>
  <c r="O3" i="10"/>
  <c r="P4" i="10"/>
  <c r="O4" i="10"/>
  <c r="N3" i="10"/>
  <c r="M3" i="10"/>
  <c r="P11" i="10"/>
  <c r="O11" i="10"/>
  <c r="P2" i="10"/>
  <c r="O2" i="10"/>
  <c r="P22" i="10"/>
  <c r="O22" i="10"/>
  <c r="P17" i="10"/>
  <c r="O17" i="10"/>
  <c r="P20" i="10"/>
  <c r="O20" i="10"/>
  <c r="P24" i="10"/>
  <c r="O24" i="10"/>
  <c r="P21" i="10"/>
  <c r="O21" i="10"/>
  <c r="P5" i="10"/>
  <c r="O5" i="10"/>
  <c r="P26" i="10"/>
  <c r="O26" i="10"/>
  <c r="P23" i="10"/>
  <c r="O23" i="10"/>
  <c r="P8" i="10"/>
  <c r="O8" i="10"/>
  <c r="N117" i="9"/>
  <c r="M117" i="9"/>
  <c r="N95" i="9"/>
  <c r="M95" i="9"/>
  <c r="N88" i="9"/>
  <c r="M88" i="9"/>
  <c r="N85" i="9"/>
  <c r="M85" i="9"/>
  <c r="M73" i="9"/>
  <c r="N73" i="9"/>
  <c r="N68" i="9"/>
  <c r="M68" i="9"/>
  <c r="N124" i="9"/>
  <c r="M124" i="9"/>
  <c r="N121" i="9"/>
  <c r="M121" i="9"/>
  <c r="N77" i="9"/>
  <c r="M77" i="9"/>
  <c r="N104" i="9"/>
  <c r="M104" i="9"/>
  <c r="N92" i="9"/>
  <c r="M92" i="9"/>
  <c r="N86" i="9"/>
  <c r="M86" i="9"/>
  <c r="M93" i="9"/>
  <c r="N93" i="9"/>
  <c r="N90" i="9"/>
  <c r="M90" i="9"/>
  <c r="N79" i="9"/>
  <c r="M79" i="9"/>
  <c r="N120" i="9"/>
  <c r="M120" i="9"/>
  <c r="N69" i="9"/>
  <c r="M69" i="9"/>
  <c r="N78" i="9"/>
  <c r="M78" i="9"/>
  <c r="N64" i="9"/>
  <c r="M64" i="9"/>
  <c r="N70" i="9"/>
  <c r="M70" i="9"/>
  <c r="N103" i="9"/>
  <c r="M103" i="9"/>
  <c r="N71" i="9"/>
  <c r="M71" i="9"/>
  <c r="N123" i="9"/>
  <c r="M123" i="9"/>
  <c r="N122" i="9"/>
  <c r="M122" i="9"/>
  <c r="M81" i="9"/>
  <c r="N81" i="9"/>
  <c r="N89" i="9"/>
  <c r="M89" i="9"/>
  <c r="N97" i="9"/>
  <c r="M97" i="9"/>
  <c r="N98" i="9"/>
  <c r="M98" i="9"/>
  <c r="N60" i="9"/>
  <c r="M60" i="9"/>
  <c r="M91" i="9"/>
  <c r="N91" i="9"/>
  <c r="M94" i="9"/>
  <c r="N94" i="9"/>
  <c r="M82" i="9"/>
  <c r="N82" i="9"/>
  <c r="N119" i="9"/>
  <c r="M119" i="9"/>
  <c r="N75" i="9"/>
  <c r="M75" i="9"/>
  <c r="M99" i="9"/>
  <c r="N99" i="9"/>
  <c r="N66" i="9"/>
  <c r="M66" i="9"/>
  <c r="N74" i="9"/>
  <c r="M74" i="9"/>
  <c r="M101" i="9"/>
  <c r="N101" i="9"/>
  <c r="M72" i="9"/>
  <c r="N72" i="9"/>
  <c r="N96" i="9"/>
  <c r="M96" i="9"/>
  <c r="N76" i="9"/>
  <c r="M76" i="9"/>
  <c r="N80" i="9"/>
  <c r="M80" i="9"/>
  <c r="N125" i="9"/>
  <c r="M125" i="9"/>
  <c r="M65" i="9"/>
  <c r="N65" i="9"/>
  <c r="N67" i="9"/>
  <c r="M67" i="9"/>
  <c r="M62" i="9"/>
  <c r="N62" i="9"/>
  <c r="N61" i="9"/>
  <c r="M61" i="9"/>
  <c r="N63" i="9"/>
  <c r="M63" i="9"/>
  <c r="N100" i="9"/>
  <c r="M100" i="9"/>
  <c r="N9" i="9"/>
  <c r="M9" i="9"/>
  <c r="N3" i="9"/>
  <c r="M3" i="9"/>
  <c r="N27" i="9"/>
  <c r="M27" i="9"/>
  <c r="M28" i="9"/>
  <c r="N28" i="9"/>
  <c r="N5" i="9"/>
  <c r="M5" i="9"/>
  <c r="N31" i="9"/>
  <c r="M31" i="9"/>
  <c r="N13" i="9"/>
  <c r="M13" i="9"/>
  <c r="M24" i="9"/>
  <c r="N24" i="9"/>
  <c r="N36" i="9"/>
  <c r="M36" i="9"/>
  <c r="N12" i="9"/>
  <c r="M12" i="9"/>
  <c r="N35" i="9"/>
  <c r="M35" i="9"/>
  <c r="M7" i="9"/>
  <c r="N7" i="9"/>
  <c r="N14" i="9"/>
  <c r="M14" i="9"/>
  <c r="N29" i="9"/>
  <c r="M29" i="9"/>
  <c r="M33" i="9"/>
  <c r="N33" i="9"/>
  <c r="N26" i="9"/>
  <c r="M26" i="9"/>
  <c r="N20" i="9"/>
  <c r="M20" i="9"/>
  <c r="M22" i="9"/>
  <c r="N22" i="9"/>
  <c r="N8" i="9"/>
  <c r="M8" i="9"/>
  <c r="N18" i="9"/>
  <c r="M18" i="9"/>
  <c r="N10" i="9"/>
  <c r="M10" i="9"/>
  <c r="M32" i="9"/>
  <c r="N32" i="9"/>
  <c r="M6" i="9"/>
  <c r="N6" i="9"/>
  <c r="N34" i="9"/>
  <c r="M34" i="9"/>
  <c r="N19" i="9"/>
  <c r="M19" i="9"/>
  <c r="N17" i="9"/>
  <c r="M17" i="9"/>
  <c r="N25" i="9"/>
  <c r="M25" i="9"/>
  <c r="M23" i="9"/>
  <c r="N23" i="9"/>
  <c r="N11" i="9"/>
  <c r="M11" i="9"/>
  <c r="N15" i="9"/>
  <c r="M15" i="9"/>
  <c r="M16" i="9"/>
  <c r="N16" i="9"/>
  <c r="N4" i="9"/>
  <c r="M4" i="9"/>
  <c r="M59" i="9"/>
  <c r="M118" i="9"/>
  <c r="M2" i="9"/>
  <c r="P90" i="8"/>
  <c r="O90" i="8"/>
  <c r="N90" i="8"/>
  <c r="M90" i="8"/>
  <c r="P103" i="8"/>
  <c r="O103" i="8"/>
  <c r="M103" i="8"/>
  <c r="N29" i="8"/>
  <c r="M29" i="8"/>
  <c r="P30" i="8"/>
  <c r="O30" i="8"/>
  <c r="N30" i="8"/>
  <c r="M30" i="8"/>
  <c r="P29" i="8"/>
  <c r="O29" i="8"/>
  <c r="O28" i="8"/>
  <c r="P28" i="8"/>
  <c r="N28" i="8"/>
  <c r="M28" i="8"/>
  <c r="P21" i="8"/>
  <c r="O21" i="8"/>
  <c r="M33" i="8"/>
  <c r="N33" i="8"/>
  <c r="N21" i="8"/>
  <c r="M21" i="8"/>
  <c r="M23" i="8"/>
  <c r="M99" i="8"/>
  <c r="M94" i="8"/>
  <c r="N76" i="8"/>
  <c r="P23" i="8"/>
  <c r="M98" i="8"/>
  <c r="M14" i="8"/>
  <c r="N73" i="8"/>
  <c r="M59" i="8"/>
  <c r="P59" i="8"/>
  <c r="O91" i="8"/>
  <c r="P91" i="8"/>
  <c r="P16" i="8"/>
  <c r="O16" i="8"/>
  <c r="N89" i="8"/>
  <c r="M89" i="8"/>
  <c r="P76" i="8"/>
  <c r="O76" i="8"/>
  <c r="O123" i="8"/>
  <c r="P123" i="8"/>
  <c r="P13" i="8"/>
  <c r="O13" i="8"/>
  <c r="P18" i="8"/>
  <c r="O18" i="8"/>
  <c r="P117" i="8"/>
  <c r="O117" i="8"/>
  <c r="P2" i="8"/>
  <c r="O2" i="8"/>
  <c r="P118" i="8"/>
  <c r="O118" i="8"/>
  <c r="N7" i="8"/>
  <c r="M7" i="8"/>
  <c r="N16" i="8"/>
  <c r="M16" i="8"/>
  <c r="M9" i="8"/>
  <c r="N9" i="8"/>
  <c r="P121" i="8"/>
  <c r="O121" i="8"/>
  <c r="P22" i="8"/>
  <c r="O22" i="8"/>
  <c r="N75" i="8"/>
  <c r="M75" i="8"/>
  <c r="P65" i="8"/>
  <c r="O65" i="8"/>
  <c r="N81" i="8"/>
  <c r="M81" i="8"/>
  <c r="N118" i="8"/>
  <c r="M118" i="8"/>
  <c r="M96" i="8"/>
  <c r="O61" i="8"/>
  <c r="P61" i="8"/>
  <c r="M86" i="8"/>
  <c r="N86" i="8"/>
  <c r="N125" i="8"/>
  <c r="M125" i="8"/>
  <c r="N65" i="8"/>
  <c r="M65" i="8"/>
  <c r="M18" i="8"/>
  <c r="N18" i="8"/>
  <c r="P17" i="8"/>
  <c r="O17" i="8"/>
  <c r="P79" i="8"/>
  <c r="O79" i="8"/>
  <c r="M80" i="8"/>
  <c r="N35" i="8"/>
  <c r="M35" i="8"/>
  <c r="P9" i="8"/>
  <c r="O9" i="8"/>
  <c r="P81" i="8"/>
  <c r="O81" i="8"/>
  <c r="N11" i="8"/>
  <c r="M11" i="8"/>
  <c r="N74" i="8"/>
  <c r="M74" i="8"/>
  <c r="N82" i="8"/>
  <c r="M82" i="8"/>
  <c r="P66" i="8"/>
  <c r="O66" i="8"/>
  <c r="P7" i="8"/>
  <c r="O7" i="8"/>
  <c r="N17" i="8"/>
  <c r="M17" i="8"/>
  <c r="N79" i="8"/>
  <c r="M79" i="8"/>
  <c r="O15" i="8"/>
  <c r="P15" i="8"/>
  <c r="N63" i="8"/>
  <c r="M63" i="8"/>
  <c r="N124" i="8"/>
  <c r="M124" i="8"/>
  <c r="M69" i="8"/>
  <c r="N69" i="8"/>
  <c r="N70" i="8"/>
  <c r="M70" i="8"/>
  <c r="P73" i="8"/>
  <c r="O73" i="8"/>
  <c r="N91" i="8"/>
  <c r="M91" i="8"/>
  <c r="N121" i="8"/>
  <c r="M121" i="8"/>
  <c r="N36" i="8"/>
  <c r="M36" i="8"/>
  <c r="N119" i="8"/>
  <c r="M119" i="8"/>
  <c r="O89" i="8"/>
  <c r="P89" i="8"/>
  <c r="P69" i="8"/>
  <c r="O69" i="8"/>
  <c r="P14" i="8"/>
  <c r="O14" i="8"/>
  <c r="M22" i="8"/>
  <c r="N22" i="8"/>
  <c r="O27" i="8"/>
  <c r="P27" i="8"/>
  <c r="P68" i="8"/>
  <c r="O68" i="8"/>
  <c r="N15" i="8"/>
  <c r="M15" i="8"/>
  <c r="P62" i="8"/>
  <c r="O62" i="8"/>
  <c r="O3" i="8"/>
  <c r="P3" i="8"/>
  <c r="M34" i="8"/>
  <c r="N34" i="8"/>
  <c r="P63" i="8"/>
  <c r="O63" i="8"/>
  <c r="N64" i="8"/>
  <c r="M64" i="8"/>
  <c r="P60" i="8"/>
  <c r="O60" i="8"/>
  <c r="P74" i="8"/>
  <c r="O74" i="8"/>
  <c r="M13" i="8"/>
  <c r="N13" i="8"/>
  <c r="P64" i="8"/>
  <c r="O64" i="8"/>
  <c r="N26" i="8"/>
  <c r="M26" i="8"/>
  <c r="N27" i="8"/>
  <c r="M27" i="8"/>
  <c r="N66" i="8"/>
  <c r="M66" i="8"/>
  <c r="N6" i="8"/>
  <c r="M6" i="8"/>
  <c r="P4" i="8"/>
  <c r="O4" i="8"/>
  <c r="N3" i="8"/>
  <c r="M3" i="8"/>
  <c r="P5" i="8"/>
  <c r="O5" i="8"/>
  <c r="P77" i="8"/>
  <c r="O77" i="8"/>
  <c r="N24" i="8"/>
  <c r="M24" i="8"/>
  <c r="O72" i="8"/>
  <c r="P72" i="8"/>
  <c r="N60" i="8"/>
  <c r="M60" i="8"/>
  <c r="O122" i="8"/>
  <c r="P122" i="8"/>
  <c r="P86" i="8"/>
  <c r="O86" i="8"/>
  <c r="N61" i="8"/>
  <c r="M61" i="8"/>
  <c r="P8" i="8"/>
  <c r="O8" i="8"/>
  <c r="M68" i="8"/>
  <c r="N68" i="8"/>
  <c r="M67" i="8"/>
  <c r="N67" i="8"/>
  <c r="P19" i="8"/>
  <c r="O19" i="8"/>
  <c r="N4" i="8"/>
  <c r="M4" i="8"/>
  <c r="N62" i="8"/>
  <c r="M62" i="8"/>
  <c r="N120" i="8"/>
  <c r="M120" i="8"/>
  <c r="N5" i="8"/>
  <c r="M5" i="8"/>
  <c r="N77" i="8"/>
  <c r="M77" i="8"/>
  <c r="N83" i="8"/>
  <c r="M83" i="8"/>
  <c r="P84" i="8"/>
  <c r="O84" i="8"/>
  <c r="O11" i="8"/>
  <c r="P11" i="8"/>
  <c r="P10" i="8"/>
  <c r="O10" i="8"/>
  <c r="N72" i="8"/>
  <c r="M72" i="8"/>
  <c r="M25" i="8"/>
  <c r="N25" i="8"/>
  <c r="O119" i="8"/>
  <c r="P119" i="8"/>
  <c r="N8" i="8"/>
  <c r="M8" i="8"/>
  <c r="P6" i="8"/>
  <c r="O6" i="8"/>
  <c r="N19" i="8"/>
  <c r="M19" i="8"/>
  <c r="P83" i="8"/>
  <c r="O83" i="8"/>
  <c r="M10" i="8"/>
  <c r="N10" i="8"/>
  <c r="P88" i="8"/>
  <c r="O88" i="8"/>
  <c r="N12" i="8"/>
  <c r="M12" i="8"/>
  <c r="O12" i="8"/>
  <c r="P12" i="8"/>
  <c r="O75" i="8"/>
  <c r="P75" i="8"/>
  <c r="N32" i="8"/>
  <c r="M32" i="8"/>
  <c r="N88" i="8"/>
  <c r="M88" i="8"/>
  <c r="P26" i="8"/>
  <c r="O26" i="8"/>
  <c r="P25" i="8"/>
  <c r="O25" i="8"/>
  <c r="M20" i="8"/>
  <c r="N20" i="8"/>
  <c r="P20" i="8"/>
  <c r="O20" i="8"/>
  <c r="P82" i="8"/>
  <c r="O82" i="8"/>
  <c r="P67" i="8"/>
  <c r="O67" i="8"/>
  <c r="P124" i="8"/>
  <c r="O124" i="8"/>
  <c r="O70" i="8"/>
  <c r="P70" i="8"/>
  <c r="O24" i="8"/>
  <c r="P24" i="8"/>
  <c r="N84" i="8"/>
  <c r="M84" i="8"/>
  <c r="M100" i="8"/>
  <c r="M71" i="8"/>
  <c r="M117" i="8"/>
  <c r="M85" i="8"/>
  <c r="M95" i="8"/>
  <c r="M92" i="8"/>
  <c r="M2" i="8"/>
  <c r="M97" i="8"/>
  <c r="M101" i="8"/>
  <c r="M93" i="8"/>
  <c r="M78" i="8"/>
  <c r="M102" i="8"/>
  <c r="M104" i="8"/>
  <c r="N104" i="6"/>
  <c r="M104" i="6"/>
  <c r="M27" i="6"/>
  <c r="N27" i="6"/>
  <c r="N120" i="6"/>
  <c r="M120" i="6"/>
  <c r="N33" i="6"/>
  <c r="M33" i="6"/>
  <c r="N68" i="6"/>
  <c r="M68" i="6"/>
  <c r="M89" i="6"/>
  <c r="N89" i="6"/>
  <c r="N60" i="6"/>
  <c r="M60" i="6"/>
  <c r="N102" i="6"/>
  <c r="M102" i="6"/>
  <c r="N66" i="6"/>
  <c r="M66" i="6"/>
  <c r="N14" i="6"/>
  <c r="M14" i="6"/>
  <c r="N125" i="6"/>
  <c r="M125" i="6"/>
  <c r="M75" i="6"/>
  <c r="N75" i="6"/>
  <c r="N85" i="6"/>
  <c r="M85" i="6"/>
  <c r="M64" i="6"/>
  <c r="N64" i="6"/>
  <c r="M67" i="6"/>
  <c r="N67" i="6"/>
  <c r="N98" i="6"/>
  <c r="M98" i="6"/>
  <c r="N121" i="6"/>
  <c r="M121" i="6"/>
  <c r="M76" i="6"/>
  <c r="N76" i="6"/>
  <c r="N78" i="6"/>
  <c r="M78" i="6"/>
  <c r="M80" i="6"/>
  <c r="N80" i="6"/>
  <c r="N84" i="6"/>
  <c r="M84" i="6"/>
  <c r="M88" i="6"/>
  <c r="N88" i="6"/>
  <c r="N77" i="6"/>
  <c r="M77" i="6"/>
  <c r="N91" i="6"/>
  <c r="M91" i="6"/>
  <c r="N62" i="6"/>
  <c r="M62" i="6"/>
  <c r="M93" i="6"/>
  <c r="N93" i="6"/>
  <c r="N96" i="6"/>
  <c r="M96" i="6"/>
  <c r="N63" i="6"/>
  <c r="M63" i="6"/>
  <c r="N92" i="6"/>
  <c r="M92" i="6"/>
  <c r="N65" i="6"/>
  <c r="M65" i="6"/>
  <c r="N119" i="6"/>
  <c r="M119" i="6"/>
  <c r="N69" i="6"/>
  <c r="M69" i="6"/>
  <c r="N97" i="6"/>
  <c r="M97" i="6"/>
  <c r="N99" i="6"/>
  <c r="M99" i="6"/>
  <c r="N82" i="6"/>
  <c r="M82" i="6"/>
  <c r="N123" i="6"/>
  <c r="M123" i="6"/>
  <c r="N72" i="6"/>
  <c r="M72" i="6"/>
  <c r="N83" i="6"/>
  <c r="M83" i="6"/>
  <c r="N81" i="6"/>
  <c r="M81" i="6"/>
  <c r="N105" i="6"/>
  <c r="M105" i="6"/>
  <c r="N94" i="6"/>
  <c r="M94" i="6"/>
  <c r="N117" i="6"/>
  <c r="M117" i="6"/>
  <c r="M108" i="6"/>
  <c r="N118" i="6"/>
  <c r="M118" i="6"/>
  <c r="M79" i="6"/>
  <c r="N79" i="6"/>
  <c r="M95" i="6"/>
  <c r="N95" i="6"/>
  <c r="N74" i="6"/>
  <c r="M74" i="6"/>
  <c r="M70" i="6"/>
  <c r="N70" i="6"/>
  <c r="N101" i="6"/>
  <c r="M101" i="6"/>
  <c r="N90" i="6"/>
  <c r="M90" i="6"/>
  <c r="N73" i="6"/>
  <c r="M73" i="6"/>
  <c r="M124" i="6"/>
  <c r="N124" i="6"/>
  <c r="N103" i="6"/>
  <c r="M103" i="6"/>
  <c r="N86" i="6"/>
  <c r="M86" i="6"/>
  <c r="M71" i="6"/>
  <c r="N71" i="6"/>
  <c r="N5" i="6"/>
  <c r="M5" i="6"/>
  <c r="N23" i="6"/>
  <c r="M23" i="6"/>
  <c r="N25" i="6"/>
  <c r="M25" i="6"/>
  <c r="M22" i="6"/>
  <c r="N22" i="6"/>
  <c r="N12" i="6"/>
  <c r="M12" i="6"/>
  <c r="N7" i="6"/>
  <c r="M7" i="6"/>
  <c r="N31" i="6"/>
  <c r="M31" i="6"/>
  <c r="N10" i="6"/>
  <c r="M10" i="6"/>
  <c r="N17" i="6"/>
  <c r="M17" i="6"/>
  <c r="N32" i="6"/>
  <c r="M32" i="6"/>
  <c r="M26" i="6"/>
  <c r="N26" i="6"/>
  <c r="M20" i="6"/>
  <c r="N20" i="6"/>
  <c r="M3" i="6"/>
  <c r="N3" i="6"/>
  <c r="N16" i="6"/>
  <c r="M16" i="6"/>
  <c r="N9" i="6"/>
  <c r="M9" i="6"/>
  <c r="M6" i="6"/>
  <c r="N6" i="6"/>
  <c r="N21" i="6"/>
  <c r="M21" i="6"/>
  <c r="N4" i="6"/>
  <c r="M4" i="6"/>
  <c r="N8" i="6"/>
  <c r="M8" i="6"/>
  <c r="N18" i="6"/>
  <c r="M18" i="6"/>
  <c r="N11" i="6"/>
  <c r="M11" i="6"/>
  <c r="M34" i="6"/>
  <c r="N34" i="6"/>
  <c r="N35" i="6"/>
  <c r="M35" i="6"/>
  <c r="N19" i="6"/>
  <c r="M19" i="6"/>
  <c r="N15" i="6"/>
  <c r="M15" i="6"/>
  <c r="N24" i="6"/>
  <c r="M24" i="6"/>
  <c r="M59" i="6"/>
  <c r="M2" i="6"/>
  <c r="N71" i="5"/>
  <c r="M71" i="5"/>
  <c r="N70" i="5"/>
  <c r="M70" i="5"/>
  <c r="N69" i="5"/>
  <c r="M69" i="5"/>
  <c r="N68" i="5"/>
  <c r="M68" i="5"/>
  <c r="N67" i="5"/>
  <c r="M67" i="5"/>
  <c r="N66" i="5"/>
  <c r="M66" i="5"/>
  <c r="N65" i="5"/>
  <c r="M65" i="5"/>
  <c r="N64" i="5"/>
  <c r="M64" i="5"/>
  <c r="N63" i="5"/>
  <c r="M63" i="5"/>
  <c r="N62" i="5"/>
  <c r="M62" i="5"/>
  <c r="N61" i="5"/>
  <c r="M61" i="5"/>
  <c r="N60" i="5"/>
  <c r="M60" i="5"/>
  <c r="N59" i="5"/>
  <c r="M59" i="5"/>
  <c r="H144" i="5"/>
  <c r="F144" i="5"/>
  <c r="D144" i="5"/>
  <c r="G144" i="5" s="1"/>
  <c r="H143" i="5"/>
  <c r="F143" i="5"/>
  <c r="D143" i="5"/>
  <c r="G143" i="5" s="1"/>
  <c r="H142" i="5"/>
  <c r="F142" i="5"/>
  <c r="D142" i="5"/>
  <c r="G142" i="5" s="1"/>
  <c r="H128" i="5"/>
  <c r="F128" i="5"/>
  <c r="D128" i="5"/>
  <c r="G128" i="5" s="1"/>
  <c r="H127" i="5"/>
  <c r="F127" i="5"/>
  <c r="D127" i="5"/>
  <c r="G127" i="5" s="1"/>
  <c r="H126" i="5"/>
  <c r="F126" i="5"/>
  <c r="D126" i="5"/>
  <c r="G126" i="5" s="1"/>
  <c r="K126" i="5" s="1"/>
  <c r="H125" i="5"/>
  <c r="F125" i="5"/>
  <c r="D125" i="5"/>
  <c r="G125" i="5" s="1"/>
  <c r="H124" i="5"/>
  <c r="F124" i="5"/>
  <c r="D124" i="5"/>
  <c r="G124" i="5" s="1"/>
  <c r="I124" i="5" s="1"/>
  <c r="H123" i="5"/>
  <c r="F123" i="5"/>
  <c r="D123" i="5"/>
  <c r="G123" i="5" s="1"/>
  <c r="H122" i="5"/>
  <c r="F122" i="5"/>
  <c r="D122" i="5"/>
  <c r="G122" i="5" s="1"/>
  <c r="H121" i="5"/>
  <c r="F121" i="5"/>
  <c r="D121" i="5"/>
  <c r="G121" i="5" s="1"/>
  <c r="L121" i="5" s="1"/>
  <c r="H120" i="5"/>
  <c r="F120" i="5"/>
  <c r="D120" i="5"/>
  <c r="G120" i="5" s="1"/>
  <c r="L120" i="5" s="1"/>
  <c r="H119" i="5"/>
  <c r="F119" i="5"/>
  <c r="D119" i="5"/>
  <c r="G119" i="5" s="1"/>
  <c r="H118" i="5"/>
  <c r="F118" i="5"/>
  <c r="D118" i="5"/>
  <c r="G118" i="5" s="1"/>
  <c r="H79" i="5"/>
  <c r="F79" i="5"/>
  <c r="D79" i="5"/>
  <c r="G79" i="5" s="1"/>
  <c r="H117" i="5"/>
  <c r="F117" i="5"/>
  <c r="D117" i="5"/>
  <c r="G117" i="5" s="1"/>
  <c r="H115" i="5"/>
  <c r="F115" i="5"/>
  <c r="D115" i="5"/>
  <c r="G115" i="5" s="1"/>
  <c r="H114" i="5"/>
  <c r="F114" i="5"/>
  <c r="D114" i="5"/>
  <c r="G114" i="5" s="1"/>
  <c r="H113" i="5"/>
  <c r="F113" i="5"/>
  <c r="D113" i="5"/>
  <c r="G113" i="5" s="1"/>
  <c r="K113" i="5" s="1"/>
  <c r="H112" i="5"/>
  <c r="F112" i="5"/>
  <c r="D112" i="5"/>
  <c r="G112" i="5" s="1"/>
  <c r="H111" i="5"/>
  <c r="F111" i="5"/>
  <c r="D111" i="5"/>
  <c r="G111" i="5" s="1"/>
  <c r="J111" i="5" s="1"/>
  <c r="H71" i="5"/>
  <c r="F71" i="5"/>
  <c r="D71" i="5"/>
  <c r="G71" i="5" s="1"/>
  <c r="I71" i="5" s="1"/>
  <c r="H110" i="5"/>
  <c r="F110" i="5"/>
  <c r="D110" i="5"/>
  <c r="G110" i="5" s="1"/>
  <c r="H77" i="5"/>
  <c r="F77" i="5"/>
  <c r="D77" i="5"/>
  <c r="G77" i="5" s="1"/>
  <c r="H109" i="5"/>
  <c r="F109" i="5"/>
  <c r="D109" i="5"/>
  <c r="G109" i="5" s="1"/>
  <c r="H108" i="5"/>
  <c r="F108" i="5"/>
  <c r="D108" i="5"/>
  <c r="G108" i="5" s="1"/>
  <c r="H107" i="5"/>
  <c r="F107" i="5"/>
  <c r="D107" i="5"/>
  <c r="G107" i="5" s="1"/>
  <c r="H106" i="5"/>
  <c r="F106" i="5"/>
  <c r="D106" i="5"/>
  <c r="G106" i="5" s="1"/>
  <c r="H70" i="5"/>
  <c r="F70" i="5"/>
  <c r="D70" i="5"/>
  <c r="G70" i="5" s="1"/>
  <c r="H105" i="5"/>
  <c r="F105" i="5"/>
  <c r="D105" i="5"/>
  <c r="G105" i="5" s="1"/>
  <c r="H104" i="5"/>
  <c r="F104" i="5"/>
  <c r="D104" i="5"/>
  <c r="G104" i="5" s="1"/>
  <c r="H69" i="5"/>
  <c r="F69" i="5"/>
  <c r="D69" i="5"/>
  <c r="G69" i="5" s="1"/>
  <c r="K69" i="5" s="1"/>
  <c r="H103" i="5"/>
  <c r="F103" i="5"/>
  <c r="D103" i="5"/>
  <c r="G103" i="5" s="1"/>
  <c r="H102" i="5"/>
  <c r="F102" i="5"/>
  <c r="D102" i="5"/>
  <c r="G102" i="5" s="1"/>
  <c r="K102" i="5" s="1"/>
  <c r="H101" i="5"/>
  <c r="F101" i="5"/>
  <c r="D101" i="5"/>
  <c r="G101" i="5" s="1"/>
  <c r="J101" i="5" s="1"/>
  <c r="H100" i="5"/>
  <c r="F100" i="5"/>
  <c r="D100" i="5"/>
  <c r="G100" i="5" s="1"/>
  <c r="H99" i="5"/>
  <c r="F99" i="5"/>
  <c r="D99" i="5"/>
  <c r="G99" i="5" s="1"/>
  <c r="H98" i="5"/>
  <c r="F98" i="5"/>
  <c r="D98" i="5"/>
  <c r="G98" i="5" s="1"/>
  <c r="H68" i="5"/>
  <c r="F68" i="5"/>
  <c r="D68" i="5"/>
  <c r="G68" i="5" s="1"/>
  <c r="H78" i="5"/>
  <c r="F78" i="5"/>
  <c r="D78" i="5"/>
  <c r="G78" i="5" s="1"/>
  <c r="H97" i="5"/>
  <c r="F97" i="5"/>
  <c r="D97" i="5"/>
  <c r="G97" i="5" s="1"/>
  <c r="H67" i="5"/>
  <c r="F67" i="5"/>
  <c r="D67" i="5"/>
  <c r="G67" i="5" s="1"/>
  <c r="H96" i="5"/>
  <c r="F96" i="5"/>
  <c r="D96" i="5"/>
  <c r="G96" i="5" s="1"/>
  <c r="H66" i="5"/>
  <c r="F66" i="5"/>
  <c r="D66" i="5"/>
  <c r="G66" i="5" s="1"/>
  <c r="K66" i="5" s="1"/>
  <c r="H65" i="5"/>
  <c r="F65" i="5"/>
  <c r="D65" i="5"/>
  <c r="G65" i="5" s="1"/>
  <c r="L65" i="5" s="1"/>
  <c r="H95" i="5"/>
  <c r="F95" i="5"/>
  <c r="D95" i="5"/>
  <c r="G95" i="5" s="1"/>
  <c r="H94" i="5"/>
  <c r="F94" i="5"/>
  <c r="D94" i="5"/>
  <c r="G94" i="5" s="1"/>
  <c r="H64" i="5"/>
  <c r="F64" i="5"/>
  <c r="D64" i="5"/>
  <c r="G64" i="5" s="1"/>
  <c r="I64" i="5" s="1"/>
  <c r="H63" i="5"/>
  <c r="F63" i="5"/>
  <c r="D63" i="5"/>
  <c r="G63" i="5" s="1"/>
  <c r="I63" i="5" s="1"/>
  <c r="H80" i="5"/>
  <c r="F80" i="5"/>
  <c r="D80" i="5"/>
  <c r="G80" i="5" s="1"/>
  <c r="H93" i="5"/>
  <c r="F93" i="5"/>
  <c r="D93" i="5"/>
  <c r="G93" i="5" s="1"/>
  <c r="H92" i="5"/>
  <c r="F92" i="5"/>
  <c r="D92" i="5"/>
  <c r="G92" i="5" s="1"/>
  <c r="H91" i="5"/>
  <c r="F91" i="5"/>
  <c r="D91" i="5"/>
  <c r="G91" i="5" s="1"/>
  <c r="H90" i="5"/>
  <c r="F90" i="5"/>
  <c r="D90" i="5"/>
  <c r="G90" i="5" s="1"/>
  <c r="H62" i="5"/>
  <c r="F62" i="5"/>
  <c r="D62" i="5"/>
  <c r="G62" i="5" s="1"/>
  <c r="H89" i="5"/>
  <c r="F89" i="5"/>
  <c r="D89" i="5"/>
  <c r="G89" i="5" s="1"/>
  <c r="H88" i="5"/>
  <c r="F88" i="5"/>
  <c r="D88" i="5"/>
  <c r="G88" i="5" s="1"/>
  <c r="L88" i="5" s="1"/>
  <c r="H61" i="5"/>
  <c r="F61" i="5"/>
  <c r="D61" i="5"/>
  <c r="G61" i="5" s="1"/>
  <c r="H60" i="5"/>
  <c r="F60" i="5"/>
  <c r="D60" i="5"/>
  <c r="G60" i="5" s="1"/>
  <c r="H59" i="5"/>
  <c r="F59" i="5"/>
  <c r="D59" i="5"/>
  <c r="G59" i="5" s="1"/>
  <c r="H76" i="5"/>
  <c r="F76" i="5"/>
  <c r="D76" i="5"/>
  <c r="G76" i="5" s="1"/>
  <c r="H75" i="5"/>
  <c r="F75" i="5"/>
  <c r="D75" i="5"/>
  <c r="G75" i="5" s="1"/>
  <c r="L75" i="5" s="1"/>
  <c r="H74" i="5"/>
  <c r="F74" i="5"/>
  <c r="D74" i="5"/>
  <c r="G74" i="5" s="1"/>
  <c r="H13" i="5"/>
  <c r="F13" i="5"/>
  <c r="D13" i="5"/>
  <c r="G13" i="5" s="1"/>
  <c r="I13" i="5" s="1"/>
  <c r="H10" i="5"/>
  <c r="F10" i="5"/>
  <c r="D10" i="5"/>
  <c r="G10" i="5" s="1"/>
  <c r="H54" i="5"/>
  <c r="F54" i="5"/>
  <c r="D54" i="5"/>
  <c r="G54" i="5" s="1"/>
  <c r="J54" i="5" s="1"/>
  <c r="H9" i="5"/>
  <c r="F9" i="5"/>
  <c r="D9" i="5"/>
  <c r="G9" i="5" s="1"/>
  <c r="L9" i="5" s="1"/>
  <c r="H8" i="5"/>
  <c r="F8" i="5"/>
  <c r="D8" i="5"/>
  <c r="G8" i="5" s="1"/>
  <c r="H55" i="5"/>
  <c r="F55" i="5"/>
  <c r="D55" i="5"/>
  <c r="G55" i="5" s="1"/>
  <c r="K55" i="5" s="1"/>
  <c r="H17" i="5"/>
  <c r="F17" i="5"/>
  <c r="D17" i="5"/>
  <c r="G17" i="5" s="1"/>
  <c r="J17" i="5" s="1"/>
  <c r="H53" i="5"/>
  <c r="F53" i="5"/>
  <c r="D53" i="5"/>
  <c r="G53" i="5" s="1"/>
  <c r="H52" i="5"/>
  <c r="F52" i="5"/>
  <c r="D52" i="5"/>
  <c r="G52" i="5" s="1"/>
  <c r="L52" i="5" s="1"/>
  <c r="H18" i="5"/>
  <c r="F18" i="5"/>
  <c r="D18" i="5"/>
  <c r="G18" i="5" s="1"/>
  <c r="H51" i="5"/>
  <c r="F51" i="5"/>
  <c r="D51" i="5"/>
  <c r="G51" i="5" s="1"/>
  <c r="H50" i="5"/>
  <c r="F50" i="5"/>
  <c r="D50" i="5"/>
  <c r="G50" i="5" s="1"/>
  <c r="H49" i="5"/>
  <c r="F49" i="5"/>
  <c r="D49" i="5"/>
  <c r="G49" i="5" s="1"/>
  <c r="H48" i="5"/>
  <c r="F48" i="5"/>
  <c r="D48" i="5"/>
  <c r="G48" i="5" s="1"/>
  <c r="H47" i="5"/>
  <c r="F47" i="5"/>
  <c r="D47" i="5"/>
  <c r="G47" i="5" s="1"/>
  <c r="H46" i="5"/>
  <c r="F46" i="5"/>
  <c r="D46" i="5"/>
  <c r="G46" i="5" s="1"/>
  <c r="H45" i="5"/>
  <c r="F45" i="5"/>
  <c r="D45" i="5"/>
  <c r="G45" i="5" s="1"/>
  <c r="L45" i="5" s="1"/>
  <c r="H44" i="5"/>
  <c r="F44" i="5"/>
  <c r="D44" i="5"/>
  <c r="G44" i="5" s="1"/>
  <c r="J44" i="5" s="1"/>
  <c r="H43" i="5"/>
  <c r="F43" i="5"/>
  <c r="D43" i="5"/>
  <c r="G43" i="5" s="1"/>
  <c r="K43" i="5" s="1"/>
  <c r="H42" i="5"/>
  <c r="F42" i="5"/>
  <c r="D42" i="5"/>
  <c r="G42" i="5" s="1"/>
  <c r="J42" i="5" s="1"/>
  <c r="H41" i="5"/>
  <c r="F41" i="5"/>
  <c r="D41" i="5"/>
  <c r="G41" i="5" s="1"/>
  <c r="H40" i="5"/>
  <c r="F40" i="5"/>
  <c r="D40" i="5"/>
  <c r="G40" i="5" s="1"/>
  <c r="H39" i="5"/>
  <c r="F39" i="5"/>
  <c r="D39" i="5"/>
  <c r="G39" i="5" s="1"/>
  <c r="H38" i="5"/>
  <c r="F38" i="5"/>
  <c r="D38" i="5"/>
  <c r="G38" i="5" s="1"/>
  <c r="H37" i="5"/>
  <c r="F37" i="5"/>
  <c r="D37" i="5"/>
  <c r="G37" i="5" s="1"/>
  <c r="J37" i="5" s="1"/>
  <c r="H5" i="5"/>
  <c r="F5" i="5"/>
  <c r="D5" i="5"/>
  <c r="G5" i="5" s="1"/>
  <c r="H36" i="5"/>
  <c r="F36" i="5"/>
  <c r="D36" i="5"/>
  <c r="G36" i="5" s="1"/>
  <c r="K36" i="5" s="1"/>
  <c r="H35" i="5"/>
  <c r="F35" i="5"/>
  <c r="D35" i="5"/>
  <c r="G35" i="5" s="1"/>
  <c r="H3" i="5"/>
  <c r="F3" i="5"/>
  <c r="D3" i="5"/>
  <c r="G3" i="5" s="1"/>
  <c r="H34" i="5"/>
  <c r="F34" i="5"/>
  <c r="D34" i="5"/>
  <c r="G34" i="5" s="1"/>
  <c r="J34" i="5" s="1"/>
  <c r="H2" i="5"/>
  <c r="F2" i="5"/>
  <c r="D2" i="5"/>
  <c r="G2" i="5" s="1"/>
  <c r="K2" i="5" s="1"/>
  <c r="N2" i="5" s="1"/>
  <c r="H4" i="5"/>
  <c r="F4" i="5"/>
  <c r="D4" i="5"/>
  <c r="G4" i="5" s="1"/>
  <c r="H33" i="5"/>
  <c r="F33" i="5"/>
  <c r="D33" i="5"/>
  <c r="G33" i="5" s="1"/>
  <c r="H32" i="5"/>
  <c r="F32" i="5"/>
  <c r="D32" i="5"/>
  <c r="G32" i="5" s="1"/>
  <c r="H31" i="5"/>
  <c r="F31" i="5"/>
  <c r="D31" i="5"/>
  <c r="G31" i="5" s="1"/>
  <c r="K17" i="5" l="1"/>
  <c r="K104" i="5"/>
  <c r="L104" i="5"/>
  <c r="K96" i="5"/>
  <c r="L96" i="5"/>
  <c r="L113" i="5"/>
  <c r="J45" i="5"/>
  <c r="K71" i="5"/>
  <c r="J2" i="5"/>
  <c r="I9" i="5"/>
  <c r="K10" i="5"/>
  <c r="L10" i="5"/>
  <c r="K41" i="5"/>
  <c r="J41" i="5"/>
  <c r="I41" i="5"/>
  <c r="L41" i="5"/>
  <c r="L90" i="5"/>
  <c r="L39" i="5"/>
  <c r="J39" i="5"/>
  <c r="L67" i="5"/>
  <c r="K33" i="5"/>
  <c r="L33" i="5"/>
  <c r="J33" i="5"/>
  <c r="I33" i="5"/>
  <c r="K47" i="5"/>
  <c r="L47" i="5"/>
  <c r="L127" i="5"/>
  <c r="I127" i="5"/>
  <c r="L144" i="5"/>
  <c r="I144" i="5"/>
  <c r="L114" i="5"/>
  <c r="K62" i="5"/>
  <c r="L62" i="5"/>
  <c r="L105" i="5"/>
  <c r="I52" i="5"/>
  <c r="L111" i="5"/>
  <c r="I54" i="5"/>
  <c r="L36" i="5"/>
  <c r="I44" i="5"/>
  <c r="J65" i="5"/>
  <c r="K44" i="5"/>
  <c r="J88" i="5"/>
  <c r="K38" i="5"/>
  <c r="K54" i="5"/>
  <c r="I5" i="5"/>
  <c r="J75" i="5"/>
  <c r="L40" i="5"/>
  <c r="J40" i="5"/>
  <c r="I40" i="5"/>
  <c r="K40" i="5"/>
  <c r="L80" i="5"/>
  <c r="K80" i="5"/>
  <c r="J80" i="5"/>
  <c r="I80" i="5"/>
  <c r="L108" i="5"/>
  <c r="K108" i="5"/>
  <c r="J108" i="5"/>
  <c r="I108" i="5"/>
  <c r="L118" i="5"/>
  <c r="K118" i="5"/>
  <c r="J118" i="5"/>
  <c r="I118" i="5"/>
  <c r="J35" i="5"/>
  <c r="I35" i="5"/>
  <c r="L35" i="5"/>
  <c r="K35" i="5"/>
  <c r="M2" i="5"/>
  <c r="L18" i="5"/>
  <c r="J18" i="5"/>
  <c r="I18" i="5"/>
  <c r="K18" i="5"/>
  <c r="I3" i="5"/>
  <c r="K3" i="5"/>
  <c r="L49" i="5"/>
  <c r="K49" i="5"/>
  <c r="I49" i="5"/>
  <c r="J91" i="5"/>
  <c r="L91" i="5"/>
  <c r="K91" i="5"/>
  <c r="I91" i="5"/>
  <c r="L100" i="5"/>
  <c r="K100" i="5"/>
  <c r="J100" i="5"/>
  <c r="L32" i="5"/>
  <c r="J32" i="5"/>
  <c r="I32" i="5"/>
  <c r="K51" i="5"/>
  <c r="I51" i="5"/>
  <c r="L60" i="5"/>
  <c r="K60" i="5"/>
  <c r="L94" i="5"/>
  <c r="K94" i="5"/>
  <c r="I94" i="5"/>
  <c r="L78" i="5"/>
  <c r="K78" i="5"/>
  <c r="J78" i="5"/>
  <c r="I78" i="5"/>
  <c r="L99" i="5"/>
  <c r="K99" i="5"/>
  <c r="J99" i="5"/>
  <c r="I99" i="5"/>
  <c r="L102" i="5"/>
  <c r="J102" i="5"/>
  <c r="L115" i="5"/>
  <c r="K115" i="5"/>
  <c r="J115" i="5"/>
  <c r="I115" i="5"/>
  <c r="K117" i="5"/>
  <c r="L117" i="5"/>
  <c r="J117" i="5"/>
  <c r="I117" i="5"/>
  <c r="L42" i="5"/>
  <c r="K42" i="5"/>
  <c r="L77" i="5"/>
  <c r="K77" i="5"/>
  <c r="J77" i="5"/>
  <c r="I111" i="5"/>
  <c r="K111" i="5"/>
  <c r="L142" i="5"/>
  <c r="K142" i="5"/>
  <c r="J142" i="5"/>
  <c r="I142" i="5"/>
  <c r="L110" i="5"/>
  <c r="K110" i="5"/>
  <c r="I110" i="5"/>
  <c r="I103" i="5"/>
  <c r="K103" i="5"/>
  <c r="K32" i="5"/>
  <c r="J3" i="5"/>
  <c r="L37" i="5"/>
  <c r="K37" i="5"/>
  <c r="I37" i="5"/>
  <c r="J49" i="5"/>
  <c r="J51" i="5"/>
  <c r="J55" i="5"/>
  <c r="I55" i="5"/>
  <c r="L55" i="5"/>
  <c r="K13" i="5"/>
  <c r="L13" i="5"/>
  <c r="J13" i="5"/>
  <c r="I60" i="5"/>
  <c r="J66" i="5"/>
  <c r="I66" i="5"/>
  <c r="L66" i="5"/>
  <c r="L124" i="5"/>
  <c r="J124" i="5"/>
  <c r="K124" i="5"/>
  <c r="L3" i="5"/>
  <c r="K39" i="5"/>
  <c r="I39" i="5"/>
  <c r="I42" i="5"/>
  <c r="L51" i="5"/>
  <c r="L76" i="5"/>
  <c r="K76" i="5"/>
  <c r="J76" i="5"/>
  <c r="I76" i="5"/>
  <c r="J60" i="5"/>
  <c r="L92" i="5"/>
  <c r="K92" i="5"/>
  <c r="J92" i="5"/>
  <c r="I92" i="5"/>
  <c r="L63" i="5"/>
  <c r="K63" i="5"/>
  <c r="J63" i="5"/>
  <c r="J94" i="5"/>
  <c r="I102" i="5"/>
  <c r="I77" i="5"/>
  <c r="L143" i="5"/>
  <c r="K143" i="5"/>
  <c r="J143" i="5"/>
  <c r="I143" i="5"/>
  <c r="L4" i="5"/>
  <c r="K4" i="5"/>
  <c r="J46" i="5"/>
  <c r="I46" i="5"/>
  <c r="L46" i="5"/>
  <c r="L50" i="5"/>
  <c r="J50" i="5"/>
  <c r="L53" i="5"/>
  <c r="K53" i="5"/>
  <c r="J61" i="5"/>
  <c r="J89" i="5"/>
  <c r="I89" i="5"/>
  <c r="L89" i="5"/>
  <c r="L95" i="5"/>
  <c r="J95" i="5"/>
  <c r="J70" i="5"/>
  <c r="L70" i="5"/>
  <c r="K70" i="5"/>
  <c r="I70" i="5"/>
  <c r="K31" i="5"/>
  <c r="I31" i="5"/>
  <c r="I4" i="5"/>
  <c r="L44" i="5"/>
  <c r="K46" i="5"/>
  <c r="L48" i="5"/>
  <c r="K48" i="5"/>
  <c r="J48" i="5"/>
  <c r="I53" i="5"/>
  <c r="L74" i="5"/>
  <c r="K74" i="5"/>
  <c r="J74" i="5"/>
  <c r="L59" i="5"/>
  <c r="K59" i="5"/>
  <c r="J59" i="5"/>
  <c r="J112" i="5"/>
  <c r="I112" i="5"/>
  <c r="L112" i="5"/>
  <c r="L119" i="5"/>
  <c r="K119" i="5"/>
  <c r="I119" i="5"/>
  <c r="J119" i="5"/>
  <c r="L125" i="5"/>
  <c r="J125" i="5"/>
  <c r="J4" i="5"/>
  <c r="I34" i="5"/>
  <c r="L38" i="5"/>
  <c r="J38" i="5"/>
  <c r="L43" i="5"/>
  <c r="I43" i="5"/>
  <c r="I50" i="5"/>
  <c r="J53" i="5"/>
  <c r="J8" i="5"/>
  <c r="O8" i="5" s="1"/>
  <c r="L8" i="5"/>
  <c r="K8" i="5"/>
  <c r="I8" i="5"/>
  <c r="I61" i="5"/>
  <c r="K89" i="5"/>
  <c r="I95" i="5"/>
  <c r="I100" i="5"/>
  <c r="J110" i="5"/>
  <c r="I120" i="5"/>
  <c r="K120" i="5"/>
  <c r="J31" i="5"/>
  <c r="K34" i="5"/>
  <c r="I45" i="5"/>
  <c r="K45" i="5"/>
  <c r="I48" i="5"/>
  <c r="K50" i="5"/>
  <c r="L54" i="5"/>
  <c r="K61" i="5"/>
  <c r="K95" i="5"/>
  <c r="L97" i="5"/>
  <c r="J97" i="5"/>
  <c r="K97" i="5"/>
  <c r="I97" i="5"/>
  <c r="L101" i="5"/>
  <c r="K101" i="5"/>
  <c r="I101" i="5"/>
  <c r="J103" i="5"/>
  <c r="L106" i="5"/>
  <c r="K106" i="5"/>
  <c r="J106" i="5"/>
  <c r="I106" i="5"/>
  <c r="L109" i="5"/>
  <c r="K109" i="5"/>
  <c r="J109" i="5"/>
  <c r="I109" i="5"/>
  <c r="L71" i="5"/>
  <c r="J71" i="5"/>
  <c r="I125" i="5"/>
  <c r="K128" i="5"/>
  <c r="L128" i="5"/>
  <c r="J128" i="5"/>
  <c r="I128" i="5"/>
  <c r="L122" i="5"/>
  <c r="K122" i="5"/>
  <c r="J122" i="5"/>
  <c r="I122" i="5"/>
  <c r="L31" i="5"/>
  <c r="L34" i="5"/>
  <c r="L5" i="5"/>
  <c r="K5" i="5"/>
  <c r="J5" i="5"/>
  <c r="K52" i="5"/>
  <c r="J52" i="5"/>
  <c r="L17" i="5"/>
  <c r="I17" i="5"/>
  <c r="I74" i="5"/>
  <c r="I59" i="5"/>
  <c r="L61" i="5"/>
  <c r="L93" i="5"/>
  <c r="K93" i="5"/>
  <c r="J93" i="5"/>
  <c r="I93" i="5"/>
  <c r="L64" i="5"/>
  <c r="K64" i="5"/>
  <c r="J64" i="5"/>
  <c r="I65" i="5"/>
  <c r="K65" i="5"/>
  <c r="L103" i="5"/>
  <c r="K112" i="5"/>
  <c r="K125" i="5"/>
  <c r="L2" i="5"/>
  <c r="I2" i="5"/>
  <c r="I38" i="5"/>
  <c r="J43" i="5"/>
  <c r="K9" i="5"/>
  <c r="J9" i="5"/>
  <c r="O9" i="5" s="1"/>
  <c r="I75" i="5"/>
  <c r="K75" i="5"/>
  <c r="I88" i="5"/>
  <c r="K88" i="5"/>
  <c r="L98" i="5"/>
  <c r="K98" i="5"/>
  <c r="J98" i="5"/>
  <c r="I98" i="5"/>
  <c r="J69" i="5"/>
  <c r="I69" i="5"/>
  <c r="L69" i="5"/>
  <c r="J120" i="5"/>
  <c r="L123" i="5"/>
  <c r="K123" i="5"/>
  <c r="J123" i="5"/>
  <c r="I123" i="5"/>
  <c r="J126" i="5"/>
  <c r="I126" i="5"/>
  <c r="L126" i="5"/>
  <c r="I68" i="5"/>
  <c r="I107" i="5"/>
  <c r="I79" i="5"/>
  <c r="J68" i="5"/>
  <c r="J107" i="5"/>
  <c r="J79" i="5"/>
  <c r="K68" i="5"/>
  <c r="K107" i="5"/>
  <c r="K79" i="5"/>
  <c r="I114" i="5"/>
  <c r="L79" i="5"/>
  <c r="I121" i="5"/>
  <c r="I36" i="5"/>
  <c r="I47" i="5"/>
  <c r="I10" i="5"/>
  <c r="I62" i="5"/>
  <c r="J90" i="5"/>
  <c r="I96" i="5"/>
  <c r="J67" i="5"/>
  <c r="I104" i="5"/>
  <c r="J105" i="5"/>
  <c r="I113" i="5"/>
  <c r="J114" i="5"/>
  <c r="J121" i="5"/>
  <c r="J127" i="5"/>
  <c r="J144" i="5"/>
  <c r="I90" i="5"/>
  <c r="I105" i="5"/>
  <c r="J36" i="5"/>
  <c r="J47" i="5"/>
  <c r="J10" i="5"/>
  <c r="O10" i="5" s="1"/>
  <c r="J62" i="5"/>
  <c r="K90" i="5"/>
  <c r="J96" i="5"/>
  <c r="K67" i="5"/>
  <c r="J104" i="5"/>
  <c r="K105" i="5"/>
  <c r="J113" i="5"/>
  <c r="K114" i="5"/>
  <c r="K121" i="5"/>
  <c r="K127" i="5"/>
  <c r="K144" i="5"/>
  <c r="I67" i="5"/>
  <c r="L68" i="5"/>
  <c r="L107" i="5"/>
  <c r="N9" i="5" l="1"/>
  <c r="M9" i="5"/>
  <c r="N8" i="5"/>
  <c r="M8" i="5"/>
  <c r="N10" i="5"/>
  <c r="M10" i="5"/>
  <c r="N4" i="5"/>
  <c r="M4" i="5"/>
  <c r="M3" i="5"/>
  <c r="N3" i="5"/>
  <c r="N5" i="5"/>
  <c r="M5" i="5"/>
  <c r="H144" i="4"/>
  <c r="F144" i="4"/>
  <c r="D144" i="4"/>
  <c r="G144" i="4" s="1"/>
  <c r="H143" i="4"/>
  <c r="F143" i="4"/>
  <c r="D143" i="4"/>
  <c r="G143" i="4" s="1"/>
  <c r="H142" i="4"/>
  <c r="F142" i="4"/>
  <c r="D142" i="4"/>
  <c r="G142" i="4" s="1"/>
  <c r="L142" i="4" s="1"/>
  <c r="H120" i="4"/>
  <c r="F120" i="4"/>
  <c r="D120" i="4"/>
  <c r="G120" i="4" s="1"/>
  <c r="H124" i="4"/>
  <c r="F124" i="4"/>
  <c r="D124" i="4"/>
  <c r="G124" i="4" s="1"/>
  <c r="H123" i="4"/>
  <c r="F123" i="4"/>
  <c r="D123" i="4"/>
  <c r="G123" i="4" s="1"/>
  <c r="L123" i="4" s="1"/>
  <c r="H117" i="4"/>
  <c r="F117" i="4"/>
  <c r="D117" i="4"/>
  <c r="G117" i="4" s="1"/>
  <c r="H122" i="4"/>
  <c r="F122" i="4"/>
  <c r="D122" i="4"/>
  <c r="G122" i="4" s="1"/>
  <c r="H121" i="4"/>
  <c r="F121" i="4"/>
  <c r="D121" i="4"/>
  <c r="G121" i="4" s="1"/>
  <c r="L121" i="4" s="1"/>
  <c r="H118" i="4"/>
  <c r="F118" i="4"/>
  <c r="D118" i="4"/>
  <c r="G118" i="4" s="1"/>
  <c r="H110" i="4"/>
  <c r="F110" i="4"/>
  <c r="D110" i="4"/>
  <c r="G110" i="4" s="1"/>
  <c r="H106" i="4"/>
  <c r="F106" i="4"/>
  <c r="D106" i="4"/>
  <c r="G106" i="4" s="1"/>
  <c r="H109" i="4"/>
  <c r="F109" i="4"/>
  <c r="D109" i="4"/>
  <c r="G109" i="4" s="1"/>
  <c r="L109" i="4" s="1"/>
  <c r="H105" i="4"/>
  <c r="F105" i="4"/>
  <c r="D105" i="4"/>
  <c r="G105" i="4" s="1"/>
  <c r="O105" i="4" s="1"/>
  <c r="H104" i="4"/>
  <c r="F104" i="4"/>
  <c r="D104" i="4"/>
  <c r="G104" i="4" s="1"/>
  <c r="O104" i="4" s="1"/>
  <c r="H103" i="4"/>
  <c r="F103" i="4"/>
  <c r="D103" i="4"/>
  <c r="G103" i="4" s="1"/>
  <c r="O103" i="4" s="1"/>
  <c r="H102" i="4"/>
  <c r="F102" i="4"/>
  <c r="D102" i="4"/>
  <c r="G102" i="4" s="1"/>
  <c r="O102" i="4" s="1"/>
  <c r="H101" i="4"/>
  <c r="F101" i="4"/>
  <c r="D101" i="4"/>
  <c r="G101" i="4" s="1"/>
  <c r="H119" i="4"/>
  <c r="F119" i="4"/>
  <c r="D119" i="4"/>
  <c r="G119" i="4" s="1"/>
  <c r="L119" i="4" s="1"/>
  <c r="H100" i="4"/>
  <c r="F100" i="4"/>
  <c r="D100" i="4"/>
  <c r="G100" i="4" s="1"/>
  <c r="O100" i="4" s="1"/>
  <c r="H99" i="4"/>
  <c r="F99" i="4"/>
  <c r="D99" i="4"/>
  <c r="G99" i="4" s="1"/>
  <c r="O99" i="4" s="1"/>
  <c r="H98" i="4"/>
  <c r="F98" i="4"/>
  <c r="D98" i="4"/>
  <c r="G98" i="4" s="1"/>
  <c r="O98" i="4" s="1"/>
  <c r="H95" i="4"/>
  <c r="F95" i="4"/>
  <c r="D95" i="4"/>
  <c r="G95" i="4" s="1"/>
  <c r="O95" i="4" s="1"/>
  <c r="H94" i="4"/>
  <c r="F94" i="4"/>
  <c r="D94" i="4"/>
  <c r="G94" i="4" s="1"/>
  <c r="O94" i="4" s="1"/>
  <c r="H93" i="4"/>
  <c r="F93" i="4"/>
  <c r="D93" i="4"/>
  <c r="G93" i="4" s="1"/>
  <c r="H92" i="4"/>
  <c r="F92" i="4"/>
  <c r="D92" i="4"/>
  <c r="G92" i="4" s="1"/>
  <c r="O92" i="4" s="1"/>
  <c r="H91" i="4"/>
  <c r="F91" i="4"/>
  <c r="D91" i="4"/>
  <c r="G91" i="4" s="1"/>
  <c r="O91" i="4" s="1"/>
  <c r="H90" i="4"/>
  <c r="F90" i="4"/>
  <c r="D90" i="4"/>
  <c r="G90" i="4" s="1"/>
  <c r="O90" i="4" s="1"/>
  <c r="H80" i="4"/>
  <c r="F80" i="4"/>
  <c r="D80" i="4"/>
  <c r="G80" i="4" s="1"/>
  <c r="O80" i="4" s="1"/>
  <c r="H78" i="4"/>
  <c r="F78" i="4"/>
  <c r="D78" i="4"/>
  <c r="G78" i="4" s="1"/>
  <c r="H77" i="4"/>
  <c r="F77" i="4"/>
  <c r="D77" i="4"/>
  <c r="G77" i="4" s="1"/>
  <c r="H66" i="4"/>
  <c r="F66" i="4"/>
  <c r="D66" i="4"/>
  <c r="G66" i="4" s="1"/>
  <c r="O66" i="4" s="1"/>
  <c r="H71" i="4"/>
  <c r="F71" i="4"/>
  <c r="D71" i="4"/>
  <c r="G71" i="4" s="1"/>
  <c r="H65" i="4"/>
  <c r="F65" i="4"/>
  <c r="D65" i="4"/>
  <c r="G65" i="4" s="1"/>
  <c r="O65" i="4" s="1"/>
  <c r="H64" i="4"/>
  <c r="F64" i="4"/>
  <c r="D64" i="4"/>
  <c r="G64" i="4" s="1"/>
  <c r="O64" i="4" s="1"/>
  <c r="H97" i="4"/>
  <c r="F97" i="4"/>
  <c r="D97" i="4"/>
  <c r="G97" i="4" s="1"/>
  <c r="H96" i="4"/>
  <c r="F96" i="4"/>
  <c r="D96" i="4"/>
  <c r="G96" i="4" s="1"/>
  <c r="O96" i="4" s="1"/>
  <c r="H88" i="4"/>
  <c r="F88" i="4"/>
  <c r="D88" i="4"/>
  <c r="G88" i="4" s="1"/>
  <c r="O88" i="4" s="1"/>
  <c r="H76" i="4"/>
  <c r="F76" i="4"/>
  <c r="D76" i="4"/>
  <c r="G76" i="4" s="1"/>
  <c r="O76" i="4" s="1"/>
  <c r="H75" i="4"/>
  <c r="F75" i="4"/>
  <c r="D75" i="4"/>
  <c r="G75" i="4" s="1"/>
  <c r="O75" i="4" s="1"/>
  <c r="H74" i="4"/>
  <c r="F74" i="4"/>
  <c r="D74" i="4"/>
  <c r="G74" i="4" s="1"/>
  <c r="O74" i="4" s="1"/>
  <c r="H79" i="4"/>
  <c r="F79" i="4"/>
  <c r="D79" i="4"/>
  <c r="G79" i="4" s="1"/>
  <c r="O79" i="4" s="1"/>
  <c r="H60" i="4"/>
  <c r="F60" i="4"/>
  <c r="D60" i="4"/>
  <c r="G60" i="4" s="1"/>
  <c r="H89" i="4"/>
  <c r="F89" i="4"/>
  <c r="D89" i="4"/>
  <c r="G89" i="4" s="1"/>
  <c r="O89" i="4" s="1"/>
  <c r="H86" i="4"/>
  <c r="F86" i="4"/>
  <c r="D86" i="4"/>
  <c r="G86" i="4" s="1"/>
  <c r="O86" i="4" s="1"/>
  <c r="H85" i="4"/>
  <c r="F85" i="4"/>
  <c r="D85" i="4"/>
  <c r="G85" i="4" s="1"/>
  <c r="O85" i="4" s="1"/>
  <c r="H84" i="4"/>
  <c r="F84" i="4"/>
  <c r="D84" i="4"/>
  <c r="G84" i="4" s="1"/>
  <c r="O84" i="4" s="1"/>
  <c r="H73" i="4"/>
  <c r="F73" i="4"/>
  <c r="D73" i="4"/>
  <c r="G73" i="4" s="1"/>
  <c r="O73" i="4" s="1"/>
  <c r="H83" i="4"/>
  <c r="F83" i="4"/>
  <c r="D83" i="4"/>
  <c r="G83" i="4" s="1"/>
  <c r="H82" i="4"/>
  <c r="F82" i="4"/>
  <c r="D82" i="4"/>
  <c r="G82" i="4" s="1"/>
  <c r="O82" i="4" s="1"/>
  <c r="H81" i="4"/>
  <c r="F81" i="4"/>
  <c r="D81" i="4"/>
  <c r="G81" i="4" s="1"/>
  <c r="O81" i="4" s="1"/>
  <c r="H72" i="4"/>
  <c r="F72" i="4"/>
  <c r="D72" i="4"/>
  <c r="G72" i="4" s="1"/>
  <c r="O72" i="4" s="1"/>
  <c r="H70" i="4"/>
  <c r="F70" i="4"/>
  <c r="D70" i="4"/>
  <c r="G70" i="4" s="1"/>
  <c r="O70" i="4" s="1"/>
  <c r="H69" i="4"/>
  <c r="F69" i="4"/>
  <c r="D69" i="4"/>
  <c r="G69" i="4" s="1"/>
  <c r="O69" i="4" s="1"/>
  <c r="H68" i="4"/>
  <c r="F68" i="4"/>
  <c r="D68" i="4"/>
  <c r="G68" i="4" s="1"/>
  <c r="H67" i="4"/>
  <c r="F67" i="4"/>
  <c r="D67" i="4"/>
  <c r="G67" i="4" s="1"/>
  <c r="O67" i="4" s="1"/>
  <c r="H63" i="4"/>
  <c r="F63" i="4"/>
  <c r="D63" i="4"/>
  <c r="G63" i="4" s="1"/>
  <c r="O63" i="4" s="1"/>
  <c r="H62" i="4"/>
  <c r="F62" i="4"/>
  <c r="D62" i="4"/>
  <c r="G62" i="4" s="1"/>
  <c r="O62" i="4" s="1"/>
  <c r="H61" i="4"/>
  <c r="F61" i="4"/>
  <c r="D61" i="4"/>
  <c r="G61" i="4" s="1"/>
  <c r="O61" i="4" s="1"/>
  <c r="H59" i="4"/>
  <c r="F59" i="4"/>
  <c r="D59" i="4"/>
  <c r="G59" i="4" s="1"/>
  <c r="H50" i="4"/>
  <c r="F50" i="4"/>
  <c r="D50" i="4"/>
  <c r="G50" i="4" s="1"/>
  <c r="H49" i="4"/>
  <c r="F49" i="4"/>
  <c r="D49" i="4"/>
  <c r="G49" i="4" s="1"/>
  <c r="H48" i="4"/>
  <c r="F48" i="4"/>
  <c r="D48" i="4"/>
  <c r="G48" i="4" s="1"/>
  <c r="L48" i="4" s="1"/>
  <c r="H41" i="4"/>
  <c r="F41" i="4"/>
  <c r="D41" i="4"/>
  <c r="G41" i="4" s="1"/>
  <c r="L41" i="4" s="1"/>
  <c r="H40" i="4"/>
  <c r="F40" i="4"/>
  <c r="D40" i="4"/>
  <c r="G40" i="4" s="1"/>
  <c r="H33" i="4"/>
  <c r="F33" i="4"/>
  <c r="D33" i="4"/>
  <c r="G33" i="4" s="1"/>
  <c r="O33" i="4" s="1"/>
  <c r="H11" i="4"/>
  <c r="F11" i="4"/>
  <c r="D11" i="4"/>
  <c r="G11" i="4" s="1"/>
  <c r="O11" i="4" s="1"/>
  <c r="H38" i="4"/>
  <c r="F38" i="4"/>
  <c r="D38" i="4"/>
  <c r="G38" i="4" s="1"/>
  <c r="H35" i="4"/>
  <c r="F35" i="4"/>
  <c r="D35" i="4"/>
  <c r="G35" i="4" s="1"/>
  <c r="O35" i="4" s="1"/>
  <c r="H34" i="4"/>
  <c r="F34" i="4"/>
  <c r="D34" i="4"/>
  <c r="G34" i="4" s="1"/>
  <c r="O34" i="4" s="1"/>
  <c r="H32" i="4"/>
  <c r="F32" i="4"/>
  <c r="D32" i="4"/>
  <c r="G32" i="4" s="1"/>
  <c r="O32" i="4" s="1"/>
  <c r="H39" i="4"/>
  <c r="F39" i="4"/>
  <c r="D39" i="4"/>
  <c r="G39" i="4" s="1"/>
  <c r="H31" i="4"/>
  <c r="F31" i="4"/>
  <c r="D31" i="4"/>
  <c r="G31" i="4" s="1"/>
  <c r="O31" i="4" s="1"/>
  <c r="H44" i="4"/>
  <c r="F44" i="4"/>
  <c r="D44" i="4"/>
  <c r="G44" i="4" s="1"/>
  <c r="H43" i="4"/>
  <c r="F43" i="4"/>
  <c r="D43" i="4"/>
  <c r="G43" i="4" s="1"/>
  <c r="H42" i="4"/>
  <c r="F42" i="4"/>
  <c r="D42" i="4"/>
  <c r="G42" i="4" s="1"/>
  <c r="H24" i="4"/>
  <c r="F24" i="4"/>
  <c r="D24" i="4"/>
  <c r="G24" i="4" s="1"/>
  <c r="O24" i="4" s="1"/>
  <c r="H23" i="4"/>
  <c r="F23" i="4"/>
  <c r="D23" i="4"/>
  <c r="G23" i="4" s="1"/>
  <c r="O23" i="4" s="1"/>
  <c r="H22" i="4"/>
  <c r="F22" i="4"/>
  <c r="D22" i="4"/>
  <c r="G22" i="4" s="1"/>
  <c r="I22" i="4" s="1"/>
  <c r="H21" i="4"/>
  <c r="F21" i="4"/>
  <c r="D21" i="4"/>
  <c r="G21" i="4" s="1"/>
  <c r="H19" i="4"/>
  <c r="F19" i="4"/>
  <c r="D19" i="4"/>
  <c r="G19" i="4" s="1"/>
  <c r="O19" i="4" s="1"/>
  <c r="H18" i="4"/>
  <c r="F18" i="4"/>
  <c r="D18" i="4"/>
  <c r="G18" i="4" s="1"/>
  <c r="O18" i="4" s="1"/>
  <c r="H14" i="4"/>
  <c r="F14" i="4"/>
  <c r="D14" i="4"/>
  <c r="G14" i="4" s="1"/>
  <c r="H13" i="4"/>
  <c r="F13" i="4"/>
  <c r="D13" i="4"/>
  <c r="G13" i="4" s="1"/>
  <c r="H12" i="4"/>
  <c r="F12" i="4"/>
  <c r="D12" i="4"/>
  <c r="G12" i="4" s="1"/>
  <c r="O12" i="4" s="1"/>
  <c r="H20" i="4"/>
  <c r="F20" i="4"/>
  <c r="D20" i="4"/>
  <c r="G20" i="4" s="1"/>
  <c r="O20" i="4" s="1"/>
  <c r="H17" i="4"/>
  <c r="F17" i="4"/>
  <c r="D17" i="4"/>
  <c r="G17" i="4" s="1"/>
  <c r="O17" i="4" s="1"/>
  <c r="H16" i="4"/>
  <c r="F16" i="4"/>
  <c r="D16" i="4"/>
  <c r="G16" i="4" s="1"/>
  <c r="O16" i="4" s="1"/>
  <c r="H15" i="4"/>
  <c r="F15" i="4"/>
  <c r="D15" i="4"/>
  <c r="G15" i="4" s="1"/>
  <c r="O15" i="4" s="1"/>
  <c r="H10" i="4"/>
  <c r="F10" i="4"/>
  <c r="D10" i="4"/>
  <c r="G10" i="4" s="1"/>
  <c r="O10" i="4" s="1"/>
  <c r="H9" i="4"/>
  <c r="F9" i="4"/>
  <c r="D9" i="4"/>
  <c r="G9" i="4" s="1"/>
  <c r="H8" i="4"/>
  <c r="F8" i="4"/>
  <c r="D8" i="4"/>
  <c r="G8" i="4" s="1"/>
  <c r="O8" i="4" s="1"/>
  <c r="H7" i="4"/>
  <c r="F7" i="4"/>
  <c r="D7" i="4"/>
  <c r="G7" i="4" s="1"/>
  <c r="H6" i="4"/>
  <c r="F6" i="4"/>
  <c r="D6" i="4"/>
  <c r="G6" i="4" s="1"/>
  <c r="O6" i="4" s="1"/>
  <c r="H5" i="4"/>
  <c r="F5" i="4"/>
  <c r="D5" i="4"/>
  <c r="G5" i="4" s="1"/>
  <c r="O5" i="4" s="1"/>
  <c r="H4" i="4"/>
  <c r="F4" i="4"/>
  <c r="D4" i="4"/>
  <c r="G4" i="4" s="1"/>
  <c r="H3" i="4"/>
  <c r="F3" i="4"/>
  <c r="D3" i="4"/>
  <c r="G3" i="4" s="1"/>
  <c r="O3" i="4" s="1"/>
  <c r="H2" i="4"/>
  <c r="F2" i="4"/>
  <c r="D2" i="4"/>
  <c r="G2" i="4" s="1"/>
  <c r="O2" i="4" s="1"/>
  <c r="H13" i="3"/>
  <c r="F13" i="3"/>
  <c r="D13" i="3"/>
  <c r="G13" i="3" s="1"/>
  <c r="M13" i="3" s="1"/>
  <c r="H9" i="3"/>
  <c r="F9" i="3"/>
  <c r="D9" i="3"/>
  <c r="G9" i="3" s="1"/>
  <c r="M9" i="3" s="1"/>
  <c r="H11" i="3"/>
  <c r="F11" i="3"/>
  <c r="D11" i="3"/>
  <c r="G11" i="3" s="1"/>
  <c r="M11" i="3" s="1"/>
  <c r="H22" i="3"/>
  <c r="F22" i="3"/>
  <c r="D22" i="3"/>
  <c r="G22" i="3" s="1"/>
  <c r="M22" i="3" s="1"/>
  <c r="H25" i="3"/>
  <c r="F25" i="3"/>
  <c r="D25" i="3"/>
  <c r="G25" i="3" s="1"/>
  <c r="M25" i="3" s="1"/>
  <c r="H42" i="3"/>
  <c r="F42" i="3"/>
  <c r="D42" i="3"/>
  <c r="G42" i="3" s="1"/>
  <c r="H17" i="3"/>
  <c r="F17" i="3"/>
  <c r="D17" i="3"/>
  <c r="G17" i="3" s="1"/>
  <c r="M17" i="3" s="1"/>
  <c r="H33" i="3"/>
  <c r="F33" i="3"/>
  <c r="D33" i="3"/>
  <c r="G33" i="3" s="1"/>
  <c r="M33" i="3" s="1"/>
  <c r="H40" i="3"/>
  <c r="F40" i="3"/>
  <c r="D40" i="3"/>
  <c r="G40" i="3" s="1"/>
  <c r="H84" i="3"/>
  <c r="F84" i="3"/>
  <c r="D84" i="3"/>
  <c r="G84" i="3" s="1"/>
  <c r="O84" i="3" s="1"/>
  <c r="H100" i="3"/>
  <c r="F100" i="3"/>
  <c r="D100" i="3"/>
  <c r="G100" i="3" s="1"/>
  <c r="H99" i="3"/>
  <c r="F99" i="3"/>
  <c r="D99" i="3"/>
  <c r="G99" i="3" s="1"/>
  <c r="H93" i="3"/>
  <c r="F93" i="3"/>
  <c r="D93" i="3"/>
  <c r="G93" i="3" s="1"/>
  <c r="H124" i="3"/>
  <c r="F124" i="3"/>
  <c r="D124" i="3"/>
  <c r="G124" i="3" s="1"/>
  <c r="H123" i="3"/>
  <c r="F123" i="3"/>
  <c r="D123" i="3"/>
  <c r="G123" i="3" s="1"/>
  <c r="H103" i="3"/>
  <c r="F103" i="3"/>
  <c r="D103" i="3"/>
  <c r="G103" i="3" s="1"/>
  <c r="H82" i="3"/>
  <c r="F82" i="3"/>
  <c r="D82" i="3"/>
  <c r="G82" i="3" s="1"/>
  <c r="O82" i="3" s="1"/>
  <c r="H102" i="3"/>
  <c r="F102" i="3"/>
  <c r="D102" i="3"/>
  <c r="G102" i="3" s="1"/>
  <c r="H107" i="3"/>
  <c r="F107" i="3"/>
  <c r="D107" i="3"/>
  <c r="G107" i="3" s="1"/>
  <c r="H98" i="3"/>
  <c r="F98" i="3"/>
  <c r="D98" i="3"/>
  <c r="G98" i="3" s="1"/>
  <c r="H110" i="3"/>
  <c r="F110" i="3"/>
  <c r="D110" i="3"/>
  <c r="G110" i="3" s="1"/>
  <c r="H97" i="3"/>
  <c r="F97" i="3"/>
  <c r="D97" i="3"/>
  <c r="G97" i="3" s="1"/>
  <c r="H96" i="3"/>
  <c r="F96" i="3"/>
  <c r="D96" i="3"/>
  <c r="G96" i="3" s="1"/>
  <c r="H95" i="3"/>
  <c r="F95" i="3"/>
  <c r="D95" i="3"/>
  <c r="G95" i="3" s="1"/>
  <c r="H66" i="3"/>
  <c r="F66" i="3"/>
  <c r="D66" i="3"/>
  <c r="G66" i="3" s="1"/>
  <c r="H122" i="3"/>
  <c r="F122" i="3"/>
  <c r="D122" i="3"/>
  <c r="G122" i="3" s="1"/>
  <c r="L122" i="3" s="1"/>
  <c r="D144" i="3"/>
  <c r="G144" i="3" s="1"/>
  <c r="H144" i="3"/>
  <c r="F144" i="3"/>
  <c r="D143" i="3"/>
  <c r="G143" i="3" s="1"/>
  <c r="H143" i="3"/>
  <c r="F143" i="3"/>
  <c r="D142" i="3"/>
  <c r="G142" i="3" s="1"/>
  <c r="H142" i="3"/>
  <c r="F142" i="3"/>
  <c r="D121" i="3"/>
  <c r="G121" i="3" s="1"/>
  <c r="I121" i="3" s="1"/>
  <c r="H121" i="3"/>
  <c r="F121" i="3"/>
  <c r="D120" i="3"/>
  <c r="G120" i="3" s="1"/>
  <c r="L120" i="3" s="1"/>
  <c r="H120" i="3"/>
  <c r="F120" i="3"/>
  <c r="D119" i="3"/>
  <c r="G119" i="3" s="1"/>
  <c r="H119" i="3"/>
  <c r="F119" i="3"/>
  <c r="D118" i="3"/>
  <c r="G118" i="3" s="1"/>
  <c r="I118" i="3" s="1"/>
  <c r="H118" i="3"/>
  <c r="F118" i="3"/>
  <c r="D117" i="3"/>
  <c r="G117" i="3" s="1"/>
  <c r="H117" i="3"/>
  <c r="F117" i="3"/>
  <c r="D104" i="3"/>
  <c r="G104" i="3" s="1"/>
  <c r="H104" i="3"/>
  <c r="F104" i="3"/>
  <c r="D89" i="3"/>
  <c r="G89" i="3" s="1"/>
  <c r="H89" i="3"/>
  <c r="F89" i="3"/>
  <c r="D90" i="3"/>
  <c r="G90" i="3" s="1"/>
  <c r="L90" i="3" s="1"/>
  <c r="H90" i="3"/>
  <c r="F90" i="3"/>
  <c r="D101" i="3"/>
  <c r="G101" i="3" s="1"/>
  <c r="H101" i="3"/>
  <c r="F101" i="3"/>
  <c r="D109" i="3"/>
  <c r="G109" i="3" s="1"/>
  <c r="I109" i="3" s="1"/>
  <c r="H109" i="3"/>
  <c r="F109" i="3"/>
  <c r="D105" i="3"/>
  <c r="G105" i="3" s="1"/>
  <c r="H105" i="3"/>
  <c r="F105" i="3"/>
  <c r="D94" i="3"/>
  <c r="G94" i="3" s="1"/>
  <c r="H94" i="3"/>
  <c r="F94" i="3"/>
  <c r="D72" i="3"/>
  <c r="G72" i="3" s="1"/>
  <c r="I72" i="3" s="1"/>
  <c r="H72" i="3"/>
  <c r="F72" i="3"/>
  <c r="D92" i="3"/>
  <c r="G92" i="3" s="1"/>
  <c r="L92" i="3" s="1"/>
  <c r="H92" i="3"/>
  <c r="F92" i="3"/>
  <c r="D88" i="3"/>
  <c r="G88" i="3" s="1"/>
  <c r="H88" i="3"/>
  <c r="F88" i="3"/>
  <c r="D80" i="3"/>
  <c r="G80" i="3" s="1"/>
  <c r="I80" i="3" s="1"/>
  <c r="H80" i="3"/>
  <c r="F80" i="3"/>
  <c r="D106" i="3"/>
  <c r="G106" i="3" s="1"/>
  <c r="H106" i="3"/>
  <c r="F106" i="3"/>
  <c r="D81" i="3"/>
  <c r="G81" i="3" s="1"/>
  <c r="O81" i="3" s="1"/>
  <c r="H81" i="3"/>
  <c r="F81" i="3"/>
  <c r="D67" i="3"/>
  <c r="G67" i="3" s="1"/>
  <c r="H67" i="3"/>
  <c r="F67" i="3"/>
  <c r="D91" i="3"/>
  <c r="G91" i="3" s="1"/>
  <c r="L91" i="3" s="1"/>
  <c r="H91" i="3"/>
  <c r="F91" i="3"/>
  <c r="D48" i="3"/>
  <c r="G48" i="3" s="1"/>
  <c r="H48" i="3"/>
  <c r="F48" i="3"/>
  <c r="D83" i="3"/>
  <c r="G83" i="3" s="1"/>
  <c r="O83" i="3" s="1"/>
  <c r="H83" i="3"/>
  <c r="F83" i="3"/>
  <c r="D47" i="3"/>
  <c r="G47" i="3" s="1"/>
  <c r="H47" i="3"/>
  <c r="F47" i="3"/>
  <c r="D46" i="3"/>
  <c r="G46" i="3" s="1"/>
  <c r="H46" i="3"/>
  <c r="F46" i="3"/>
  <c r="D79" i="3"/>
  <c r="G79" i="3" s="1"/>
  <c r="O79" i="3" s="1"/>
  <c r="H79" i="3"/>
  <c r="F79" i="3"/>
  <c r="D75" i="3"/>
  <c r="G75" i="3" s="1"/>
  <c r="L75" i="3" s="1"/>
  <c r="H75" i="3"/>
  <c r="F75" i="3"/>
  <c r="D78" i="3"/>
  <c r="G78" i="3" s="1"/>
  <c r="O78" i="3" s="1"/>
  <c r="H78" i="3"/>
  <c r="F78" i="3"/>
  <c r="D60" i="3"/>
  <c r="G60" i="3" s="1"/>
  <c r="I60" i="3" s="1"/>
  <c r="H60" i="3"/>
  <c r="F60" i="3"/>
  <c r="D68" i="3"/>
  <c r="G68" i="3" s="1"/>
  <c r="H68" i="3"/>
  <c r="F68" i="3"/>
  <c r="D73" i="3"/>
  <c r="G73" i="3" s="1"/>
  <c r="H73" i="3"/>
  <c r="F73" i="3"/>
  <c r="D71" i="3"/>
  <c r="G71" i="3" s="1"/>
  <c r="H71" i="3"/>
  <c r="F71" i="3"/>
  <c r="D111" i="3"/>
  <c r="G111" i="3" s="1"/>
  <c r="L111" i="3" s="1"/>
  <c r="H111" i="3"/>
  <c r="F111" i="3"/>
  <c r="D61" i="3"/>
  <c r="G61" i="3" s="1"/>
  <c r="H61" i="3"/>
  <c r="F61" i="3"/>
  <c r="D69" i="3"/>
  <c r="G69" i="3" s="1"/>
  <c r="I69" i="3" s="1"/>
  <c r="H69" i="3"/>
  <c r="F69" i="3"/>
  <c r="D65" i="3"/>
  <c r="G65" i="3" s="1"/>
  <c r="H65" i="3"/>
  <c r="F65" i="3"/>
  <c r="D108" i="3"/>
  <c r="G108" i="3" s="1"/>
  <c r="H108" i="3"/>
  <c r="F108" i="3"/>
  <c r="D59" i="3"/>
  <c r="G59" i="3" s="1"/>
  <c r="I59" i="3" s="1"/>
  <c r="H59" i="3"/>
  <c r="F59" i="3"/>
  <c r="D64" i="3"/>
  <c r="G64" i="3" s="1"/>
  <c r="L64" i="3" s="1"/>
  <c r="H64" i="3"/>
  <c r="F64" i="3"/>
  <c r="D74" i="3"/>
  <c r="G74" i="3" s="1"/>
  <c r="H74" i="3"/>
  <c r="F74" i="3"/>
  <c r="D70" i="3"/>
  <c r="G70" i="3" s="1"/>
  <c r="I70" i="3" s="1"/>
  <c r="H70" i="3"/>
  <c r="F70" i="3"/>
  <c r="D63" i="3"/>
  <c r="G63" i="3" s="1"/>
  <c r="H63" i="3"/>
  <c r="F63" i="3"/>
  <c r="D85" i="3"/>
  <c r="G85" i="3" s="1"/>
  <c r="O85" i="3" s="1"/>
  <c r="H85" i="3"/>
  <c r="F85" i="3"/>
  <c r="D62" i="3"/>
  <c r="G62" i="3" s="1"/>
  <c r="H62" i="3"/>
  <c r="F62" i="3"/>
  <c r="D28" i="3"/>
  <c r="G28" i="3" s="1"/>
  <c r="L28" i="3" s="1"/>
  <c r="H28" i="3"/>
  <c r="F28" i="3"/>
  <c r="D38" i="3"/>
  <c r="G38" i="3" s="1"/>
  <c r="H38" i="3"/>
  <c r="F38" i="3"/>
  <c r="D41" i="3"/>
  <c r="G41" i="3" s="1"/>
  <c r="I41" i="3" s="1"/>
  <c r="H41" i="3"/>
  <c r="F41" i="3"/>
  <c r="D34" i="3"/>
  <c r="G34" i="3" s="1"/>
  <c r="K34" i="3" s="1"/>
  <c r="H34" i="3"/>
  <c r="F34" i="3"/>
  <c r="D35" i="3"/>
  <c r="G35" i="3" s="1"/>
  <c r="M35" i="3" s="1"/>
  <c r="H35" i="3"/>
  <c r="F35" i="3"/>
  <c r="D31" i="3"/>
  <c r="G31" i="3" s="1"/>
  <c r="M31" i="3" s="1"/>
  <c r="H31" i="3"/>
  <c r="F31" i="3"/>
  <c r="D39" i="3"/>
  <c r="G39" i="3" s="1"/>
  <c r="L39" i="3" s="1"/>
  <c r="H39" i="3"/>
  <c r="F39" i="3"/>
  <c r="D27" i="3"/>
  <c r="G27" i="3" s="1"/>
  <c r="M27" i="3" s="1"/>
  <c r="H27" i="3"/>
  <c r="F27" i="3"/>
  <c r="D24" i="3"/>
  <c r="G24" i="3" s="1"/>
  <c r="I24" i="3" s="1"/>
  <c r="H24" i="3"/>
  <c r="F24" i="3"/>
  <c r="D23" i="3"/>
  <c r="G23" i="3" s="1"/>
  <c r="M23" i="3" s="1"/>
  <c r="H23" i="3"/>
  <c r="F23" i="3"/>
  <c r="D32" i="3"/>
  <c r="G32" i="3" s="1"/>
  <c r="M32" i="3" s="1"/>
  <c r="H32" i="3"/>
  <c r="F32" i="3"/>
  <c r="D26" i="3"/>
  <c r="G26" i="3" s="1"/>
  <c r="M26" i="3" s="1"/>
  <c r="H26" i="3"/>
  <c r="F26" i="3"/>
  <c r="D19" i="3"/>
  <c r="G19" i="3" s="1"/>
  <c r="L19" i="3" s="1"/>
  <c r="H19" i="3"/>
  <c r="F19" i="3"/>
  <c r="D18" i="3"/>
  <c r="G18" i="3" s="1"/>
  <c r="M18" i="3" s="1"/>
  <c r="H18" i="3"/>
  <c r="F18" i="3"/>
  <c r="D20" i="3"/>
  <c r="G20" i="3" s="1"/>
  <c r="M20" i="3" s="1"/>
  <c r="H20" i="3"/>
  <c r="F20" i="3"/>
  <c r="D21" i="3"/>
  <c r="G21" i="3" s="1"/>
  <c r="M21" i="3" s="1"/>
  <c r="H21" i="3"/>
  <c r="F21" i="3"/>
  <c r="D10" i="3"/>
  <c r="G10" i="3" s="1"/>
  <c r="M10" i="3" s="1"/>
  <c r="H10" i="3"/>
  <c r="F10" i="3"/>
  <c r="D2" i="3"/>
  <c r="G2" i="3" s="1"/>
  <c r="H2" i="3"/>
  <c r="F2" i="3"/>
  <c r="D4" i="3"/>
  <c r="G4" i="3" s="1"/>
  <c r="L4" i="3" s="1"/>
  <c r="H4" i="3"/>
  <c r="F4" i="3"/>
  <c r="D8" i="3"/>
  <c r="G8" i="3" s="1"/>
  <c r="M8" i="3" s="1"/>
  <c r="H8" i="3"/>
  <c r="F8" i="3"/>
  <c r="D7" i="3"/>
  <c r="G7" i="3" s="1"/>
  <c r="I7" i="3" s="1"/>
  <c r="H7" i="3"/>
  <c r="F7" i="3"/>
  <c r="D12" i="3"/>
  <c r="G12" i="3" s="1"/>
  <c r="M12" i="3" s="1"/>
  <c r="H12" i="3"/>
  <c r="F12" i="3"/>
  <c r="D14" i="3"/>
  <c r="G14" i="3" s="1"/>
  <c r="M14" i="3" s="1"/>
  <c r="H14" i="3"/>
  <c r="F14" i="3"/>
  <c r="D6" i="3"/>
  <c r="G6" i="3" s="1"/>
  <c r="H6" i="3"/>
  <c r="F6" i="3"/>
  <c r="D3" i="3"/>
  <c r="G3" i="3" s="1"/>
  <c r="L3" i="3" s="1"/>
  <c r="H3" i="3"/>
  <c r="F3" i="3"/>
  <c r="D5" i="3"/>
  <c r="G5" i="3" s="1"/>
  <c r="M5" i="3" s="1"/>
  <c r="H5" i="3"/>
  <c r="F5" i="3"/>
  <c r="D144" i="2"/>
  <c r="G144" i="2"/>
  <c r="F144" i="2"/>
  <c r="H144" i="2"/>
  <c r="D143" i="2"/>
  <c r="G143" i="2"/>
  <c r="F143" i="2"/>
  <c r="H143" i="2"/>
  <c r="D142" i="2"/>
  <c r="G142" i="2"/>
  <c r="F142" i="2"/>
  <c r="H142" i="2"/>
  <c r="D52" i="2"/>
  <c r="G52" i="2"/>
  <c r="I52" i="2"/>
  <c r="D53" i="2"/>
  <c r="G53" i="2"/>
  <c r="I53" i="2"/>
  <c r="D54" i="2"/>
  <c r="G54" i="2"/>
  <c r="F52" i="2"/>
  <c r="F53" i="2"/>
  <c r="F54" i="2"/>
  <c r="H52" i="2"/>
  <c r="H53" i="2"/>
  <c r="H54" i="2"/>
  <c r="H62" i="2"/>
  <c r="F62" i="2"/>
  <c r="D62" i="2"/>
  <c r="G62" i="2"/>
  <c r="H76" i="2"/>
  <c r="F76" i="2"/>
  <c r="D76" i="2"/>
  <c r="G76" i="2"/>
  <c r="H84" i="2"/>
  <c r="F84" i="2"/>
  <c r="D84" i="2"/>
  <c r="G84" i="2"/>
  <c r="H94" i="2"/>
  <c r="F94" i="2"/>
  <c r="D94" i="2"/>
  <c r="G94" i="2"/>
  <c r="H96" i="2"/>
  <c r="F96" i="2"/>
  <c r="D96" i="2"/>
  <c r="G96" i="2"/>
  <c r="L96" i="2"/>
  <c r="H90" i="2"/>
  <c r="F90" i="2"/>
  <c r="D90" i="2"/>
  <c r="G90" i="2"/>
  <c r="H61" i="2"/>
  <c r="F61" i="2"/>
  <c r="D61" i="2"/>
  <c r="G61" i="2"/>
  <c r="K61" i="2"/>
  <c r="H83" i="2"/>
  <c r="F83" i="2"/>
  <c r="D83" i="2"/>
  <c r="G83" i="2"/>
  <c r="H73" i="2"/>
  <c r="F73" i="2"/>
  <c r="D73" i="2"/>
  <c r="G73" i="2"/>
  <c r="H77" i="2"/>
  <c r="F77" i="2"/>
  <c r="D77" i="2"/>
  <c r="G77" i="2"/>
  <c r="H100" i="2"/>
  <c r="F100" i="2"/>
  <c r="D100" i="2"/>
  <c r="G100" i="2"/>
  <c r="L100" i="2"/>
  <c r="H67" i="2"/>
  <c r="F67" i="2"/>
  <c r="D67" i="2"/>
  <c r="G67" i="2"/>
  <c r="H101" i="2"/>
  <c r="F101" i="2"/>
  <c r="D101" i="2"/>
  <c r="G101" i="2"/>
  <c r="I101" i="2"/>
  <c r="H64" i="2"/>
  <c r="F64" i="2"/>
  <c r="D64" i="2"/>
  <c r="G64" i="2"/>
  <c r="H106" i="2"/>
  <c r="F106" i="2"/>
  <c r="D106" i="2"/>
  <c r="G106" i="2"/>
  <c r="H88" i="2"/>
  <c r="F88" i="2"/>
  <c r="D88" i="2"/>
  <c r="G88" i="2"/>
  <c r="H80" i="2"/>
  <c r="F80" i="2"/>
  <c r="D80" i="2"/>
  <c r="G80" i="2"/>
  <c r="I80" i="2"/>
  <c r="H92" i="2"/>
  <c r="F92" i="2"/>
  <c r="D92" i="2"/>
  <c r="G92" i="2"/>
  <c r="H99" i="2"/>
  <c r="F99" i="2"/>
  <c r="D99" i="2"/>
  <c r="G99" i="2"/>
  <c r="H81" i="2"/>
  <c r="F81" i="2"/>
  <c r="D81" i="2"/>
  <c r="G81" i="2"/>
  <c r="H98" i="2"/>
  <c r="F98" i="2"/>
  <c r="D98" i="2"/>
  <c r="G98" i="2"/>
  <c r="H65" i="2"/>
  <c r="F65" i="2"/>
  <c r="D65" i="2"/>
  <c r="G65" i="2"/>
  <c r="H59" i="2"/>
  <c r="F59" i="2"/>
  <c r="D59" i="2"/>
  <c r="G59" i="2"/>
  <c r="H70" i="2"/>
  <c r="F70" i="2"/>
  <c r="D70" i="2"/>
  <c r="G70" i="2"/>
  <c r="L70" i="2"/>
  <c r="H91" i="2"/>
  <c r="F91" i="2"/>
  <c r="D91" i="2"/>
  <c r="G91" i="2"/>
  <c r="L91" i="2"/>
  <c r="H60" i="2"/>
  <c r="F60" i="2"/>
  <c r="D60" i="2"/>
  <c r="G60" i="2"/>
  <c r="L60" i="2"/>
  <c r="H68" i="2"/>
  <c r="F68" i="2"/>
  <c r="D68" i="2"/>
  <c r="G68" i="2"/>
  <c r="H72" i="2"/>
  <c r="F72" i="2"/>
  <c r="D72" i="2"/>
  <c r="G72" i="2"/>
  <c r="H63" i="2"/>
  <c r="F63" i="2"/>
  <c r="D63" i="2"/>
  <c r="G63" i="2"/>
  <c r="H95" i="2"/>
  <c r="F95" i="2"/>
  <c r="D95" i="2"/>
  <c r="G95" i="2"/>
  <c r="H66" i="2"/>
  <c r="F66" i="2"/>
  <c r="D66" i="2"/>
  <c r="G66" i="2"/>
  <c r="H97" i="2"/>
  <c r="F97" i="2"/>
  <c r="D97" i="2"/>
  <c r="G97" i="2"/>
  <c r="L97" i="2"/>
  <c r="H71" i="2"/>
  <c r="F71" i="2"/>
  <c r="D71" i="2"/>
  <c r="G71" i="2"/>
  <c r="H108" i="2"/>
  <c r="F108" i="2"/>
  <c r="D108" i="2"/>
  <c r="G108" i="2"/>
  <c r="H107" i="2"/>
  <c r="F107" i="2"/>
  <c r="D107" i="2"/>
  <c r="G107" i="2"/>
  <c r="L107" i="2"/>
  <c r="H104" i="2"/>
  <c r="F104" i="2"/>
  <c r="D104" i="2"/>
  <c r="G104" i="2"/>
  <c r="H109" i="2"/>
  <c r="F109" i="2"/>
  <c r="D109" i="2"/>
  <c r="G109" i="2"/>
  <c r="H105" i="2"/>
  <c r="F105" i="2"/>
  <c r="D105" i="2"/>
  <c r="G105" i="2"/>
  <c r="L105" i="2"/>
  <c r="H69" i="2"/>
  <c r="F69" i="2"/>
  <c r="D69" i="2"/>
  <c r="G69" i="2"/>
  <c r="H89" i="2"/>
  <c r="F89" i="2"/>
  <c r="D89" i="2"/>
  <c r="G89" i="2"/>
  <c r="H74" i="2"/>
  <c r="F74" i="2"/>
  <c r="D74" i="2"/>
  <c r="G74" i="2"/>
  <c r="L74" i="2"/>
  <c r="H93" i="2"/>
  <c r="F93" i="2"/>
  <c r="D93" i="2"/>
  <c r="G93" i="2"/>
  <c r="H75" i="2"/>
  <c r="F75" i="2"/>
  <c r="D75" i="2"/>
  <c r="G75" i="2"/>
  <c r="H49" i="2"/>
  <c r="F49" i="2"/>
  <c r="D49" i="2"/>
  <c r="G49" i="2"/>
  <c r="H8" i="2"/>
  <c r="F8" i="2"/>
  <c r="D8" i="2"/>
  <c r="G8" i="2"/>
  <c r="H34" i="2"/>
  <c r="F34" i="2"/>
  <c r="D34" i="2"/>
  <c r="G34" i="2"/>
  <c r="I34" i="2"/>
  <c r="H21" i="2"/>
  <c r="F21" i="2"/>
  <c r="D21" i="2"/>
  <c r="G21" i="2"/>
  <c r="K21" i="2"/>
  <c r="H3" i="2"/>
  <c r="F3" i="2"/>
  <c r="D3" i="2"/>
  <c r="G3" i="2"/>
  <c r="H11" i="2"/>
  <c r="F11" i="2"/>
  <c r="D11" i="2"/>
  <c r="G11" i="2"/>
  <c r="H27" i="2"/>
  <c r="F27" i="2"/>
  <c r="D27" i="2"/>
  <c r="G27" i="2"/>
  <c r="I27" i="2"/>
  <c r="H13" i="2"/>
  <c r="F13" i="2"/>
  <c r="D13" i="2"/>
  <c r="G13" i="2"/>
  <c r="H2" i="2"/>
  <c r="F2" i="2"/>
  <c r="D2" i="2"/>
  <c r="G2" i="2"/>
  <c r="L2" i="2"/>
  <c r="H7" i="2"/>
  <c r="F7" i="2"/>
  <c r="D7" i="2"/>
  <c r="G7" i="2"/>
  <c r="H10" i="2"/>
  <c r="F10" i="2"/>
  <c r="D10" i="2"/>
  <c r="G10" i="2"/>
  <c r="L10" i="2"/>
  <c r="H38" i="2"/>
  <c r="F38" i="2"/>
  <c r="D38" i="2"/>
  <c r="G38" i="2"/>
  <c r="H40" i="2"/>
  <c r="F40" i="2"/>
  <c r="D40" i="2"/>
  <c r="G40" i="2"/>
  <c r="H18" i="2"/>
  <c r="F18" i="2"/>
  <c r="D18" i="2"/>
  <c r="G18" i="2"/>
  <c r="L18" i="2"/>
  <c r="H4" i="2"/>
  <c r="F4" i="2"/>
  <c r="D4" i="2"/>
  <c r="G4" i="2"/>
  <c r="H28" i="2"/>
  <c r="F28" i="2"/>
  <c r="D28" i="2"/>
  <c r="G28" i="2"/>
  <c r="H35" i="2"/>
  <c r="F35" i="2"/>
  <c r="D35" i="2"/>
  <c r="G35" i="2"/>
  <c r="H5" i="2"/>
  <c r="F5" i="2"/>
  <c r="D5" i="2"/>
  <c r="G5" i="2"/>
  <c r="H6" i="2"/>
  <c r="F6" i="2"/>
  <c r="D6" i="2"/>
  <c r="G6" i="2"/>
  <c r="H23" i="2"/>
  <c r="F23" i="2"/>
  <c r="D23" i="2"/>
  <c r="G23" i="2"/>
  <c r="H26" i="2"/>
  <c r="F26" i="2"/>
  <c r="D26" i="2"/>
  <c r="G26" i="2"/>
  <c r="H25" i="2"/>
  <c r="F25" i="2"/>
  <c r="D25" i="2"/>
  <c r="G25" i="2"/>
  <c r="L25" i="2"/>
  <c r="H16" i="2"/>
  <c r="F16" i="2"/>
  <c r="D16" i="2"/>
  <c r="G16" i="2"/>
  <c r="H33" i="2"/>
  <c r="F33" i="2"/>
  <c r="D33" i="2"/>
  <c r="G33" i="2"/>
  <c r="H24" i="2"/>
  <c r="F24" i="2"/>
  <c r="D24" i="2"/>
  <c r="G24" i="2"/>
  <c r="L24" i="2"/>
  <c r="H15" i="2"/>
  <c r="F15" i="2"/>
  <c r="D15" i="2"/>
  <c r="G15" i="2"/>
  <c r="H31" i="2"/>
  <c r="F31" i="2"/>
  <c r="D31" i="2"/>
  <c r="G31" i="2"/>
  <c r="I144" i="2"/>
  <c r="J144" i="2"/>
  <c r="K144" i="2"/>
  <c r="L144" i="2"/>
  <c r="J53" i="2"/>
  <c r="I143" i="2"/>
  <c r="J143" i="2"/>
  <c r="K143" i="2"/>
  <c r="L143" i="2"/>
  <c r="I142" i="2"/>
  <c r="J142" i="2"/>
  <c r="K142" i="2"/>
  <c r="L142" i="2"/>
  <c r="L53" i="2"/>
  <c r="K53" i="2"/>
  <c r="K52" i="2"/>
  <c r="L54" i="2"/>
  <c r="I54" i="2"/>
  <c r="J54" i="2"/>
  <c r="K54" i="2"/>
  <c r="L52" i="2"/>
  <c r="J52" i="2"/>
  <c r="J104" i="2"/>
  <c r="I104" i="2"/>
  <c r="L104" i="2"/>
  <c r="K104" i="2"/>
  <c r="J105" i="2"/>
  <c r="I97" i="2"/>
  <c r="K105" i="2"/>
  <c r="J97" i="2"/>
  <c r="I105" i="2"/>
  <c r="K97" i="2"/>
  <c r="K66" i="2"/>
  <c r="L66" i="2"/>
  <c r="J66" i="2"/>
  <c r="I66" i="2"/>
  <c r="K23" i="2"/>
  <c r="L23" i="2"/>
  <c r="K90" i="2"/>
  <c r="L90" i="2"/>
  <c r="J90" i="2"/>
  <c r="I90" i="2"/>
  <c r="I91" i="2"/>
  <c r="I60" i="2"/>
  <c r="J91" i="2"/>
  <c r="J80" i="2"/>
  <c r="J101" i="2"/>
  <c r="J60" i="2"/>
  <c r="K91" i="2"/>
  <c r="K80" i="2"/>
  <c r="K101" i="2"/>
  <c r="K60" i="2"/>
  <c r="L80" i="2"/>
  <c r="L101" i="2"/>
  <c r="L61" i="2"/>
  <c r="J61" i="2"/>
  <c r="J21" i="2"/>
  <c r="I61" i="2"/>
  <c r="K11" i="2"/>
  <c r="L11" i="2"/>
  <c r="K35" i="2"/>
  <c r="L35" i="2"/>
  <c r="I2" i="2"/>
  <c r="J23" i="2"/>
  <c r="K2" i="2"/>
  <c r="I23" i="2"/>
  <c r="J2" i="2"/>
  <c r="L59" i="2"/>
  <c r="K59" i="2"/>
  <c r="J59" i="2"/>
  <c r="I59" i="2"/>
  <c r="L88" i="2"/>
  <c r="K88" i="2"/>
  <c r="J88" i="2"/>
  <c r="I88" i="2"/>
  <c r="L67" i="2"/>
  <c r="K67" i="2"/>
  <c r="J67" i="2"/>
  <c r="I67" i="2"/>
  <c r="L108" i="2"/>
  <c r="K108" i="2"/>
  <c r="J108" i="2"/>
  <c r="I108" i="2"/>
  <c r="L49" i="2"/>
  <c r="K49" i="2"/>
  <c r="J49" i="2"/>
  <c r="I49" i="2"/>
  <c r="L95" i="2"/>
  <c r="K95" i="2"/>
  <c r="J95" i="2"/>
  <c r="I95" i="2"/>
  <c r="L81" i="2"/>
  <c r="K81" i="2"/>
  <c r="J81" i="2"/>
  <c r="L94" i="2"/>
  <c r="K94" i="2"/>
  <c r="J94" i="2"/>
  <c r="I94" i="2"/>
  <c r="L38" i="2"/>
  <c r="K38" i="2"/>
  <c r="J38" i="2"/>
  <c r="I38" i="2"/>
  <c r="J68" i="2"/>
  <c r="L68" i="2"/>
  <c r="K68" i="2"/>
  <c r="I68" i="2"/>
  <c r="L15" i="2"/>
  <c r="I15" i="2"/>
  <c r="J6" i="2"/>
  <c r="I6" i="2"/>
  <c r="L6" i="2"/>
  <c r="K6" i="2"/>
  <c r="K63" i="2"/>
  <c r="J63" i="2"/>
  <c r="I63" i="2"/>
  <c r="L92" i="2"/>
  <c r="K92" i="2"/>
  <c r="J92" i="2"/>
  <c r="I92" i="2"/>
  <c r="K84" i="2"/>
  <c r="J84" i="2"/>
  <c r="I84" i="2"/>
  <c r="L26" i="2"/>
  <c r="J26" i="2"/>
  <c r="K26" i="2"/>
  <c r="I26" i="2"/>
  <c r="J28" i="2"/>
  <c r="I28" i="2"/>
  <c r="L28" i="2"/>
  <c r="K28" i="2"/>
  <c r="L89" i="2"/>
  <c r="K89" i="2"/>
  <c r="J89" i="2"/>
  <c r="L71" i="2"/>
  <c r="K71" i="2"/>
  <c r="J71" i="2"/>
  <c r="I71" i="2"/>
  <c r="I81" i="2"/>
  <c r="K77" i="2"/>
  <c r="L77" i="2"/>
  <c r="J77" i="2"/>
  <c r="I77" i="2"/>
  <c r="L33" i="2"/>
  <c r="K33" i="2"/>
  <c r="J33" i="2"/>
  <c r="I33" i="2"/>
  <c r="J99" i="2"/>
  <c r="L99" i="2"/>
  <c r="K99" i="2"/>
  <c r="I99" i="2"/>
  <c r="J15" i="2"/>
  <c r="J40" i="2"/>
  <c r="I40" i="2"/>
  <c r="L40" i="2"/>
  <c r="L109" i="2"/>
  <c r="K109" i="2"/>
  <c r="J109" i="2"/>
  <c r="I109" i="2"/>
  <c r="L63" i="2"/>
  <c r="K65" i="2"/>
  <c r="J65" i="2"/>
  <c r="I65" i="2"/>
  <c r="L64" i="2"/>
  <c r="K64" i="2"/>
  <c r="J64" i="2"/>
  <c r="I64" i="2"/>
  <c r="L84" i="2"/>
  <c r="K15" i="2"/>
  <c r="L4" i="2"/>
  <c r="I4" i="2"/>
  <c r="J13" i="2"/>
  <c r="I13" i="2"/>
  <c r="L13" i="2"/>
  <c r="K13" i="2"/>
  <c r="I89" i="2"/>
  <c r="J72" i="2"/>
  <c r="L72" i="2"/>
  <c r="K72" i="2"/>
  <c r="I72" i="2"/>
  <c r="L73" i="2"/>
  <c r="K73" i="2"/>
  <c r="J73" i="2"/>
  <c r="L76" i="2"/>
  <c r="K76" i="2"/>
  <c r="J76" i="2"/>
  <c r="I76" i="2"/>
  <c r="L5" i="2"/>
  <c r="J5" i="2"/>
  <c r="K5" i="2"/>
  <c r="K40" i="2"/>
  <c r="L7" i="2"/>
  <c r="J7" i="2"/>
  <c r="I7" i="2"/>
  <c r="K7" i="2"/>
  <c r="J3" i="2"/>
  <c r="I3" i="2"/>
  <c r="L3" i="2"/>
  <c r="K3" i="2"/>
  <c r="L69" i="2"/>
  <c r="K69" i="2"/>
  <c r="J69" i="2"/>
  <c r="I69" i="2"/>
  <c r="L65" i="2"/>
  <c r="K106" i="2"/>
  <c r="J106" i="2"/>
  <c r="I106" i="2"/>
  <c r="K16" i="2"/>
  <c r="L16" i="2"/>
  <c r="J16" i="2"/>
  <c r="I16" i="2"/>
  <c r="J4" i="2"/>
  <c r="J8" i="2"/>
  <c r="I8" i="2"/>
  <c r="L8" i="2"/>
  <c r="J93" i="2"/>
  <c r="L93" i="2"/>
  <c r="K93" i="2"/>
  <c r="I74" i="2"/>
  <c r="J74" i="2"/>
  <c r="J83" i="2"/>
  <c r="L83" i="2"/>
  <c r="K83" i="2"/>
  <c r="I83" i="2"/>
  <c r="J10" i="2"/>
  <c r="I10" i="2"/>
  <c r="K10" i="2"/>
  <c r="L75" i="2"/>
  <c r="J75" i="2"/>
  <c r="K75" i="2"/>
  <c r="I75" i="2"/>
  <c r="I5" i="2"/>
  <c r="L98" i="2"/>
  <c r="K98" i="2"/>
  <c r="J98" i="2"/>
  <c r="I98" i="2"/>
  <c r="I73" i="2"/>
  <c r="L62" i="2"/>
  <c r="K62" i="2"/>
  <c r="J62" i="2"/>
  <c r="I62" i="2"/>
  <c r="K4" i="2"/>
  <c r="L21" i="2"/>
  <c r="I21" i="2"/>
  <c r="J31" i="2"/>
  <c r="I31" i="2"/>
  <c r="L31" i="2"/>
  <c r="K31" i="2"/>
  <c r="J25" i="2"/>
  <c r="I25" i="2"/>
  <c r="K25" i="2"/>
  <c r="L27" i="2"/>
  <c r="J27" i="2"/>
  <c r="K27" i="2"/>
  <c r="K8" i="2"/>
  <c r="I93" i="2"/>
  <c r="K74" i="2"/>
  <c r="L106" i="2"/>
  <c r="K100" i="2"/>
  <c r="J100" i="2"/>
  <c r="I100" i="2"/>
  <c r="I24" i="2"/>
  <c r="I18" i="2"/>
  <c r="J24" i="2"/>
  <c r="J18" i="2"/>
  <c r="J34" i="2"/>
  <c r="K24" i="2"/>
  <c r="K18" i="2"/>
  <c r="K34" i="2"/>
  <c r="I107" i="2"/>
  <c r="I70" i="2"/>
  <c r="I96" i="2"/>
  <c r="I35" i="2"/>
  <c r="I11" i="2"/>
  <c r="L34" i="2"/>
  <c r="J107" i="2"/>
  <c r="J70" i="2"/>
  <c r="J96" i="2"/>
  <c r="J35" i="2"/>
  <c r="J11" i="2"/>
  <c r="K107" i="2"/>
  <c r="K70" i="2"/>
  <c r="K96" i="2"/>
  <c r="H138" i="1"/>
  <c r="F138" i="1"/>
  <c r="D138" i="1"/>
  <c r="G138" i="1"/>
  <c r="H137" i="1"/>
  <c r="F137" i="1"/>
  <c r="D137" i="1"/>
  <c r="G137" i="1"/>
  <c r="H136" i="1"/>
  <c r="F136" i="1"/>
  <c r="D136" i="1"/>
  <c r="G136" i="1"/>
  <c r="J135" i="1"/>
  <c r="I135" i="1"/>
  <c r="H135" i="1"/>
  <c r="G135" i="1"/>
  <c r="L135" i="1"/>
  <c r="F135" i="1"/>
  <c r="D135" i="1"/>
  <c r="H134" i="1"/>
  <c r="F134" i="1"/>
  <c r="D134" i="1"/>
  <c r="G134" i="1"/>
  <c r="H133" i="1"/>
  <c r="F133" i="1"/>
  <c r="D133" i="1"/>
  <c r="G133" i="1"/>
  <c r="J132" i="1"/>
  <c r="I132" i="1"/>
  <c r="H132" i="1"/>
  <c r="G132" i="1"/>
  <c r="L132" i="1"/>
  <c r="F132" i="1"/>
  <c r="D132" i="1"/>
  <c r="H130" i="1"/>
  <c r="F130" i="1"/>
  <c r="D130" i="1"/>
  <c r="G130" i="1"/>
  <c r="H129" i="1"/>
  <c r="F129" i="1"/>
  <c r="D129" i="1"/>
  <c r="G129" i="1"/>
  <c r="J128" i="1"/>
  <c r="I128" i="1"/>
  <c r="H128" i="1"/>
  <c r="G128" i="1"/>
  <c r="L128" i="1"/>
  <c r="F128" i="1"/>
  <c r="D128" i="1"/>
  <c r="H127" i="1"/>
  <c r="F127" i="1"/>
  <c r="D127" i="1"/>
  <c r="G127" i="1"/>
  <c r="H126" i="1"/>
  <c r="F126" i="1"/>
  <c r="D126" i="1"/>
  <c r="G126" i="1"/>
  <c r="J125" i="1"/>
  <c r="I125" i="1"/>
  <c r="H125" i="1"/>
  <c r="G125" i="1"/>
  <c r="L125" i="1"/>
  <c r="F125" i="1"/>
  <c r="D125" i="1"/>
  <c r="H124" i="1"/>
  <c r="F124" i="1"/>
  <c r="D124" i="1"/>
  <c r="G124" i="1"/>
  <c r="L123" i="1"/>
  <c r="K123" i="1"/>
  <c r="H123" i="1"/>
  <c r="G123" i="1"/>
  <c r="J123" i="1"/>
  <c r="F123" i="1"/>
  <c r="L122" i="1"/>
  <c r="H122" i="1"/>
  <c r="G122" i="1"/>
  <c r="K122" i="1"/>
  <c r="F122" i="1"/>
  <c r="H121" i="1"/>
  <c r="G121" i="1"/>
  <c r="L121" i="1"/>
  <c r="F121" i="1"/>
  <c r="L120" i="1"/>
  <c r="K120" i="1"/>
  <c r="J120" i="1"/>
  <c r="I120" i="1"/>
  <c r="H120" i="1"/>
  <c r="G120" i="1"/>
  <c r="F120" i="1"/>
  <c r="D120" i="1"/>
  <c r="K118" i="1"/>
  <c r="J118" i="1"/>
  <c r="H118" i="1"/>
  <c r="G118" i="1"/>
  <c r="I118" i="1"/>
  <c r="F118" i="1"/>
  <c r="H116" i="1"/>
  <c r="F116" i="1"/>
  <c r="D116" i="1"/>
  <c r="G116" i="1"/>
  <c r="J114" i="1"/>
  <c r="I114" i="1"/>
  <c r="H114" i="1"/>
  <c r="G114" i="1"/>
  <c r="L114" i="1"/>
  <c r="F114" i="1"/>
  <c r="D114" i="1"/>
  <c r="K111" i="1"/>
  <c r="J111" i="1"/>
  <c r="I111" i="1"/>
  <c r="H111" i="1"/>
  <c r="G111" i="1"/>
  <c r="L111" i="1"/>
  <c r="F111" i="1"/>
  <c r="H107" i="1"/>
  <c r="F107" i="1"/>
  <c r="D107" i="1"/>
  <c r="G107" i="1"/>
  <c r="H103" i="1"/>
  <c r="G103" i="1"/>
  <c r="K103" i="1"/>
  <c r="F103" i="1"/>
  <c r="D103" i="1"/>
  <c r="J100" i="1"/>
  <c r="I100" i="1"/>
  <c r="H100" i="1"/>
  <c r="G100" i="1"/>
  <c r="L100" i="1"/>
  <c r="F100" i="1"/>
  <c r="H98" i="1"/>
  <c r="F98" i="1"/>
  <c r="D98" i="1"/>
  <c r="G98" i="1"/>
  <c r="K97" i="1"/>
  <c r="H97" i="1"/>
  <c r="G97" i="1"/>
  <c r="J97" i="1"/>
  <c r="F97" i="1"/>
  <c r="H95" i="1"/>
  <c r="G95" i="1"/>
  <c r="L95" i="1"/>
  <c r="F95" i="1"/>
  <c r="D95" i="1"/>
  <c r="L94" i="1"/>
  <c r="K94" i="1"/>
  <c r="J94" i="1"/>
  <c r="I94" i="1"/>
  <c r="H94" i="1"/>
  <c r="G94" i="1"/>
  <c r="F94" i="1"/>
  <c r="D94" i="1"/>
  <c r="H93" i="1"/>
  <c r="F93" i="1"/>
  <c r="D93" i="1"/>
  <c r="G93" i="1"/>
  <c r="H92" i="1"/>
  <c r="G92" i="1"/>
  <c r="L92" i="1"/>
  <c r="F92" i="1"/>
  <c r="D92" i="1"/>
  <c r="L91" i="1"/>
  <c r="K91" i="1"/>
  <c r="J91" i="1"/>
  <c r="I91" i="1"/>
  <c r="H91" i="1"/>
  <c r="G91" i="1"/>
  <c r="F91" i="1"/>
  <c r="D91" i="1"/>
  <c r="H90" i="1"/>
  <c r="F90" i="1"/>
  <c r="D90" i="1"/>
  <c r="G90" i="1"/>
  <c r="H89" i="1"/>
  <c r="G89" i="1"/>
  <c r="L89" i="1"/>
  <c r="F89" i="1"/>
  <c r="D89" i="1"/>
  <c r="L88" i="1"/>
  <c r="K88" i="1"/>
  <c r="J88" i="1"/>
  <c r="I88" i="1"/>
  <c r="H88" i="1"/>
  <c r="G88" i="1"/>
  <c r="F88" i="1"/>
  <c r="D88" i="1"/>
  <c r="H87" i="1"/>
  <c r="F87" i="1"/>
  <c r="D87" i="1"/>
  <c r="G87" i="1"/>
  <c r="H86" i="1"/>
  <c r="G86" i="1"/>
  <c r="L86" i="1"/>
  <c r="F86" i="1"/>
  <c r="D86" i="1"/>
  <c r="L85" i="1"/>
  <c r="K85" i="1"/>
  <c r="J85" i="1"/>
  <c r="I85" i="1"/>
  <c r="H85" i="1"/>
  <c r="G85" i="1"/>
  <c r="F85" i="1"/>
  <c r="D85" i="1"/>
  <c r="H84" i="1"/>
  <c r="F84" i="1"/>
  <c r="D84" i="1"/>
  <c r="G84" i="1"/>
  <c r="H83" i="1"/>
  <c r="G83" i="1"/>
  <c r="L83" i="1"/>
  <c r="F83" i="1"/>
  <c r="J82" i="1"/>
  <c r="I82" i="1"/>
  <c r="H82" i="1"/>
  <c r="G82" i="1"/>
  <c r="L82" i="1"/>
  <c r="F82" i="1"/>
  <c r="D82" i="1"/>
  <c r="H81" i="1"/>
  <c r="F81" i="1"/>
  <c r="D81" i="1"/>
  <c r="G81" i="1"/>
  <c r="H80" i="1"/>
  <c r="F80" i="1"/>
  <c r="D80" i="1"/>
  <c r="G80" i="1"/>
  <c r="J79" i="1"/>
  <c r="I79" i="1"/>
  <c r="H79" i="1"/>
  <c r="G79" i="1"/>
  <c r="L79" i="1"/>
  <c r="F79" i="1"/>
  <c r="D79" i="1"/>
  <c r="H78" i="1"/>
  <c r="F78" i="1"/>
  <c r="D78" i="1"/>
  <c r="G78" i="1"/>
  <c r="H77" i="1"/>
  <c r="F77" i="1"/>
  <c r="D77" i="1"/>
  <c r="G77" i="1"/>
  <c r="J76" i="1"/>
  <c r="I76" i="1"/>
  <c r="H76" i="1"/>
  <c r="G76" i="1"/>
  <c r="L76" i="1"/>
  <c r="F76" i="1"/>
  <c r="D76" i="1"/>
  <c r="H75" i="1"/>
  <c r="F75" i="1"/>
  <c r="D75" i="1"/>
  <c r="G75" i="1"/>
  <c r="H74" i="1"/>
  <c r="F74" i="1"/>
  <c r="D74" i="1"/>
  <c r="G74" i="1"/>
  <c r="J73" i="1"/>
  <c r="I73" i="1"/>
  <c r="H73" i="1"/>
  <c r="G73" i="1"/>
  <c r="L73" i="1"/>
  <c r="F73" i="1"/>
  <c r="D73" i="1"/>
  <c r="H72" i="1"/>
  <c r="F72" i="1"/>
  <c r="D72" i="1"/>
  <c r="G72" i="1"/>
  <c r="H71" i="1"/>
  <c r="F71" i="1"/>
  <c r="D71" i="1"/>
  <c r="G71" i="1"/>
  <c r="J70" i="1"/>
  <c r="I70" i="1"/>
  <c r="H70" i="1"/>
  <c r="G70" i="1"/>
  <c r="L70" i="1"/>
  <c r="F70" i="1"/>
  <c r="D70" i="1"/>
  <c r="H69" i="1"/>
  <c r="F69" i="1"/>
  <c r="D69" i="1"/>
  <c r="G69" i="1"/>
  <c r="H68" i="1"/>
  <c r="F68" i="1"/>
  <c r="D68" i="1"/>
  <c r="G68" i="1"/>
  <c r="J67" i="1"/>
  <c r="I67" i="1"/>
  <c r="H67" i="1"/>
  <c r="G67" i="1"/>
  <c r="L67" i="1"/>
  <c r="F67" i="1"/>
  <c r="D67" i="1"/>
  <c r="H66" i="1"/>
  <c r="F66" i="1"/>
  <c r="D66" i="1"/>
  <c r="G66" i="1"/>
  <c r="H65" i="1"/>
  <c r="F65" i="1"/>
  <c r="D65" i="1"/>
  <c r="G65" i="1"/>
  <c r="J64" i="1"/>
  <c r="I64" i="1"/>
  <c r="H64" i="1"/>
  <c r="G64" i="1"/>
  <c r="L64" i="1"/>
  <c r="F64" i="1"/>
  <c r="D64" i="1"/>
  <c r="H63" i="1"/>
  <c r="F63" i="1"/>
  <c r="D63" i="1"/>
  <c r="G63" i="1"/>
  <c r="H62" i="1"/>
  <c r="F62" i="1"/>
  <c r="D62" i="1"/>
  <c r="G62" i="1"/>
  <c r="J61" i="1"/>
  <c r="I61" i="1"/>
  <c r="H61" i="1"/>
  <c r="G61" i="1"/>
  <c r="L61" i="1"/>
  <c r="F61" i="1"/>
  <c r="D61" i="1"/>
  <c r="H60" i="1"/>
  <c r="F60" i="1"/>
  <c r="D60" i="1"/>
  <c r="G60" i="1"/>
  <c r="H59" i="1"/>
  <c r="F59" i="1"/>
  <c r="D59" i="1"/>
  <c r="G59" i="1"/>
  <c r="J58" i="1"/>
  <c r="I58" i="1"/>
  <c r="H58" i="1"/>
  <c r="G58" i="1"/>
  <c r="L58" i="1"/>
  <c r="F58" i="1"/>
  <c r="D58" i="1"/>
  <c r="H57" i="1"/>
  <c r="F57" i="1"/>
  <c r="D57" i="1"/>
  <c r="G57" i="1"/>
  <c r="H56" i="1"/>
  <c r="F56" i="1"/>
  <c r="D56" i="1"/>
  <c r="G56" i="1"/>
  <c r="J54" i="1"/>
  <c r="I54" i="1"/>
  <c r="H54" i="1"/>
  <c r="G54" i="1"/>
  <c r="L54" i="1"/>
  <c r="F54" i="1"/>
  <c r="D54" i="1"/>
  <c r="H53" i="1"/>
  <c r="F53" i="1"/>
  <c r="D53" i="1"/>
  <c r="G53" i="1"/>
  <c r="H52" i="1"/>
  <c r="F52" i="1"/>
  <c r="D52" i="1"/>
  <c r="G52" i="1"/>
  <c r="J51" i="1"/>
  <c r="I51" i="1"/>
  <c r="H51" i="1"/>
  <c r="G51" i="1"/>
  <c r="L51" i="1"/>
  <c r="F51" i="1"/>
  <c r="D51" i="1"/>
  <c r="H50" i="1"/>
  <c r="F50" i="1"/>
  <c r="D50" i="1"/>
  <c r="G50" i="1"/>
  <c r="H49" i="1"/>
  <c r="F49" i="1"/>
  <c r="D49" i="1"/>
  <c r="G49" i="1"/>
  <c r="J48" i="1"/>
  <c r="I48" i="1"/>
  <c r="H48" i="1"/>
  <c r="G48" i="1"/>
  <c r="L48" i="1"/>
  <c r="F48" i="1"/>
  <c r="D48" i="1"/>
  <c r="H47" i="1"/>
  <c r="F47" i="1"/>
  <c r="D47" i="1"/>
  <c r="G47" i="1"/>
  <c r="H46" i="1"/>
  <c r="F46" i="1"/>
  <c r="D46" i="1"/>
  <c r="G46" i="1"/>
  <c r="J45" i="1"/>
  <c r="I45" i="1"/>
  <c r="H45" i="1"/>
  <c r="G45" i="1"/>
  <c r="L45" i="1"/>
  <c r="F45" i="1"/>
  <c r="D45" i="1"/>
  <c r="H44" i="1"/>
  <c r="F44" i="1"/>
  <c r="D44" i="1"/>
  <c r="G44" i="1"/>
  <c r="H41" i="1"/>
  <c r="F41" i="1"/>
  <c r="D41" i="1"/>
  <c r="G41" i="1"/>
  <c r="J40" i="1"/>
  <c r="I40" i="1"/>
  <c r="H40" i="1"/>
  <c r="G40" i="1"/>
  <c r="L40" i="1"/>
  <c r="F40" i="1"/>
  <c r="D40" i="1"/>
  <c r="H39" i="1"/>
  <c r="F39" i="1"/>
  <c r="D39" i="1"/>
  <c r="G39" i="1"/>
  <c r="L37" i="1"/>
  <c r="K37" i="1"/>
  <c r="H37" i="1"/>
  <c r="G37" i="1"/>
  <c r="J37" i="1"/>
  <c r="F37" i="1"/>
  <c r="L36" i="1"/>
  <c r="H36" i="1"/>
  <c r="G36" i="1"/>
  <c r="K36" i="1"/>
  <c r="F36" i="1"/>
  <c r="H34" i="1"/>
  <c r="G34" i="1"/>
  <c r="L34" i="1"/>
  <c r="F34" i="1"/>
  <c r="L33" i="1"/>
  <c r="K33" i="1"/>
  <c r="J33" i="1"/>
  <c r="I33" i="1"/>
  <c r="H33" i="1"/>
  <c r="G33" i="1"/>
  <c r="F33" i="1"/>
  <c r="D33" i="1"/>
  <c r="H32" i="1"/>
  <c r="F32" i="1"/>
  <c r="D32" i="1"/>
  <c r="G32" i="1"/>
  <c r="H31" i="1"/>
  <c r="G31" i="1"/>
  <c r="L31" i="1"/>
  <c r="F31" i="1"/>
  <c r="D31" i="1"/>
  <c r="L30" i="1"/>
  <c r="K30" i="1"/>
  <c r="J30" i="1"/>
  <c r="I30" i="1"/>
  <c r="H30" i="1"/>
  <c r="G30" i="1"/>
  <c r="F30" i="1"/>
  <c r="K29" i="1"/>
  <c r="J29" i="1"/>
  <c r="I29" i="1"/>
  <c r="H29" i="1"/>
  <c r="G29" i="1"/>
  <c r="L29" i="1"/>
  <c r="F29" i="1"/>
  <c r="L28" i="1"/>
  <c r="K28" i="1"/>
  <c r="J28" i="1"/>
  <c r="I28" i="1"/>
  <c r="H28" i="1"/>
  <c r="G28" i="1"/>
  <c r="F28" i="1"/>
  <c r="K27" i="1"/>
  <c r="H27" i="1"/>
  <c r="G27" i="1"/>
  <c r="J27" i="1"/>
  <c r="F27" i="1"/>
  <c r="H24" i="1"/>
  <c r="G24" i="1"/>
  <c r="L24" i="1"/>
  <c r="F24" i="1"/>
  <c r="J22" i="1"/>
  <c r="I22" i="1"/>
  <c r="H22" i="1"/>
  <c r="G22" i="1"/>
  <c r="L22" i="1"/>
  <c r="F22" i="1"/>
  <c r="D22" i="1"/>
  <c r="H21" i="1"/>
  <c r="F21" i="1"/>
  <c r="D21" i="1"/>
  <c r="G21" i="1"/>
  <c r="H20" i="1"/>
  <c r="F20" i="1"/>
  <c r="D20" i="1"/>
  <c r="G20" i="1"/>
  <c r="J19" i="1"/>
  <c r="I19" i="1"/>
  <c r="H19" i="1"/>
  <c r="G19" i="1"/>
  <c r="L19" i="1"/>
  <c r="F19" i="1"/>
  <c r="D19" i="1"/>
  <c r="H18" i="1"/>
  <c r="F18" i="1"/>
  <c r="D18" i="1"/>
  <c r="G18" i="1"/>
  <c r="H17" i="1"/>
  <c r="F17" i="1"/>
  <c r="D17" i="1"/>
  <c r="G17" i="1"/>
  <c r="J16" i="1"/>
  <c r="I16" i="1"/>
  <c r="H16" i="1"/>
  <c r="G16" i="1"/>
  <c r="L16" i="1"/>
  <c r="F16" i="1"/>
  <c r="D16" i="1"/>
  <c r="K14" i="1"/>
  <c r="J14" i="1"/>
  <c r="I14" i="1"/>
  <c r="H14" i="1"/>
  <c r="G14" i="1"/>
  <c r="L14" i="1"/>
  <c r="F14" i="1"/>
  <c r="L12" i="1"/>
  <c r="K12" i="1"/>
  <c r="J12" i="1"/>
  <c r="I12" i="1"/>
  <c r="H12" i="1"/>
  <c r="G12" i="1"/>
  <c r="F12" i="1"/>
  <c r="K11" i="1"/>
  <c r="H11" i="1"/>
  <c r="G11" i="1"/>
  <c r="J11" i="1"/>
  <c r="F11" i="1"/>
  <c r="D11" i="1"/>
  <c r="H10" i="1"/>
  <c r="G10" i="1"/>
  <c r="L10" i="1"/>
  <c r="F10" i="1"/>
  <c r="D10" i="1"/>
  <c r="H9" i="1"/>
  <c r="F9" i="1"/>
  <c r="D9" i="1"/>
  <c r="G9" i="1"/>
  <c r="K8" i="1"/>
  <c r="H8" i="1"/>
  <c r="G8" i="1"/>
  <c r="J8" i="1"/>
  <c r="F8" i="1"/>
  <c r="D8" i="1"/>
  <c r="H7" i="1"/>
  <c r="G7" i="1"/>
  <c r="L7" i="1"/>
  <c r="F7" i="1"/>
  <c r="D7" i="1"/>
  <c r="H6" i="1"/>
  <c r="F6" i="1"/>
  <c r="D6" i="1"/>
  <c r="G6" i="1"/>
  <c r="K5" i="1"/>
  <c r="H5" i="1"/>
  <c r="G5" i="1"/>
  <c r="J5" i="1"/>
  <c r="F5" i="1"/>
  <c r="D5" i="1"/>
  <c r="H4" i="1"/>
  <c r="G4" i="1"/>
  <c r="L4" i="1"/>
  <c r="F4" i="1"/>
  <c r="D4" i="1"/>
  <c r="H3" i="1"/>
  <c r="F3" i="1"/>
  <c r="D3" i="1"/>
  <c r="G3" i="1"/>
  <c r="K2" i="1"/>
  <c r="H2" i="1"/>
  <c r="G2" i="1"/>
  <c r="J2" i="1"/>
  <c r="F2" i="1"/>
  <c r="D2" i="1"/>
  <c r="L126" i="1"/>
  <c r="K126" i="1"/>
  <c r="J126" i="1"/>
  <c r="I126" i="1"/>
  <c r="L129" i="1"/>
  <c r="K129" i="1"/>
  <c r="J129" i="1"/>
  <c r="I129" i="1"/>
  <c r="L133" i="1"/>
  <c r="K133" i="1"/>
  <c r="J133" i="1"/>
  <c r="I133" i="1"/>
  <c r="L136" i="1"/>
  <c r="K136" i="1"/>
  <c r="J136" i="1"/>
  <c r="I136" i="1"/>
  <c r="J18" i="1"/>
  <c r="I18" i="1"/>
  <c r="L18" i="1"/>
  <c r="K18" i="1"/>
  <c r="I21" i="1"/>
  <c r="L21" i="1"/>
  <c r="K21" i="1"/>
  <c r="J21" i="1"/>
  <c r="L41" i="1"/>
  <c r="K41" i="1"/>
  <c r="J41" i="1"/>
  <c r="I41" i="1"/>
  <c r="L46" i="1"/>
  <c r="K46" i="1"/>
  <c r="J46" i="1"/>
  <c r="I46" i="1"/>
  <c r="L49" i="1"/>
  <c r="K49" i="1"/>
  <c r="J49" i="1"/>
  <c r="I49" i="1"/>
  <c r="L52" i="1"/>
  <c r="K52" i="1"/>
  <c r="J52" i="1"/>
  <c r="I52" i="1"/>
  <c r="L56" i="1"/>
  <c r="K56" i="1"/>
  <c r="J56" i="1"/>
  <c r="I56" i="1"/>
  <c r="L59" i="1"/>
  <c r="K59" i="1"/>
  <c r="J59" i="1"/>
  <c r="I59" i="1"/>
  <c r="L62" i="1"/>
  <c r="K62" i="1"/>
  <c r="J62" i="1"/>
  <c r="I62" i="1"/>
  <c r="L65" i="1"/>
  <c r="K65" i="1"/>
  <c r="J65" i="1"/>
  <c r="I65" i="1"/>
  <c r="L68" i="1"/>
  <c r="K68" i="1"/>
  <c r="J68" i="1"/>
  <c r="I68" i="1"/>
  <c r="L71" i="1"/>
  <c r="K71" i="1"/>
  <c r="J71" i="1"/>
  <c r="I71" i="1"/>
  <c r="L74" i="1"/>
  <c r="K74" i="1"/>
  <c r="J74" i="1"/>
  <c r="I74" i="1"/>
  <c r="L77" i="1"/>
  <c r="K77" i="1"/>
  <c r="J77" i="1"/>
  <c r="I77" i="1"/>
  <c r="L80" i="1"/>
  <c r="K80" i="1"/>
  <c r="J80" i="1"/>
  <c r="I80" i="1"/>
  <c r="I93" i="1"/>
  <c r="K93" i="1"/>
  <c r="J93" i="1"/>
  <c r="L93" i="1"/>
  <c r="L116" i="1"/>
  <c r="K116" i="1"/>
  <c r="J116" i="1"/>
  <c r="I116" i="1"/>
  <c r="K3" i="1"/>
  <c r="J3" i="1"/>
  <c r="L3" i="1"/>
  <c r="I3" i="1"/>
  <c r="K6" i="1"/>
  <c r="J6" i="1"/>
  <c r="L6" i="1"/>
  <c r="I6" i="1"/>
  <c r="K9" i="1"/>
  <c r="J9" i="1"/>
  <c r="L9" i="1"/>
  <c r="I9" i="1"/>
  <c r="J124" i="1"/>
  <c r="I124" i="1"/>
  <c r="L124" i="1"/>
  <c r="K124" i="1"/>
  <c r="J127" i="1"/>
  <c r="I127" i="1"/>
  <c r="L127" i="1"/>
  <c r="K127" i="1"/>
  <c r="J130" i="1"/>
  <c r="I130" i="1"/>
  <c r="L130" i="1"/>
  <c r="K130" i="1"/>
  <c r="I134" i="1"/>
  <c r="L134" i="1"/>
  <c r="K134" i="1"/>
  <c r="J134" i="1"/>
  <c r="L137" i="1"/>
  <c r="K137" i="1"/>
  <c r="J137" i="1"/>
  <c r="I137" i="1"/>
  <c r="J39" i="1"/>
  <c r="I39" i="1"/>
  <c r="L39" i="1"/>
  <c r="K39" i="1"/>
  <c r="J44" i="1"/>
  <c r="I44" i="1"/>
  <c r="L44" i="1"/>
  <c r="K44" i="1"/>
  <c r="I47" i="1"/>
  <c r="L47" i="1"/>
  <c r="K47" i="1"/>
  <c r="J47" i="1"/>
  <c r="J50" i="1"/>
  <c r="I50" i="1"/>
  <c r="L50" i="1"/>
  <c r="K50" i="1"/>
  <c r="J53" i="1"/>
  <c r="I53" i="1"/>
  <c r="L53" i="1"/>
  <c r="K53" i="1"/>
  <c r="J57" i="1"/>
  <c r="I57" i="1"/>
  <c r="L57" i="1"/>
  <c r="K57" i="1"/>
  <c r="J60" i="1"/>
  <c r="I60" i="1"/>
  <c r="L60" i="1"/>
  <c r="K60" i="1"/>
  <c r="J63" i="1"/>
  <c r="I63" i="1"/>
  <c r="L63" i="1"/>
  <c r="K63" i="1"/>
  <c r="J66" i="1"/>
  <c r="I66" i="1"/>
  <c r="L66" i="1"/>
  <c r="K66" i="1"/>
  <c r="J69" i="1"/>
  <c r="I69" i="1"/>
  <c r="L69" i="1"/>
  <c r="K69" i="1"/>
  <c r="J72" i="1"/>
  <c r="I72" i="1"/>
  <c r="L72" i="1"/>
  <c r="K72" i="1"/>
  <c r="J75" i="1"/>
  <c r="I75" i="1"/>
  <c r="L75" i="1"/>
  <c r="K75" i="1"/>
  <c r="J78" i="1"/>
  <c r="I78" i="1"/>
  <c r="L78" i="1"/>
  <c r="K78" i="1"/>
  <c r="J81" i="1"/>
  <c r="I81" i="1"/>
  <c r="L81" i="1"/>
  <c r="K81" i="1"/>
  <c r="I84" i="1"/>
  <c r="K84" i="1"/>
  <c r="J84" i="1"/>
  <c r="L84" i="1"/>
  <c r="L20" i="1"/>
  <c r="K20" i="1"/>
  <c r="J20" i="1"/>
  <c r="I20" i="1"/>
  <c r="I32" i="1"/>
  <c r="K32" i="1"/>
  <c r="J32" i="1"/>
  <c r="L32" i="1"/>
  <c r="L17" i="1"/>
  <c r="K17" i="1"/>
  <c r="J17" i="1"/>
  <c r="I17" i="1"/>
  <c r="I90" i="1"/>
  <c r="K90" i="1"/>
  <c r="J90" i="1"/>
  <c r="L90" i="1"/>
  <c r="L138" i="1"/>
  <c r="K138" i="1"/>
  <c r="J138" i="1"/>
  <c r="I138" i="1"/>
  <c r="I87" i="1"/>
  <c r="K87" i="1"/>
  <c r="J87" i="1"/>
  <c r="L87" i="1"/>
  <c r="K98" i="1"/>
  <c r="J98" i="1"/>
  <c r="L98" i="1"/>
  <c r="I98" i="1"/>
  <c r="L107" i="1"/>
  <c r="K107" i="1"/>
  <c r="J107" i="1"/>
  <c r="I107" i="1"/>
  <c r="I4" i="1"/>
  <c r="I7" i="1"/>
  <c r="I10" i="1"/>
  <c r="I34" i="1"/>
  <c r="L118" i="1"/>
  <c r="I121" i="1"/>
  <c r="L11" i="1"/>
  <c r="L27" i="1"/>
  <c r="J4" i="1"/>
  <c r="J7" i="1"/>
  <c r="J10" i="1"/>
  <c r="I24" i="1"/>
  <c r="I31" i="1"/>
  <c r="J34" i="1"/>
  <c r="I83" i="1"/>
  <c r="I86" i="1"/>
  <c r="I89" i="1"/>
  <c r="I92" i="1"/>
  <c r="I95" i="1"/>
  <c r="K100" i="1"/>
  <c r="J121" i="1"/>
  <c r="L8" i="1"/>
  <c r="K4" i="1"/>
  <c r="K7" i="1"/>
  <c r="K10" i="1"/>
  <c r="J24" i="1"/>
  <c r="J31" i="1"/>
  <c r="K34" i="1"/>
  <c r="I37" i="1"/>
  <c r="J83" i="1"/>
  <c r="J86" i="1"/>
  <c r="J89" i="1"/>
  <c r="J92" i="1"/>
  <c r="J95" i="1"/>
  <c r="K121" i="1"/>
  <c r="I123" i="1"/>
  <c r="L103" i="1"/>
  <c r="L2" i="1"/>
  <c r="L5" i="1"/>
  <c r="L97" i="1"/>
  <c r="K24" i="1"/>
  <c r="K31" i="1"/>
  <c r="K83" i="1"/>
  <c r="K86" i="1"/>
  <c r="K89" i="1"/>
  <c r="K92" i="1"/>
  <c r="K95" i="1"/>
  <c r="I36" i="1"/>
  <c r="I103" i="1"/>
  <c r="I122" i="1"/>
  <c r="I2" i="1"/>
  <c r="I5" i="1"/>
  <c r="I8" i="1"/>
  <c r="I11" i="1"/>
  <c r="K16" i="1"/>
  <c r="K19" i="1"/>
  <c r="K22" i="1"/>
  <c r="I27" i="1"/>
  <c r="J36" i="1"/>
  <c r="K40" i="1"/>
  <c r="K45" i="1"/>
  <c r="K48" i="1"/>
  <c r="K51" i="1"/>
  <c r="K54" i="1"/>
  <c r="K58" i="1"/>
  <c r="K61" i="1"/>
  <c r="K64" i="1"/>
  <c r="K67" i="1"/>
  <c r="K70" i="1"/>
  <c r="K73" i="1"/>
  <c r="K76" i="1"/>
  <c r="K79" i="1"/>
  <c r="K82" i="1"/>
  <c r="I97" i="1"/>
  <c r="J103" i="1"/>
  <c r="K114" i="1"/>
  <c r="J122" i="1"/>
  <c r="K125" i="1"/>
  <c r="K128" i="1"/>
  <c r="K132" i="1"/>
  <c r="K135" i="1"/>
  <c r="L83" i="4" l="1"/>
  <c r="O83" i="4"/>
  <c r="L71" i="4"/>
  <c r="O71" i="4"/>
  <c r="L93" i="4"/>
  <c r="O93" i="4"/>
  <c r="L59" i="4"/>
  <c r="O59" i="4"/>
  <c r="I97" i="4"/>
  <c r="O97" i="4"/>
  <c r="L106" i="4"/>
  <c r="O106" i="4"/>
  <c r="L68" i="4"/>
  <c r="O68" i="4"/>
  <c r="L77" i="4"/>
  <c r="O77" i="4"/>
  <c r="L78" i="4"/>
  <c r="O78" i="4"/>
  <c r="L101" i="4"/>
  <c r="O101" i="4"/>
  <c r="K9" i="4"/>
  <c r="O9" i="4"/>
  <c r="I9" i="4"/>
  <c r="L73" i="4"/>
  <c r="K73" i="4"/>
  <c r="I73" i="4"/>
  <c r="K43" i="4"/>
  <c r="M43" i="4" s="1"/>
  <c r="I43" i="4"/>
  <c r="L94" i="4"/>
  <c r="K94" i="4"/>
  <c r="I94" i="4"/>
  <c r="L91" i="4"/>
  <c r="J91" i="4"/>
  <c r="K88" i="4"/>
  <c r="I88" i="4"/>
  <c r="O13" i="4"/>
  <c r="I13" i="4"/>
  <c r="L13" i="4"/>
  <c r="K13" i="4"/>
  <c r="J13" i="4"/>
  <c r="O21" i="4"/>
  <c r="I21" i="4"/>
  <c r="L21" i="4"/>
  <c r="K21" i="4"/>
  <c r="J21" i="4"/>
  <c r="J42" i="4"/>
  <c r="I42" i="4"/>
  <c r="L42" i="4"/>
  <c r="K42" i="4"/>
  <c r="K14" i="4"/>
  <c r="O14" i="4"/>
  <c r="I14" i="4"/>
  <c r="K32" i="4"/>
  <c r="I32" i="4"/>
  <c r="L69" i="4"/>
  <c r="K69" i="4"/>
  <c r="I69" i="4"/>
  <c r="L4" i="4"/>
  <c r="O4" i="4"/>
  <c r="I48" i="4"/>
  <c r="I78" i="4"/>
  <c r="I106" i="4"/>
  <c r="I4" i="4"/>
  <c r="K48" i="4"/>
  <c r="K4" i="4"/>
  <c r="K101" i="4"/>
  <c r="K22" i="4"/>
  <c r="O22" i="4"/>
  <c r="I7" i="4"/>
  <c r="O7" i="4"/>
  <c r="I59" i="4"/>
  <c r="J71" i="4"/>
  <c r="L7" i="4"/>
  <c r="K59" i="4"/>
  <c r="N59" i="4" s="1"/>
  <c r="K78" i="4"/>
  <c r="I101" i="4"/>
  <c r="K106" i="4"/>
  <c r="J96" i="4"/>
  <c r="I96" i="4"/>
  <c r="L96" i="4"/>
  <c r="K96" i="4"/>
  <c r="J90" i="4"/>
  <c r="I90" i="4"/>
  <c r="L90" i="4"/>
  <c r="K90" i="4"/>
  <c r="L6" i="4"/>
  <c r="K6" i="4"/>
  <c r="J6" i="4"/>
  <c r="I6" i="4"/>
  <c r="L24" i="4"/>
  <c r="K24" i="4"/>
  <c r="J24" i="4"/>
  <c r="I24" i="4"/>
  <c r="J72" i="4"/>
  <c r="I72" i="4"/>
  <c r="L72" i="4"/>
  <c r="K72" i="4"/>
  <c r="L92" i="4"/>
  <c r="K92" i="4"/>
  <c r="J92" i="4"/>
  <c r="I92" i="4"/>
  <c r="L110" i="4"/>
  <c r="K110" i="4"/>
  <c r="M110" i="4" s="1"/>
  <c r="J110" i="4"/>
  <c r="I110" i="4"/>
  <c r="L118" i="4"/>
  <c r="K118" i="4"/>
  <c r="J118" i="4"/>
  <c r="I118" i="4"/>
  <c r="L44" i="4"/>
  <c r="K44" i="4"/>
  <c r="M44" i="4" s="1"/>
  <c r="J44" i="4"/>
  <c r="I44" i="4"/>
  <c r="L82" i="4"/>
  <c r="K82" i="4"/>
  <c r="J82" i="4"/>
  <c r="I82" i="4"/>
  <c r="L34" i="4"/>
  <c r="K34" i="4"/>
  <c r="J34" i="4"/>
  <c r="I34" i="4"/>
  <c r="L84" i="4"/>
  <c r="K84" i="4"/>
  <c r="J84" i="4"/>
  <c r="I84" i="4"/>
  <c r="L104" i="4"/>
  <c r="K104" i="4"/>
  <c r="J104" i="4"/>
  <c r="I104" i="4"/>
  <c r="J8" i="4"/>
  <c r="I8" i="4"/>
  <c r="L8" i="4"/>
  <c r="K8" i="4"/>
  <c r="L31" i="4"/>
  <c r="K31" i="4"/>
  <c r="J31" i="4"/>
  <c r="I31" i="4"/>
  <c r="L67" i="4"/>
  <c r="K67" i="4"/>
  <c r="J67" i="4"/>
  <c r="I67" i="4"/>
  <c r="L76" i="4"/>
  <c r="K76" i="4"/>
  <c r="J76" i="4"/>
  <c r="I76" i="4"/>
  <c r="L99" i="4"/>
  <c r="K99" i="4"/>
  <c r="J99" i="4"/>
  <c r="I99" i="4"/>
  <c r="L23" i="4"/>
  <c r="K23" i="4"/>
  <c r="J23" i="4"/>
  <c r="I23" i="4"/>
  <c r="L122" i="4"/>
  <c r="K122" i="4"/>
  <c r="J122" i="4"/>
  <c r="I122" i="4"/>
  <c r="L17" i="4"/>
  <c r="K17" i="4"/>
  <c r="J17" i="4"/>
  <c r="I17" i="4"/>
  <c r="L18" i="4"/>
  <c r="K18" i="4"/>
  <c r="J18" i="4"/>
  <c r="I18" i="4"/>
  <c r="L38" i="4"/>
  <c r="K38" i="4"/>
  <c r="J38" i="4"/>
  <c r="I38" i="4"/>
  <c r="L86" i="4"/>
  <c r="K86" i="4"/>
  <c r="J86" i="4"/>
  <c r="I86" i="4"/>
  <c r="L80" i="4"/>
  <c r="K80" i="4"/>
  <c r="J80" i="4"/>
  <c r="I80" i="4"/>
  <c r="L102" i="4"/>
  <c r="K102" i="4"/>
  <c r="J102" i="4"/>
  <c r="I102" i="4"/>
  <c r="L117" i="4"/>
  <c r="K117" i="4"/>
  <c r="J117" i="4"/>
  <c r="I117" i="4"/>
  <c r="L10" i="4"/>
  <c r="K10" i="4"/>
  <c r="I10" i="4"/>
  <c r="J10" i="4"/>
  <c r="L19" i="4"/>
  <c r="K19" i="4"/>
  <c r="J19" i="4"/>
  <c r="I19" i="4"/>
  <c r="J11" i="4"/>
  <c r="I11" i="4"/>
  <c r="L11" i="4"/>
  <c r="K11" i="4"/>
  <c r="L89" i="4"/>
  <c r="K89" i="4"/>
  <c r="J89" i="4"/>
  <c r="I89" i="4"/>
  <c r="L50" i="4"/>
  <c r="K50" i="4"/>
  <c r="J50" i="4"/>
  <c r="I50" i="4"/>
  <c r="J62" i="4"/>
  <c r="I62" i="4"/>
  <c r="L62" i="4"/>
  <c r="K62" i="4"/>
  <c r="L74" i="4"/>
  <c r="K74" i="4"/>
  <c r="J74" i="4"/>
  <c r="I74" i="4"/>
  <c r="J65" i="4"/>
  <c r="I65" i="4"/>
  <c r="L65" i="4"/>
  <c r="K65" i="4"/>
  <c r="L95" i="4"/>
  <c r="K95" i="4"/>
  <c r="J95" i="4"/>
  <c r="I95" i="4"/>
  <c r="L75" i="4"/>
  <c r="K75" i="4"/>
  <c r="J75" i="4"/>
  <c r="I75" i="4"/>
  <c r="J98" i="4"/>
  <c r="I98" i="4"/>
  <c r="L98" i="4"/>
  <c r="K98" i="4"/>
  <c r="L81" i="4"/>
  <c r="K81" i="4"/>
  <c r="J81" i="4"/>
  <c r="I81" i="4"/>
  <c r="J103" i="4"/>
  <c r="I103" i="4"/>
  <c r="L103" i="4"/>
  <c r="K103" i="4"/>
  <c r="L63" i="4"/>
  <c r="K63" i="4"/>
  <c r="J63" i="4"/>
  <c r="I63" i="4"/>
  <c r="L143" i="4"/>
  <c r="K143" i="4"/>
  <c r="J143" i="4"/>
  <c r="I143" i="4"/>
  <c r="L15" i="4"/>
  <c r="K15" i="4"/>
  <c r="J15" i="4"/>
  <c r="I15" i="4"/>
  <c r="L33" i="4"/>
  <c r="K33" i="4"/>
  <c r="J33" i="4"/>
  <c r="I33" i="4"/>
  <c r="L12" i="4"/>
  <c r="K12" i="4"/>
  <c r="J12" i="4"/>
  <c r="I12" i="4"/>
  <c r="L124" i="4"/>
  <c r="K124" i="4"/>
  <c r="J124" i="4"/>
  <c r="I124" i="4"/>
  <c r="L5" i="4"/>
  <c r="K5" i="4"/>
  <c r="J5" i="4"/>
  <c r="I5" i="4"/>
  <c r="L70" i="4"/>
  <c r="K70" i="4"/>
  <c r="J70" i="4"/>
  <c r="I70" i="4"/>
  <c r="L144" i="4"/>
  <c r="K144" i="4"/>
  <c r="J144" i="4"/>
  <c r="I144" i="4"/>
  <c r="L16" i="4"/>
  <c r="K16" i="4"/>
  <c r="J16" i="4"/>
  <c r="I16" i="4"/>
  <c r="L35" i="4"/>
  <c r="K35" i="4"/>
  <c r="J35" i="4"/>
  <c r="I35" i="4"/>
  <c r="L40" i="4"/>
  <c r="K40" i="4"/>
  <c r="J40" i="4"/>
  <c r="I40" i="4"/>
  <c r="J85" i="4"/>
  <c r="I85" i="4"/>
  <c r="L85" i="4"/>
  <c r="K85" i="4"/>
  <c r="L66" i="4"/>
  <c r="K66" i="4"/>
  <c r="J66" i="4"/>
  <c r="I66" i="4"/>
  <c r="L105" i="4"/>
  <c r="K105" i="4"/>
  <c r="J105" i="4"/>
  <c r="I105" i="4"/>
  <c r="L3" i="4"/>
  <c r="K3" i="4"/>
  <c r="J3" i="4"/>
  <c r="I3" i="4"/>
  <c r="L39" i="4"/>
  <c r="K39" i="4"/>
  <c r="J39" i="4"/>
  <c r="I39" i="4"/>
  <c r="J49" i="4"/>
  <c r="I49" i="4"/>
  <c r="L49" i="4"/>
  <c r="K49" i="4"/>
  <c r="L61" i="4"/>
  <c r="K61" i="4"/>
  <c r="J61" i="4"/>
  <c r="I61" i="4"/>
  <c r="L79" i="4"/>
  <c r="K79" i="4"/>
  <c r="J79" i="4"/>
  <c r="I79" i="4"/>
  <c r="L64" i="4"/>
  <c r="K64" i="4"/>
  <c r="J64" i="4"/>
  <c r="I64" i="4"/>
  <c r="L100" i="4"/>
  <c r="K100" i="4"/>
  <c r="J100" i="4"/>
  <c r="I100" i="4"/>
  <c r="L120" i="4"/>
  <c r="K120" i="4"/>
  <c r="J120" i="4"/>
  <c r="I120" i="4"/>
  <c r="J7" i="4"/>
  <c r="L9" i="4"/>
  <c r="L14" i="4"/>
  <c r="L22" i="4"/>
  <c r="L43" i="4"/>
  <c r="L32" i="4"/>
  <c r="L88" i="4"/>
  <c r="J97" i="4"/>
  <c r="K7" i="4"/>
  <c r="K97" i="4"/>
  <c r="L97" i="4"/>
  <c r="J4" i="4"/>
  <c r="J48" i="4"/>
  <c r="J59" i="4"/>
  <c r="J69" i="4"/>
  <c r="J73" i="4"/>
  <c r="J78" i="4"/>
  <c r="J94" i="4"/>
  <c r="J101" i="4"/>
  <c r="J106" i="4"/>
  <c r="I77" i="4"/>
  <c r="I93" i="4"/>
  <c r="I119" i="4"/>
  <c r="I109" i="4"/>
  <c r="I121" i="4"/>
  <c r="I123" i="4"/>
  <c r="I142" i="4"/>
  <c r="I2" i="4"/>
  <c r="I20" i="4"/>
  <c r="I41" i="4"/>
  <c r="I68" i="4"/>
  <c r="I83" i="4"/>
  <c r="I60" i="4"/>
  <c r="J2" i="4"/>
  <c r="J20" i="4"/>
  <c r="J41" i="4"/>
  <c r="J68" i="4"/>
  <c r="J83" i="4"/>
  <c r="J60" i="4"/>
  <c r="J77" i="4"/>
  <c r="J93" i="4"/>
  <c r="J119" i="4"/>
  <c r="J109" i="4"/>
  <c r="J121" i="4"/>
  <c r="J123" i="4"/>
  <c r="J142" i="4"/>
  <c r="K2" i="4"/>
  <c r="K20" i="4"/>
  <c r="K41" i="4"/>
  <c r="K68" i="4"/>
  <c r="K83" i="4"/>
  <c r="K60" i="4"/>
  <c r="K77" i="4"/>
  <c r="K93" i="4"/>
  <c r="K119" i="4"/>
  <c r="K109" i="4"/>
  <c r="K121" i="4"/>
  <c r="K123" i="4"/>
  <c r="K142" i="4"/>
  <c r="L20" i="4"/>
  <c r="L60" i="4"/>
  <c r="L2" i="4"/>
  <c r="I71" i="4"/>
  <c r="I91" i="4"/>
  <c r="J9" i="4"/>
  <c r="J14" i="4"/>
  <c r="J22" i="4"/>
  <c r="J43" i="4"/>
  <c r="J32" i="4"/>
  <c r="J88" i="4"/>
  <c r="K71" i="4"/>
  <c r="K91" i="4"/>
  <c r="O80" i="3"/>
  <c r="I106" i="3"/>
  <c r="L106" i="3"/>
  <c r="M34" i="3"/>
  <c r="J106" i="3"/>
  <c r="K106" i="3"/>
  <c r="M19" i="3"/>
  <c r="M24" i="3"/>
  <c r="M28" i="3"/>
  <c r="K47" i="3"/>
  <c r="L47" i="3"/>
  <c r="L59" i="3"/>
  <c r="K121" i="3"/>
  <c r="J68" i="3"/>
  <c r="K68" i="3"/>
  <c r="L68" i="3"/>
  <c r="I68" i="3"/>
  <c r="I144" i="3"/>
  <c r="L144" i="3"/>
  <c r="I2" i="3"/>
  <c r="L2" i="3"/>
  <c r="K2" i="3"/>
  <c r="O2" i="3" s="1"/>
  <c r="K105" i="3"/>
  <c r="L105" i="3"/>
  <c r="L121" i="3"/>
  <c r="L109" i="3"/>
  <c r="J12" i="3"/>
  <c r="K12" i="3"/>
  <c r="O12" i="3" s="1"/>
  <c r="L34" i="3"/>
  <c r="K59" i="3"/>
  <c r="L69" i="3"/>
  <c r="L23" i="3"/>
  <c r="K23" i="3"/>
  <c r="J23" i="3"/>
  <c r="I23" i="3"/>
  <c r="I71" i="3"/>
  <c r="L71" i="3"/>
  <c r="K71" i="3"/>
  <c r="J71" i="3"/>
  <c r="K21" i="3"/>
  <c r="L21" i="3"/>
  <c r="L12" i="3"/>
  <c r="K143" i="3"/>
  <c r="L143" i="3"/>
  <c r="K65" i="3"/>
  <c r="L65" i="3"/>
  <c r="I83" i="3"/>
  <c r="L83" i="3"/>
  <c r="I31" i="3"/>
  <c r="L31" i="3"/>
  <c r="K31" i="3"/>
  <c r="K117" i="3"/>
  <c r="J117" i="3"/>
  <c r="I117" i="3"/>
  <c r="L117" i="3"/>
  <c r="I20" i="3"/>
  <c r="L20" i="3"/>
  <c r="L63" i="3"/>
  <c r="J63" i="3"/>
  <c r="I63" i="3"/>
  <c r="K63" i="3"/>
  <c r="I79" i="3"/>
  <c r="L79" i="3"/>
  <c r="K79" i="3"/>
  <c r="K72" i="3"/>
  <c r="I12" i="3"/>
  <c r="L41" i="3"/>
  <c r="L72" i="3"/>
  <c r="I89" i="3"/>
  <c r="K89" i="3"/>
  <c r="L89" i="3"/>
  <c r="J89" i="3"/>
  <c r="I26" i="3"/>
  <c r="L26" i="3"/>
  <c r="K26" i="3"/>
  <c r="J26" i="3"/>
  <c r="I67" i="3"/>
  <c r="K67" i="3"/>
  <c r="L67" i="3"/>
  <c r="J67" i="3"/>
  <c r="I6" i="3"/>
  <c r="K6" i="3"/>
  <c r="L6" i="3"/>
  <c r="J6" i="3"/>
  <c r="M6" i="3"/>
  <c r="I62" i="3"/>
  <c r="K62" i="3"/>
  <c r="L62" i="3"/>
  <c r="J62" i="3"/>
  <c r="M7" i="3"/>
  <c r="M2" i="3"/>
  <c r="M3" i="3"/>
  <c r="I21" i="3"/>
  <c r="I34" i="3"/>
  <c r="I65" i="3"/>
  <c r="I47" i="3"/>
  <c r="I105" i="3"/>
  <c r="I143" i="3"/>
  <c r="J21" i="3"/>
  <c r="J34" i="3"/>
  <c r="J65" i="3"/>
  <c r="J47" i="3"/>
  <c r="J105" i="3"/>
  <c r="J143" i="3"/>
  <c r="L7" i="3"/>
  <c r="J2" i="3"/>
  <c r="L24" i="3"/>
  <c r="J31" i="3"/>
  <c r="L70" i="3"/>
  <c r="J59" i="3"/>
  <c r="L60" i="3"/>
  <c r="J79" i="3"/>
  <c r="L80" i="3"/>
  <c r="J72" i="3"/>
  <c r="L118" i="3"/>
  <c r="J121" i="3"/>
  <c r="I3" i="3"/>
  <c r="I4" i="3"/>
  <c r="I19" i="3"/>
  <c r="I39" i="3"/>
  <c r="I28" i="3"/>
  <c r="I64" i="3"/>
  <c r="I111" i="3"/>
  <c r="I75" i="3"/>
  <c r="I91" i="3"/>
  <c r="I92" i="3"/>
  <c r="I90" i="3"/>
  <c r="I120" i="3"/>
  <c r="J3" i="3"/>
  <c r="J4" i="3"/>
  <c r="J19" i="3"/>
  <c r="J39" i="3"/>
  <c r="J28" i="3"/>
  <c r="J64" i="3"/>
  <c r="J111" i="3"/>
  <c r="J75" i="3"/>
  <c r="J91" i="3"/>
  <c r="J92" i="3"/>
  <c r="J90" i="3"/>
  <c r="J120" i="3"/>
  <c r="M4" i="3"/>
  <c r="K3" i="3"/>
  <c r="J7" i="3"/>
  <c r="K4" i="3"/>
  <c r="J20" i="3"/>
  <c r="K19" i="3"/>
  <c r="J24" i="3"/>
  <c r="K39" i="3"/>
  <c r="J41" i="3"/>
  <c r="K28" i="3"/>
  <c r="J70" i="3"/>
  <c r="K64" i="3"/>
  <c r="J69" i="3"/>
  <c r="K111" i="3"/>
  <c r="J60" i="3"/>
  <c r="K75" i="3"/>
  <c r="J83" i="3"/>
  <c r="K91" i="3"/>
  <c r="J80" i="3"/>
  <c r="K92" i="3"/>
  <c r="J109" i="3"/>
  <c r="K90" i="3"/>
  <c r="J118" i="3"/>
  <c r="K120" i="3"/>
  <c r="J144" i="3"/>
  <c r="K7" i="3"/>
  <c r="K20" i="3"/>
  <c r="K24" i="3"/>
  <c r="K41" i="3"/>
  <c r="K70" i="3"/>
  <c r="K69" i="3"/>
  <c r="K60" i="3"/>
  <c r="K83" i="3"/>
  <c r="K80" i="3"/>
  <c r="K109" i="3"/>
  <c r="K118" i="3"/>
  <c r="K144" i="3"/>
  <c r="J14" i="3"/>
  <c r="L14" i="3"/>
  <c r="I14" i="3"/>
  <c r="K14" i="3"/>
  <c r="J10" i="3"/>
  <c r="L10" i="3"/>
  <c r="I10" i="3"/>
  <c r="K10" i="3"/>
  <c r="L85" i="3"/>
  <c r="I85" i="3"/>
  <c r="K85" i="3"/>
  <c r="J85" i="3"/>
  <c r="L108" i="3"/>
  <c r="J108" i="3"/>
  <c r="I108" i="3"/>
  <c r="K108" i="3"/>
  <c r="L73" i="3"/>
  <c r="J73" i="3"/>
  <c r="I73" i="3"/>
  <c r="K73" i="3"/>
  <c r="L46" i="3"/>
  <c r="I46" i="3"/>
  <c r="K46" i="3"/>
  <c r="J46" i="3"/>
  <c r="L81" i="3"/>
  <c r="I81" i="3"/>
  <c r="K81" i="3"/>
  <c r="J81" i="3"/>
  <c r="I104" i="3"/>
  <c r="L104" i="3"/>
  <c r="K104" i="3"/>
  <c r="J104" i="3"/>
  <c r="I142" i="3"/>
  <c r="L142" i="3"/>
  <c r="J142" i="3"/>
  <c r="K142" i="3"/>
  <c r="L8" i="3"/>
  <c r="J8" i="3"/>
  <c r="I8" i="3"/>
  <c r="K8" i="3"/>
  <c r="L27" i="3"/>
  <c r="J27" i="3"/>
  <c r="I27" i="3"/>
  <c r="K27" i="3"/>
  <c r="L38" i="3"/>
  <c r="I38" i="3"/>
  <c r="K38" i="3"/>
  <c r="J38" i="3"/>
  <c r="L74" i="3"/>
  <c r="J74" i="3"/>
  <c r="I74" i="3"/>
  <c r="K74" i="3"/>
  <c r="L48" i="3"/>
  <c r="J48" i="3"/>
  <c r="I48" i="3"/>
  <c r="K48" i="3"/>
  <c r="L88" i="3"/>
  <c r="I88" i="3"/>
  <c r="K88" i="3"/>
  <c r="J88" i="3"/>
  <c r="I101" i="3"/>
  <c r="L101" i="3"/>
  <c r="J101" i="3"/>
  <c r="K101" i="3"/>
  <c r="L32" i="3"/>
  <c r="J32" i="3"/>
  <c r="I32" i="3"/>
  <c r="K32" i="3"/>
  <c r="L35" i="3"/>
  <c r="J35" i="3"/>
  <c r="I35" i="3"/>
  <c r="K35" i="3"/>
  <c r="I94" i="3"/>
  <c r="L94" i="3"/>
  <c r="K94" i="3"/>
  <c r="J94" i="3"/>
  <c r="J5" i="3"/>
  <c r="L5" i="3"/>
  <c r="I5" i="3"/>
  <c r="K5" i="3"/>
  <c r="L18" i="3"/>
  <c r="J18" i="3"/>
  <c r="I18" i="3"/>
  <c r="K18" i="3"/>
  <c r="L61" i="3"/>
  <c r="J61" i="3"/>
  <c r="I61" i="3"/>
  <c r="K61" i="3"/>
  <c r="L78" i="3"/>
  <c r="J78" i="3"/>
  <c r="I78" i="3"/>
  <c r="K78" i="3"/>
  <c r="I119" i="3"/>
  <c r="L119" i="3"/>
  <c r="J119" i="3"/>
  <c r="K119" i="3"/>
  <c r="L13" i="3"/>
  <c r="I13" i="3"/>
  <c r="K13" i="3"/>
  <c r="J13" i="3"/>
  <c r="L9" i="3"/>
  <c r="K9" i="3"/>
  <c r="J9" i="3"/>
  <c r="I9" i="3"/>
  <c r="L11" i="3"/>
  <c r="K11" i="3"/>
  <c r="J11" i="3"/>
  <c r="I11" i="3"/>
  <c r="L22" i="3"/>
  <c r="K22" i="3"/>
  <c r="J22" i="3"/>
  <c r="I22" i="3"/>
  <c r="L25" i="3"/>
  <c r="K25" i="3"/>
  <c r="J25" i="3"/>
  <c r="I25" i="3"/>
  <c r="L42" i="3"/>
  <c r="K42" i="3"/>
  <c r="J42" i="3"/>
  <c r="I42" i="3"/>
  <c r="L17" i="3"/>
  <c r="K17" i="3"/>
  <c r="J17" i="3"/>
  <c r="I17" i="3"/>
  <c r="L33" i="3"/>
  <c r="J33" i="3"/>
  <c r="K33" i="3"/>
  <c r="I33" i="3"/>
  <c r="L40" i="3"/>
  <c r="K40" i="3"/>
  <c r="J40" i="3"/>
  <c r="I40" i="3"/>
  <c r="L84" i="3"/>
  <c r="K84" i="3"/>
  <c r="J84" i="3"/>
  <c r="I84" i="3"/>
  <c r="L100" i="3"/>
  <c r="K100" i="3"/>
  <c r="J100" i="3"/>
  <c r="I100" i="3"/>
  <c r="L99" i="3"/>
  <c r="K99" i="3"/>
  <c r="J99" i="3"/>
  <c r="I99" i="3"/>
  <c r="L93" i="3"/>
  <c r="K93" i="3"/>
  <c r="J93" i="3"/>
  <c r="I93" i="3"/>
  <c r="L124" i="3"/>
  <c r="K124" i="3"/>
  <c r="J124" i="3"/>
  <c r="I124" i="3"/>
  <c r="L123" i="3"/>
  <c r="K123" i="3"/>
  <c r="J123" i="3"/>
  <c r="I123" i="3"/>
  <c r="L103" i="3"/>
  <c r="K103" i="3"/>
  <c r="J103" i="3"/>
  <c r="I103" i="3"/>
  <c r="L82" i="3"/>
  <c r="K82" i="3"/>
  <c r="J82" i="3"/>
  <c r="I82" i="3"/>
  <c r="L102" i="3"/>
  <c r="K102" i="3"/>
  <c r="J102" i="3"/>
  <c r="I102" i="3"/>
  <c r="L107" i="3"/>
  <c r="K107" i="3"/>
  <c r="J107" i="3"/>
  <c r="I107" i="3"/>
  <c r="L98" i="3"/>
  <c r="J98" i="3"/>
  <c r="I98" i="3"/>
  <c r="K98" i="3"/>
  <c r="L110" i="3"/>
  <c r="K110" i="3"/>
  <c r="J110" i="3"/>
  <c r="I110" i="3"/>
  <c r="L97" i="3"/>
  <c r="I97" i="3"/>
  <c r="K97" i="3"/>
  <c r="J97" i="3"/>
  <c r="L96" i="3"/>
  <c r="K96" i="3"/>
  <c r="I96" i="3"/>
  <c r="J96" i="3"/>
  <c r="L95" i="3"/>
  <c r="I95" i="3"/>
  <c r="K95" i="3"/>
  <c r="J95" i="3"/>
  <c r="L66" i="3"/>
  <c r="K66" i="3"/>
  <c r="J66" i="3"/>
  <c r="I66" i="3"/>
  <c r="I122" i="3"/>
  <c r="J122" i="3"/>
  <c r="K122" i="3"/>
  <c r="N60" i="4" l="1"/>
  <c r="M60" i="4"/>
  <c r="M103" i="4"/>
  <c r="N103" i="4"/>
  <c r="N96" i="4"/>
  <c r="M96" i="4"/>
  <c r="N83" i="4"/>
  <c r="M83" i="4"/>
  <c r="N69" i="4"/>
  <c r="M69" i="4"/>
  <c r="N68" i="4"/>
  <c r="M68" i="4"/>
  <c r="N64" i="4"/>
  <c r="M64" i="4"/>
  <c r="N105" i="4"/>
  <c r="M105" i="4"/>
  <c r="N75" i="4"/>
  <c r="M75" i="4"/>
  <c r="N74" i="4"/>
  <c r="M74" i="4"/>
  <c r="N89" i="4"/>
  <c r="M89" i="4"/>
  <c r="N80" i="4"/>
  <c r="M80" i="4"/>
  <c r="N67" i="4"/>
  <c r="M67" i="4"/>
  <c r="N104" i="4"/>
  <c r="M104" i="4"/>
  <c r="M82" i="4"/>
  <c r="N82" i="4"/>
  <c r="N93" i="4"/>
  <c r="M93" i="4"/>
  <c r="N61" i="4"/>
  <c r="M61" i="4"/>
  <c r="N63" i="4"/>
  <c r="M63" i="4"/>
  <c r="M102" i="4"/>
  <c r="N102" i="4"/>
  <c r="N76" i="4"/>
  <c r="M76" i="4"/>
  <c r="N101" i="4"/>
  <c r="M101" i="4"/>
  <c r="M91" i="4"/>
  <c r="N91" i="4"/>
  <c r="N62" i="4"/>
  <c r="M62" i="4"/>
  <c r="N106" i="4"/>
  <c r="M106" i="4"/>
  <c r="N71" i="4"/>
  <c r="M71" i="4"/>
  <c r="N97" i="4"/>
  <c r="M97" i="4"/>
  <c r="N79" i="4"/>
  <c r="M79" i="4"/>
  <c r="M66" i="4"/>
  <c r="N66" i="4"/>
  <c r="M70" i="4"/>
  <c r="N70" i="4"/>
  <c r="N81" i="4"/>
  <c r="M81" i="4"/>
  <c r="N95" i="4"/>
  <c r="M95" i="4"/>
  <c r="N86" i="4"/>
  <c r="M86" i="4"/>
  <c r="M99" i="4"/>
  <c r="N99" i="4"/>
  <c r="N84" i="4"/>
  <c r="M84" i="4"/>
  <c r="N92" i="4"/>
  <c r="M92" i="4"/>
  <c r="M78" i="4"/>
  <c r="N78" i="4"/>
  <c r="N100" i="4"/>
  <c r="M100" i="4"/>
  <c r="N77" i="4"/>
  <c r="M77" i="4"/>
  <c r="N88" i="4"/>
  <c r="M88" i="4"/>
  <c r="N94" i="4"/>
  <c r="M94" i="4"/>
  <c r="N85" i="4"/>
  <c r="M85" i="4"/>
  <c r="N98" i="4"/>
  <c r="M98" i="4"/>
  <c r="N65" i="4"/>
  <c r="M65" i="4"/>
  <c r="N72" i="4"/>
  <c r="M72" i="4"/>
  <c r="N90" i="4"/>
  <c r="M90" i="4"/>
  <c r="N73" i="4"/>
  <c r="M73" i="4"/>
  <c r="N117" i="4"/>
  <c r="M117" i="4"/>
  <c r="N120" i="4"/>
  <c r="M120" i="4"/>
  <c r="N122" i="4"/>
  <c r="M122" i="4"/>
  <c r="N118" i="4"/>
  <c r="M118" i="4"/>
  <c r="N123" i="4"/>
  <c r="M123" i="4"/>
  <c r="M119" i="4"/>
  <c r="N119" i="4"/>
  <c r="N124" i="4"/>
  <c r="M124" i="4"/>
  <c r="N121" i="4"/>
  <c r="M121" i="4"/>
  <c r="N35" i="4"/>
  <c r="M35" i="4"/>
  <c r="M32" i="4"/>
  <c r="N32" i="4"/>
  <c r="N33" i="4"/>
  <c r="M33" i="4"/>
  <c r="M39" i="4"/>
  <c r="N34" i="4"/>
  <c r="M34" i="4"/>
  <c r="N11" i="4"/>
  <c r="M11" i="4"/>
  <c r="N31" i="4"/>
  <c r="M31" i="4"/>
  <c r="M22" i="4"/>
  <c r="N22" i="4"/>
  <c r="N4" i="4"/>
  <c r="M4" i="4"/>
  <c r="N21" i="4"/>
  <c r="M21" i="4"/>
  <c r="M6" i="4"/>
  <c r="N6" i="4"/>
  <c r="M59" i="4"/>
  <c r="N7" i="4"/>
  <c r="M7" i="4"/>
  <c r="N10" i="4"/>
  <c r="M10" i="4"/>
  <c r="N14" i="4"/>
  <c r="M14" i="4"/>
  <c r="N12" i="4"/>
  <c r="M12" i="4"/>
  <c r="N18" i="4"/>
  <c r="M18" i="4"/>
  <c r="N20" i="4"/>
  <c r="M20" i="4"/>
  <c r="N19" i="4"/>
  <c r="M19" i="4"/>
  <c r="N15" i="4"/>
  <c r="M15" i="4"/>
  <c r="N8" i="4"/>
  <c r="M8" i="4"/>
  <c r="N13" i="4"/>
  <c r="M13" i="4"/>
  <c r="M42" i="4"/>
  <c r="N23" i="4"/>
  <c r="M23" i="4"/>
  <c r="N3" i="4"/>
  <c r="M3" i="4"/>
  <c r="N2" i="4"/>
  <c r="M2" i="4"/>
  <c r="N16" i="4"/>
  <c r="M16" i="4"/>
  <c r="N5" i="4"/>
  <c r="M5" i="4"/>
  <c r="N17" i="4"/>
  <c r="M17" i="4"/>
  <c r="N24" i="4"/>
  <c r="M24" i="4"/>
  <c r="N9" i="4"/>
  <c r="M9" i="4"/>
  <c r="M41" i="4"/>
  <c r="M38" i="4"/>
  <c r="N104" i="3"/>
  <c r="M104" i="3"/>
  <c r="N39" i="3"/>
  <c r="M39" i="3"/>
  <c r="N99" i="3"/>
  <c r="M99" i="3"/>
  <c r="N93" i="3"/>
  <c r="M93" i="3"/>
  <c r="N100" i="3"/>
  <c r="M100" i="3"/>
  <c r="N96" i="3"/>
  <c r="M96" i="3"/>
  <c r="N66" i="3"/>
  <c r="M66" i="3"/>
  <c r="N107" i="3"/>
  <c r="M107" i="3"/>
  <c r="N103" i="3"/>
  <c r="M103" i="3"/>
  <c r="N95" i="3"/>
  <c r="M95" i="3"/>
  <c r="N110" i="3"/>
  <c r="M110" i="3"/>
  <c r="N102" i="3"/>
  <c r="M102" i="3"/>
  <c r="N98" i="3"/>
  <c r="M98" i="3"/>
  <c r="M97" i="3"/>
  <c r="N97" i="3"/>
  <c r="N106" i="3"/>
  <c r="M106" i="3"/>
  <c r="M91" i="3"/>
  <c r="N91" i="3"/>
  <c r="N105" i="3"/>
  <c r="M105" i="3"/>
  <c r="M101" i="3"/>
  <c r="N101" i="3"/>
  <c r="N89" i="3"/>
  <c r="M89" i="3"/>
  <c r="N88" i="3"/>
  <c r="M88" i="3"/>
  <c r="N109" i="3"/>
  <c r="M109" i="3"/>
  <c r="N90" i="3"/>
  <c r="M90" i="3"/>
  <c r="M67" i="3"/>
  <c r="N67" i="3"/>
  <c r="N72" i="3"/>
  <c r="M72" i="3"/>
  <c r="N92" i="3"/>
  <c r="M92" i="3"/>
  <c r="N94" i="3"/>
  <c r="M94" i="3"/>
  <c r="N59" i="3"/>
  <c r="M59" i="3"/>
  <c r="N73" i="3"/>
  <c r="M73" i="3"/>
  <c r="N60" i="3"/>
  <c r="M60" i="3"/>
  <c r="N111" i="3"/>
  <c r="M111" i="3"/>
  <c r="N64" i="3"/>
  <c r="M64" i="3"/>
  <c r="N69" i="3"/>
  <c r="M69" i="3"/>
  <c r="N62" i="3"/>
  <c r="M62" i="3"/>
  <c r="N68" i="3"/>
  <c r="M68" i="3"/>
  <c r="N70" i="3"/>
  <c r="M70" i="3"/>
  <c r="M71" i="3"/>
  <c r="N71" i="3"/>
  <c r="N61" i="3"/>
  <c r="M61" i="3"/>
  <c r="N74" i="3"/>
  <c r="M74" i="3"/>
  <c r="N108" i="3"/>
  <c r="M108" i="3"/>
  <c r="M63" i="3"/>
  <c r="N63" i="3"/>
  <c r="M65" i="3"/>
  <c r="N65" i="3"/>
  <c r="N75" i="3"/>
  <c r="M75" i="3"/>
  <c r="N84" i="3"/>
  <c r="M84" i="3"/>
  <c r="N80" i="3"/>
  <c r="M80" i="3"/>
  <c r="Q82" i="3"/>
  <c r="P82" i="3"/>
  <c r="Q79" i="3"/>
  <c r="P79" i="3"/>
  <c r="M79" i="3"/>
  <c r="N79" i="3"/>
  <c r="N82" i="3"/>
  <c r="M82" i="3"/>
  <c r="P78" i="3"/>
  <c r="Q78" i="3"/>
  <c r="Q80" i="3"/>
  <c r="P80" i="3"/>
  <c r="P85" i="3"/>
  <c r="Q85" i="3"/>
  <c r="M85" i="3"/>
  <c r="N85" i="3"/>
  <c r="N78" i="3"/>
  <c r="M78" i="3"/>
  <c r="M83" i="3"/>
  <c r="N83" i="3"/>
  <c r="P81" i="3"/>
  <c r="Q81" i="3"/>
  <c r="Q83" i="3"/>
  <c r="P83" i="3"/>
  <c r="P84" i="3"/>
  <c r="Q84" i="3"/>
  <c r="N81" i="3"/>
  <c r="M81" i="3"/>
  <c r="N42" i="3"/>
  <c r="M42" i="3"/>
  <c r="N38" i="3"/>
  <c r="M38" i="3"/>
  <c r="N40" i="3"/>
  <c r="M40" i="3"/>
  <c r="M41" i="3"/>
  <c r="N41" i="3"/>
  <c r="N12" i="3"/>
  <c r="N2" i="3"/>
  <c r="O6" i="3"/>
  <c r="N6" i="3"/>
  <c r="O5" i="3"/>
  <c r="N5" i="3"/>
  <c r="N8" i="3"/>
  <c r="O8" i="3"/>
  <c r="N13" i="3"/>
  <c r="O13" i="3"/>
  <c r="O4" i="3"/>
  <c r="N4" i="3"/>
  <c r="O11" i="3"/>
  <c r="N11" i="3"/>
  <c r="O10" i="3"/>
  <c r="N10" i="3"/>
  <c r="O9" i="3"/>
  <c r="N9" i="3"/>
  <c r="N14" i="3"/>
  <c r="O14" i="3"/>
  <c r="N7" i="3"/>
  <c r="O7" i="3"/>
  <c r="N3" i="3"/>
  <c r="O3" i="3"/>
</calcChain>
</file>

<file path=xl/sharedStrings.xml><?xml version="1.0" encoding="utf-8"?>
<sst xmlns="http://schemas.openxmlformats.org/spreadsheetml/2006/main" count="6889" uniqueCount="409">
  <si>
    <t>WO 12/2/2025</t>
  </si>
  <si>
    <t>5k</t>
  </si>
  <si>
    <t>Mile</t>
  </si>
  <si>
    <t>3k</t>
  </si>
  <si>
    <t>Percent</t>
  </si>
  <si>
    <t>R</t>
  </si>
  <si>
    <t>VO2</t>
  </si>
  <si>
    <t>I</t>
  </si>
  <si>
    <t>10k</t>
  </si>
  <si>
    <t>CV</t>
  </si>
  <si>
    <t>Thresh</t>
  </si>
  <si>
    <t>Thresh L</t>
  </si>
  <si>
    <t>T (400)</t>
  </si>
  <si>
    <t>1k T</t>
  </si>
  <si>
    <t>CV (400)</t>
  </si>
  <si>
    <t>600 CV</t>
  </si>
  <si>
    <t>200 VO2</t>
  </si>
  <si>
    <t>I (400)</t>
  </si>
  <si>
    <t>600 I</t>
  </si>
  <si>
    <t>200 FBC</t>
  </si>
  <si>
    <t>…......</t>
  </si>
  <si>
    <t>….......</t>
  </si>
  <si>
    <t>G</t>
  </si>
  <si>
    <t>A: 1k T, 60s Rest, 2 x 800 (600 CV, 200 VO2), 2.5m Rest. 2 x 800 (600 I, 200 VO2) 2.5m Rest. 4 x 200 FBC (2m Rest)</t>
  </si>
  <si>
    <t>Merna, Maddie</t>
  </si>
  <si>
    <t>FBC</t>
  </si>
  <si>
    <t>A</t>
  </si>
  <si>
    <t>Kramer, Karle</t>
  </si>
  <si>
    <t>Engel, Morgan</t>
  </si>
  <si>
    <t>Peterson, Lily</t>
  </si>
  <si>
    <t>Vance, Ava</t>
  </si>
  <si>
    <t>Hoyer, Claire</t>
  </si>
  <si>
    <t>400 R</t>
  </si>
  <si>
    <t>200 R-1</t>
  </si>
  <si>
    <t>Meyer, Haley</t>
  </si>
  <si>
    <t>B</t>
  </si>
  <si>
    <t>Blankenship, Alyssa</t>
  </si>
  <si>
    <t>B: 1k T, 60s Rest, 600 CV, 90s Rest, 4 x 400 R (2m Rest), 4 x 200 R-1 (60s Rest). Strides</t>
  </si>
  <si>
    <t>Bowden, Nadia</t>
  </si>
  <si>
    <t>\</t>
  </si>
  <si>
    <t>1st 200</t>
  </si>
  <si>
    <t>2nd 200</t>
  </si>
  <si>
    <t>3rd 200</t>
  </si>
  <si>
    <t>4th 200</t>
  </si>
  <si>
    <t>5th 200</t>
  </si>
  <si>
    <t>6th 200</t>
  </si>
  <si>
    <t>400 FBC</t>
  </si>
  <si>
    <t>Ramsey, Hannah</t>
  </si>
  <si>
    <t>C</t>
  </si>
  <si>
    <t>Warren, Bethany</t>
  </si>
  <si>
    <t>Anderson, Jade</t>
  </si>
  <si>
    <t>Giardina, Kelly</t>
  </si>
  <si>
    <t>XT</t>
  </si>
  <si>
    <t>Hansen, Janae</t>
  </si>
  <si>
    <t>C: 1k T, 60s Rest, 6 x 200 Descending (60s rest +10s per drop), 400 FBC. Strides</t>
  </si>
  <si>
    <t>Pewe, Marissa</t>
  </si>
  <si>
    <t xml:space="preserve">XT: The Challenger: 15m warmup, 8 x (5 on, 1 off), 15m cooldown </t>
  </si>
  <si>
    <t>Vanderheyden, Ava</t>
  </si>
  <si>
    <t>Sherwood, Kamryn</t>
  </si>
  <si>
    <t>Bochmann, Sydney</t>
  </si>
  <si>
    <t>Maas, Lydia</t>
  </si>
  <si>
    <t>Peirce, Zaya</t>
  </si>
  <si>
    <t>McDonald, Leah</t>
  </si>
  <si>
    <t>Morey, Peyton</t>
  </si>
  <si>
    <t>Johnson, Ella</t>
  </si>
  <si>
    <t>Angus, Abbey</t>
  </si>
  <si>
    <t>Quillin, Anna</t>
  </si>
  <si>
    <t>Trygstad, Cali</t>
  </si>
  <si>
    <t>Johnson, Emrie</t>
  </si>
  <si>
    <t>Borgelt, Jillian</t>
  </si>
  <si>
    <t>Spredemann, Allie</t>
  </si>
  <si>
    <t>Hetrick, Makenna</t>
  </si>
  <si>
    <t>Vortherms, Grace</t>
  </si>
  <si>
    <t>Kounkel, Allie</t>
  </si>
  <si>
    <t>Pickar, Megan</t>
  </si>
  <si>
    <t>Cooper, Lily</t>
  </si>
  <si>
    <t>Utnage, Lailah</t>
  </si>
  <si>
    <t>….....</t>
  </si>
  <si>
    <t>A: 1k T, 60s Rest, 2 x 800 (600 CV, 200 VO2), 2.5m Rest. 3 x 800 (600 I, 200 VO2) 2.5m Rest. 3 x 200 FBC (2m Rest)</t>
  </si>
  <si>
    <t>Hammerand, Isaiah</t>
  </si>
  <si>
    <t>Sobaski, Lance</t>
  </si>
  <si>
    <t>Larson, Eli</t>
  </si>
  <si>
    <t>Kinzer, Jack</t>
  </si>
  <si>
    <t>Buchanan, Ayden</t>
  </si>
  <si>
    <t>Bailey, Seth</t>
  </si>
  <si>
    <t>Moser, Drew</t>
  </si>
  <si>
    <t>Fricke, Dawson</t>
  </si>
  <si>
    <t>Sattler, Conner</t>
  </si>
  <si>
    <t>Noreen, Cam</t>
  </si>
  <si>
    <t>B: 1k T, 45s Rest, 600 CV, 80s Rest, 4 x 400 R (2m Rest), 4 x 200 R-1 (60s Rest). Strides</t>
  </si>
  <si>
    <t>Taylor, Zion</t>
  </si>
  <si>
    <t>Coulter, Derek</t>
  </si>
  <si>
    <t>Kinzer, Nathan</t>
  </si>
  <si>
    <t>Aldamak, Ahmed</t>
  </si>
  <si>
    <t>Lursen, Aaron</t>
  </si>
  <si>
    <t>Edney, Hutton</t>
  </si>
  <si>
    <t>Martin, Rylan</t>
  </si>
  <si>
    <t>Schmidt, Wyatt</t>
  </si>
  <si>
    <t>Peterson, Henry</t>
  </si>
  <si>
    <t>Ahern, Nathan</t>
  </si>
  <si>
    <t>Angus, AJ</t>
  </si>
  <si>
    <t>Camacho, Marcus</t>
  </si>
  <si>
    <t>Olson, Caleb</t>
  </si>
  <si>
    <t>Rader, Brendan</t>
  </si>
  <si>
    <t>Schmidt, Sawyer</t>
  </si>
  <si>
    <t>Pries, Owen</t>
  </si>
  <si>
    <t>Warson, Clay</t>
  </si>
  <si>
    <t>Pries, Alex</t>
  </si>
  <si>
    <t>Fenstermaker, Chris</t>
  </si>
  <si>
    <t>Schermerhorn, Tyler</t>
  </si>
  <si>
    <t>Zaugg, Solomon</t>
  </si>
  <si>
    <t>Julian, Ander</t>
  </si>
  <si>
    <t>Decker, Aidan</t>
  </si>
  <si>
    <t>Hulseberg, Wes</t>
  </si>
  <si>
    <t>Wienecke, Nolan</t>
  </si>
  <si>
    <t>Martin, Connor</t>
  </si>
  <si>
    <t>Smith, Andrew</t>
  </si>
  <si>
    <t>Horstman, Alex</t>
  </si>
  <si>
    <t>Cook, Cooper</t>
  </si>
  <si>
    <t>Schermerhorn, AJ</t>
  </si>
  <si>
    <t>Neville, Ben</t>
  </si>
  <si>
    <t>Grundhovd, Gavin</t>
  </si>
  <si>
    <t>Moore, Nathan</t>
  </si>
  <si>
    <t>Kueker, Caden</t>
  </si>
  <si>
    <t>Soldwisch, Austin</t>
  </si>
  <si>
    <t>Boston, Ethan</t>
  </si>
  <si>
    <t>Cook, Evan</t>
  </si>
  <si>
    <t>Heyne, Gage</t>
  </si>
  <si>
    <t>Hagenberg, Luke</t>
  </si>
  <si>
    <t>Hubka, Garrison</t>
  </si>
  <si>
    <t>Regennitter, Jakob</t>
  </si>
  <si>
    <t>Bankston, Cooper</t>
  </si>
  <si>
    <t>Mulford, Carter</t>
  </si>
  <si>
    <t>Owens, Brendan</t>
  </si>
  <si>
    <t>Coulter, Mason</t>
  </si>
  <si>
    <t>Meyer, Jonathan</t>
  </si>
  <si>
    <t>Kilker, Camden</t>
  </si>
  <si>
    <t>Heden, Ryan</t>
  </si>
  <si>
    <t>WO 11/25/2025</t>
  </si>
  <si>
    <t>A: 4-5 x (600 T, 60s Rest, 400 CV, 90s Rest), 4 x 200 FBC (200m Rest)                                                 or 4-5 x 3,2 rest to 5. 4 x 30s on, 90s off</t>
  </si>
  <si>
    <t>B: 1k T, 60s Rest, 600 CV, 90s Rest, 10 x 200 R (60s Rest)</t>
  </si>
  <si>
    <t>TT</t>
  </si>
  <si>
    <t>C: 1k T, 2 x (4 x 200 30s Rest), 6-8m Rest. Strides                                                                           or 5T, 4 x 30s on, 30s off, 10m jog, 4 x 30s on, 30s off</t>
  </si>
  <si>
    <t>XT: Bunnies: 15m warmup, 10 x (4 on, 1 off), 3 x (2 on, 1 off), 15m cooldown</t>
  </si>
  <si>
    <t>WO 11/18/2025</t>
  </si>
  <si>
    <t>600 T</t>
  </si>
  <si>
    <t>400 CV</t>
  </si>
  <si>
    <t>…..</t>
  </si>
  <si>
    <t>…...</t>
  </si>
  <si>
    <t>…....</t>
  </si>
  <si>
    <t>…....2</t>
  </si>
  <si>
    <t>A: 6-7 x (600 T, 45s Rest, 400 CV, 80s Rest), 4 x 200 FBC (200m Rest)                                                           or 6-7 x 3,2 rest to 5. 4 x 30s on, 90s off</t>
  </si>
  <si>
    <t>B: 1k T, 45s Rest, 600 CV, 80s Rest, 12 x 200 R (60s Rest). Strides</t>
  </si>
  <si>
    <t>200 R</t>
  </si>
  <si>
    <t>C: 1k T, 2 x (4 x 200, 30s Rest) 6-8m Rest. Strides                                                      or 5T, 4 x 30s on, 30s off,10m jog, 4 x 30s on, 30s off</t>
  </si>
  <si>
    <t>800 T</t>
  </si>
  <si>
    <t>800 CV</t>
  </si>
  <si>
    <t>800 I</t>
  </si>
  <si>
    <t>400 VO2</t>
  </si>
  <si>
    <t>A: 4 x 800 (T,CV,CV,I), 2 x 400 VO2 (2m Rest), turf strides. Rest: 60s T, 90 CV, 2m I</t>
  </si>
  <si>
    <t xml:space="preserve">XT: Prepare Yourself...: 15m warmup, 8 x (3 on, 1 off, 2 on, 1 off), 15m cooldown </t>
  </si>
  <si>
    <t>1k CV</t>
  </si>
  <si>
    <t>A: 4 x 1k (T,CV,CV,CV), 3 x 400 VO2 (2m Rest). Rest: 45s T, 80s CV</t>
  </si>
  <si>
    <t>B: 6 x (600 T, 45s Rest, 400 CV, 80s Rest)</t>
  </si>
  <si>
    <t>Burger, Braden</t>
  </si>
  <si>
    <t>WO 11/11/2025</t>
  </si>
  <si>
    <t>R-1 (200)</t>
  </si>
  <si>
    <t>300 R-1</t>
  </si>
  <si>
    <t>C: 1k T, 3 x Hill, 800 T, 60s Rest, 6 x 300 R-1 (90s Rest)</t>
  </si>
  <si>
    <t>XT: Pedaling from my problems: 15m warmup, 10 x (3 on, 1 off), 15m cooldown</t>
  </si>
  <si>
    <t>A: 5 x 1k (T,T,CV,CV,CV), 3 x 400 VO2 (2m Rest). Rest: 45s T, 80s CV</t>
  </si>
  <si>
    <t>B: 16 x 400 T, 30s Rest</t>
  </si>
  <si>
    <t>400 T</t>
  </si>
  <si>
    <t>WO 11/7/2025</t>
  </si>
  <si>
    <t>1200 T</t>
  </si>
  <si>
    <t>1200 CV</t>
  </si>
  <si>
    <t>A: 4 x 1200 (T,T,CV,CV), 4 x 200 R (200m Rest), turf strides. Rest: 60s T, 90 CV</t>
  </si>
  <si>
    <t>600 VO2</t>
  </si>
  <si>
    <t>C: 2 x 800 T (60s Rest), 600 CV, 90s Rest, 400 VO2, 2m Rest, 800 T, 60s Rest, 600 VO2, 2m Rest, 400 R. Turf strides</t>
  </si>
  <si>
    <t>Sat</t>
  </si>
  <si>
    <t>XT: Eureka!: 15m warmup, 4 x (4 on, 1 off, 2 on, 3 off, 4 on, 1 off), 15m cooldown</t>
  </si>
  <si>
    <t>A: 6 x 1200 (T,T,T,CV,CV,CV), 600 I, 30-45s Rest, 600 T. Strides</t>
  </si>
  <si>
    <t>B: 20 x 400 T (30s Rest)</t>
  </si>
  <si>
    <t>C: 2 x 1k T (45s Rest), 600 CV, 80s Rest, 400 VO2, 2m Rest, 1k CV, 80s Rest, 600 VO2, 2m Rest, 400 R. Turf strides</t>
  </si>
  <si>
    <t>16 x 400</t>
  </si>
  <si>
    <t>WO 11/4/2025</t>
  </si>
  <si>
    <t>A: 2 x (800 T, 60s Rest, 600 CV, 90s Rest, 600 I, 2m Rest, 400 VO2, 2m Rest). 600 CV, 90s Rest, 400 VO2. 3 x 150</t>
  </si>
  <si>
    <t>B: 6 x 600 (T,CV,I,T,I,CV). 2 x 400 VO2 (2m Rest). 3 x 150. Rest: 60s T, 90s CV, 2m I</t>
  </si>
  <si>
    <t>C: 600 T, 60s Rest, 600 CV, 90s Rest, 8 x 200 R (60s Rest), 400 R-4. 3 x 150</t>
  </si>
  <si>
    <t>400 R-4</t>
  </si>
  <si>
    <t>A: 1200 T, 45s Rest, 800 CV, 80s Rest, 1200 T, 45s Rest, 600 I, 2m Rest, 800 T, 45s Rest, 600 I, 2m Rest, 800 CV, 45s Rest, 400 I, 2m Rest, 600 T, 45s Rest, 400 VO2, 2m Rest. 3 x 150 builds</t>
  </si>
  <si>
    <t>400 R-3</t>
  </si>
  <si>
    <t>B: 6 x 800 (T,T,CV,CV,I,T). 3 x 400 VO2 (2m Rest). Rest: 45s T, 80s CV, 2m I</t>
  </si>
  <si>
    <t>C: 1200 T, 45s Rest, 800 CV, 80s Rest, 8 x 200 R (60s Rest), 400 R-3. 3 x 150</t>
  </si>
  <si>
    <t>WO 10/28/2025</t>
  </si>
  <si>
    <t>A: 4-5 x 800 (T,CV,CV,I,CV). 3 x 400 VO2 (2m Rest). Rest: 60s T, 90s CV, 2m I</t>
  </si>
  <si>
    <t>B: 4-5 x 800 (T,CV,CV,I,CV). 2 x 400 VO2 (2m Rest). Rest: 60s T, 90s CV, 2m I</t>
  </si>
  <si>
    <t>C: 3 x (600 T, 60s Rest, 200 R, 60s Rest, 400 VO2, 2m Rest). 4 x 200 FBC at track (200m Rest)</t>
  </si>
  <si>
    <t>Horner, Sunny</t>
  </si>
  <si>
    <t>1k I</t>
  </si>
  <si>
    <t>A: 6-8 1k (T,T,CV,CV,CV,I,T,CV). 2 x 400 VO2 (2m Rest). Rest: 45s T, 80s CV, 2m I</t>
  </si>
  <si>
    <t>A*</t>
  </si>
  <si>
    <t>B: 5-6 1k (T,T,CV,CV,CV,I,T,CV). 2 x 400 VO2 (2m Rest). Rest: 45s T, 80s CV, 2m I</t>
  </si>
  <si>
    <t>B*</t>
  </si>
  <si>
    <t>C: 5 x (600 T, 60s Rest, 200 R, 60s Rest, 400 VO2, 2m Rest). 4 x 200 FBC at track (200m Rest)</t>
  </si>
  <si>
    <t>WO 10/24/2025</t>
  </si>
  <si>
    <t>.</t>
  </si>
  <si>
    <t>..</t>
  </si>
  <si>
    <t>…</t>
  </si>
  <si>
    <t>….</t>
  </si>
  <si>
    <t>A: 25-30 T. 4 x 20s surges</t>
  </si>
  <si>
    <t>B: 20-25 T. 4 x 20s surges</t>
  </si>
  <si>
    <t>C: 15 T (5m Rest), 3,2,2 (Rest to 5)</t>
  </si>
  <si>
    <t>D</t>
  </si>
  <si>
    <t>D: 5,4,3,3,5 (Rest to 6)</t>
  </si>
  <si>
    <t>XT: The Ladder: 15m warmup, 5,4,3,2,1,2,3,4,5 (rest to 6), 15m cooldown</t>
  </si>
  <si>
    <t>A: 25-35 T. 4 x 20s surges</t>
  </si>
  <si>
    <t>B: 20-30 T. 4 x 20s surges</t>
  </si>
  <si>
    <t>C: 12m T (5m Rest), 3,2,3,2 (Rest to 5)</t>
  </si>
  <si>
    <t>D: 5,4,3,2,2,3,5 (Rest to 6)</t>
  </si>
  <si>
    <t>WO 10/21/2025</t>
  </si>
  <si>
    <t>A: 800 T, 60s Rest, 10-12 x 400 CV (90s Rest), 3 x 200 VO2 (60s Rest), 3 x 200 R (60s Rest). Strides</t>
  </si>
  <si>
    <t>B: 800 T, 60s Rest, 8-10 x 400 CV (90s Rest), 3 x 200 VO2 (60s Rest), 3 x 200 R (60s Rest). Strides</t>
  </si>
  <si>
    <t>C: 800 T, 60s Rest, 6-8 x 400 CV (90s Rest), 4 x 200 FBC (3-4m Rest). Strides</t>
  </si>
  <si>
    <t>XT: “Oh Captain, My Captain”: 15m warmup, 12 up, 2 x (4 on, 1 off, 3 on, 2 off, 3 on, 2 off), 15m cooldown</t>
  </si>
  <si>
    <t>A: 7-8 x (600 T, 30-45s Rest, 400 CV, 80s Rest). 3 x 400 VO2 (2m Rest). Strides</t>
  </si>
  <si>
    <t>B: 5-6 x (600 T, 30-45s Rest, 400 CV, 80s Rest). 3 x 400 VO2 (2m Rest). Strides</t>
  </si>
  <si>
    <t>C: 4 x (600 T, 30-45s Rest, 400 CV, 80s Rest). 400 VO2 (2m Rest), 3 x 200 FBC (3-4m Rest). Strides</t>
  </si>
  <si>
    <t>WO 10/14/2025</t>
  </si>
  <si>
    <t>A: 5-6 x 1k (T,CV,T,I,T,CV), 3 x 400 VO2 (2m Rest). Rest: 60s T, 90s CV</t>
  </si>
  <si>
    <t>B: 4-5 x 1k (T,CV,T,I,T,CV), 3 x 400 VO2 (2m Rest). Rest: 60s T, 90s CV</t>
  </si>
  <si>
    <t>track</t>
  </si>
  <si>
    <t>C: 1k T, 60s Rest, 400 CV, 90s Rest, 3 x 400 R (2m Rest), 600 T, 60s Rest, 3 x 400 R (2m Rest), 3 x 150</t>
  </si>
  <si>
    <t>XT: The Challenger: 15m warmup, 8 x (5 on, 1 off), 15m cooldown</t>
  </si>
  <si>
    <t>A: 6-8 x 1k (T,CV,T,CV,T,I,T,CV), 3 x 400 VO2 (2m Rest). Rest: 45s T, 80s CV</t>
  </si>
  <si>
    <t>B: 5-6 x 1k (T,CV,T,CV,T,I), 3 x 400 VO2 (2m Rest). Rest: 45s T, 80s CV</t>
  </si>
  <si>
    <t>C: 1200 T, 45s Rest, 600 CV, 80s Rest, 3 x 400 R (2m Rest), 800 T, 45s Rest, 3 x 400 R (2m Rest), 3 x 150</t>
  </si>
  <si>
    <t>WO 10/10/2025</t>
  </si>
  <si>
    <t>A: 24-28 T. 4 x 20s surges</t>
  </si>
  <si>
    <t>XT: Prepare Yourself...: 15m warmup, 8 x (3 on, 1 off, 2 on, 1 off), 15m cooldown</t>
  </si>
  <si>
    <t>WO 10/7/2025</t>
  </si>
  <si>
    <t>1600 I</t>
  </si>
  <si>
    <t>A: 1200 T (60s Rest), 600 CV (90s Rest), 1600 I (6m Rest), 6 x 600 T (60s Rest), 4 x 200 FBC (60s Rest)</t>
  </si>
  <si>
    <t>B: 1200 T (60s Rest), 600 CV (90s Rest), 1600 I (6m Rest), 3-4 x 600 T (60s Rest), 4 x 200 FBC (60s Rest)</t>
  </si>
  <si>
    <t>C: 1200 T (60s Rest), 600 CV, strides, 3 x 400 FBC (7-10m Rest), turf strides</t>
  </si>
  <si>
    <t>2k I</t>
  </si>
  <si>
    <t>A: 1200 T (45s Rest), 400 CV (80s Rest), 2k I (6m Rest), 7-8 x 800 T (45s Rest), turf strides</t>
  </si>
  <si>
    <t>B: 1200 T (45s Rest), 400 CV (80s Rest), 2k I (6m Rest), 5-6 x 800 T (45s Rest), turf strides</t>
  </si>
  <si>
    <t>C: 1200 T (45s Rest), 400 CV (80s Rest), 600 R (4m Rest), 2 x 400 FBC (7-10m Rest), turf strides. Longer cooldown</t>
  </si>
  <si>
    <t>R (400)</t>
  </si>
  <si>
    <t>600 R</t>
  </si>
  <si>
    <t>WO 9/30/2025</t>
  </si>
  <si>
    <t>A: 8-10 x 600 (T,T,CV,I,T,CV,I,T,CV,I), 2 x 400 VO2 (2m Rest), Turf Strides. Rest: 60s T, 90s CV, 2m I</t>
  </si>
  <si>
    <t>B: 6-8 x 600 (T,T,CV,I,T,CV,I,T), 2 x 400 VO2 (2m Rest), Turf Strides. Rest: 60s T, 90s CV, 2m I</t>
  </si>
  <si>
    <t>C: 2 x 600 T (60s Rest), 2 x (3,2,2 (rest to 5)). Turf strides</t>
  </si>
  <si>
    <t>D: 6-8 x 600 (T,CV,I,T,CV,I,T,T), 3 x 400 VO2 (2m Rest), 3 x 150 on track. Rest: 60s T, 90s CV, 2m I</t>
  </si>
  <si>
    <t>XT: Big Big Baby: 15m warmup, 10 x (3 on, 1 off), 2 x (2 on, 1 off), 15m cooldown</t>
  </si>
  <si>
    <t>A: 8-9 x 1k (T,T,CV,CV,T,I,T,T,CV), 2 x 400 VO2 (2m Rest), turf strides. Rest: 45s T, 80s CV, 2m I</t>
  </si>
  <si>
    <t>B: 6-7 x 1k (T,T,CV,CV,T,I,T), 2 x 400 VO2 (2m Rest), turf strides. Rest: 45s T, 80s CV, 2m I</t>
  </si>
  <si>
    <t>C: 2 x 1k T (45s Rest), 2 x (3,2,1 (rest to 5)), turf strides</t>
  </si>
  <si>
    <t>WO 9/26/2025</t>
  </si>
  <si>
    <t>T</t>
  </si>
  <si>
    <t>T: Time Trial</t>
  </si>
  <si>
    <t>C: 6 x 800 T (45s Rest), 2 x 800 CV (80s Rest). Turf Strides</t>
  </si>
  <si>
    <t>Burr, Brody</t>
  </si>
  <si>
    <t>WO 9/23/2025</t>
  </si>
  <si>
    <t>A: 4-5 Cheno Hills (2.5m Rest), 4-5m Rest, 5 on 2 off, 2 x 5 on 1 off, 1200 T (60s Rest), 2 x 400 VO2 (2m Rest), 4 x 200 FBC (200m Rest)</t>
  </si>
  <si>
    <t>B: 3-4 Cheno Hills (2.5m Rest), 4-5m Rest, 5 on 2 off, 2 x 5 on 1 off, 1200 T (60s Rest), 4 x 200 FBC (200m Rest)</t>
  </si>
  <si>
    <t>C: 2 x (600 T, 60s Rest, 200 R, 60s Rest, 400 VO2, 2m Rest, 600 T, 60s Rest), 6 x 200 Descending (60s Rest + 10 per drop)</t>
  </si>
  <si>
    <t>1-2 200</t>
  </si>
  <si>
    <t>XT: The Dead End: 15m warmup, 8 x (5 on, 1 off), 3 x (2 on, 2 off), 15m cooldown</t>
  </si>
  <si>
    <t>A: 6-8 Crane Hill (2.5m Rest), 4-5m Rest, 5 on 2 off, 2 x 5 on 1 off, 1k CV (80s Rest), 3 x 400 VO2 (2m Rest). Turf Strides</t>
  </si>
  <si>
    <t>B: 4-6 Crane Hill (2.5m Rest), 4-5m Rest, 5 on 2 off, 2 x 5 on 1 off, 1k CV (80s Rest), 2 x 400 VO2 (2m Rest). Turf Strides</t>
  </si>
  <si>
    <t>C: 2 x (1k T, 45s Rest, 200 R, 60s Rest, 400 VO2, 2m Rest, 800 T, 45s Rest), 8 x 200 Descending (60s Rest + 10 per drop)</t>
  </si>
  <si>
    <t>200 R, 1-3</t>
  </si>
  <si>
    <t>7th 200</t>
  </si>
  <si>
    <t>8th 200</t>
  </si>
  <si>
    <t>2-3 SETS NO 200S</t>
  </si>
  <si>
    <t>C*</t>
  </si>
  <si>
    <t>WO 9/19/2025</t>
  </si>
  <si>
    <t>10K (400)</t>
  </si>
  <si>
    <t>1600 10K</t>
  </si>
  <si>
    <t>2K T</t>
  </si>
  <si>
    <t>1200 I</t>
  </si>
  <si>
    <t>VO2 (400)</t>
  </si>
  <si>
    <t>800 VO2</t>
  </si>
  <si>
    <t>400</t>
  </si>
  <si>
    <t>Michigan: 1600 10k, 2k T, 1200 I, 2k T, 800 VO2, 2k T, 400 FBC (400m Rest)</t>
  </si>
  <si>
    <t>MI</t>
  </si>
  <si>
    <t>*</t>
  </si>
  <si>
    <t>UP</t>
  </si>
  <si>
    <t>OH</t>
  </si>
  <si>
    <t>Upper Peninsula: 2k T, 1200 I, 2k T, 800 VO2, 2k T, 400 FBC (400m Rest)</t>
  </si>
  <si>
    <t>Ohio: 1200 I, 2k T, 800 VO2, 2k T, 400 FBC (400m Rest)</t>
  </si>
  <si>
    <t>SD</t>
  </si>
  <si>
    <t>South Dakota: 800 CV, 90s Rest, 8 x 400 T (30s Rest), 400 FBC, 5m Rest, 800 T</t>
  </si>
  <si>
    <t xml:space="preserve">XT: The Wisconsin: 15m warmup, 6,10,5,10,3,10,2 (1m rest), 15m cooldown </t>
  </si>
  <si>
    <t>North Dakota: 1600 CV, 80s Rest, 10 x 400 T (30s Rest), 400 FBC, 5m Rest, 1200 T</t>
  </si>
  <si>
    <t>with Haley</t>
  </si>
  <si>
    <t>1600 CV</t>
  </si>
  <si>
    <t>ND</t>
  </si>
  <si>
    <t>WO 9/16/2025</t>
  </si>
  <si>
    <t>A: 2 x (4 x 600 T (60s Rest), 2 x 400 VO2 (2m Rest)), 2 x 200 R (60s Rest. Strides after cool down</t>
  </si>
  <si>
    <t>B: 2 x (3 x 600 T (60s Rest), 2 x 400 VO2 (2m Rest)). Strides after cool down</t>
  </si>
  <si>
    <t>C: 4 x 600 T (60s Rest), 2 x 400 VO2 (2m Rest), 600 T (60s Rest), 4 x 200 R (60s Rest). Strides after cool down</t>
  </si>
  <si>
    <t>400 I</t>
  </si>
  <si>
    <t>A: 2 x (4 x 800 T (45s Rest), 400 I (2m Rest), 2 x 400 VO2 (2m Rest)). Strides after cool down</t>
  </si>
  <si>
    <t>C: 4 x 800 T (45s Rest), 400 I (2m Rest), 2 x 400 VO2 (2m Rest), 800 T (45s Rest), 400 R (2m Rest), 300 FBC (5-7m Rest), 200 FBC. Strides after cool down</t>
  </si>
  <si>
    <t>No last 3x400s</t>
  </si>
  <si>
    <t>WO 9/9/2025</t>
  </si>
  <si>
    <t>A: 6-8 x 1k (T,T,T,CV,T,CV,T,CV), 2m Rest, 3 x 400 VO2 (2m Rest). 60s Rest after T, 90s Rest after CV. Strides</t>
  </si>
  <si>
    <t>B: 5-6 x 1k (T,T,T,T,CV,T), 2m Rest, 3 x 400 VO2 (2m Rest). 45s Rest after T, 80s Rest after CV. Strides                                                                                                B*: 4-6 x 1k (T,T,T,CV,CV,T). 2 x 400 VO2 (2m Rest). 60s Rest after T, 90s Rest after CV</t>
  </si>
  <si>
    <t>3-4</t>
  </si>
  <si>
    <t>C: 2 x 1k T (60s Rest), 3 x 400 VO2 (2m Rest), 5 x 200 R (90s Rest). Light strides</t>
  </si>
  <si>
    <t>A: 6-9 x 1k (T,T,T,T,CV,T,T,CV,CV), 2m Rest, 3 x 400 VO2 (2m Rest). 45s Rest after T, 80s Rest after CV. Strides                                                     A*: 8-10 x 1k T (45s Rest). 2 x 400 VO2 (2m Rest)</t>
  </si>
  <si>
    <t>B: 6-8 x 1k (T,T,T,T,CV,T,T,CV), 2m Rest, 3 x 400 VO2 (2m Rest). 45s Rest after T, 80s Rest after CV. Strides                                                                                                B*: 7-8 x 1k T (45s Rest). 2 x 400 VO2 (2m Rest)</t>
  </si>
  <si>
    <t>C: 2 x 1k T (45s Rest), 600 CV (80s Rest), 2 x 400 VO2 (2m Rest), 5 x 200 R (80s Rest). Light strides</t>
  </si>
  <si>
    <t>4-5</t>
  </si>
  <si>
    <t>WO 9/5/2025</t>
  </si>
  <si>
    <t>C: 15m T, 3m off, 10m Carpenter Run. 4 x 20s surges</t>
  </si>
  <si>
    <t>C: 12m T, 3m off, 2 x (2,1,1 (Rest to 4)). 4 x 20s surges</t>
  </si>
  <si>
    <t>WO 9/2/2025</t>
  </si>
  <si>
    <t>A: 4-5 x 1200 T (80s Rest), 3 x 400 VO2 (2m Rest), Strides</t>
  </si>
  <si>
    <t>B: 3-4 x 1200 T (80s Rest), 3 x 400 VO2 (2m Rest), Strides</t>
  </si>
  <si>
    <t>3</t>
  </si>
  <si>
    <t>C: 2 x 1200 T (80s Rest), 2 x 400 VO2 (2m Rest), 6 x 20s on 2m off, 4 x 10s hard strides</t>
  </si>
  <si>
    <t>D: 12 - 16 x 400 T (40s Rest)</t>
  </si>
  <si>
    <t>1600 T</t>
  </si>
  <si>
    <t>A: 5-6 x 1600 T (60s Rest), 2 x 400 VO2 (2m Rest), Strides</t>
  </si>
  <si>
    <t>B: 4-5 x 1600 T (60s Rest), 2 x 400 VO2 (2m Rest), Strides</t>
  </si>
  <si>
    <t>C: 2 x 1600 T (60s Rest), 20m Carpenter, 1600 T. Hard strides</t>
  </si>
  <si>
    <t>D: 16-20 x 400 T (30-40s Rest)</t>
  </si>
  <si>
    <t>4</t>
  </si>
  <si>
    <t>WO 8/30/2025</t>
  </si>
  <si>
    <t>A: 12m T, 2m Rest, 3 on, 2-3 off, 2 on, 2-3 off, 3-4 x 600 T (60s Rest)</t>
  </si>
  <si>
    <t>B: 2 light hills, 3 x (600 T, 60s Rest, 600 T, 60s Rest, 400 CV, 90s Rest), 2 hills. Strides</t>
  </si>
  <si>
    <t>C: 3k + 2 x (3,2,1). Rest to 4</t>
  </si>
  <si>
    <t>A: 15m T, 2m Rest, 4 on, 2-3 off, 3 on, 2-3 off, 4 x 600 T (45s Rest)</t>
  </si>
  <si>
    <t>WO 8/26/2025</t>
  </si>
  <si>
    <t>A: 6-8 x 1k T (60s Rest), 2 x 400 VO2 (2m Rest)</t>
  </si>
  <si>
    <t>B: 4-6 x 1k T (60s Rest), 3 x 400 VO2 (2m Rest)</t>
  </si>
  <si>
    <t>C: 2 x 1k T (60s Rest), 6 x 400 T (40s Rest), 4 x 200 VO2 (60s Rest)</t>
  </si>
  <si>
    <t>D: 8 - 16 x 400 T (40s Rest)</t>
  </si>
  <si>
    <t>A: 10-12 x 1k T (45s Rest), 2 x 400 VO2 (2m Rest)</t>
  </si>
  <si>
    <t>No 400s</t>
  </si>
  <si>
    <t>B: 8-10 x 1k T (45s Rest), 2 x 400 VO2 (2m Rest)</t>
  </si>
  <si>
    <t>C: 6-8 x 1k T (45s Rest), 3 x 400 VO2 (2m Rest)</t>
  </si>
  <si>
    <t>E: 6 x Broken 1k (800 T, 200 FBC) 2m Rest. Cemetery Strides</t>
  </si>
  <si>
    <t>E</t>
  </si>
  <si>
    <t>WO 8/22/2025</t>
  </si>
  <si>
    <t>A: 5-6 Cheno Hills (2.5m Rest), 4-5m Rest, 7m T, 1m Rest, 3 x 2 on 1 off, 2 x 400 VO2 (2m Rest), 1200 T. Light strides</t>
  </si>
  <si>
    <t>B: 4-6 Cheno Hills (2.5m Rest), 4-6m Rest, 7m T, 1m Rest, 3 x 2 on 1 off, 4 x 200 VO2 (60s Rest). Light strides</t>
  </si>
  <si>
    <t>No track</t>
  </si>
  <si>
    <t>C: 4-6 Cheno Hills (2.5m Rest), 4-6m Rest, 20m Carpenter, 3 x 200 VO2 (60s Rest), 2 x 150</t>
  </si>
  <si>
    <t>D: 25m warmup, 7m T, 1m Rest, 3 x 2 on 1 off, 800 T. Light strides</t>
  </si>
  <si>
    <t>XT: Bunnies - 15m warmup, 10 x (4 on, 1 off), 3 x (2 on, 1 off), 15m cooldown</t>
  </si>
  <si>
    <t>A: 6-8 Death Loops (3m Rest), 4-5m Rest, 2 mi T, 2m Rest, 2 x Chud Hill, 2 x 600 T (30s Rest). Light strides</t>
  </si>
  <si>
    <t>D: 2 mi T, 2m Rest, 3 x Chud Hill, 2 x (600 T, 45s Rest, 600 T, 45s Rest, 400 VO2, 2m Rest), 1 x (600 CV, 80s Rest, 600 CV, 80s Rest, 400 VO2). Light strides</t>
  </si>
  <si>
    <t>B: 5-8 Death Loops (3m Rest), 4-5m Rest, 2 mi T, 2m Rest, 2 x 600 T (30s Rest). Light strides</t>
  </si>
  <si>
    <t>C: 6-8 Death Loops (3m Rest), 3-5m Rest, 20 min Carpenter. Solid strides</t>
  </si>
  <si>
    <t>WO 8/19/2025</t>
  </si>
  <si>
    <t>A: 5 x 4 on, 2 off. 3 x 150</t>
  </si>
  <si>
    <t>B: 4 x 4 on, 2 off. 3 x 150</t>
  </si>
  <si>
    <t>C: 2 x 4 on, 2 off, 8 min Carpenter, 3 x 150.                          *(Carpenter: 1 on, 1 off)</t>
  </si>
  <si>
    <t>A: 6-7 x 4 on, 2 off. 3 x 150</t>
  </si>
  <si>
    <t>B: 5 x 4 on, 2 off. 3 x 150</t>
  </si>
  <si>
    <t>C: 2 x 4 on, 2 off. 16 min Carpenter, 3 x 150                       *(Carpenter: 1 on, 1 off)</t>
  </si>
  <si>
    <t>T: 3k Time Trial. 6-8 min rest. 2k jog curves, sprint straights</t>
  </si>
  <si>
    <t>WO 8/20/2024</t>
  </si>
  <si>
    <t>.......</t>
  </si>
  <si>
    <t>........</t>
  </si>
  <si>
    <t>Meyer, Ellie</t>
  </si>
  <si>
    <t>Carlson, Addy</t>
  </si>
  <si>
    <t>Collet, Caroline</t>
  </si>
  <si>
    <t>Richter, Emily</t>
  </si>
  <si>
    <t>Parrack, Ryleigh</t>
  </si>
  <si>
    <t>Mulholland, Audra</t>
  </si>
  <si>
    <t>C: 2 x 4 on, 2 off, 8 min Carpenter.                          *(Carpenter: 1 on, 1 off)</t>
  </si>
  <si>
    <t>Bainbridge, Rylie</t>
  </si>
  <si>
    <t>XT: The Ladder: 15 min warmup. 5,4,3,2,1,2,3,4,5 (rest to 6). 15 min cooldown</t>
  </si>
  <si>
    <t>Atten, Cori</t>
  </si>
  <si>
    <t>Lei, Colette</t>
  </si>
  <si>
    <t>Boge, Lilly</t>
  </si>
  <si>
    <t>Buenning, Tatum</t>
  </si>
  <si>
    <t>........2</t>
  </si>
  <si>
    <t>Erb, Shane</t>
  </si>
  <si>
    <t>Goodenbour, Michael</t>
  </si>
  <si>
    <t>Green, Jacob</t>
  </si>
  <si>
    <t>Greenwell, Colin</t>
  </si>
  <si>
    <t>Meyers, Arthur</t>
  </si>
  <si>
    <t>Neubauer, Ryan</t>
  </si>
  <si>
    <t>Pehl, Clay</t>
  </si>
  <si>
    <t>Roy, Gavin</t>
  </si>
  <si>
    <t>Schmitz, Sam</t>
  </si>
  <si>
    <t>C: 2 x 4 on, 2 off. 16 min Carpenter                       *(Carpenter: 1 on, 1 off)</t>
  </si>
  <si>
    <t>Cruise, Carter</t>
  </si>
  <si>
    <t xml:space="preserve">Lancial, Connor </t>
  </si>
  <si>
    <t>D: 3k Time Trial. 8 min rest. 2k jog curves, sprint straights</t>
  </si>
  <si>
    <t>Poock, Andrew</t>
  </si>
  <si>
    <t>Cortez, Bert</t>
  </si>
  <si>
    <t>Housman, Aiden</t>
  </si>
  <si>
    <t>Hennessey, Keagan</t>
  </si>
  <si>
    <t>Hundley, Justus</t>
  </si>
  <si>
    <t>Koehnen, Grant</t>
  </si>
  <si>
    <t>Kuhn, Riley</t>
  </si>
  <si>
    <t>Loutzenheiser, Ethan</t>
  </si>
  <si>
    <t>Lynch, Kaden</t>
  </si>
  <si>
    <t>Hoopes, Paul</t>
  </si>
  <si>
    <t>Stiles, Caleb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</si>
</sst>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ss.0;@"/>
  </numFmts>
  <fonts count="9">
    <font>
      <sz val="11"/>
      <color theme="1"/>
      <name val="Calibri"/>
      <family val="2"/>
      <scheme val="minor"/>
    </font>
    <font>
      <b/>
      <sz val="11"/>
      <color theme="0"/>
      <name val="Calibri"/>
      <family val="2"/>
      <scheme val="minor"/>
    </font>
    <font>
      <b/>
      <sz val="11"/>
      <color theme="1"/>
      <name val="Calibri"/>
      <family val="2"/>
      <scheme val="minor"/>
    </font>
    <font>
      <sz val="14"/>
      <color rgb="FF000000"/>
      <name val="Calibri"/>
      <family val="2"/>
      <scheme val="minor"/>
    </font>
    <font>
      <i/>
      <sz val="11"/>
      <color theme="1"/>
      <name val="Calibri"/>
      <family val="2"/>
      <scheme val="minor"/>
    </font>
    <font>
      <sz val="14"/>
      <color theme="1"/>
      <name val="Calibri"/>
      <family val="2"/>
      <scheme val="minor"/>
    </font>
    <font>
      <sz val="12"/>
      <color theme="1"/>
      <name val="Calibri"/>
      <family val="2"/>
      <scheme val="minor"/>
    </font>
    <font>
      <sz val="10"/>
      <color theme="1"/>
      <name val="Calibri"/>
      <family val="2"/>
      <scheme val="minor"/>
    </font>
    <font>
      <sz val="12"/>
      <color rgb="FF000000"/>
      <name val="Calibri"/>
      <family val="2"/>
    </font>
  </fonts>
  <fills count="3">
    <fill>
      <patternFill patternType="none"/>
    </fill>
    <fill>
      <patternFill patternType="gray125"/>
    </fill>
    <fill>
      <patternFill patternType="solid">
        <fgColor theme="5"/>
        <bgColor indexed="64"/>
      </patternFill>
    </fill>
  </fills>
  <borders count="9">
    <border>
      <left/>
      <right/>
      <top/>
      <bottom/>
      <diagonal/>
    </border>
    <border>
      <left style="medium">
        <color indexed="64"/>
      </left>
      <right style="medium">
        <color indexed="64"/>
      </right>
      <top style="medium">
        <color indexed="64"/>
      </top>
      <bottom/>
      <diagonal/>
    </border>
    <border>
      <left style="medium">
        <color indexed="64"/>
      </left>
      <right/>
      <top/>
      <bottom/>
      <diagonal/>
    </border>
    <border>
      <left/>
      <right/>
      <top style="medium">
        <color indexed="64"/>
      </top>
      <bottom/>
      <diagonal/>
    </border>
    <border>
      <left style="medium">
        <color indexed="64"/>
      </left>
      <right/>
      <top style="medium">
        <color indexed="64"/>
      </top>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bottom style="medium">
        <color indexed="64"/>
      </bottom>
      <diagonal/>
    </border>
    <border>
      <left/>
      <right style="thin">
        <color indexed="64"/>
      </right>
      <top/>
      <bottom/>
      <diagonal/>
    </border>
  </borders>
  <cellStyleXfs count="1">
    <xf numFmtId="0" fontId="0" fillId="0" borderId="0"/>
  </cellStyleXfs>
  <cellXfs count="60">
    <xf numFmtId="0" fontId="0" fillId="0" borderId="0" xfId="0"/>
    <xf numFmtId="49" fontId="1" fillId="2" borderId="1" xfId="0" applyNumberFormat="1" applyFont="1" applyFill="1" applyBorder="1"/>
    <xf numFmtId="164" fontId="2" fillId="0" borderId="0" xfId="0" applyNumberFormat="1" applyFont="1" applyAlignment="1">
      <alignment horizontal="center"/>
    </xf>
    <xf numFmtId="10" fontId="2" fillId="0" borderId="0" xfId="0" applyNumberFormat="1" applyFont="1" applyAlignment="1">
      <alignment horizontal="center"/>
    </xf>
    <xf numFmtId="49" fontId="2" fillId="0" borderId="0" xfId="0" applyNumberFormat="1" applyFont="1" applyAlignment="1">
      <alignment horizontal="center"/>
    </xf>
    <xf numFmtId="164" fontId="1" fillId="2" borderId="2" xfId="0" applyNumberFormat="1" applyFont="1" applyFill="1" applyBorder="1" applyAlignment="1">
      <alignment horizontal="center"/>
    </xf>
    <xf numFmtId="164" fontId="1" fillId="2" borderId="0" xfId="0" applyNumberFormat="1" applyFont="1" applyFill="1" applyAlignment="1">
      <alignment horizontal="center"/>
    </xf>
    <xf numFmtId="164" fontId="2" fillId="0" borderId="3" xfId="0" quotePrefix="1" applyNumberFormat="1" applyFont="1" applyBorder="1" applyAlignment="1">
      <alignment horizontal="center"/>
    </xf>
    <xf numFmtId="164" fontId="2" fillId="0" borderId="3" xfId="0" applyNumberFormat="1" applyFont="1" applyBorder="1" applyAlignment="1">
      <alignment horizontal="center"/>
    </xf>
    <xf numFmtId="164" fontId="2" fillId="0" borderId="4" xfId="0" applyNumberFormat="1" applyFont="1" applyBorder="1" applyAlignment="1">
      <alignment horizontal="center" vertical="center"/>
    </xf>
    <xf numFmtId="49" fontId="0" fillId="0" borderId="5" xfId="0" applyNumberFormat="1" applyBorder="1"/>
    <xf numFmtId="164" fontId="0" fillId="0" borderId="0" xfId="0" applyNumberFormat="1" applyAlignment="1">
      <alignment horizontal="center"/>
    </xf>
    <xf numFmtId="9" fontId="0" fillId="0" borderId="0" xfId="0" applyNumberFormat="1" applyAlignment="1">
      <alignment horizontal="center"/>
    </xf>
    <xf numFmtId="164" fontId="4" fillId="0" borderId="2" xfId="0" applyNumberFormat="1" applyFont="1" applyBorder="1" applyAlignment="1">
      <alignment horizontal="center"/>
    </xf>
    <xf numFmtId="164" fontId="4" fillId="0" borderId="0" xfId="0" applyNumberFormat="1" applyFont="1" applyAlignment="1">
      <alignment horizontal="center"/>
    </xf>
    <xf numFmtId="164" fontId="0" fillId="0" borderId="2" xfId="0" applyNumberFormat="1" applyBorder="1" applyAlignment="1">
      <alignment horizontal="center" vertical="center"/>
    </xf>
    <xf numFmtId="47" fontId="0" fillId="0" borderId="0" xfId="0" applyNumberFormat="1"/>
    <xf numFmtId="164" fontId="0" fillId="0" borderId="6" xfId="0" applyNumberFormat="1" applyBorder="1" applyAlignment="1">
      <alignment horizontal="center"/>
    </xf>
    <xf numFmtId="164" fontId="0" fillId="0" borderId="5" xfId="0" applyNumberFormat="1" applyBorder="1" applyAlignment="1">
      <alignment horizontal="center" vertical="center"/>
    </xf>
    <xf numFmtId="49" fontId="1" fillId="2" borderId="5" xfId="0" applyNumberFormat="1" applyFont="1" applyFill="1" applyBorder="1"/>
    <xf numFmtId="9" fontId="1" fillId="2" borderId="0" xfId="0" applyNumberFormat="1" applyFont="1" applyFill="1" applyAlignment="1">
      <alignment horizontal="center"/>
    </xf>
    <xf numFmtId="164" fontId="1" fillId="2" borderId="6" xfId="0" applyNumberFormat="1" applyFont="1" applyFill="1" applyBorder="1" applyAlignment="1">
      <alignment horizontal="center"/>
    </xf>
    <xf numFmtId="164" fontId="1" fillId="2" borderId="0" xfId="0" quotePrefix="1" applyNumberFormat="1" applyFont="1" applyFill="1" applyAlignment="1">
      <alignment horizontal="center"/>
    </xf>
    <xf numFmtId="164" fontId="1" fillId="2" borderId="0" xfId="0" applyNumberFormat="1" applyFont="1" applyFill="1" applyAlignment="1">
      <alignment horizontal="center" vertical="center"/>
    </xf>
    <xf numFmtId="164" fontId="2" fillId="0" borderId="2" xfId="0" applyNumberFormat="1" applyFont="1" applyBorder="1" applyAlignment="1">
      <alignment horizontal="center" vertical="center"/>
    </xf>
    <xf numFmtId="164" fontId="4" fillId="0" borderId="0" xfId="0" applyNumberFormat="1" applyFont="1" applyAlignment="1">
      <alignment horizontal="center" vertical="center"/>
    </xf>
    <xf numFmtId="164" fontId="0" fillId="0" borderId="0" xfId="0" applyNumberFormat="1"/>
    <xf numFmtId="0" fontId="0" fillId="0" borderId="2" xfId="0" applyBorder="1" applyAlignment="1">
      <alignment horizontal="center" vertical="center"/>
    </xf>
    <xf numFmtId="164" fontId="0" fillId="0" borderId="0" xfId="0" applyNumberFormat="1" applyAlignment="1">
      <alignment horizontal="center" vertical="center"/>
    </xf>
    <xf numFmtId="0" fontId="0" fillId="0" borderId="0" xfId="0" applyAlignment="1">
      <alignment horizontal="center"/>
    </xf>
    <xf numFmtId="0" fontId="0" fillId="0" borderId="6" xfId="0" applyBorder="1"/>
    <xf numFmtId="0" fontId="0" fillId="0" borderId="0" xfId="0" applyAlignment="1">
      <alignment horizontal="center" vertical="center"/>
    </xf>
    <xf numFmtId="0" fontId="0" fillId="0" borderId="0" xfId="0" applyAlignment="1">
      <alignment horizontal="right"/>
    </xf>
    <xf numFmtId="0" fontId="0" fillId="0" borderId="2" xfId="0" applyBorder="1" applyAlignment="1">
      <alignment horizontal="center"/>
    </xf>
    <xf numFmtId="49" fontId="0" fillId="0" borderId="7" xfId="0" applyNumberFormat="1" applyBorder="1"/>
    <xf numFmtId="164" fontId="1" fillId="2" borderId="2" xfId="0" applyNumberFormat="1" applyFont="1" applyFill="1" applyBorder="1" applyAlignment="1">
      <alignment horizontal="center" vertical="center"/>
    </xf>
    <xf numFmtId="164" fontId="0" fillId="0" borderId="0" xfId="0" quotePrefix="1" applyNumberFormat="1" applyAlignment="1">
      <alignment horizontal="center"/>
    </xf>
    <xf numFmtId="164" fontId="4" fillId="0" borderId="2" xfId="0" applyNumberFormat="1" applyFont="1" applyBorder="1" applyAlignment="1">
      <alignment horizontal="center" vertical="center"/>
    </xf>
    <xf numFmtId="164" fontId="0" fillId="0" borderId="6" xfId="0" applyNumberFormat="1" applyBorder="1" applyAlignment="1">
      <alignment horizontal="center" vertical="center"/>
    </xf>
    <xf numFmtId="49" fontId="1" fillId="0" borderId="5" xfId="0" applyNumberFormat="1" applyFont="1" applyBorder="1"/>
    <xf numFmtId="164" fontId="1" fillId="0" borderId="0" xfId="0" applyNumberFormat="1" applyFont="1" applyAlignment="1">
      <alignment horizontal="center"/>
    </xf>
    <xf numFmtId="9" fontId="1" fillId="0" borderId="0" xfId="0" applyNumberFormat="1" applyFont="1" applyAlignment="1">
      <alignment horizontal="center"/>
    </xf>
    <xf numFmtId="164" fontId="1" fillId="0" borderId="2" xfId="0" applyNumberFormat="1" applyFont="1" applyBorder="1" applyAlignment="1">
      <alignment horizontal="center" vertical="center"/>
    </xf>
    <xf numFmtId="164" fontId="1" fillId="2" borderId="5" xfId="0" applyNumberFormat="1" applyFont="1" applyFill="1" applyBorder="1" applyAlignment="1">
      <alignment horizontal="center" vertical="center"/>
    </xf>
    <xf numFmtId="164" fontId="4" fillId="0" borderId="6" xfId="0" applyNumberFormat="1" applyFont="1" applyBorder="1" applyAlignment="1">
      <alignment horizontal="center" vertical="center"/>
    </xf>
    <xf numFmtId="164" fontId="0" fillId="0" borderId="2" xfId="0" applyNumberFormat="1" applyBorder="1" applyAlignment="1">
      <alignment horizontal="center"/>
    </xf>
    <xf numFmtId="49" fontId="0" fillId="0" borderId="1" xfId="0" applyNumberFormat="1" applyBorder="1"/>
    <xf numFmtId="164" fontId="0" fillId="0" borderId="6" xfId="0" quotePrefix="1" applyNumberFormat="1" applyBorder="1" applyAlignment="1">
      <alignment horizontal="center"/>
    </xf>
    <xf numFmtId="164" fontId="0" fillId="0" borderId="0" xfId="0" quotePrefix="1" applyNumberFormat="1" applyAlignment="1">
      <alignment horizontal="center" vertical="center"/>
    </xf>
    <xf numFmtId="164" fontId="1" fillId="0" borderId="6" xfId="0" applyNumberFormat="1" applyFont="1" applyBorder="1" applyAlignment="1">
      <alignment horizontal="center"/>
    </xf>
    <xf numFmtId="0" fontId="8" fillId="0" borderId="5" xfId="0" applyFont="1" applyBorder="1" applyAlignment="1">
      <alignment horizontal="center" vertical="center" wrapText="1"/>
    </xf>
    <xf numFmtId="0" fontId="6" fillId="0" borderId="8" xfId="0" applyFont="1" applyBorder="1" applyAlignment="1">
      <alignment horizontal="center" vertical="center" wrapText="1"/>
    </xf>
    <xf numFmtId="0" fontId="6" fillId="0" borderId="5" xfId="0" applyFont="1" applyBorder="1" applyAlignment="1">
      <alignment horizontal="center" vertical="center" wrapText="1"/>
    </xf>
    <xf numFmtId="0" fontId="5" fillId="0" borderId="5" xfId="0" applyFont="1" applyBorder="1" applyAlignment="1">
      <alignment horizontal="center" vertical="center" wrapText="1"/>
    </xf>
    <xf numFmtId="0" fontId="7" fillId="0" borderId="1" xfId="0" applyFont="1" applyBorder="1" applyAlignment="1">
      <alignment horizontal="center" vertical="center" wrapText="1"/>
    </xf>
    <xf numFmtId="0" fontId="7" fillId="0" borderId="5" xfId="0" applyFont="1" applyBorder="1" applyAlignment="1">
      <alignment horizontal="center" vertical="center" wrapText="1"/>
    </xf>
    <xf numFmtId="0" fontId="6" fillId="0" borderId="7" xfId="0" applyFont="1" applyBorder="1" applyAlignment="1">
      <alignment horizontal="center" vertical="center" wrapText="1"/>
    </xf>
    <xf numFmtId="0" fontId="5" fillId="0" borderId="1" xfId="0" applyFont="1" applyBorder="1" applyAlignment="1">
      <alignment horizontal="center" vertical="center" wrapText="1"/>
    </xf>
    <xf numFmtId="0" fontId="5" fillId="0" borderId="7" xfId="0" applyFont="1" applyBorder="1" applyAlignment="1">
      <alignment horizontal="center" vertical="center" wrapText="1"/>
    </xf>
    <xf numFmtId="0" fontId="3" fillId="0" borderId="1" xfId="0" applyFont="1" applyBorder="1" applyAlignment="1">
      <alignment horizontal="center" vertical="center" wrapText="1"/>
    </xf>
  </cellXfs>
  <cellStyles count="1">
    <cellStyle name="Normal" xfId="0" builtinId="0"/>
  </cellStyles>
  <dxfs count="1296">
    <dxf>
      <alignment horizontal="center" vertical="center" textRotation="0" wrapText="0" indent="0" justifyLastLine="0" shrinkToFit="0" readingOrder="0"/>
    </dxf>
    <dxf>
      <border outline="0">
        <right style="medium">
          <color indexed="64"/>
        </right>
      </border>
    </dxf>
    <dxf>
      <font>
        <b val="0"/>
        <i/>
        <strike val="0"/>
        <condense val="0"/>
        <extend val="0"/>
        <outline val="0"/>
        <shadow val="0"/>
        <u val="none"/>
        <vertAlign val="baseline"/>
        <sz val="11"/>
        <color theme="1"/>
        <name val="Calibri"/>
        <family val="2"/>
        <scheme val="minor"/>
      </font>
      <numFmt numFmtId="164" formatCode="mm:ss.0;@"/>
      <alignment horizontal="center" vertical="bottom" textRotation="0" wrapText="0" indent="0" justifyLastLine="0" shrinkToFit="0" readingOrder="0"/>
    </dxf>
    <dxf>
      <numFmt numFmtId="164" formatCode="mm:ss.0;@"/>
    </dxf>
    <dxf>
      <numFmt numFmtId="164" formatCode="mm:ss.0;@"/>
    </dxf>
    <dxf>
      <numFmt numFmtId="164" formatCode="mm:ss.0;@"/>
    </dxf>
    <dxf>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border outline="0">
        <right style="medium">
          <color indexed="64"/>
        </right>
      </border>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30" formatCode="@"/>
      <border diagonalUp="0" diagonalDown="0">
        <left style="medium">
          <color indexed="64"/>
        </left>
        <right style="medium">
          <color indexed="64"/>
        </right>
        <top/>
        <bottom/>
        <vertical/>
        <horizontal/>
      </border>
    </dxf>
    <dxf>
      <border outline="0">
        <left style="thin">
          <color rgb="FF000000"/>
        </left>
      </border>
    </dxf>
    <dxf>
      <font>
        <b/>
        <i val="0"/>
        <strike val="0"/>
        <condense val="0"/>
        <extend val="0"/>
        <outline val="0"/>
        <shadow val="0"/>
        <u val="none"/>
        <vertAlign val="baseline"/>
        <sz val="11"/>
        <color theme="0"/>
        <name val="Calibri"/>
        <family val="2"/>
        <scheme val="minor"/>
      </font>
      <numFmt numFmtId="164" formatCode="mm:ss.0;@"/>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bottom/>
      </border>
    </dxf>
    <dxf>
      <numFmt numFmtId="164" formatCode="mm:ss.0;@"/>
      <alignment horizontal="center" vertical="center" textRotation="0" wrapText="0" indent="0" justifyLastLine="0" shrinkToFit="0" readingOrder="0"/>
      <border diagonalUp="0" diagonalDown="0" outline="0">
        <left style="medium">
          <color indexed="64"/>
        </left>
        <right style="medium">
          <color indexed="64"/>
        </right>
        <top/>
        <bottom/>
      </border>
    </dxf>
    <dxf>
      <numFmt numFmtId="164" formatCode="mm:ss.0;@"/>
      <alignment horizontal="center" vertical="bottom" textRotation="0" wrapText="0" indent="0" justifyLastLine="0" shrinkToFit="0" readingOrder="0"/>
      <border outline="0">
        <right style="medium">
          <color indexed="64"/>
        </right>
      </border>
    </dxf>
    <dxf>
      <numFmt numFmtId="164" formatCode="mm:ss.0;@"/>
      <alignment horizontal="center" vertical="bottom" textRotation="0" wrapText="0" indent="0" justifyLastLine="0" shrinkToFit="0" readingOrder="0"/>
    </dxf>
    <dxf>
      <font>
        <i/>
      </font>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font>
        <i/>
      </font>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border diagonalUp="0" diagonalDown="0">
        <left style="medium">
          <color indexed="64"/>
        </left>
        <top/>
        <bottom/>
        <horizontal/>
      </border>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30" formatCode="@"/>
      <border diagonalUp="0" diagonalDown="0">
        <left style="medium">
          <color indexed="64"/>
        </left>
        <right style="medium">
          <color indexed="64"/>
        </right>
        <top/>
        <bottom/>
        <vertical/>
        <horizontal/>
      </border>
    </dxf>
    <dxf>
      <border outline="0">
        <left style="thin">
          <color rgb="FF000000"/>
        </left>
        <right style="medium">
          <color rgb="FF000000"/>
        </right>
      </border>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numFmt numFmtId="164" formatCode="mm:ss.0;@"/>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center" vertical="center" textRotation="0" wrapText="0" indent="0" justifyLastLine="0" shrinkToFit="0" readingOrder="0"/>
    </dxf>
    <dxf>
      <numFmt numFmtId="164" formatCode="mm:ss.0;@"/>
      <alignment horizontal="center" vertical="center" textRotation="0" wrapText="0" indent="0" justifyLastLine="0" shrinkToFit="0" readingOrder="0"/>
      <border>
        <right style="medium">
          <color indexed="64"/>
        </right>
      </border>
    </dxf>
    <dxf>
      <numFmt numFmtId="164" formatCode="mm:ss.0;@"/>
    </dxf>
    <dxf>
      <font>
        <b val="0"/>
        <i/>
        <strike val="0"/>
        <condense val="0"/>
        <extend val="0"/>
        <outline val="0"/>
        <shadow val="0"/>
        <u val="none"/>
        <vertAlign val="baseline"/>
        <sz val="11"/>
        <color theme="1"/>
        <name val="Calibri"/>
        <family val="2"/>
        <scheme val="minor"/>
      </font>
      <numFmt numFmtId="164" formatCode="mm:ss.0;@"/>
      <alignment horizontal="center" vertical="bottom" textRotation="0" wrapText="0" indent="0" justifyLastLine="0" shrinkToFit="0" readingOrder="0"/>
    </dxf>
    <dxf>
      <font>
        <b val="0"/>
        <i/>
        <strike val="0"/>
        <condense val="0"/>
        <extend val="0"/>
        <outline val="0"/>
        <shadow val="0"/>
        <u val="none"/>
        <vertAlign val="baseline"/>
        <sz val="11"/>
        <color theme="1"/>
        <name val="Calibri"/>
        <family val="2"/>
        <scheme val="minor"/>
      </font>
      <numFmt numFmtId="164" formatCode="mm:ss.0;@"/>
      <alignment horizontal="center" vertical="bottom" textRotation="0" wrapText="0" indent="0" justifyLastLine="0" shrinkToFit="0" readingOrder="0"/>
    </dxf>
    <dxf>
      <numFmt numFmtId="164" formatCode="mm:ss.0;@"/>
    </dxf>
    <dxf>
      <numFmt numFmtId="164" formatCode="mm:ss.0;@"/>
    </dxf>
    <dxf>
      <numFmt numFmtId="164" formatCode="mm:ss.0;@"/>
    </dxf>
    <dxf>
      <numFmt numFmtId="164" formatCode="mm:ss.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border outline="0">
        <right style="medium">
          <color indexed="64"/>
        </right>
      </border>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30" formatCode="@"/>
      <border diagonalUp="0" diagonalDown="0">
        <left style="medium">
          <color indexed="64"/>
        </left>
        <right style="medium">
          <color indexed="64"/>
        </right>
        <top/>
        <bottom/>
        <vertical/>
        <horizontal/>
      </border>
    </dxf>
    <dxf>
      <border outline="0">
        <left style="thin">
          <color rgb="FF000000"/>
        </left>
      </border>
    </dxf>
    <dxf>
      <font>
        <b/>
        <i val="0"/>
        <strike val="0"/>
        <condense val="0"/>
        <extend val="0"/>
        <outline val="0"/>
        <shadow val="0"/>
        <u val="none"/>
        <vertAlign val="baseline"/>
        <sz val="11"/>
        <color theme="0"/>
        <name val="Calibri"/>
        <family val="2"/>
        <scheme val="minor"/>
      </font>
      <numFmt numFmtId="164" formatCode="mm:ss.0;@"/>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bottom/>
      </border>
    </dxf>
    <dxf>
      <numFmt numFmtId="164" formatCode="mm:ss.0;@"/>
      <alignment horizontal="center" vertical="center" textRotation="0" wrapText="0" indent="0" justifyLastLine="0" shrinkToFit="0" readingOrder="0"/>
      <border diagonalUp="0" diagonalDown="0" outline="0">
        <left style="medium">
          <color indexed="64"/>
        </left>
        <right style="medium">
          <color indexed="64"/>
        </right>
        <top/>
        <bottom/>
      </border>
    </dxf>
    <dxf>
      <numFmt numFmtId="164" formatCode="mm:ss.0;@"/>
      <alignment horizontal="center" vertical="bottom" textRotation="0" wrapText="0" indent="0" justifyLastLine="0" shrinkToFit="0" readingOrder="0"/>
      <border outline="0">
        <right style="medium">
          <color indexed="64"/>
        </right>
      </border>
    </dxf>
    <dxf>
      <font>
        <b val="0"/>
        <i/>
        <strike val="0"/>
        <condense val="0"/>
        <extend val="0"/>
        <outline val="0"/>
        <shadow val="0"/>
        <u val="none"/>
        <vertAlign val="baseline"/>
        <sz val="11"/>
        <color theme="1"/>
        <name val="Calibri"/>
        <family val="2"/>
        <scheme val="minor"/>
      </font>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font>
        <i/>
      </font>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font>
        <i/>
      </font>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border diagonalUp="0" diagonalDown="0">
        <left style="medium">
          <color indexed="64"/>
        </left>
        <top/>
        <bottom/>
        <horizontal/>
      </border>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30" formatCode="@"/>
      <border diagonalUp="0" diagonalDown="0">
        <left style="medium">
          <color indexed="64"/>
        </left>
        <right style="medium">
          <color indexed="64"/>
        </right>
        <top/>
        <bottom/>
        <vertical/>
        <horizontal/>
      </border>
    </dxf>
    <dxf>
      <border outline="0">
        <left style="thin">
          <color rgb="FF000000"/>
        </left>
        <right style="medium">
          <color rgb="FF000000"/>
        </right>
      </border>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numFmt numFmtId="164" formatCode="mm:ss.0;@"/>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center" vertical="center" textRotation="0" wrapText="0" indent="0" justifyLastLine="0" shrinkToFit="0" readingOrder="0"/>
    </dxf>
    <dxf>
      <numFmt numFmtId="164" formatCode="mm:ss.0;@"/>
      <alignment horizontal="center" vertical="center" textRotation="0" wrapText="0" indent="0" justifyLastLine="0" shrinkToFit="0" readingOrder="0"/>
      <border>
        <right style="medium">
          <color indexed="64"/>
        </right>
      </border>
    </dxf>
    <dxf>
      <numFmt numFmtId="164" formatCode="mm:ss.0;@"/>
    </dxf>
    <dxf>
      <font>
        <b val="0"/>
        <i/>
        <strike val="0"/>
        <condense val="0"/>
        <extend val="0"/>
        <outline val="0"/>
        <shadow val="0"/>
        <u val="none"/>
        <vertAlign val="baseline"/>
        <sz val="11"/>
        <color theme="1"/>
        <name val="Calibri"/>
        <family val="2"/>
        <scheme val="minor"/>
      </font>
      <numFmt numFmtId="164" formatCode="mm:ss.0;@"/>
      <alignment horizontal="center" vertical="bottom" textRotation="0" wrapText="0" indent="0" justifyLastLine="0" shrinkToFit="0" readingOrder="0"/>
    </dxf>
    <dxf>
      <font>
        <b val="0"/>
        <i/>
        <strike val="0"/>
        <condense val="0"/>
        <extend val="0"/>
        <outline val="0"/>
        <shadow val="0"/>
        <u val="none"/>
        <vertAlign val="baseline"/>
        <sz val="11"/>
        <color theme="1"/>
        <name val="Calibri"/>
        <family val="2"/>
        <scheme val="minor"/>
      </font>
      <numFmt numFmtId="164" formatCode="mm:ss.0;@"/>
      <alignment horizontal="center" vertical="bottom" textRotation="0" wrapText="0" indent="0" justifyLastLine="0" shrinkToFit="0" readingOrder="0"/>
    </dxf>
    <dxf>
      <numFmt numFmtId="164" formatCode="mm:ss.0;@"/>
    </dxf>
    <dxf>
      <numFmt numFmtId="164" formatCode="mm:ss.0;@"/>
    </dxf>
    <dxf>
      <numFmt numFmtId="164" formatCode="mm:ss.0;@"/>
    </dxf>
    <dxf>
      <numFmt numFmtId="164" formatCode="mm:ss.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border outline="0">
        <right style="medium">
          <color indexed="64"/>
        </right>
      </border>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30" formatCode="@"/>
      <border diagonalUp="0" diagonalDown="0">
        <left style="medium">
          <color indexed="64"/>
        </left>
        <right style="medium">
          <color indexed="64"/>
        </right>
        <top/>
        <bottom/>
        <vertical/>
        <horizontal/>
      </border>
    </dxf>
    <dxf>
      <border outline="0">
        <left style="thin">
          <color rgb="FF000000"/>
        </left>
      </border>
    </dxf>
    <dxf>
      <font>
        <b/>
        <i val="0"/>
        <strike val="0"/>
        <condense val="0"/>
        <extend val="0"/>
        <outline val="0"/>
        <shadow val="0"/>
        <u val="none"/>
        <vertAlign val="baseline"/>
        <sz val="11"/>
        <color theme="0"/>
        <name val="Calibri"/>
        <family val="2"/>
        <scheme val="minor"/>
      </font>
      <numFmt numFmtId="164" formatCode="mm:ss.0;@"/>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bottom/>
      </border>
    </dxf>
    <dxf>
      <numFmt numFmtId="164" formatCode="mm:ss.0;@"/>
      <alignment horizontal="center" vertical="center" textRotation="0" wrapText="0" indent="0" justifyLastLine="0" shrinkToFit="0" readingOrder="0"/>
      <border diagonalUp="0" diagonalDown="0" outline="0">
        <left style="medium">
          <color indexed="64"/>
        </left>
        <right style="medium">
          <color indexed="64"/>
        </right>
        <top/>
        <bottom/>
      </border>
    </dxf>
    <dxf>
      <numFmt numFmtId="164" formatCode="mm:ss.0;@"/>
      <alignment horizontal="center" vertical="bottom" textRotation="0" wrapText="0" indent="0" justifyLastLine="0" shrinkToFit="0" readingOrder="0"/>
      <border outline="0">
        <right style="medium">
          <color indexed="64"/>
        </right>
      </border>
    </dxf>
    <dxf>
      <font>
        <b val="0"/>
        <i/>
        <strike val="0"/>
        <condense val="0"/>
        <extend val="0"/>
        <outline val="0"/>
        <shadow val="0"/>
        <u val="none"/>
        <vertAlign val="baseline"/>
        <sz val="11"/>
        <color theme="1"/>
        <name val="Calibri"/>
        <family val="2"/>
        <scheme val="minor"/>
      </font>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font>
        <i/>
      </font>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font>
        <i/>
      </font>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border diagonalUp="0" diagonalDown="0">
        <left style="medium">
          <color indexed="64"/>
        </left>
        <top/>
        <bottom/>
        <horizontal/>
      </border>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30" formatCode="@"/>
      <border diagonalUp="0" diagonalDown="0">
        <left style="medium">
          <color indexed="64"/>
        </left>
        <right style="medium">
          <color indexed="64"/>
        </right>
        <top/>
        <bottom/>
        <vertical/>
        <horizontal/>
      </border>
    </dxf>
    <dxf>
      <border outline="0">
        <left style="thin">
          <color rgb="FF000000"/>
        </left>
        <right style="medium">
          <color rgb="FF000000"/>
        </right>
      </border>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numFmt numFmtId="164" formatCode="mm:ss.0;@"/>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center" vertical="center" textRotation="0" wrapText="0" indent="0" justifyLastLine="0" shrinkToFit="0" readingOrder="0"/>
    </dxf>
    <dxf>
      <numFmt numFmtId="164" formatCode="mm:ss.0;@"/>
      <alignment horizontal="center" vertical="center" textRotation="0" wrapText="0" indent="0" justifyLastLine="0" shrinkToFit="0" readingOrder="0"/>
      <border>
        <right style="medium">
          <color indexed="64"/>
        </right>
      </border>
    </dxf>
    <dxf>
      <numFmt numFmtId="164" formatCode="mm:ss.0;@"/>
    </dxf>
    <dxf>
      <font>
        <b val="0"/>
        <i/>
        <strike val="0"/>
        <condense val="0"/>
        <extend val="0"/>
        <outline val="0"/>
        <shadow val="0"/>
        <u val="none"/>
        <vertAlign val="baseline"/>
        <sz val="11"/>
        <color theme="1"/>
        <name val="Calibri"/>
        <family val="2"/>
        <scheme val="minor"/>
      </font>
      <numFmt numFmtId="164" formatCode="mm:ss.0;@"/>
      <alignment horizontal="center" vertical="bottom" textRotation="0" wrapText="0" indent="0" justifyLastLine="0" shrinkToFit="0" readingOrder="0"/>
    </dxf>
    <dxf>
      <font>
        <b val="0"/>
        <i/>
        <strike val="0"/>
        <condense val="0"/>
        <extend val="0"/>
        <outline val="0"/>
        <shadow val="0"/>
        <u val="none"/>
        <vertAlign val="baseline"/>
        <sz val="11"/>
        <color theme="1"/>
        <name val="Calibri"/>
        <family val="2"/>
        <scheme val="minor"/>
      </font>
      <numFmt numFmtId="164" formatCode="mm:ss.0;@"/>
      <alignment horizontal="center" vertical="bottom" textRotation="0" wrapText="0" indent="0" justifyLastLine="0" shrinkToFit="0" readingOrder="0"/>
    </dxf>
    <dxf>
      <numFmt numFmtId="164" formatCode="mm:ss.0;@"/>
    </dxf>
    <dxf>
      <numFmt numFmtId="164" formatCode="mm:ss.0;@"/>
    </dxf>
    <dxf>
      <numFmt numFmtId="164" formatCode="mm:ss.0;@"/>
    </dxf>
    <dxf>
      <numFmt numFmtId="164" formatCode="mm:ss.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border outline="0">
        <right style="medium">
          <color indexed="64"/>
        </right>
      </border>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30" formatCode="@"/>
      <border diagonalUp="0" diagonalDown="0">
        <left style="medium">
          <color indexed="64"/>
        </left>
        <right style="medium">
          <color indexed="64"/>
        </right>
        <top/>
        <bottom/>
        <vertical/>
        <horizontal/>
      </border>
    </dxf>
    <dxf>
      <border outline="0">
        <left style="thin">
          <color rgb="FF000000"/>
        </left>
      </border>
    </dxf>
    <dxf>
      <font>
        <b/>
        <i val="0"/>
        <strike val="0"/>
        <condense val="0"/>
        <extend val="0"/>
        <outline val="0"/>
        <shadow val="0"/>
        <u val="none"/>
        <vertAlign val="baseline"/>
        <sz val="11"/>
        <color theme="0"/>
        <name val="Calibri"/>
        <family val="2"/>
        <scheme val="minor"/>
      </font>
      <numFmt numFmtId="164" formatCode="mm:ss.0;@"/>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bottom/>
      </border>
    </dxf>
    <dxf>
      <numFmt numFmtId="164" formatCode="mm:ss.0;@"/>
      <alignment horizontal="center" vertical="center" textRotation="0" wrapText="0" indent="0" justifyLastLine="0" shrinkToFit="0" readingOrder="0"/>
      <border diagonalUp="0" diagonalDown="0" outline="0">
        <left style="medium">
          <color indexed="64"/>
        </left>
        <right style="medium">
          <color indexed="64"/>
        </right>
        <top/>
        <bottom/>
      </border>
    </dxf>
    <dxf>
      <numFmt numFmtId="164" formatCode="mm:ss.0;@"/>
      <alignment horizontal="center" vertical="bottom" textRotation="0" wrapText="0" indent="0" justifyLastLine="0" shrinkToFit="0" readingOrder="0"/>
      <border outline="0">
        <right style="medium">
          <color indexed="64"/>
        </right>
      </border>
    </dxf>
    <dxf>
      <font>
        <b val="0"/>
        <i/>
        <strike val="0"/>
        <condense val="0"/>
        <extend val="0"/>
        <outline val="0"/>
        <shadow val="0"/>
        <u val="none"/>
        <vertAlign val="baseline"/>
        <sz val="11"/>
        <color theme="1"/>
        <name val="Calibri"/>
        <family val="2"/>
        <scheme val="minor"/>
      </font>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font>
        <i/>
      </font>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font>
        <i/>
      </font>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border diagonalUp="0" diagonalDown="0">
        <left style="medium">
          <color indexed="64"/>
        </left>
        <top/>
        <bottom/>
        <horizontal/>
      </border>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30" formatCode="@"/>
      <border diagonalUp="0" diagonalDown="0">
        <left style="medium">
          <color indexed="64"/>
        </left>
        <right style="medium">
          <color indexed="64"/>
        </right>
        <top/>
        <bottom/>
        <vertical/>
        <horizontal/>
      </border>
    </dxf>
    <dxf>
      <border outline="0">
        <left style="thin">
          <color rgb="FF000000"/>
        </left>
        <right style="medium">
          <color rgb="FF000000"/>
        </right>
      </border>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numFmt numFmtId="164" formatCode="mm:ss.0;@"/>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center" vertical="center" textRotation="0" wrapText="0" indent="0" justifyLastLine="0" shrinkToFit="0" readingOrder="0"/>
    </dxf>
    <dxf>
      <numFmt numFmtId="164" formatCode="mm:ss.0;@"/>
      <alignment horizontal="center" vertical="center" textRotation="0" wrapText="0" indent="0" justifyLastLine="0" shrinkToFit="0" readingOrder="0"/>
      <border>
        <right style="medium">
          <color indexed="64"/>
        </right>
      </border>
    </dxf>
    <dxf>
      <numFmt numFmtId="164" formatCode="mm:ss.0;@"/>
    </dxf>
    <dxf>
      <font>
        <b val="0"/>
        <i/>
        <strike val="0"/>
        <condense val="0"/>
        <extend val="0"/>
        <outline val="0"/>
        <shadow val="0"/>
        <u val="none"/>
        <vertAlign val="baseline"/>
        <sz val="11"/>
        <color theme="1"/>
        <name val="Calibri"/>
        <family val="2"/>
        <scheme val="minor"/>
      </font>
      <numFmt numFmtId="164" formatCode="mm:ss.0;@"/>
      <alignment horizontal="center" vertical="bottom" textRotation="0" wrapText="0" indent="0" justifyLastLine="0" shrinkToFit="0" readingOrder="0"/>
    </dxf>
    <dxf>
      <font>
        <b val="0"/>
        <i/>
        <strike val="0"/>
        <condense val="0"/>
        <extend val="0"/>
        <outline val="0"/>
        <shadow val="0"/>
        <u val="none"/>
        <vertAlign val="baseline"/>
        <sz val="11"/>
        <color theme="1"/>
        <name val="Calibri"/>
        <family val="2"/>
        <scheme val="minor"/>
      </font>
      <numFmt numFmtId="164" formatCode="mm:ss.0;@"/>
      <alignment horizontal="center" vertical="bottom" textRotation="0" wrapText="0" indent="0" justifyLastLine="0" shrinkToFit="0" readingOrder="0"/>
    </dxf>
    <dxf>
      <numFmt numFmtId="164" formatCode="mm:ss.0;@"/>
    </dxf>
    <dxf>
      <numFmt numFmtId="164" formatCode="mm:ss.0;@"/>
    </dxf>
    <dxf>
      <numFmt numFmtId="164" formatCode="mm:ss.0;@"/>
    </dxf>
    <dxf>
      <numFmt numFmtId="164" formatCode="mm:ss.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border outline="0">
        <right style="medium">
          <color indexed="64"/>
        </right>
      </border>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30" formatCode="@"/>
      <border diagonalUp="0" diagonalDown="0">
        <left style="medium">
          <color indexed="64"/>
        </left>
        <right style="medium">
          <color indexed="64"/>
        </right>
        <top/>
        <bottom/>
        <vertical/>
        <horizontal/>
      </border>
    </dxf>
    <dxf>
      <border outline="0">
        <left style="thin">
          <color rgb="FF000000"/>
        </left>
      </border>
    </dxf>
    <dxf>
      <font>
        <b/>
        <i val="0"/>
        <strike val="0"/>
        <condense val="0"/>
        <extend val="0"/>
        <outline val="0"/>
        <shadow val="0"/>
        <u val="none"/>
        <vertAlign val="baseline"/>
        <sz val="11"/>
        <color theme="0"/>
        <name val="Calibri"/>
        <family val="2"/>
        <scheme val="minor"/>
      </font>
      <numFmt numFmtId="164" formatCode="mm:ss.0;@"/>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bottom/>
      </border>
    </dxf>
    <dxf>
      <numFmt numFmtId="164" formatCode="mm:ss.0;@"/>
      <alignment horizontal="center" vertical="center" textRotation="0" wrapText="0" indent="0" justifyLastLine="0" shrinkToFit="0" readingOrder="0"/>
      <border diagonalUp="0" diagonalDown="0" outline="0">
        <left style="medium">
          <color indexed="64"/>
        </left>
        <right style="medium">
          <color indexed="64"/>
        </right>
        <top/>
        <bottom/>
      </border>
    </dxf>
    <dxf>
      <numFmt numFmtId="164" formatCode="mm:ss.0;@"/>
      <alignment horizontal="center" vertical="bottom" textRotation="0" wrapText="0" indent="0" justifyLastLine="0" shrinkToFit="0" readingOrder="0"/>
      <border outline="0">
        <right style="medium">
          <color indexed="64"/>
        </right>
      </border>
    </dxf>
    <dxf>
      <font>
        <b val="0"/>
        <i/>
        <strike val="0"/>
        <condense val="0"/>
        <extend val="0"/>
        <outline val="0"/>
        <shadow val="0"/>
        <u val="none"/>
        <vertAlign val="baseline"/>
        <sz val="11"/>
        <color theme="1"/>
        <name val="Calibri"/>
        <family val="2"/>
        <scheme val="minor"/>
      </font>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font>
        <i/>
      </font>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font>
        <i/>
      </font>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border diagonalUp="0" diagonalDown="0">
        <left style="medium">
          <color indexed="64"/>
        </left>
        <top/>
        <bottom/>
        <horizontal/>
      </border>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30" formatCode="@"/>
      <border diagonalUp="0" diagonalDown="0">
        <left style="medium">
          <color indexed="64"/>
        </left>
        <right style="medium">
          <color indexed="64"/>
        </right>
        <top/>
        <bottom/>
        <vertical/>
        <horizontal/>
      </border>
    </dxf>
    <dxf>
      <border outline="0">
        <left style="thin">
          <color rgb="FF000000"/>
        </left>
        <right style="medium">
          <color rgb="FF000000"/>
        </right>
      </border>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numFmt numFmtId="164" formatCode="mm:ss.0;@"/>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center" vertical="center" textRotation="0" wrapText="0" indent="0" justifyLastLine="0" shrinkToFit="0" readingOrder="0"/>
    </dxf>
    <dxf>
      <numFmt numFmtId="164" formatCode="mm:ss.0;@"/>
      <alignment horizontal="center" vertical="center" textRotation="0" wrapText="0" indent="0" justifyLastLine="0" shrinkToFit="0" readingOrder="0"/>
      <border>
        <right style="medium">
          <color indexed="64"/>
        </right>
      </border>
    </dxf>
    <dxf>
      <numFmt numFmtId="164" formatCode="mm:ss.0;@"/>
    </dxf>
    <dxf>
      <font>
        <b val="0"/>
        <i/>
        <strike val="0"/>
        <condense val="0"/>
        <extend val="0"/>
        <outline val="0"/>
        <shadow val="0"/>
        <u val="none"/>
        <vertAlign val="baseline"/>
        <sz val="11"/>
        <color theme="1"/>
        <name val="Calibri"/>
        <family val="2"/>
        <scheme val="minor"/>
      </font>
      <numFmt numFmtId="164" formatCode="mm:ss.0;@"/>
      <alignment horizontal="center" vertical="bottom" textRotation="0" wrapText="0" indent="0" justifyLastLine="0" shrinkToFit="0" readingOrder="0"/>
    </dxf>
    <dxf>
      <font>
        <b val="0"/>
        <i/>
        <strike val="0"/>
        <condense val="0"/>
        <extend val="0"/>
        <outline val="0"/>
        <shadow val="0"/>
        <u val="none"/>
        <vertAlign val="baseline"/>
        <sz val="11"/>
        <color theme="1"/>
        <name val="Calibri"/>
        <family val="2"/>
        <scheme val="minor"/>
      </font>
      <numFmt numFmtId="164" formatCode="mm:ss.0;@"/>
      <alignment horizontal="center" vertical="bottom" textRotation="0" wrapText="0" indent="0" justifyLastLine="0" shrinkToFit="0" readingOrder="0"/>
    </dxf>
    <dxf>
      <numFmt numFmtId="164" formatCode="mm:ss.0;@"/>
    </dxf>
    <dxf>
      <numFmt numFmtId="164" formatCode="mm:ss.0;@"/>
    </dxf>
    <dxf>
      <numFmt numFmtId="164" formatCode="mm:ss.0;@"/>
    </dxf>
    <dxf>
      <numFmt numFmtId="164" formatCode="mm:ss.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border outline="0">
        <right style="medium">
          <color indexed="64"/>
        </right>
      </border>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30" formatCode="@"/>
      <border diagonalUp="0" diagonalDown="0">
        <left style="medium">
          <color indexed="64"/>
        </left>
        <right style="medium">
          <color indexed="64"/>
        </right>
        <top/>
        <bottom/>
        <vertical/>
        <horizontal/>
      </border>
    </dxf>
    <dxf>
      <border outline="0">
        <left style="thin">
          <color rgb="FF000000"/>
        </left>
      </border>
    </dxf>
    <dxf>
      <font>
        <b/>
        <i val="0"/>
        <strike val="0"/>
        <condense val="0"/>
        <extend val="0"/>
        <outline val="0"/>
        <shadow val="0"/>
        <u val="none"/>
        <vertAlign val="baseline"/>
        <sz val="11"/>
        <color theme="0"/>
        <name val="Calibri"/>
        <family val="2"/>
        <scheme val="minor"/>
      </font>
      <numFmt numFmtId="164" formatCode="mm:ss.0;@"/>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bottom/>
      </border>
    </dxf>
    <dxf>
      <numFmt numFmtId="164" formatCode="mm:ss.0;@"/>
      <alignment horizontal="center" vertical="center" textRotation="0" wrapText="0" indent="0" justifyLastLine="0" shrinkToFit="0" readingOrder="0"/>
      <border diagonalUp="0" diagonalDown="0" outline="0">
        <left style="medium">
          <color indexed="64"/>
        </left>
        <right style="medium">
          <color indexed="64"/>
        </right>
        <top/>
        <bottom/>
      </border>
    </dxf>
    <dxf>
      <numFmt numFmtId="164" formatCode="mm:ss.0;@"/>
      <alignment horizontal="center" vertical="bottom" textRotation="0" wrapText="0" indent="0" justifyLastLine="0" shrinkToFit="0" readingOrder="0"/>
      <border outline="0">
        <right style="medium">
          <color indexed="64"/>
        </right>
      </border>
    </dxf>
    <dxf>
      <font>
        <b val="0"/>
        <i/>
        <strike val="0"/>
        <condense val="0"/>
        <extend val="0"/>
        <outline val="0"/>
        <shadow val="0"/>
        <u val="none"/>
        <vertAlign val="baseline"/>
        <sz val="11"/>
        <color theme="1"/>
        <name val="Calibri"/>
        <family val="2"/>
        <scheme val="minor"/>
      </font>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font>
        <i/>
      </font>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font>
        <i/>
      </font>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border diagonalUp="0" diagonalDown="0">
        <left style="medium">
          <color indexed="64"/>
        </left>
        <top/>
        <bottom/>
        <horizontal/>
      </border>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30" formatCode="@"/>
      <border diagonalUp="0" diagonalDown="0">
        <left style="medium">
          <color indexed="64"/>
        </left>
        <right style="medium">
          <color indexed="64"/>
        </right>
        <top/>
        <bottom/>
        <vertical/>
        <horizontal/>
      </border>
    </dxf>
    <dxf>
      <border outline="0">
        <left style="thin">
          <color rgb="FF000000"/>
        </left>
        <right style="medium">
          <color rgb="FF000000"/>
        </right>
      </border>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numFmt numFmtId="164" formatCode="mm:ss.0;@"/>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center" vertical="center" textRotation="0" wrapText="0" indent="0" justifyLastLine="0" shrinkToFit="0" readingOrder="0"/>
    </dxf>
    <dxf>
      <numFmt numFmtId="164" formatCode="mm:ss.0;@"/>
      <alignment horizontal="center" vertical="center" textRotation="0" wrapText="0" indent="0" justifyLastLine="0" shrinkToFit="0" readingOrder="0"/>
      <border>
        <right style="medium">
          <color indexed="64"/>
        </right>
      </border>
    </dxf>
    <dxf>
      <numFmt numFmtId="164" formatCode="mm:ss.0;@"/>
    </dxf>
    <dxf>
      <font>
        <b val="0"/>
        <i/>
        <strike val="0"/>
        <condense val="0"/>
        <extend val="0"/>
        <outline val="0"/>
        <shadow val="0"/>
        <u val="none"/>
        <vertAlign val="baseline"/>
        <sz val="11"/>
        <color theme="1"/>
        <name val="Calibri"/>
        <family val="2"/>
        <scheme val="minor"/>
      </font>
      <numFmt numFmtId="164" formatCode="mm:ss.0;@"/>
      <alignment horizontal="center" vertical="bottom" textRotation="0" wrapText="0" indent="0" justifyLastLine="0" shrinkToFit="0" readingOrder="0"/>
    </dxf>
    <dxf>
      <font>
        <b val="0"/>
        <i/>
        <strike val="0"/>
        <condense val="0"/>
        <extend val="0"/>
        <outline val="0"/>
        <shadow val="0"/>
        <u val="none"/>
        <vertAlign val="baseline"/>
        <sz val="11"/>
        <color theme="1"/>
        <name val="Calibri"/>
        <family val="2"/>
        <scheme val="minor"/>
      </font>
      <numFmt numFmtId="164" formatCode="mm:ss.0;@"/>
      <alignment horizontal="center" vertical="bottom" textRotation="0" wrapText="0" indent="0" justifyLastLine="0" shrinkToFit="0" readingOrder="0"/>
    </dxf>
    <dxf>
      <numFmt numFmtId="164" formatCode="mm:ss.0;@"/>
    </dxf>
    <dxf>
      <numFmt numFmtId="164" formatCode="mm:ss.0;@"/>
    </dxf>
    <dxf>
      <numFmt numFmtId="164" formatCode="mm:ss.0;@"/>
    </dxf>
    <dxf>
      <numFmt numFmtId="164" formatCode="mm:ss.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border outline="0">
        <right style="medium">
          <color indexed="64"/>
        </right>
      </border>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30" formatCode="@"/>
      <border diagonalUp="0" diagonalDown="0">
        <left style="medium">
          <color indexed="64"/>
        </left>
        <right style="medium">
          <color indexed="64"/>
        </right>
        <top/>
        <bottom/>
        <vertical/>
        <horizontal/>
      </border>
    </dxf>
    <dxf>
      <border outline="0">
        <left style="thin">
          <color rgb="FF000000"/>
        </left>
      </border>
    </dxf>
    <dxf>
      <font>
        <b/>
        <i val="0"/>
        <strike val="0"/>
        <condense val="0"/>
        <extend val="0"/>
        <outline val="0"/>
        <shadow val="0"/>
        <u val="none"/>
        <vertAlign val="baseline"/>
        <sz val="11"/>
        <color theme="0"/>
        <name val="Calibri"/>
        <family val="2"/>
        <scheme val="minor"/>
      </font>
      <numFmt numFmtId="164" formatCode="mm:ss.0;@"/>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bottom/>
      </border>
    </dxf>
    <dxf>
      <numFmt numFmtId="164" formatCode="mm:ss.0;@"/>
      <alignment horizontal="center" vertical="center" textRotation="0" wrapText="0" indent="0" justifyLastLine="0" shrinkToFit="0" readingOrder="0"/>
      <border diagonalUp="0" diagonalDown="0" outline="0">
        <left style="medium">
          <color indexed="64"/>
        </left>
        <right style="medium">
          <color indexed="64"/>
        </right>
        <top/>
        <bottom/>
      </border>
    </dxf>
    <dxf>
      <numFmt numFmtId="164" formatCode="mm:ss.0;@"/>
      <alignment horizontal="center" vertical="bottom" textRotation="0" wrapText="0" indent="0" justifyLastLine="0" shrinkToFit="0" readingOrder="0"/>
      <border outline="0">
        <right style="medium">
          <color indexed="64"/>
        </right>
      </border>
    </dxf>
    <dxf>
      <font>
        <b val="0"/>
        <i/>
        <strike val="0"/>
        <condense val="0"/>
        <extend val="0"/>
        <outline val="0"/>
        <shadow val="0"/>
        <u val="none"/>
        <vertAlign val="baseline"/>
        <sz val="11"/>
        <color theme="1"/>
        <name val="Calibri"/>
        <family val="2"/>
        <scheme val="minor"/>
      </font>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font>
        <i/>
      </font>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font>
        <i/>
      </font>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border diagonalUp="0" diagonalDown="0">
        <left style="medium">
          <color indexed="64"/>
        </left>
        <top/>
        <bottom/>
        <horizontal/>
      </border>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30" formatCode="@"/>
      <border diagonalUp="0" diagonalDown="0">
        <left style="medium">
          <color indexed="64"/>
        </left>
        <right style="medium">
          <color indexed="64"/>
        </right>
        <top/>
        <bottom/>
        <vertical/>
        <horizontal/>
      </border>
    </dxf>
    <dxf>
      <border outline="0">
        <left style="thin">
          <color rgb="FF000000"/>
        </left>
        <right style="medium">
          <color rgb="FF000000"/>
        </right>
      </border>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numFmt numFmtId="164" formatCode="mm:ss.0;@"/>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center" vertical="center" textRotation="0" wrapText="0" indent="0" justifyLastLine="0" shrinkToFit="0" readingOrder="0"/>
    </dxf>
    <dxf>
      <numFmt numFmtId="164" formatCode="mm:ss.0;@"/>
      <alignment horizontal="center" vertical="center" textRotation="0" wrapText="0" indent="0" justifyLastLine="0" shrinkToFit="0" readingOrder="0"/>
      <border>
        <right style="medium">
          <color indexed="64"/>
        </right>
      </border>
    </dxf>
    <dxf>
      <numFmt numFmtId="164" formatCode="mm:ss.0;@"/>
    </dxf>
    <dxf>
      <font>
        <b val="0"/>
        <i/>
        <strike val="0"/>
        <condense val="0"/>
        <extend val="0"/>
        <outline val="0"/>
        <shadow val="0"/>
        <u val="none"/>
        <vertAlign val="baseline"/>
        <sz val="11"/>
        <color theme="1"/>
        <name val="Calibri"/>
        <family val="2"/>
        <scheme val="minor"/>
      </font>
      <numFmt numFmtId="164" formatCode="mm:ss.0;@"/>
      <alignment horizontal="center" vertical="bottom" textRotation="0" wrapText="0" indent="0" justifyLastLine="0" shrinkToFit="0" readingOrder="0"/>
    </dxf>
    <dxf>
      <font>
        <b val="0"/>
        <i/>
        <strike val="0"/>
        <condense val="0"/>
        <extend val="0"/>
        <outline val="0"/>
        <shadow val="0"/>
        <u val="none"/>
        <vertAlign val="baseline"/>
        <sz val="11"/>
        <color theme="1"/>
        <name val="Calibri"/>
        <family val="2"/>
        <scheme val="minor"/>
      </font>
      <numFmt numFmtId="164" formatCode="mm:ss.0;@"/>
      <alignment horizontal="center" vertical="bottom" textRotation="0" wrapText="0" indent="0" justifyLastLine="0" shrinkToFit="0" readingOrder="0"/>
    </dxf>
    <dxf>
      <numFmt numFmtId="164" formatCode="mm:ss.0;@"/>
    </dxf>
    <dxf>
      <numFmt numFmtId="164" formatCode="mm:ss.0;@"/>
    </dxf>
    <dxf>
      <numFmt numFmtId="164" formatCode="mm:ss.0;@"/>
    </dxf>
    <dxf>
      <numFmt numFmtId="164" formatCode="mm:ss.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border outline="0">
        <right style="medium">
          <color indexed="64"/>
        </right>
      </border>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30" formatCode="@"/>
      <border diagonalUp="0" diagonalDown="0">
        <left style="medium">
          <color indexed="64"/>
        </left>
        <right style="medium">
          <color indexed="64"/>
        </right>
        <top/>
        <bottom/>
        <vertical/>
        <horizontal/>
      </border>
    </dxf>
    <dxf>
      <border outline="0">
        <left style="thin">
          <color rgb="FF000000"/>
        </left>
      </border>
    </dxf>
    <dxf>
      <font>
        <b/>
        <i val="0"/>
        <strike val="0"/>
        <condense val="0"/>
        <extend val="0"/>
        <outline val="0"/>
        <shadow val="0"/>
        <u val="none"/>
        <vertAlign val="baseline"/>
        <sz val="11"/>
        <color theme="0"/>
        <name val="Calibri"/>
        <family val="2"/>
        <scheme val="minor"/>
      </font>
      <numFmt numFmtId="164" formatCode="mm:ss.0;@"/>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bottom/>
      </border>
    </dxf>
    <dxf>
      <numFmt numFmtId="164" formatCode="mm:ss.0;@"/>
      <alignment horizontal="center" vertical="center" textRotation="0" wrapText="0" indent="0" justifyLastLine="0" shrinkToFit="0" readingOrder="0"/>
      <border diagonalUp="0" diagonalDown="0" outline="0">
        <left style="medium">
          <color indexed="64"/>
        </left>
        <right style="medium">
          <color indexed="64"/>
        </right>
        <top/>
        <bottom/>
      </border>
    </dxf>
    <dxf>
      <numFmt numFmtId="164" formatCode="mm:ss.0;@"/>
      <alignment horizontal="center" vertical="bottom" textRotation="0" wrapText="0" indent="0" justifyLastLine="0" shrinkToFit="0" readingOrder="0"/>
      <border outline="0">
        <right style="medium">
          <color indexed="64"/>
        </right>
      </border>
    </dxf>
    <dxf>
      <font>
        <b val="0"/>
        <i/>
        <strike val="0"/>
        <condense val="0"/>
        <extend val="0"/>
        <outline val="0"/>
        <shadow val="0"/>
        <u val="none"/>
        <vertAlign val="baseline"/>
        <sz val="11"/>
        <color theme="1"/>
        <name val="Calibri"/>
        <family val="2"/>
        <scheme val="minor"/>
      </font>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font>
        <i/>
      </font>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font>
        <i/>
      </font>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border diagonalUp="0" diagonalDown="0">
        <left style="medium">
          <color indexed="64"/>
        </left>
        <top/>
        <bottom/>
        <horizontal/>
      </border>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30" formatCode="@"/>
      <border diagonalUp="0" diagonalDown="0">
        <left style="medium">
          <color indexed="64"/>
        </left>
        <right style="medium">
          <color indexed="64"/>
        </right>
        <top/>
        <bottom/>
        <vertical/>
        <horizontal/>
      </border>
    </dxf>
    <dxf>
      <border outline="0">
        <left style="thin">
          <color rgb="FF000000"/>
        </left>
        <right style="medium">
          <color rgb="FF000000"/>
        </right>
      </border>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numFmt numFmtId="164" formatCode="mm:ss.0;@"/>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center" vertical="center" textRotation="0" wrapText="0" indent="0" justifyLastLine="0" shrinkToFit="0" readingOrder="0"/>
    </dxf>
    <dxf>
      <numFmt numFmtId="164" formatCode="mm:ss.0;@"/>
      <alignment horizontal="center" vertical="center" textRotation="0" wrapText="0" indent="0" justifyLastLine="0" shrinkToFit="0" readingOrder="0"/>
      <border>
        <right style="medium">
          <color indexed="64"/>
        </right>
      </border>
    </dxf>
    <dxf>
      <numFmt numFmtId="164" formatCode="mm:ss.0;@"/>
    </dxf>
    <dxf>
      <font>
        <b val="0"/>
        <i/>
        <strike val="0"/>
        <condense val="0"/>
        <extend val="0"/>
        <outline val="0"/>
        <shadow val="0"/>
        <u val="none"/>
        <vertAlign val="baseline"/>
        <sz val="11"/>
        <color theme="1"/>
        <name val="Calibri"/>
        <family val="2"/>
        <scheme val="minor"/>
      </font>
      <numFmt numFmtId="164" formatCode="mm:ss.0;@"/>
      <alignment horizontal="center" vertical="bottom" textRotation="0" wrapText="0" indent="0" justifyLastLine="0" shrinkToFit="0" readingOrder="0"/>
    </dxf>
    <dxf>
      <font>
        <b val="0"/>
        <i/>
        <strike val="0"/>
        <condense val="0"/>
        <extend val="0"/>
        <outline val="0"/>
        <shadow val="0"/>
        <u val="none"/>
        <vertAlign val="baseline"/>
        <sz val="11"/>
        <color theme="1"/>
        <name val="Calibri"/>
        <family val="2"/>
        <scheme val="minor"/>
      </font>
      <numFmt numFmtId="164" formatCode="mm:ss.0;@"/>
      <alignment horizontal="center" vertical="bottom" textRotation="0" wrapText="0" indent="0" justifyLastLine="0" shrinkToFit="0" readingOrder="0"/>
    </dxf>
    <dxf>
      <numFmt numFmtId="164" formatCode="mm:ss.0;@"/>
    </dxf>
    <dxf>
      <numFmt numFmtId="164" formatCode="mm:ss.0;@"/>
    </dxf>
    <dxf>
      <numFmt numFmtId="164" formatCode="mm:ss.0;@"/>
    </dxf>
    <dxf>
      <numFmt numFmtId="164" formatCode="mm:ss.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border outline="0">
        <right style="medium">
          <color indexed="64"/>
        </right>
      </border>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30" formatCode="@"/>
      <border diagonalUp="0" diagonalDown="0">
        <left style="medium">
          <color indexed="64"/>
        </left>
        <right style="medium">
          <color indexed="64"/>
        </right>
        <top/>
        <bottom/>
        <vertical/>
        <horizontal/>
      </border>
    </dxf>
    <dxf>
      <border outline="0">
        <left style="thin">
          <color rgb="FF000000"/>
        </left>
      </border>
    </dxf>
    <dxf>
      <font>
        <b/>
        <i val="0"/>
        <strike val="0"/>
        <condense val="0"/>
        <extend val="0"/>
        <outline val="0"/>
        <shadow val="0"/>
        <u val="none"/>
        <vertAlign val="baseline"/>
        <sz val="11"/>
        <color theme="0"/>
        <name val="Calibri"/>
        <family val="2"/>
        <scheme val="minor"/>
      </font>
      <numFmt numFmtId="164" formatCode="mm:ss.0;@"/>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bottom/>
      </border>
    </dxf>
    <dxf>
      <numFmt numFmtId="164" formatCode="mm:ss.0;@"/>
      <alignment horizontal="center" vertical="center" textRotation="0" wrapText="0" indent="0" justifyLastLine="0" shrinkToFit="0" readingOrder="0"/>
      <border diagonalUp="0" diagonalDown="0" outline="0">
        <left style="medium">
          <color indexed="64"/>
        </left>
        <right style="medium">
          <color indexed="64"/>
        </right>
        <top/>
        <bottom/>
      </border>
    </dxf>
    <dxf>
      <numFmt numFmtId="164" formatCode="mm:ss.0;@"/>
      <alignment horizontal="center" vertical="bottom" textRotation="0" wrapText="0" indent="0" justifyLastLine="0" shrinkToFit="0" readingOrder="0"/>
      <border outline="0">
        <right style="medium">
          <color indexed="64"/>
        </right>
      </border>
    </dxf>
    <dxf>
      <font>
        <b val="0"/>
        <i/>
        <strike val="0"/>
        <condense val="0"/>
        <extend val="0"/>
        <outline val="0"/>
        <shadow val="0"/>
        <u val="none"/>
        <vertAlign val="baseline"/>
        <sz val="11"/>
        <color theme="1"/>
        <name val="Calibri"/>
        <family val="2"/>
        <scheme val="minor"/>
      </font>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font>
        <i/>
      </font>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font>
        <i/>
      </font>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border diagonalUp="0" diagonalDown="0">
        <left style="medium">
          <color indexed="64"/>
        </left>
        <top/>
        <bottom/>
        <horizontal/>
      </border>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30" formatCode="@"/>
      <border diagonalUp="0" diagonalDown="0">
        <left style="medium">
          <color indexed="64"/>
        </left>
        <right style="medium">
          <color indexed="64"/>
        </right>
        <top/>
        <bottom/>
        <vertical/>
        <horizontal/>
      </border>
    </dxf>
    <dxf>
      <border outline="0">
        <left style="thin">
          <color rgb="FF000000"/>
        </left>
        <right style="medium">
          <color rgb="FF000000"/>
        </right>
      </border>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numFmt numFmtId="164" formatCode="mm:ss.0;@"/>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center" vertical="center" textRotation="0" wrapText="0" indent="0" justifyLastLine="0" shrinkToFit="0" readingOrder="0"/>
    </dxf>
    <dxf>
      <numFmt numFmtId="164" formatCode="mm:ss.0;@"/>
      <alignment horizontal="center" vertical="center" textRotation="0" wrapText="0" indent="0" justifyLastLine="0" shrinkToFit="0" readingOrder="0"/>
      <border>
        <right style="medium">
          <color indexed="64"/>
        </right>
      </border>
    </dxf>
    <dxf>
      <numFmt numFmtId="164" formatCode="mm:ss.0;@"/>
    </dxf>
    <dxf>
      <font>
        <b val="0"/>
        <i/>
        <strike val="0"/>
        <condense val="0"/>
        <extend val="0"/>
        <outline val="0"/>
        <shadow val="0"/>
        <u val="none"/>
        <vertAlign val="baseline"/>
        <sz val="11"/>
        <color theme="1"/>
        <name val="Calibri"/>
        <family val="2"/>
        <scheme val="minor"/>
      </font>
      <numFmt numFmtId="164" formatCode="mm:ss.0;@"/>
      <alignment horizontal="center" vertical="bottom" textRotation="0" wrapText="0" indent="0" justifyLastLine="0" shrinkToFit="0" readingOrder="0"/>
    </dxf>
    <dxf>
      <font>
        <b val="0"/>
        <i/>
        <strike val="0"/>
        <condense val="0"/>
        <extend val="0"/>
        <outline val="0"/>
        <shadow val="0"/>
        <u val="none"/>
        <vertAlign val="baseline"/>
        <sz val="11"/>
        <color theme="1"/>
        <name val="Calibri"/>
        <family val="2"/>
        <scheme val="minor"/>
      </font>
      <numFmt numFmtId="164" formatCode="mm:ss.0;@"/>
      <alignment horizontal="center" vertical="bottom" textRotation="0" wrapText="0" indent="0" justifyLastLine="0" shrinkToFit="0" readingOrder="0"/>
    </dxf>
    <dxf>
      <numFmt numFmtId="164" formatCode="mm:ss.0;@"/>
    </dxf>
    <dxf>
      <numFmt numFmtId="164" formatCode="mm:ss.0;@"/>
    </dxf>
    <dxf>
      <numFmt numFmtId="164" formatCode="mm:ss.0;@"/>
    </dxf>
    <dxf>
      <numFmt numFmtId="164" formatCode="mm:ss.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border outline="0">
        <right style="medium">
          <color indexed="64"/>
        </right>
      </border>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30" formatCode="@"/>
      <border diagonalUp="0" diagonalDown="0">
        <left style="medium">
          <color indexed="64"/>
        </left>
        <right style="medium">
          <color indexed="64"/>
        </right>
        <top/>
        <bottom/>
        <vertical/>
        <horizontal/>
      </border>
    </dxf>
    <dxf>
      <border outline="0">
        <left style="thin">
          <color rgb="FF000000"/>
        </left>
      </border>
    </dxf>
    <dxf>
      <font>
        <b/>
        <i val="0"/>
        <strike val="0"/>
        <condense val="0"/>
        <extend val="0"/>
        <outline val="0"/>
        <shadow val="0"/>
        <u val="none"/>
        <vertAlign val="baseline"/>
        <sz val="11"/>
        <color theme="0"/>
        <name val="Calibri"/>
        <family val="2"/>
        <scheme val="minor"/>
      </font>
      <numFmt numFmtId="164" formatCode="mm:ss.0;@"/>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bottom/>
      </border>
    </dxf>
    <dxf>
      <numFmt numFmtId="164" formatCode="mm:ss.0;@"/>
      <alignment horizontal="center" vertical="center" textRotation="0" wrapText="0" indent="0" justifyLastLine="0" shrinkToFit="0" readingOrder="0"/>
      <border diagonalUp="0" diagonalDown="0" outline="0">
        <left style="medium">
          <color indexed="64"/>
        </left>
        <right style="medium">
          <color indexed="64"/>
        </right>
        <top/>
        <bottom/>
      </border>
    </dxf>
    <dxf>
      <numFmt numFmtId="164" formatCode="mm:ss.0;@"/>
      <alignment horizontal="center" vertical="bottom" textRotation="0" wrapText="0" indent="0" justifyLastLine="0" shrinkToFit="0" readingOrder="0"/>
      <border outline="0">
        <right style="medium">
          <color indexed="64"/>
        </right>
      </border>
    </dxf>
    <dxf>
      <font>
        <b val="0"/>
        <i/>
        <strike val="0"/>
        <condense val="0"/>
        <extend val="0"/>
        <outline val="0"/>
        <shadow val="0"/>
        <u val="none"/>
        <vertAlign val="baseline"/>
        <sz val="11"/>
        <color theme="1"/>
        <name val="Calibri"/>
        <family val="2"/>
        <scheme val="minor"/>
      </font>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font>
        <i/>
      </font>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font>
        <i/>
      </font>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border diagonalUp="0" diagonalDown="0">
        <left style="medium">
          <color indexed="64"/>
        </left>
        <top/>
        <bottom/>
        <horizontal/>
      </border>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30" formatCode="@"/>
      <border diagonalUp="0" diagonalDown="0">
        <left style="medium">
          <color indexed="64"/>
        </left>
        <right style="medium">
          <color indexed="64"/>
        </right>
        <top/>
        <bottom/>
        <vertical/>
        <horizontal/>
      </border>
    </dxf>
    <dxf>
      <border outline="0">
        <left style="thin">
          <color rgb="FF000000"/>
        </left>
        <right style="medium">
          <color rgb="FF000000"/>
        </right>
      </border>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numFmt numFmtId="164" formatCode="mm:ss.0;@"/>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center" vertical="center" textRotation="0" wrapText="0" indent="0" justifyLastLine="0" shrinkToFit="0" readingOrder="0"/>
    </dxf>
    <dxf>
      <numFmt numFmtId="164" formatCode="mm:ss.0;@"/>
      <alignment horizontal="center" vertical="center" textRotation="0" wrapText="0" indent="0" justifyLastLine="0" shrinkToFit="0" readingOrder="0"/>
      <border>
        <right style="medium">
          <color indexed="64"/>
        </right>
      </border>
    </dxf>
    <dxf>
      <numFmt numFmtId="164" formatCode="mm:ss.0;@"/>
    </dxf>
    <dxf>
      <font>
        <b val="0"/>
        <i/>
        <strike val="0"/>
        <condense val="0"/>
        <extend val="0"/>
        <outline val="0"/>
        <shadow val="0"/>
        <u val="none"/>
        <vertAlign val="baseline"/>
        <sz val="11"/>
        <color theme="1"/>
        <name val="Calibri"/>
        <family val="2"/>
        <scheme val="minor"/>
      </font>
      <numFmt numFmtId="164" formatCode="mm:ss.0;@"/>
      <alignment horizontal="center" vertical="bottom" textRotation="0" wrapText="0" indent="0" justifyLastLine="0" shrinkToFit="0" readingOrder="0"/>
    </dxf>
    <dxf>
      <font>
        <b val="0"/>
        <i/>
        <strike val="0"/>
        <condense val="0"/>
        <extend val="0"/>
        <outline val="0"/>
        <shadow val="0"/>
        <u val="none"/>
        <vertAlign val="baseline"/>
        <sz val="11"/>
        <color theme="1"/>
        <name val="Calibri"/>
        <family val="2"/>
        <scheme val="minor"/>
      </font>
      <numFmt numFmtId="164" formatCode="mm:ss.0;@"/>
      <alignment horizontal="center" vertical="bottom" textRotation="0" wrapText="0" indent="0" justifyLastLine="0" shrinkToFit="0" readingOrder="0"/>
    </dxf>
    <dxf>
      <numFmt numFmtId="164" formatCode="mm:ss.0;@"/>
    </dxf>
    <dxf>
      <numFmt numFmtId="164" formatCode="mm:ss.0;@"/>
    </dxf>
    <dxf>
      <numFmt numFmtId="164" formatCode="mm:ss.0;@"/>
    </dxf>
    <dxf>
      <numFmt numFmtId="164" formatCode="mm:ss.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border outline="0">
        <right style="medium">
          <color indexed="64"/>
        </right>
      </border>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30" formatCode="@"/>
      <border diagonalUp="0" diagonalDown="0">
        <left style="medium">
          <color indexed="64"/>
        </left>
        <right style="medium">
          <color indexed="64"/>
        </right>
        <top/>
        <bottom/>
        <vertical/>
        <horizontal/>
      </border>
    </dxf>
    <dxf>
      <border outline="0">
        <left style="thin">
          <color rgb="FF000000"/>
        </left>
      </border>
    </dxf>
    <dxf>
      <font>
        <b/>
        <i val="0"/>
        <strike val="0"/>
        <condense val="0"/>
        <extend val="0"/>
        <outline val="0"/>
        <shadow val="0"/>
        <u val="none"/>
        <vertAlign val="baseline"/>
        <sz val="11"/>
        <color theme="0"/>
        <name val="Calibri"/>
        <family val="2"/>
        <scheme val="minor"/>
      </font>
      <numFmt numFmtId="164" formatCode="mm:ss.0;@"/>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bottom/>
      </border>
    </dxf>
    <dxf>
      <numFmt numFmtId="164" formatCode="mm:ss.0;@"/>
      <alignment horizontal="center" vertical="center" textRotation="0" wrapText="0" indent="0" justifyLastLine="0" shrinkToFit="0" readingOrder="0"/>
      <border diagonalUp="0" diagonalDown="0" outline="0">
        <left style="medium">
          <color indexed="64"/>
        </left>
        <right style="medium">
          <color indexed="64"/>
        </right>
        <top/>
        <bottom/>
      </border>
    </dxf>
    <dxf>
      <numFmt numFmtId="164" formatCode="mm:ss.0;@"/>
      <alignment horizontal="center" vertical="bottom" textRotation="0" wrapText="0" indent="0" justifyLastLine="0" shrinkToFit="0" readingOrder="0"/>
      <border outline="0">
        <right style="medium">
          <color indexed="64"/>
        </right>
      </border>
    </dxf>
    <dxf>
      <font>
        <b val="0"/>
        <i/>
        <strike val="0"/>
        <condense val="0"/>
        <extend val="0"/>
        <outline val="0"/>
        <shadow val="0"/>
        <u val="none"/>
        <vertAlign val="baseline"/>
        <sz val="11"/>
        <color theme="1"/>
        <name val="Calibri"/>
        <family val="2"/>
        <scheme val="minor"/>
      </font>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font>
        <i/>
      </font>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font>
        <i/>
      </font>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border diagonalUp="0" diagonalDown="0">
        <left style="medium">
          <color indexed="64"/>
        </left>
        <top/>
        <bottom/>
        <horizontal/>
      </border>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30" formatCode="@"/>
      <border diagonalUp="0" diagonalDown="0">
        <left style="medium">
          <color indexed="64"/>
        </left>
        <right style="medium">
          <color indexed="64"/>
        </right>
        <top/>
        <bottom/>
        <vertical/>
        <horizontal/>
      </border>
    </dxf>
    <dxf>
      <border outline="0">
        <left style="thin">
          <color rgb="FF000000"/>
        </left>
        <right style="medium">
          <color rgb="FF000000"/>
        </right>
      </border>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numFmt numFmtId="164" formatCode="mm:ss.0;@"/>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center" vertical="center" textRotation="0" wrapText="0" indent="0" justifyLastLine="0" shrinkToFit="0" readingOrder="0"/>
    </dxf>
    <dxf>
      <numFmt numFmtId="164" formatCode="mm:ss.0;@"/>
      <alignment horizontal="center" vertical="center" textRotation="0" wrapText="0" indent="0" justifyLastLine="0" shrinkToFit="0" readingOrder="0"/>
      <border>
        <right style="medium">
          <color indexed="64"/>
        </right>
      </border>
    </dxf>
    <dxf>
      <numFmt numFmtId="164" formatCode="mm:ss.0;@"/>
    </dxf>
    <dxf>
      <font>
        <b val="0"/>
        <i/>
        <strike val="0"/>
        <condense val="0"/>
        <extend val="0"/>
        <outline val="0"/>
        <shadow val="0"/>
        <u val="none"/>
        <vertAlign val="baseline"/>
        <sz val="11"/>
        <color theme="1"/>
        <name val="Calibri"/>
        <family val="2"/>
        <scheme val="minor"/>
      </font>
      <numFmt numFmtId="164" formatCode="mm:ss.0;@"/>
      <alignment horizontal="center" vertical="bottom" textRotation="0" wrapText="0" indent="0" justifyLastLine="0" shrinkToFit="0" readingOrder="0"/>
    </dxf>
    <dxf>
      <font>
        <b val="0"/>
        <i/>
        <strike val="0"/>
        <condense val="0"/>
        <extend val="0"/>
        <outline val="0"/>
        <shadow val="0"/>
        <u val="none"/>
        <vertAlign val="baseline"/>
        <sz val="11"/>
        <color theme="1"/>
        <name val="Calibri"/>
        <family val="2"/>
        <scheme val="minor"/>
      </font>
      <numFmt numFmtId="164" formatCode="mm:ss.0;@"/>
      <alignment horizontal="center" vertical="bottom" textRotation="0" wrapText="0" indent="0" justifyLastLine="0" shrinkToFit="0" readingOrder="0"/>
    </dxf>
    <dxf>
      <numFmt numFmtId="164" formatCode="mm:ss.0;@"/>
    </dxf>
    <dxf>
      <numFmt numFmtId="164" formatCode="mm:ss.0;@"/>
    </dxf>
    <dxf>
      <numFmt numFmtId="164" formatCode="mm:ss.0;@"/>
    </dxf>
    <dxf>
      <numFmt numFmtId="164" formatCode="mm:ss.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border outline="0">
        <right style="medium">
          <color indexed="64"/>
        </right>
      </border>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30" formatCode="@"/>
      <border diagonalUp="0" diagonalDown="0">
        <left style="medium">
          <color indexed="64"/>
        </left>
        <right style="medium">
          <color indexed="64"/>
        </right>
        <top/>
        <bottom/>
        <vertical/>
        <horizontal/>
      </border>
    </dxf>
    <dxf>
      <border outline="0">
        <left style="thin">
          <color rgb="FF000000"/>
        </left>
      </border>
    </dxf>
    <dxf>
      <font>
        <b/>
        <i val="0"/>
        <strike val="0"/>
        <condense val="0"/>
        <extend val="0"/>
        <outline val="0"/>
        <shadow val="0"/>
        <u val="none"/>
        <vertAlign val="baseline"/>
        <sz val="11"/>
        <color theme="0"/>
        <name val="Calibri"/>
        <family val="2"/>
        <scheme val="minor"/>
      </font>
      <numFmt numFmtId="164" formatCode="mm:ss.0;@"/>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bottom/>
      </border>
    </dxf>
    <dxf>
      <numFmt numFmtId="164" formatCode="mm:ss.0;@"/>
      <alignment horizontal="center" vertical="center" textRotation="0" wrapText="0" indent="0" justifyLastLine="0" shrinkToFit="0" readingOrder="0"/>
      <border diagonalUp="0" diagonalDown="0" outline="0">
        <left style="medium">
          <color indexed="64"/>
        </left>
        <right style="medium">
          <color indexed="64"/>
        </right>
        <top/>
        <bottom/>
      </border>
    </dxf>
    <dxf>
      <numFmt numFmtId="164" formatCode="mm:ss.0;@"/>
      <alignment horizontal="center" vertical="bottom" textRotation="0" wrapText="0" indent="0" justifyLastLine="0" shrinkToFit="0" readingOrder="0"/>
      <border outline="0">
        <right style="medium">
          <color indexed="64"/>
        </right>
      </border>
    </dxf>
    <dxf>
      <font>
        <b val="0"/>
        <i/>
        <strike val="0"/>
        <condense val="0"/>
        <extend val="0"/>
        <outline val="0"/>
        <shadow val="0"/>
        <u val="none"/>
        <vertAlign val="baseline"/>
        <sz val="11"/>
        <color theme="1"/>
        <name val="Calibri"/>
        <family val="2"/>
        <scheme val="minor"/>
      </font>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font>
        <i/>
      </font>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font>
        <i/>
      </font>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border diagonalUp="0" diagonalDown="0">
        <left style="medium">
          <color indexed="64"/>
        </left>
        <top/>
        <bottom/>
        <horizontal/>
      </border>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30" formatCode="@"/>
      <border diagonalUp="0" diagonalDown="0">
        <left style="medium">
          <color indexed="64"/>
        </left>
        <right style="medium">
          <color indexed="64"/>
        </right>
        <top/>
        <bottom/>
        <vertical/>
        <horizontal/>
      </border>
    </dxf>
    <dxf>
      <border outline="0">
        <left style="thin">
          <color rgb="FF000000"/>
        </left>
        <right style="medium">
          <color rgb="FF000000"/>
        </right>
      </border>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numFmt numFmtId="164" formatCode="mm:ss.0;@"/>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center" vertical="center" textRotation="0" wrapText="0" indent="0" justifyLastLine="0" shrinkToFit="0" readingOrder="0"/>
    </dxf>
    <dxf>
      <numFmt numFmtId="164" formatCode="mm:ss.0;@"/>
      <alignment horizontal="center" vertical="center" textRotation="0" wrapText="0" indent="0" justifyLastLine="0" shrinkToFit="0" readingOrder="0"/>
      <border>
        <right style="medium">
          <color indexed="64"/>
        </right>
      </border>
    </dxf>
    <dxf>
      <numFmt numFmtId="164" formatCode="mm:ss.0;@"/>
    </dxf>
    <dxf>
      <font>
        <b val="0"/>
        <i/>
        <strike val="0"/>
        <condense val="0"/>
        <extend val="0"/>
        <outline val="0"/>
        <shadow val="0"/>
        <u val="none"/>
        <vertAlign val="baseline"/>
        <sz val="11"/>
        <color theme="1"/>
        <name val="Calibri"/>
        <family val="2"/>
        <scheme val="minor"/>
      </font>
      <numFmt numFmtId="164" formatCode="mm:ss.0;@"/>
      <alignment horizontal="center" vertical="bottom" textRotation="0" wrapText="0" indent="0" justifyLastLine="0" shrinkToFit="0" readingOrder="0"/>
    </dxf>
    <dxf>
      <font>
        <b val="0"/>
        <i/>
        <strike val="0"/>
        <condense val="0"/>
        <extend val="0"/>
        <outline val="0"/>
        <shadow val="0"/>
        <u val="none"/>
        <vertAlign val="baseline"/>
        <sz val="11"/>
        <color theme="1"/>
        <name val="Calibri"/>
        <family val="2"/>
        <scheme val="minor"/>
      </font>
      <numFmt numFmtId="164" formatCode="mm:ss.0;@"/>
      <alignment horizontal="center" vertical="bottom" textRotation="0" wrapText="0" indent="0" justifyLastLine="0" shrinkToFit="0" readingOrder="0"/>
    </dxf>
    <dxf>
      <numFmt numFmtId="164" formatCode="mm:ss.0;@"/>
    </dxf>
    <dxf>
      <numFmt numFmtId="164" formatCode="mm:ss.0;@"/>
    </dxf>
    <dxf>
      <numFmt numFmtId="164" formatCode="mm:ss.0;@"/>
    </dxf>
    <dxf>
      <numFmt numFmtId="164" formatCode="mm:ss.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border outline="0">
        <right style="medium">
          <color indexed="64"/>
        </right>
      </border>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30" formatCode="@"/>
      <border diagonalUp="0" diagonalDown="0">
        <left style="medium">
          <color indexed="64"/>
        </left>
        <right style="medium">
          <color indexed="64"/>
        </right>
        <top/>
        <bottom/>
        <vertical/>
        <horizontal/>
      </border>
    </dxf>
    <dxf>
      <border outline="0">
        <left style="thin">
          <color rgb="FF000000"/>
        </left>
      </border>
    </dxf>
    <dxf>
      <font>
        <b/>
        <i val="0"/>
        <strike val="0"/>
        <condense val="0"/>
        <extend val="0"/>
        <outline val="0"/>
        <shadow val="0"/>
        <u val="none"/>
        <vertAlign val="baseline"/>
        <sz val="11"/>
        <color theme="0"/>
        <name val="Calibri"/>
        <family val="2"/>
        <scheme val="minor"/>
      </font>
      <numFmt numFmtId="164" formatCode="mm:ss.0;@"/>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bottom/>
      </border>
    </dxf>
    <dxf>
      <numFmt numFmtId="164" formatCode="mm:ss.0;@"/>
      <alignment horizontal="center" vertical="center" textRotation="0" wrapText="0" indent="0" justifyLastLine="0" shrinkToFit="0" readingOrder="0"/>
      <border diagonalUp="0" diagonalDown="0" outline="0">
        <left style="medium">
          <color indexed="64"/>
        </left>
        <right style="medium">
          <color indexed="64"/>
        </right>
        <top/>
        <bottom/>
      </border>
    </dxf>
    <dxf>
      <numFmt numFmtId="164" formatCode="mm:ss.0;@"/>
      <alignment horizontal="center" vertical="bottom" textRotation="0" wrapText="0" indent="0" justifyLastLine="0" shrinkToFit="0" readingOrder="0"/>
      <border outline="0">
        <right style="medium">
          <color indexed="64"/>
        </right>
      </border>
    </dxf>
    <dxf>
      <font>
        <b val="0"/>
        <i/>
        <strike val="0"/>
        <condense val="0"/>
        <extend val="0"/>
        <outline val="0"/>
        <shadow val="0"/>
        <u val="none"/>
        <vertAlign val="baseline"/>
        <sz val="11"/>
        <color theme="1"/>
        <name val="Calibri"/>
        <family val="2"/>
        <scheme val="minor"/>
      </font>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font>
        <i/>
      </font>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font>
        <i/>
      </font>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border diagonalUp="0" diagonalDown="0">
        <left style="medium">
          <color indexed="64"/>
        </left>
        <top/>
        <bottom/>
        <horizontal/>
      </border>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30" formatCode="@"/>
      <border diagonalUp="0" diagonalDown="0">
        <left style="medium">
          <color indexed="64"/>
        </left>
        <right style="medium">
          <color indexed="64"/>
        </right>
        <top/>
        <bottom/>
        <vertical/>
        <horizontal/>
      </border>
    </dxf>
    <dxf>
      <border outline="0">
        <left style="thin">
          <color rgb="FF000000"/>
        </left>
        <right style="medium">
          <color rgb="FF000000"/>
        </right>
      </border>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numFmt numFmtId="164" formatCode="mm:ss.0;@"/>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center" vertical="center" textRotation="0" wrapText="0" indent="0" justifyLastLine="0" shrinkToFit="0" readingOrder="0"/>
    </dxf>
    <dxf>
      <numFmt numFmtId="164" formatCode="mm:ss.0;@"/>
      <alignment horizontal="center" vertical="center" textRotation="0" wrapText="0" indent="0" justifyLastLine="0" shrinkToFit="0" readingOrder="0"/>
      <border>
        <right style="medium">
          <color indexed="64"/>
        </right>
      </border>
    </dxf>
    <dxf>
      <numFmt numFmtId="164" formatCode="mm:ss.0;@"/>
    </dxf>
    <dxf>
      <font>
        <b val="0"/>
        <i/>
        <strike val="0"/>
        <condense val="0"/>
        <extend val="0"/>
        <outline val="0"/>
        <shadow val="0"/>
        <u val="none"/>
        <vertAlign val="baseline"/>
        <sz val="11"/>
        <color theme="1"/>
        <name val="Calibri"/>
        <family val="2"/>
        <scheme val="minor"/>
      </font>
      <numFmt numFmtId="164" formatCode="mm:ss.0;@"/>
      <alignment horizontal="center" vertical="bottom" textRotation="0" wrapText="0" indent="0" justifyLastLine="0" shrinkToFit="0" readingOrder="0"/>
    </dxf>
    <dxf>
      <font>
        <b val="0"/>
        <i/>
        <strike val="0"/>
        <condense val="0"/>
        <extend val="0"/>
        <outline val="0"/>
        <shadow val="0"/>
        <u val="none"/>
        <vertAlign val="baseline"/>
        <sz val="11"/>
        <color theme="1"/>
        <name val="Calibri"/>
        <family val="2"/>
        <scheme val="minor"/>
      </font>
      <numFmt numFmtId="164" formatCode="mm:ss.0;@"/>
      <alignment horizontal="center" vertical="bottom" textRotation="0" wrapText="0" indent="0" justifyLastLine="0" shrinkToFit="0" readingOrder="0"/>
    </dxf>
    <dxf>
      <numFmt numFmtId="164" formatCode="mm:ss.0;@"/>
    </dxf>
    <dxf>
      <numFmt numFmtId="164" formatCode="mm:ss.0;@"/>
    </dxf>
    <dxf>
      <numFmt numFmtId="164" formatCode="mm:ss.0;@"/>
    </dxf>
    <dxf>
      <numFmt numFmtId="164" formatCode="mm:ss.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border outline="0">
        <right style="medium">
          <color indexed="64"/>
        </right>
      </border>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30" formatCode="@"/>
      <border diagonalUp="0" diagonalDown="0">
        <left style="medium">
          <color indexed="64"/>
        </left>
        <right style="medium">
          <color indexed="64"/>
        </right>
        <top/>
        <bottom/>
        <vertical/>
        <horizontal/>
      </border>
    </dxf>
    <dxf>
      <border outline="0">
        <left style="thin">
          <color rgb="FF000000"/>
        </left>
      </border>
    </dxf>
    <dxf>
      <font>
        <b/>
        <i val="0"/>
        <strike val="0"/>
        <condense val="0"/>
        <extend val="0"/>
        <outline val="0"/>
        <shadow val="0"/>
        <u val="none"/>
        <vertAlign val="baseline"/>
        <sz val="11"/>
        <color theme="0"/>
        <name val="Calibri"/>
        <family val="2"/>
        <scheme val="minor"/>
      </font>
      <numFmt numFmtId="164" formatCode="mm:ss.0;@"/>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bottom/>
      </border>
    </dxf>
    <dxf>
      <numFmt numFmtId="164" formatCode="mm:ss.0;@"/>
      <alignment horizontal="center" vertical="center" textRotation="0" wrapText="0" indent="0" justifyLastLine="0" shrinkToFit="0" readingOrder="0"/>
      <border diagonalUp="0" diagonalDown="0" outline="0">
        <left style="medium">
          <color indexed="64"/>
        </left>
        <right style="medium">
          <color indexed="64"/>
        </right>
        <top/>
        <bottom/>
      </border>
    </dxf>
    <dxf>
      <numFmt numFmtId="164" formatCode="mm:ss.0;@"/>
      <alignment horizontal="center" vertical="bottom" textRotation="0" wrapText="0" indent="0" justifyLastLine="0" shrinkToFit="0" readingOrder="0"/>
      <border outline="0">
        <right style="medium">
          <color indexed="64"/>
        </right>
      </border>
    </dxf>
    <dxf>
      <font>
        <b val="0"/>
        <i/>
        <strike val="0"/>
        <condense val="0"/>
        <extend val="0"/>
        <outline val="0"/>
        <shadow val="0"/>
        <u val="none"/>
        <vertAlign val="baseline"/>
        <sz val="11"/>
        <color theme="1"/>
        <name val="Calibri"/>
        <family val="2"/>
        <scheme val="minor"/>
      </font>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font>
        <i/>
      </font>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font>
        <i/>
      </font>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border diagonalUp="0" diagonalDown="0">
        <left style="medium">
          <color indexed="64"/>
        </left>
        <top/>
        <bottom/>
        <horizontal/>
      </border>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30" formatCode="@"/>
      <border diagonalUp="0" diagonalDown="0">
        <left style="medium">
          <color indexed="64"/>
        </left>
        <right style="medium">
          <color indexed="64"/>
        </right>
        <top/>
        <bottom/>
        <vertical/>
        <horizontal/>
      </border>
    </dxf>
    <dxf>
      <border outline="0">
        <left style="thin">
          <color rgb="FF000000"/>
        </left>
        <right style="medium">
          <color rgb="FF000000"/>
        </right>
      </border>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numFmt numFmtId="164" formatCode="mm:ss.0;@"/>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center" vertical="center" textRotation="0" wrapText="0" indent="0" justifyLastLine="0" shrinkToFit="0" readingOrder="0"/>
    </dxf>
    <dxf>
      <numFmt numFmtId="164" formatCode="mm:ss.0;@"/>
      <alignment horizontal="center" vertical="center" textRotation="0" wrapText="0" indent="0" justifyLastLine="0" shrinkToFit="0" readingOrder="0"/>
      <border>
        <right style="medium">
          <color indexed="64"/>
        </right>
      </border>
    </dxf>
    <dxf>
      <numFmt numFmtId="164" formatCode="mm:ss.0;@"/>
    </dxf>
    <dxf>
      <font>
        <b val="0"/>
        <i/>
        <strike val="0"/>
        <condense val="0"/>
        <extend val="0"/>
        <outline val="0"/>
        <shadow val="0"/>
        <u val="none"/>
        <vertAlign val="baseline"/>
        <sz val="11"/>
        <color theme="1"/>
        <name val="Calibri"/>
        <family val="2"/>
        <scheme val="minor"/>
      </font>
      <numFmt numFmtId="164" formatCode="mm:ss.0;@"/>
      <alignment horizontal="center" vertical="bottom" textRotation="0" wrapText="0" indent="0" justifyLastLine="0" shrinkToFit="0" readingOrder="0"/>
    </dxf>
    <dxf>
      <font>
        <b val="0"/>
        <i/>
        <strike val="0"/>
        <condense val="0"/>
        <extend val="0"/>
        <outline val="0"/>
        <shadow val="0"/>
        <u val="none"/>
        <vertAlign val="baseline"/>
        <sz val="11"/>
        <color theme="1"/>
        <name val="Calibri"/>
        <family val="2"/>
        <scheme val="minor"/>
      </font>
      <numFmt numFmtId="164" formatCode="mm:ss.0;@"/>
      <alignment horizontal="center" vertical="bottom" textRotation="0" wrapText="0" indent="0" justifyLastLine="0" shrinkToFit="0" readingOrder="0"/>
    </dxf>
    <dxf>
      <numFmt numFmtId="164" formatCode="mm:ss.0;@"/>
    </dxf>
    <dxf>
      <numFmt numFmtId="164" formatCode="mm:ss.0;@"/>
    </dxf>
    <dxf>
      <numFmt numFmtId="164" formatCode="mm:ss.0;@"/>
    </dxf>
    <dxf>
      <numFmt numFmtId="164" formatCode="mm:ss.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border outline="0">
        <right style="medium">
          <color indexed="64"/>
        </right>
      </border>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30" formatCode="@"/>
      <border diagonalUp="0" diagonalDown="0">
        <left style="medium">
          <color indexed="64"/>
        </left>
        <right style="medium">
          <color indexed="64"/>
        </right>
        <top/>
        <bottom/>
        <vertical/>
        <horizontal/>
      </border>
    </dxf>
    <dxf>
      <border outline="0">
        <left style="thin">
          <color rgb="FF000000"/>
        </left>
      </border>
    </dxf>
    <dxf>
      <font>
        <b/>
        <i val="0"/>
        <strike val="0"/>
        <condense val="0"/>
        <extend val="0"/>
        <outline val="0"/>
        <shadow val="0"/>
        <u val="none"/>
        <vertAlign val="baseline"/>
        <sz val="11"/>
        <color theme="0"/>
        <name val="Calibri"/>
        <family val="2"/>
        <scheme val="minor"/>
      </font>
      <numFmt numFmtId="164" formatCode="mm:ss.0;@"/>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bottom/>
      </border>
    </dxf>
    <dxf>
      <numFmt numFmtId="164" formatCode="mm:ss.0;@"/>
      <alignment horizontal="center" vertical="center" textRotation="0" wrapText="0" indent="0" justifyLastLine="0" shrinkToFit="0" readingOrder="0"/>
      <border diagonalUp="0" diagonalDown="0" outline="0">
        <left style="medium">
          <color indexed="64"/>
        </left>
        <right style="medium">
          <color indexed="64"/>
        </right>
        <top/>
        <bottom/>
      </border>
    </dxf>
    <dxf>
      <numFmt numFmtId="164" formatCode="mm:ss.0;@"/>
      <alignment horizontal="center" vertical="bottom" textRotation="0" wrapText="0" indent="0" justifyLastLine="0" shrinkToFit="0" readingOrder="0"/>
      <border outline="0">
        <right style="medium">
          <color indexed="64"/>
        </right>
      </border>
    </dxf>
    <dxf>
      <font>
        <b val="0"/>
        <i/>
        <strike val="0"/>
        <condense val="0"/>
        <extend val="0"/>
        <outline val="0"/>
        <shadow val="0"/>
        <u val="none"/>
        <vertAlign val="baseline"/>
        <sz val="11"/>
        <color theme="1"/>
        <name val="Calibri"/>
        <family val="2"/>
        <scheme val="minor"/>
      </font>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font>
        <i/>
      </font>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font>
        <i/>
      </font>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border diagonalUp="0" diagonalDown="0">
        <left style="medium">
          <color indexed="64"/>
        </left>
        <top/>
        <bottom/>
        <horizontal/>
      </border>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30" formatCode="@"/>
      <border diagonalUp="0" diagonalDown="0">
        <left style="medium">
          <color indexed="64"/>
        </left>
        <right style="medium">
          <color indexed="64"/>
        </right>
        <top/>
        <bottom/>
        <vertical/>
        <horizontal/>
      </border>
    </dxf>
    <dxf>
      <border outline="0">
        <left style="thin">
          <color rgb="FF000000"/>
        </left>
        <right style="medium">
          <color rgb="FF000000"/>
        </right>
      </border>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numFmt numFmtId="164" formatCode="mm:ss.0;@"/>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center" vertical="center" textRotation="0" wrapText="0" indent="0" justifyLastLine="0" shrinkToFit="0" readingOrder="0"/>
    </dxf>
    <dxf>
      <numFmt numFmtId="164" formatCode="mm:ss.0;@"/>
      <alignment horizontal="center" vertical="center" textRotation="0" wrapText="0" indent="0" justifyLastLine="0" shrinkToFit="0" readingOrder="0"/>
      <border>
        <right style="medium">
          <color indexed="64"/>
        </right>
      </border>
    </dxf>
    <dxf>
      <numFmt numFmtId="164" formatCode="mm:ss.0;@"/>
    </dxf>
    <dxf>
      <font>
        <b val="0"/>
        <i/>
        <strike val="0"/>
        <condense val="0"/>
        <extend val="0"/>
        <outline val="0"/>
        <shadow val="0"/>
        <u val="none"/>
        <vertAlign val="baseline"/>
        <sz val="11"/>
        <color theme="1"/>
        <name val="Calibri"/>
        <family val="2"/>
        <scheme val="minor"/>
      </font>
      <numFmt numFmtId="164" formatCode="mm:ss.0;@"/>
      <alignment horizontal="center" vertical="bottom" textRotation="0" wrapText="0" indent="0" justifyLastLine="0" shrinkToFit="0" readingOrder="0"/>
    </dxf>
    <dxf>
      <font>
        <b val="0"/>
        <i/>
        <strike val="0"/>
        <condense val="0"/>
        <extend val="0"/>
        <outline val="0"/>
        <shadow val="0"/>
        <u val="none"/>
        <vertAlign val="baseline"/>
        <sz val="11"/>
        <color theme="1"/>
        <name val="Calibri"/>
        <family val="2"/>
        <scheme val="minor"/>
      </font>
      <numFmt numFmtId="164" formatCode="mm:ss.0;@"/>
      <alignment horizontal="center" vertical="bottom" textRotation="0" wrapText="0" indent="0" justifyLastLine="0" shrinkToFit="0" readingOrder="0"/>
    </dxf>
    <dxf>
      <numFmt numFmtId="164" formatCode="mm:ss.0;@"/>
    </dxf>
    <dxf>
      <numFmt numFmtId="164" formatCode="mm:ss.0;@"/>
    </dxf>
    <dxf>
      <numFmt numFmtId="164" formatCode="mm:ss.0;@"/>
    </dxf>
    <dxf>
      <numFmt numFmtId="164" formatCode="mm:ss.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border outline="0">
        <right style="medium">
          <color indexed="64"/>
        </right>
      </border>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30" formatCode="@"/>
      <border diagonalUp="0" diagonalDown="0">
        <left style="medium">
          <color indexed="64"/>
        </left>
        <right style="medium">
          <color indexed="64"/>
        </right>
        <top/>
        <bottom/>
        <vertical/>
        <horizontal/>
      </border>
    </dxf>
    <dxf>
      <border outline="0">
        <left style="thin">
          <color rgb="FF000000"/>
        </left>
      </border>
    </dxf>
    <dxf>
      <font>
        <b/>
        <i val="0"/>
        <strike val="0"/>
        <condense val="0"/>
        <extend val="0"/>
        <outline val="0"/>
        <shadow val="0"/>
        <u val="none"/>
        <vertAlign val="baseline"/>
        <sz val="11"/>
        <color theme="0"/>
        <name val="Calibri"/>
        <family val="2"/>
        <scheme val="minor"/>
      </font>
      <numFmt numFmtId="164" formatCode="mm:ss.0;@"/>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bottom/>
      </border>
    </dxf>
    <dxf>
      <numFmt numFmtId="164" formatCode="mm:ss.0;@"/>
      <alignment horizontal="center" vertical="center" textRotation="0" wrapText="0" indent="0" justifyLastLine="0" shrinkToFit="0" readingOrder="0"/>
      <border diagonalUp="0" diagonalDown="0" outline="0">
        <left style="medium">
          <color indexed="64"/>
        </left>
        <right style="medium">
          <color indexed="64"/>
        </right>
        <top/>
        <bottom/>
      </border>
    </dxf>
    <dxf>
      <numFmt numFmtId="164" formatCode="mm:ss.0;@"/>
      <alignment horizontal="center" vertical="bottom" textRotation="0" wrapText="0" indent="0" justifyLastLine="0" shrinkToFit="0" readingOrder="0"/>
      <border outline="0">
        <right style="medium">
          <color indexed="64"/>
        </right>
      </border>
    </dxf>
    <dxf>
      <font>
        <b val="0"/>
        <i/>
        <strike val="0"/>
        <condense val="0"/>
        <extend val="0"/>
        <outline val="0"/>
        <shadow val="0"/>
        <u val="none"/>
        <vertAlign val="baseline"/>
        <sz val="11"/>
        <color theme="1"/>
        <name val="Calibri"/>
        <family val="2"/>
        <scheme val="minor"/>
      </font>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font>
        <i/>
      </font>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font>
        <i/>
      </font>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border diagonalUp="0" diagonalDown="0">
        <left style="medium">
          <color indexed="64"/>
        </left>
        <top/>
        <bottom/>
        <horizontal/>
      </border>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30" formatCode="@"/>
      <border diagonalUp="0" diagonalDown="0">
        <left style="medium">
          <color indexed="64"/>
        </left>
        <right style="medium">
          <color indexed="64"/>
        </right>
        <top/>
        <bottom/>
        <vertical/>
        <horizontal/>
      </border>
    </dxf>
    <dxf>
      <border outline="0">
        <left style="thin">
          <color rgb="FF000000"/>
        </left>
        <right style="medium">
          <color rgb="FF000000"/>
        </right>
      </border>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numFmt numFmtId="164" formatCode="mm:ss.0;@"/>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center" vertical="center" textRotation="0" wrapText="0" indent="0" justifyLastLine="0" shrinkToFit="0" readingOrder="0"/>
    </dxf>
    <dxf>
      <numFmt numFmtId="164" formatCode="mm:ss.0;@"/>
      <alignment horizontal="center" vertical="center" textRotation="0" wrapText="0" indent="0" justifyLastLine="0" shrinkToFit="0" readingOrder="0"/>
      <border>
        <right style="medium">
          <color indexed="64"/>
        </right>
      </border>
    </dxf>
    <dxf>
      <numFmt numFmtId="164" formatCode="mm:ss.0;@"/>
    </dxf>
    <dxf>
      <font>
        <b val="0"/>
        <i/>
        <strike val="0"/>
        <condense val="0"/>
        <extend val="0"/>
        <outline val="0"/>
        <shadow val="0"/>
        <u val="none"/>
        <vertAlign val="baseline"/>
        <sz val="11"/>
        <color theme="1"/>
        <name val="Calibri"/>
        <family val="2"/>
        <scheme val="minor"/>
      </font>
      <numFmt numFmtId="164" formatCode="mm:ss.0;@"/>
      <alignment horizontal="center" vertical="bottom" textRotation="0" wrapText="0" indent="0" justifyLastLine="0" shrinkToFit="0" readingOrder="0"/>
    </dxf>
    <dxf>
      <font>
        <b val="0"/>
        <i/>
        <strike val="0"/>
        <condense val="0"/>
        <extend val="0"/>
        <outline val="0"/>
        <shadow val="0"/>
        <u val="none"/>
        <vertAlign val="baseline"/>
        <sz val="11"/>
        <color theme="1"/>
        <name val="Calibri"/>
        <family val="2"/>
        <scheme val="minor"/>
      </font>
      <numFmt numFmtId="164" formatCode="mm:ss.0;@"/>
      <alignment horizontal="center" vertical="bottom" textRotation="0" wrapText="0" indent="0" justifyLastLine="0" shrinkToFit="0" readingOrder="0"/>
    </dxf>
    <dxf>
      <numFmt numFmtId="164" formatCode="mm:ss.0;@"/>
    </dxf>
    <dxf>
      <numFmt numFmtId="164" formatCode="mm:ss.0;@"/>
    </dxf>
    <dxf>
      <numFmt numFmtId="164" formatCode="mm:ss.0;@"/>
    </dxf>
    <dxf>
      <numFmt numFmtId="164" formatCode="mm:ss.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border outline="0">
        <right style="medium">
          <color indexed="64"/>
        </right>
      </border>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30" formatCode="@"/>
      <border diagonalUp="0" diagonalDown="0">
        <left style="medium">
          <color indexed="64"/>
        </left>
        <right style="medium">
          <color indexed="64"/>
        </right>
        <top/>
        <bottom/>
        <vertical/>
        <horizontal/>
      </border>
    </dxf>
    <dxf>
      <border outline="0">
        <left style="thin">
          <color rgb="FF000000"/>
        </left>
      </border>
    </dxf>
    <dxf>
      <font>
        <b/>
        <i val="0"/>
        <strike val="0"/>
        <condense val="0"/>
        <extend val="0"/>
        <outline val="0"/>
        <shadow val="0"/>
        <u val="none"/>
        <vertAlign val="baseline"/>
        <sz val="11"/>
        <color theme="0"/>
        <name val="Calibri"/>
        <family val="2"/>
        <scheme val="minor"/>
      </font>
      <numFmt numFmtId="164" formatCode="mm:ss.0;@"/>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bottom/>
      </border>
    </dxf>
    <dxf>
      <numFmt numFmtId="164" formatCode="mm:ss.0;@"/>
      <alignment horizontal="center" vertical="center" textRotation="0" wrapText="0" indent="0" justifyLastLine="0" shrinkToFit="0" readingOrder="0"/>
      <border diagonalUp="0" diagonalDown="0" outline="0">
        <left style="medium">
          <color indexed="64"/>
        </left>
        <right style="medium">
          <color indexed="64"/>
        </right>
        <top/>
        <bottom/>
      </border>
    </dxf>
    <dxf>
      <numFmt numFmtId="164" formatCode="mm:ss.0;@"/>
      <alignment horizontal="center" vertical="bottom" textRotation="0" wrapText="0" indent="0" justifyLastLine="0" shrinkToFit="0" readingOrder="0"/>
      <border outline="0">
        <right style="medium">
          <color indexed="64"/>
        </right>
      </border>
    </dxf>
    <dxf>
      <font>
        <b val="0"/>
        <i/>
        <strike val="0"/>
        <condense val="0"/>
        <extend val="0"/>
        <outline val="0"/>
        <shadow val="0"/>
        <u val="none"/>
        <vertAlign val="baseline"/>
        <sz val="11"/>
        <color theme="1"/>
        <name val="Calibri"/>
        <family val="2"/>
        <scheme val="minor"/>
      </font>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font>
        <i/>
      </font>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font>
        <i/>
      </font>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border diagonalUp="0" diagonalDown="0">
        <left style="medium">
          <color indexed="64"/>
        </left>
        <top/>
        <bottom/>
        <horizontal/>
      </border>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30" formatCode="@"/>
      <border diagonalUp="0" diagonalDown="0">
        <left style="medium">
          <color indexed="64"/>
        </left>
        <right style="medium">
          <color indexed="64"/>
        </right>
        <top/>
        <bottom/>
        <vertical/>
        <horizontal/>
      </border>
    </dxf>
    <dxf>
      <border outline="0">
        <left style="thin">
          <color rgb="FF000000"/>
        </left>
        <right style="medium">
          <color rgb="FF000000"/>
        </right>
      </border>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numFmt numFmtId="164" formatCode="mm:ss.0;@"/>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center" vertical="center" textRotation="0" wrapText="0" indent="0" justifyLastLine="0" shrinkToFit="0" readingOrder="0"/>
    </dxf>
    <dxf>
      <numFmt numFmtId="164" formatCode="mm:ss.0;@"/>
      <alignment horizontal="center" vertical="center" textRotation="0" wrapText="0" indent="0" justifyLastLine="0" shrinkToFit="0" readingOrder="0"/>
      <border>
        <right style="medium">
          <color indexed="64"/>
        </right>
      </border>
    </dxf>
    <dxf>
      <numFmt numFmtId="164" formatCode="mm:ss.0;@"/>
    </dxf>
    <dxf>
      <font>
        <b val="0"/>
        <i/>
        <strike val="0"/>
        <condense val="0"/>
        <extend val="0"/>
        <outline val="0"/>
        <shadow val="0"/>
        <u val="none"/>
        <vertAlign val="baseline"/>
        <sz val="11"/>
        <color theme="1"/>
        <name val="Calibri"/>
        <family val="2"/>
        <scheme val="minor"/>
      </font>
      <numFmt numFmtId="164" formatCode="mm:ss.0;@"/>
      <alignment horizontal="center" vertical="bottom" textRotation="0" wrapText="0" indent="0" justifyLastLine="0" shrinkToFit="0" readingOrder="0"/>
    </dxf>
    <dxf>
      <font>
        <b val="0"/>
        <i/>
        <strike val="0"/>
        <condense val="0"/>
        <extend val="0"/>
        <outline val="0"/>
        <shadow val="0"/>
        <u val="none"/>
        <vertAlign val="baseline"/>
        <sz val="11"/>
        <color theme="1"/>
        <name val="Calibri"/>
        <family val="2"/>
        <scheme val="minor"/>
      </font>
      <numFmt numFmtId="164" formatCode="mm:ss.0;@"/>
      <alignment horizontal="center" vertical="bottom" textRotation="0" wrapText="0" indent="0" justifyLastLine="0" shrinkToFit="0" readingOrder="0"/>
    </dxf>
    <dxf>
      <numFmt numFmtId="164" formatCode="mm:ss.0;@"/>
    </dxf>
    <dxf>
      <numFmt numFmtId="164" formatCode="mm:ss.0;@"/>
    </dxf>
    <dxf>
      <numFmt numFmtId="164" formatCode="mm:ss.0;@"/>
    </dxf>
    <dxf>
      <numFmt numFmtId="164" formatCode="mm:ss.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border outline="0">
        <right style="medium">
          <color indexed="64"/>
        </right>
      </border>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30" formatCode="@"/>
      <border diagonalUp="0" diagonalDown="0">
        <left style="medium">
          <color indexed="64"/>
        </left>
        <right style="medium">
          <color indexed="64"/>
        </right>
        <top/>
        <bottom/>
        <vertical/>
        <horizontal/>
      </border>
    </dxf>
    <dxf>
      <border outline="0">
        <left style="thin">
          <color rgb="FF000000"/>
        </left>
      </border>
    </dxf>
    <dxf>
      <font>
        <b/>
        <i val="0"/>
        <strike val="0"/>
        <condense val="0"/>
        <extend val="0"/>
        <outline val="0"/>
        <shadow val="0"/>
        <u val="none"/>
        <vertAlign val="baseline"/>
        <sz val="11"/>
        <color theme="0"/>
        <name val="Calibri"/>
        <family val="2"/>
        <scheme val="minor"/>
      </font>
      <numFmt numFmtId="164" formatCode="mm:ss.0;@"/>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bottom/>
      </border>
    </dxf>
    <dxf>
      <numFmt numFmtId="164" formatCode="mm:ss.0;@"/>
      <alignment horizontal="center" vertical="center" textRotation="0" wrapText="0" indent="0" justifyLastLine="0" shrinkToFit="0" readingOrder="0"/>
      <border diagonalUp="0" diagonalDown="0" outline="0">
        <left style="medium">
          <color indexed="64"/>
        </left>
        <right style="medium">
          <color indexed="64"/>
        </right>
        <top/>
        <bottom/>
      </border>
    </dxf>
    <dxf>
      <numFmt numFmtId="164" formatCode="mm:ss.0;@"/>
      <alignment horizontal="center" vertical="bottom" textRotation="0" wrapText="0" indent="0" justifyLastLine="0" shrinkToFit="0" readingOrder="0"/>
      <border outline="0">
        <right style="medium">
          <color indexed="64"/>
        </right>
      </border>
    </dxf>
    <dxf>
      <font>
        <b val="0"/>
        <i/>
        <strike val="0"/>
        <condense val="0"/>
        <extend val="0"/>
        <outline val="0"/>
        <shadow val="0"/>
        <u val="none"/>
        <vertAlign val="baseline"/>
        <sz val="11"/>
        <color theme="1"/>
        <name val="Calibri"/>
        <family val="2"/>
        <scheme val="minor"/>
      </font>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font>
        <i/>
      </font>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font>
        <i/>
      </font>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border diagonalUp="0" diagonalDown="0">
        <left style="medium">
          <color indexed="64"/>
        </left>
        <top/>
        <bottom/>
        <horizontal/>
      </border>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30" formatCode="@"/>
      <border diagonalUp="0" diagonalDown="0">
        <left style="medium">
          <color indexed="64"/>
        </left>
        <right style="medium">
          <color indexed="64"/>
        </right>
        <top/>
        <bottom/>
        <vertical/>
        <horizontal/>
      </border>
    </dxf>
    <dxf>
      <border outline="0">
        <left style="thin">
          <color rgb="FF000000"/>
        </left>
        <right style="medium">
          <color rgb="FF000000"/>
        </right>
      </border>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numFmt numFmtId="164" formatCode="mm:ss.0;@"/>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center" vertical="center" textRotation="0" wrapText="0" indent="0" justifyLastLine="0" shrinkToFit="0" readingOrder="0"/>
    </dxf>
    <dxf>
      <numFmt numFmtId="164" formatCode="mm:ss.0;@"/>
      <alignment horizontal="center" vertical="center" textRotation="0" wrapText="0" indent="0" justifyLastLine="0" shrinkToFit="0" readingOrder="0"/>
      <border>
        <right style="medium">
          <color indexed="64"/>
        </right>
      </border>
    </dxf>
    <dxf>
      <numFmt numFmtId="164" formatCode="mm:ss.0;@"/>
    </dxf>
    <dxf>
      <font>
        <b val="0"/>
        <i/>
        <strike val="0"/>
        <condense val="0"/>
        <extend val="0"/>
        <outline val="0"/>
        <shadow val="0"/>
        <u val="none"/>
        <vertAlign val="baseline"/>
        <sz val="11"/>
        <color theme="1"/>
        <name val="Calibri"/>
        <family val="2"/>
        <scheme val="minor"/>
      </font>
      <numFmt numFmtId="164" formatCode="mm:ss.0;@"/>
      <alignment horizontal="center" vertical="bottom" textRotation="0" wrapText="0" indent="0" justifyLastLine="0" shrinkToFit="0" readingOrder="0"/>
    </dxf>
    <dxf>
      <font>
        <b val="0"/>
        <i/>
        <strike val="0"/>
        <condense val="0"/>
        <extend val="0"/>
        <outline val="0"/>
        <shadow val="0"/>
        <u val="none"/>
        <vertAlign val="baseline"/>
        <sz val="11"/>
        <color theme="1"/>
        <name val="Calibri"/>
        <family val="2"/>
        <scheme val="minor"/>
      </font>
      <numFmt numFmtId="164" formatCode="mm:ss.0;@"/>
      <alignment horizontal="center" vertical="bottom" textRotation="0" wrapText="0" indent="0" justifyLastLine="0" shrinkToFit="0" readingOrder="0"/>
    </dxf>
    <dxf>
      <numFmt numFmtId="164" formatCode="mm:ss.0;@"/>
    </dxf>
    <dxf>
      <numFmt numFmtId="164" formatCode="mm:ss.0;@"/>
    </dxf>
    <dxf>
      <numFmt numFmtId="164" formatCode="mm:ss.0;@"/>
    </dxf>
    <dxf>
      <numFmt numFmtId="164" formatCode="mm:ss.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border outline="0">
        <right style="medium">
          <color indexed="64"/>
        </right>
      </border>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30" formatCode="@"/>
      <border diagonalUp="0" diagonalDown="0">
        <left style="medium">
          <color indexed="64"/>
        </left>
        <right style="medium">
          <color indexed="64"/>
        </right>
        <top/>
        <bottom/>
        <vertical/>
        <horizontal/>
      </border>
    </dxf>
    <dxf>
      <border outline="0">
        <left style="thin">
          <color rgb="FF000000"/>
        </left>
      </border>
    </dxf>
    <dxf>
      <font>
        <b/>
        <i val="0"/>
        <strike val="0"/>
        <condense val="0"/>
        <extend val="0"/>
        <outline val="0"/>
        <shadow val="0"/>
        <u val="none"/>
        <vertAlign val="baseline"/>
        <sz val="11"/>
        <color theme="0"/>
        <name val="Calibri"/>
        <family val="2"/>
        <scheme val="minor"/>
      </font>
      <numFmt numFmtId="164" formatCode="mm:ss.0;@"/>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bottom/>
      </border>
    </dxf>
    <dxf>
      <numFmt numFmtId="164" formatCode="mm:ss.0;@"/>
      <alignment horizontal="center" vertical="center" textRotation="0" wrapText="0" indent="0" justifyLastLine="0" shrinkToFit="0" readingOrder="0"/>
      <border diagonalUp="0" diagonalDown="0" outline="0">
        <left style="medium">
          <color indexed="64"/>
        </left>
        <right style="medium">
          <color indexed="64"/>
        </right>
        <top/>
        <bottom/>
      </border>
    </dxf>
    <dxf>
      <numFmt numFmtId="164" formatCode="mm:ss.0;@"/>
      <alignment horizontal="center" vertical="bottom" textRotation="0" wrapText="0" indent="0" justifyLastLine="0" shrinkToFit="0" readingOrder="0"/>
      <border outline="0">
        <right style="medium">
          <color indexed="64"/>
        </right>
      </border>
    </dxf>
    <dxf>
      <font>
        <b val="0"/>
        <i/>
        <strike val="0"/>
        <condense val="0"/>
        <extend val="0"/>
        <outline val="0"/>
        <shadow val="0"/>
        <u val="none"/>
        <vertAlign val="baseline"/>
        <sz val="11"/>
        <color theme="1"/>
        <name val="Calibri"/>
        <family val="2"/>
        <scheme val="minor"/>
      </font>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font>
        <i/>
      </font>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font>
        <i/>
      </font>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border diagonalUp="0" diagonalDown="0">
        <left style="medium">
          <color indexed="64"/>
        </left>
        <top/>
        <bottom/>
        <horizontal/>
      </border>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30" formatCode="@"/>
      <border diagonalUp="0" diagonalDown="0">
        <left style="medium">
          <color indexed="64"/>
        </left>
        <right style="medium">
          <color indexed="64"/>
        </right>
        <top/>
        <bottom/>
        <vertical/>
        <horizontal/>
      </border>
    </dxf>
    <dxf>
      <border outline="0">
        <left style="thin">
          <color rgb="FF000000"/>
        </left>
        <right style="medium">
          <color rgb="FF000000"/>
        </right>
      </border>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numFmt numFmtId="164" formatCode="mm:ss.0;@"/>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center" vertical="center" textRotation="0" wrapText="0" indent="0" justifyLastLine="0" shrinkToFit="0" readingOrder="0"/>
    </dxf>
    <dxf>
      <numFmt numFmtId="164" formatCode="mm:ss.0;@"/>
      <alignment horizontal="center" vertical="center" textRotation="0" wrapText="0" indent="0" justifyLastLine="0" shrinkToFit="0" readingOrder="0"/>
      <border>
        <right style="medium">
          <color indexed="64"/>
        </right>
      </border>
    </dxf>
    <dxf>
      <numFmt numFmtId="164" formatCode="mm:ss.0;@"/>
    </dxf>
    <dxf>
      <font>
        <b val="0"/>
        <i/>
        <strike val="0"/>
        <condense val="0"/>
        <extend val="0"/>
        <outline val="0"/>
        <shadow val="0"/>
        <u val="none"/>
        <vertAlign val="baseline"/>
        <sz val="11"/>
        <color theme="1"/>
        <name val="Calibri"/>
        <family val="2"/>
        <scheme val="minor"/>
      </font>
      <numFmt numFmtId="164" formatCode="mm:ss.0;@"/>
      <alignment horizontal="center" vertical="bottom" textRotation="0" wrapText="0" indent="0" justifyLastLine="0" shrinkToFit="0" readingOrder="0"/>
    </dxf>
    <dxf>
      <font>
        <b val="0"/>
        <i/>
        <strike val="0"/>
        <condense val="0"/>
        <extend val="0"/>
        <outline val="0"/>
        <shadow val="0"/>
        <u val="none"/>
        <vertAlign val="baseline"/>
        <sz val="11"/>
        <color theme="1"/>
        <name val="Calibri"/>
        <family val="2"/>
        <scheme val="minor"/>
      </font>
      <numFmt numFmtId="164" formatCode="mm:ss.0;@"/>
      <alignment horizontal="center" vertical="bottom" textRotation="0" wrapText="0" indent="0" justifyLastLine="0" shrinkToFit="0" readingOrder="0"/>
    </dxf>
    <dxf>
      <numFmt numFmtId="164" formatCode="mm:ss.0;@"/>
    </dxf>
    <dxf>
      <numFmt numFmtId="164" formatCode="mm:ss.0;@"/>
    </dxf>
    <dxf>
      <numFmt numFmtId="164" formatCode="mm:ss.0;@"/>
    </dxf>
    <dxf>
      <numFmt numFmtId="164" formatCode="mm:ss.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border outline="0">
        <right style="medium">
          <color indexed="64"/>
        </right>
      </border>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30" formatCode="@"/>
      <border diagonalUp="0" diagonalDown="0">
        <left style="medium">
          <color indexed="64"/>
        </left>
        <right style="medium">
          <color indexed="64"/>
        </right>
        <top/>
        <bottom/>
        <vertical/>
        <horizontal/>
      </border>
    </dxf>
    <dxf>
      <border outline="0">
        <left style="thin">
          <color rgb="FF000000"/>
        </left>
      </border>
    </dxf>
    <dxf>
      <font>
        <b/>
        <i val="0"/>
        <strike val="0"/>
        <condense val="0"/>
        <extend val="0"/>
        <outline val="0"/>
        <shadow val="0"/>
        <u val="none"/>
        <vertAlign val="baseline"/>
        <sz val="11"/>
        <color theme="0"/>
        <name val="Calibri"/>
        <family val="2"/>
        <scheme val="minor"/>
      </font>
      <numFmt numFmtId="164" formatCode="mm:ss.0;@"/>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bottom/>
      </border>
    </dxf>
    <dxf>
      <numFmt numFmtId="164" formatCode="mm:ss.0;@"/>
      <alignment horizontal="center" vertical="center" textRotation="0" wrapText="0" indent="0" justifyLastLine="0" shrinkToFit="0" readingOrder="0"/>
      <border diagonalUp="0" diagonalDown="0" outline="0">
        <left style="medium">
          <color indexed="64"/>
        </left>
        <right style="medium">
          <color indexed="64"/>
        </right>
        <top/>
        <bottom/>
      </border>
    </dxf>
    <dxf>
      <numFmt numFmtId="164" formatCode="mm:ss.0;@"/>
      <alignment horizontal="center" vertical="bottom" textRotation="0" wrapText="0" indent="0" justifyLastLine="0" shrinkToFit="0" readingOrder="0"/>
      <border outline="0">
        <right style="medium">
          <color indexed="64"/>
        </right>
      </border>
    </dxf>
    <dxf>
      <font>
        <b val="0"/>
        <i/>
        <strike val="0"/>
        <condense val="0"/>
        <extend val="0"/>
        <outline val="0"/>
        <shadow val="0"/>
        <u val="none"/>
        <vertAlign val="baseline"/>
        <sz val="11"/>
        <color theme="1"/>
        <name val="Calibri"/>
        <family val="2"/>
        <scheme val="minor"/>
      </font>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font>
        <i/>
      </font>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font>
        <i/>
      </font>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border diagonalUp="0" diagonalDown="0">
        <left style="medium">
          <color indexed="64"/>
        </left>
        <top/>
        <bottom/>
        <horizontal/>
      </border>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30" formatCode="@"/>
      <border diagonalUp="0" diagonalDown="0">
        <left style="medium">
          <color indexed="64"/>
        </left>
        <right style="medium">
          <color indexed="64"/>
        </right>
        <top/>
        <bottom/>
        <vertical/>
        <horizontal/>
      </border>
    </dxf>
    <dxf>
      <border outline="0">
        <left style="thin">
          <color rgb="FF000000"/>
        </left>
        <right style="medium">
          <color rgb="FF000000"/>
        </right>
      </border>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numFmt numFmtId="164" formatCode="mm:ss.0;@"/>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center" vertical="center" textRotation="0" wrapText="0" indent="0" justifyLastLine="0" shrinkToFit="0" readingOrder="0"/>
    </dxf>
    <dxf>
      <numFmt numFmtId="164" formatCode="mm:ss.0;@"/>
      <alignment horizontal="center" vertical="center" textRotation="0" wrapText="0" indent="0" justifyLastLine="0" shrinkToFit="0" readingOrder="0"/>
      <border>
        <right style="medium">
          <color indexed="64"/>
        </right>
      </border>
    </dxf>
    <dxf>
      <numFmt numFmtId="164" formatCode="mm:ss.0;@"/>
    </dxf>
    <dxf>
      <font>
        <b val="0"/>
        <i/>
        <strike val="0"/>
        <condense val="0"/>
        <extend val="0"/>
        <outline val="0"/>
        <shadow val="0"/>
        <u val="none"/>
        <vertAlign val="baseline"/>
        <sz val="11"/>
        <color theme="1"/>
        <name val="Calibri"/>
        <family val="2"/>
        <scheme val="minor"/>
      </font>
      <numFmt numFmtId="164" formatCode="mm:ss.0;@"/>
      <alignment horizontal="center" vertical="bottom" textRotation="0" wrapText="0" indent="0" justifyLastLine="0" shrinkToFit="0" readingOrder="0"/>
    </dxf>
    <dxf>
      <font>
        <b val="0"/>
        <i/>
        <strike val="0"/>
        <condense val="0"/>
        <extend val="0"/>
        <outline val="0"/>
        <shadow val="0"/>
        <u val="none"/>
        <vertAlign val="baseline"/>
        <sz val="11"/>
        <color theme="1"/>
        <name val="Calibri"/>
        <family val="2"/>
        <scheme val="minor"/>
      </font>
      <numFmt numFmtId="164" formatCode="mm:ss.0;@"/>
      <alignment horizontal="center" vertical="bottom" textRotation="0" wrapText="0" indent="0" justifyLastLine="0" shrinkToFit="0" readingOrder="0"/>
    </dxf>
    <dxf>
      <numFmt numFmtId="164" formatCode="mm:ss.0;@"/>
    </dxf>
    <dxf>
      <numFmt numFmtId="164" formatCode="mm:ss.0;@"/>
    </dxf>
    <dxf>
      <numFmt numFmtId="164" formatCode="mm:ss.0;@"/>
    </dxf>
    <dxf>
      <numFmt numFmtId="164" formatCode="mm:ss.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border outline="0">
        <right style="medium">
          <color indexed="64"/>
        </right>
      </border>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30" formatCode="@"/>
      <border diagonalUp="0" diagonalDown="0">
        <left style="medium">
          <color indexed="64"/>
        </left>
        <right style="medium">
          <color indexed="64"/>
        </right>
        <top/>
        <bottom/>
        <vertical/>
        <horizontal/>
      </border>
    </dxf>
    <dxf>
      <border outline="0">
        <left style="thin">
          <color rgb="FF000000"/>
        </left>
      </border>
    </dxf>
    <dxf>
      <font>
        <b/>
        <i val="0"/>
        <strike val="0"/>
        <condense val="0"/>
        <extend val="0"/>
        <outline val="0"/>
        <shadow val="0"/>
        <u val="none"/>
        <vertAlign val="baseline"/>
        <sz val="11"/>
        <color theme="0"/>
        <name val="Calibri"/>
        <family val="2"/>
        <scheme val="minor"/>
      </font>
      <numFmt numFmtId="164" formatCode="mm:ss.0;@"/>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bottom/>
      </border>
    </dxf>
    <dxf>
      <numFmt numFmtId="164" formatCode="mm:ss.0;@"/>
      <alignment horizontal="center" vertical="center" textRotation="0" wrapText="0" indent="0" justifyLastLine="0" shrinkToFit="0" readingOrder="0"/>
      <border diagonalUp="0" diagonalDown="0" outline="0">
        <left style="medium">
          <color indexed="64"/>
        </left>
        <right style="medium">
          <color indexed="64"/>
        </right>
        <top/>
        <bottom/>
      </border>
    </dxf>
    <dxf>
      <numFmt numFmtId="164" formatCode="mm:ss.0;@"/>
      <alignment horizontal="center" vertical="bottom" textRotation="0" wrapText="0" indent="0" justifyLastLine="0" shrinkToFit="0" readingOrder="0"/>
      <border outline="0">
        <right style="medium">
          <color indexed="64"/>
        </right>
      </border>
    </dxf>
    <dxf>
      <font>
        <b val="0"/>
        <i/>
        <strike val="0"/>
        <condense val="0"/>
        <extend val="0"/>
        <outline val="0"/>
        <shadow val="0"/>
        <u val="none"/>
        <vertAlign val="baseline"/>
        <sz val="11"/>
        <color theme="1"/>
        <name val="Calibri"/>
        <family val="2"/>
        <scheme val="minor"/>
      </font>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font>
        <i/>
      </font>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font>
        <i/>
      </font>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border diagonalUp="0" diagonalDown="0">
        <left style="medium">
          <color indexed="64"/>
        </left>
        <top/>
        <bottom/>
        <horizontal/>
      </border>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30" formatCode="@"/>
      <border diagonalUp="0" diagonalDown="0">
        <left style="medium">
          <color indexed="64"/>
        </left>
        <right style="medium">
          <color indexed="64"/>
        </right>
        <top/>
        <bottom/>
        <vertical/>
        <horizontal/>
      </border>
    </dxf>
    <dxf>
      <border outline="0">
        <left style="thin">
          <color rgb="FF000000"/>
        </left>
        <right style="medium">
          <color rgb="FF000000"/>
        </right>
      </border>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numFmt numFmtId="164" formatCode="mm:ss.0;@"/>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center" vertical="center" textRotation="0" wrapText="0" indent="0" justifyLastLine="0" shrinkToFit="0" readingOrder="0"/>
    </dxf>
    <dxf>
      <numFmt numFmtId="164" formatCode="mm:ss.0;@"/>
      <alignment horizontal="center" vertical="center" textRotation="0" wrapText="0" indent="0" justifyLastLine="0" shrinkToFit="0" readingOrder="0"/>
      <border>
        <right style="medium">
          <color indexed="64"/>
        </right>
      </border>
    </dxf>
    <dxf>
      <numFmt numFmtId="164" formatCode="mm:ss.0;@"/>
    </dxf>
    <dxf>
      <font>
        <b val="0"/>
        <i/>
        <strike val="0"/>
        <condense val="0"/>
        <extend val="0"/>
        <outline val="0"/>
        <shadow val="0"/>
        <u val="none"/>
        <vertAlign val="baseline"/>
        <sz val="11"/>
        <color theme="1"/>
        <name val="Calibri"/>
        <family val="2"/>
        <scheme val="minor"/>
      </font>
      <numFmt numFmtId="164" formatCode="mm:ss.0;@"/>
      <alignment horizontal="center" vertical="bottom" textRotation="0" wrapText="0" indent="0" justifyLastLine="0" shrinkToFit="0" readingOrder="0"/>
    </dxf>
    <dxf>
      <font>
        <b val="0"/>
        <i/>
        <strike val="0"/>
        <condense val="0"/>
        <extend val="0"/>
        <outline val="0"/>
        <shadow val="0"/>
        <u val="none"/>
        <vertAlign val="baseline"/>
        <sz val="11"/>
        <color theme="1"/>
        <name val="Calibri"/>
        <family val="2"/>
        <scheme val="minor"/>
      </font>
      <numFmt numFmtId="164" formatCode="mm:ss.0;@"/>
      <alignment horizontal="center" vertical="bottom" textRotation="0" wrapText="0" indent="0" justifyLastLine="0" shrinkToFit="0" readingOrder="0"/>
    </dxf>
    <dxf>
      <numFmt numFmtId="164" formatCode="mm:ss.0;@"/>
    </dxf>
    <dxf>
      <numFmt numFmtId="164" formatCode="mm:ss.0;@"/>
    </dxf>
    <dxf>
      <numFmt numFmtId="164" formatCode="mm:ss.0;@"/>
    </dxf>
    <dxf>
      <numFmt numFmtId="164" formatCode="mm:ss.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border outline="0">
        <right style="medium">
          <color indexed="64"/>
        </right>
      </border>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30" formatCode="@"/>
      <border diagonalUp="0" diagonalDown="0">
        <left style="medium">
          <color indexed="64"/>
        </left>
        <right style="medium">
          <color indexed="64"/>
        </right>
        <top/>
        <bottom/>
        <vertical/>
        <horizontal/>
      </border>
    </dxf>
    <dxf>
      <border outline="0">
        <left style="thin">
          <color rgb="FF000000"/>
        </left>
      </border>
    </dxf>
    <dxf>
      <font>
        <b/>
        <i val="0"/>
        <strike val="0"/>
        <condense val="0"/>
        <extend val="0"/>
        <outline val="0"/>
        <shadow val="0"/>
        <u val="none"/>
        <vertAlign val="baseline"/>
        <sz val="11"/>
        <color theme="0"/>
        <name val="Calibri"/>
        <family val="2"/>
        <scheme val="minor"/>
      </font>
      <numFmt numFmtId="164" formatCode="mm:ss.0;@"/>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bottom/>
      </border>
    </dxf>
    <dxf>
      <numFmt numFmtId="164" formatCode="mm:ss.0;@"/>
      <alignment horizontal="center" vertical="center" textRotation="0" wrapText="0" indent="0" justifyLastLine="0" shrinkToFit="0" readingOrder="0"/>
      <border diagonalUp="0" diagonalDown="0" outline="0">
        <left style="medium">
          <color indexed="64"/>
        </left>
        <right style="medium">
          <color indexed="64"/>
        </right>
        <top/>
        <bottom/>
      </border>
    </dxf>
    <dxf>
      <numFmt numFmtId="164" formatCode="mm:ss.0;@"/>
      <alignment horizontal="center" vertical="bottom" textRotation="0" wrapText="0" indent="0" justifyLastLine="0" shrinkToFit="0" readingOrder="0"/>
      <border outline="0">
        <right style="medium">
          <color indexed="64"/>
        </right>
      </border>
    </dxf>
    <dxf>
      <font>
        <b val="0"/>
        <i/>
        <strike val="0"/>
        <condense val="0"/>
        <extend val="0"/>
        <outline val="0"/>
        <shadow val="0"/>
        <u val="none"/>
        <vertAlign val="baseline"/>
        <sz val="11"/>
        <color theme="1"/>
        <name val="Calibri"/>
        <family val="2"/>
        <scheme val="minor"/>
      </font>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font>
        <i/>
      </font>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font>
        <i/>
      </font>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border diagonalUp="0" diagonalDown="0">
        <left style="medium">
          <color indexed="64"/>
        </left>
        <top/>
        <bottom/>
        <horizontal/>
      </border>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30" formatCode="@"/>
      <border diagonalUp="0" diagonalDown="0">
        <left style="medium">
          <color indexed="64"/>
        </left>
        <right style="medium">
          <color indexed="64"/>
        </right>
        <top/>
        <bottom/>
        <vertical/>
        <horizontal/>
      </border>
    </dxf>
    <dxf>
      <border outline="0">
        <left style="thin">
          <color rgb="FF000000"/>
        </left>
        <right style="medium">
          <color rgb="FF000000"/>
        </right>
      </border>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numFmt numFmtId="164" formatCode="mm:ss.0;@"/>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center" vertical="center" textRotation="0" wrapText="0" indent="0" justifyLastLine="0" shrinkToFit="0" readingOrder="0"/>
    </dxf>
    <dxf>
      <numFmt numFmtId="164" formatCode="mm:ss.0;@"/>
      <alignment horizontal="center" vertical="center" textRotation="0" wrapText="0" indent="0" justifyLastLine="0" shrinkToFit="0" readingOrder="0"/>
      <border>
        <right style="medium">
          <color indexed="64"/>
        </right>
      </border>
    </dxf>
    <dxf>
      <numFmt numFmtId="164" formatCode="mm:ss.0;@"/>
    </dxf>
    <dxf>
      <font>
        <b val="0"/>
        <i/>
        <strike val="0"/>
        <condense val="0"/>
        <extend val="0"/>
        <outline val="0"/>
        <shadow val="0"/>
        <u val="none"/>
        <vertAlign val="baseline"/>
        <sz val="11"/>
        <color theme="1"/>
        <name val="Calibri"/>
        <family val="2"/>
        <scheme val="minor"/>
      </font>
      <numFmt numFmtId="164" formatCode="mm:ss.0;@"/>
      <alignment horizontal="center" vertical="bottom" textRotation="0" wrapText="0" indent="0" justifyLastLine="0" shrinkToFit="0" readingOrder="0"/>
    </dxf>
    <dxf>
      <font>
        <b val="0"/>
        <i/>
        <strike val="0"/>
        <condense val="0"/>
        <extend val="0"/>
        <outline val="0"/>
        <shadow val="0"/>
        <u val="none"/>
        <vertAlign val="baseline"/>
        <sz val="11"/>
        <color theme="1"/>
        <name val="Calibri"/>
        <family val="2"/>
        <scheme val="minor"/>
      </font>
      <numFmt numFmtId="164" formatCode="mm:ss.0;@"/>
      <alignment horizontal="center" vertical="bottom" textRotation="0" wrapText="0" indent="0" justifyLastLine="0" shrinkToFit="0" readingOrder="0"/>
    </dxf>
    <dxf>
      <numFmt numFmtId="164" formatCode="mm:ss.0;@"/>
    </dxf>
    <dxf>
      <numFmt numFmtId="164" formatCode="mm:ss.0;@"/>
    </dxf>
    <dxf>
      <numFmt numFmtId="164" formatCode="mm:ss.0;@"/>
    </dxf>
    <dxf>
      <numFmt numFmtId="164" formatCode="mm:ss.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border outline="0">
        <right style="medium">
          <color indexed="64"/>
        </right>
      </border>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30" formatCode="@"/>
      <border diagonalUp="0" diagonalDown="0">
        <left style="medium">
          <color indexed="64"/>
        </left>
        <right style="medium">
          <color indexed="64"/>
        </right>
        <top/>
        <bottom/>
        <vertical/>
        <horizontal/>
      </border>
    </dxf>
    <dxf>
      <border outline="0">
        <left style="thin">
          <color rgb="FF000000"/>
        </left>
      </border>
    </dxf>
    <dxf>
      <font>
        <b/>
        <i val="0"/>
        <strike val="0"/>
        <condense val="0"/>
        <extend val="0"/>
        <outline val="0"/>
        <shadow val="0"/>
        <u val="none"/>
        <vertAlign val="baseline"/>
        <sz val="11"/>
        <color theme="0"/>
        <name val="Calibri"/>
        <family val="2"/>
        <scheme val="minor"/>
      </font>
      <numFmt numFmtId="164" formatCode="mm:ss.0;@"/>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bottom/>
      </border>
    </dxf>
    <dxf>
      <numFmt numFmtId="164" formatCode="mm:ss.0;@"/>
      <alignment horizontal="center" vertical="center" textRotation="0" wrapText="0" indent="0" justifyLastLine="0" shrinkToFit="0" readingOrder="0"/>
      <border diagonalUp="0" diagonalDown="0" outline="0">
        <left style="medium">
          <color indexed="64"/>
        </left>
        <right style="medium">
          <color indexed="64"/>
        </right>
        <top/>
        <bottom/>
      </border>
    </dxf>
    <dxf>
      <numFmt numFmtId="164" formatCode="mm:ss.0;@"/>
      <alignment horizontal="center" vertical="bottom" textRotation="0" wrapText="0" indent="0" justifyLastLine="0" shrinkToFit="0" readingOrder="0"/>
      <border outline="0">
        <right style="medium">
          <color indexed="64"/>
        </right>
      </border>
    </dxf>
    <dxf>
      <font>
        <b val="0"/>
        <i/>
        <strike val="0"/>
        <condense val="0"/>
        <extend val="0"/>
        <outline val="0"/>
        <shadow val="0"/>
        <u val="none"/>
        <vertAlign val="baseline"/>
        <sz val="11"/>
        <color theme="1"/>
        <name val="Calibri"/>
        <family val="2"/>
        <scheme val="minor"/>
      </font>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font>
        <i/>
      </font>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font>
        <i/>
      </font>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border diagonalUp="0" diagonalDown="0">
        <left style="medium">
          <color indexed="64"/>
        </left>
        <top/>
        <bottom/>
        <horizontal/>
      </border>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30" formatCode="@"/>
      <border diagonalUp="0" diagonalDown="0">
        <left style="medium">
          <color indexed="64"/>
        </left>
        <right style="medium">
          <color indexed="64"/>
        </right>
        <top/>
        <bottom/>
        <vertical/>
        <horizontal/>
      </border>
    </dxf>
    <dxf>
      <border outline="0">
        <left style="thin">
          <color rgb="FF000000"/>
        </left>
        <right style="medium">
          <color rgb="FF000000"/>
        </right>
      </border>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numFmt numFmtId="164" formatCode="mm:ss.0;@"/>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center" vertical="center" textRotation="0" wrapText="0" indent="0" justifyLastLine="0" shrinkToFit="0" readingOrder="0"/>
    </dxf>
    <dxf>
      <numFmt numFmtId="164" formatCode="mm:ss.0;@"/>
      <alignment horizontal="center" vertical="center" textRotation="0" wrapText="0" indent="0" justifyLastLine="0" shrinkToFit="0" readingOrder="0"/>
      <border>
        <right style="medium">
          <color indexed="64"/>
        </right>
      </border>
    </dxf>
    <dxf>
      <numFmt numFmtId="164" formatCode="mm:ss.0;@"/>
    </dxf>
    <dxf>
      <font>
        <b val="0"/>
        <i/>
        <strike val="0"/>
        <condense val="0"/>
        <extend val="0"/>
        <outline val="0"/>
        <shadow val="0"/>
        <u val="none"/>
        <vertAlign val="baseline"/>
        <sz val="11"/>
        <color theme="1"/>
        <name val="Calibri"/>
        <family val="2"/>
        <scheme val="minor"/>
      </font>
      <numFmt numFmtId="164" formatCode="mm:ss.0;@"/>
      <alignment horizontal="center" vertical="bottom" textRotation="0" wrapText="0" indent="0" justifyLastLine="0" shrinkToFit="0" readingOrder="0"/>
    </dxf>
    <dxf>
      <font>
        <b val="0"/>
        <i/>
        <strike val="0"/>
        <condense val="0"/>
        <extend val="0"/>
        <outline val="0"/>
        <shadow val="0"/>
        <u val="none"/>
        <vertAlign val="baseline"/>
        <sz val="11"/>
        <color theme="1"/>
        <name val="Calibri"/>
        <family val="2"/>
        <scheme val="minor"/>
      </font>
      <numFmt numFmtId="164" formatCode="mm:ss.0;@"/>
      <alignment horizontal="center" vertical="bottom" textRotation="0" wrapText="0" indent="0" justifyLastLine="0" shrinkToFit="0" readingOrder="0"/>
    </dxf>
    <dxf>
      <numFmt numFmtId="164" formatCode="mm:ss.0;@"/>
    </dxf>
    <dxf>
      <numFmt numFmtId="164" formatCode="mm:ss.0;@"/>
    </dxf>
    <dxf>
      <numFmt numFmtId="164" formatCode="mm:ss.0;@"/>
    </dxf>
    <dxf>
      <numFmt numFmtId="164" formatCode="mm:ss.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border outline="0">
        <right style="medium">
          <color indexed="64"/>
        </right>
      </border>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30" formatCode="@"/>
      <border diagonalUp="0" diagonalDown="0">
        <left style="medium">
          <color indexed="64"/>
        </left>
        <right style="medium">
          <color indexed="64"/>
        </right>
        <top/>
        <bottom/>
        <vertical/>
        <horizontal/>
      </border>
    </dxf>
    <dxf>
      <border outline="0">
        <left style="thin">
          <color rgb="FF000000"/>
        </left>
      </border>
    </dxf>
    <dxf>
      <font>
        <b/>
        <i val="0"/>
        <strike val="0"/>
        <condense val="0"/>
        <extend val="0"/>
        <outline val="0"/>
        <shadow val="0"/>
        <u val="none"/>
        <vertAlign val="baseline"/>
        <sz val="11"/>
        <color theme="0"/>
        <name val="Calibri"/>
        <family val="2"/>
        <scheme val="minor"/>
      </font>
      <numFmt numFmtId="164" formatCode="mm:ss.0;@"/>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bottom/>
      </border>
    </dxf>
    <dxf>
      <numFmt numFmtId="164" formatCode="mm:ss.0;@"/>
      <alignment horizontal="center" vertical="center" textRotation="0" wrapText="0" indent="0" justifyLastLine="0" shrinkToFit="0" readingOrder="0"/>
      <border diagonalUp="0" diagonalDown="0" outline="0">
        <left style="medium">
          <color indexed="64"/>
        </left>
        <right style="medium">
          <color indexed="64"/>
        </right>
        <top/>
        <bottom/>
      </border>
    </dxf>
    <dxf>
      <numFmt numFmtId="164" formatCode="mm:ss.0;@"/>
      <alignment horizontal="center" vertical="bottom" textRotation="0" wrapText="0" indent="0" justifyLastLine="0" shrinkToFit="0" readingOrder="0"/>
      <border outline="0">
        <right style="medium">
          <color indexed="64"/>
        </right>
      </border>
    </dxf>
    <dxf>
      <font>
        <b val="0"/>
        <i/>
        <strike val="0"/>
        <condense val="0"/>
        <extend val="0"/>
        <outline val="0"/>
        <shadow val="0"/>
        <u val="none"/>
        <vertAlign val="baseline"/>
        <sz val="11"/>
        <color theme="1"/>
        <name val="Calibri"/>
        <family val="2"/>
        <scheme val="minor"/>
      </font>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font>
        <i/>
      </font>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font>
        <i/>
      </font>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border diagonalUp="0" diagonalDown="0">
        <left style="medium">
          <color indexed="64"/>
        </left>
        <top/>
        <bottom/>
        <horizontal/>
      </border>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30" formatCode="@"/>
      <border diagonalUp="0" diagonalDown="0">
        <left style="medium">
          <color indexed="64"/>
        </left>
        <right style="medium">
          <color indexed="64"/>
        </right>
        <top/>
        <bottom/>
        <vertical/>
        <horizontal/>
      </border>
    </dxf>
    <dxf>
      <border outline="0">
        <left style="thin">
          <color rgb="FF000000"/>
        </left>
        <right style="medium">
          <color rgb="FF000000"/>
        </right>
      </border>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numFmt numFmtId="164" formatCode="mm:ss.0;@"/>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center" vertical="center" textRotation="0" wrapText="0" indent="0" justifyLastLine="0" shrinkToFit="0" readingOrder="0"/>
    </dxf>
    <dxf>
      <numFmt numFmtId="164" formatCode="mm:ss.0;@"/>
      <alignment horizontal="center" vertical="center" textRotation="0" wrapText="0" indent="0" justifyLastLine="0" shrinkToFit="0" readingOrder="0"/>
      <border>
        <right style="medium">
          <color indexed="64"/>
        </right>
      </border>
    </dxf>
    <dxf>
      <numFmt numFmtId="164" formatCode="mm:ss.0;@"/>
    </dxf>
    <dxf>
      <font>
        <b val="0"/>
        <i/>
        <strike val="0"/>
        <condense val="0"/>
        <extend val="0"/>
        <outline val="0"/>
        <shadow val="0"/>
        <u val="none"/>
        <vertAlign val="baseline"/>
        <sz val="11"/>
        <color theme="1"/>
        <name val="Calibri"/>
        <family val="2"/>
        <scheme val="minor"/>
      </font>
      <numFmt numFmtId="164" formatCode="mm:ss.0;@"/>
      <alignment horizontal="center" vertical="bottom" textRotation="0" wrapText="0" indent="0" justifyLastLine="0" shrinkToFit="0" readingOrder="0"/>
    </dxf>
    <dxf>
      <font>
        <b val="0"/>
        <i/>
        <strike val="0"/>
        <condense val="0"/>
        <extend val="0"/>
        <outline val="0"/>
        <shadow val="0"/>
        <u val="none"/>
        <vertAlign val="baseline"/>
        <sz val="11"/>
        <color theme="1"/>
        <name val="Calibri"/>
        <family val="2"/>
        <scheme val="minor"/>
      </font>
      <numFmt numFmtId="164" formatCode="mm:ss.0;@"/>
      <alignment horizontal="center" vertical="bottom" textRotation="0" wrapText="0" indent="0" justifyLastLine="0" shrinkToFit="0" readingOrder="0"/>
    </dxf>
    <dxf>
      <numFmt numFmtId="164" formatCode="mm:ss.0;@"/>
    </dxf>
    <dxf>
      <numFmt numFmtId="164" formatCode="mm:ss.0;@"/>
    </dxf>
    <dxf>
      <numFmt numFmtId="164" formatCode="mm:ss.0;@"/>
    </dxf>
    <dxf>
      <numFmt numFmtId="164" formatCode="mm:ss.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border outline="0">
        <right style="medium">
          <color indexed="64"/>
        </right>
      </border>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30" formatCode="@"/>
      <border diagonalUp="0" diagonalDown="0">
        <left style="medium">
          <color indexed="64"/>
        </left>
        <right style="medium">
          <color indexed="64"/>
        </right>
        <top/>
        <bottom/>
        <vertical/>
        <horizontal/>
      </border>
    </dxf>
    <dxf>
      <border outline="0">
        <left style="thin">
          <color rgb="FF000000"/>
        </left>
      </border>
    </dxf>
    <dxf>
      <font>
        <b/>
        <i val="0"/>
        <strike val="0"/>
        <condense val="0"/>
        <extend val="0"/>
        <outline val="0"/>
        <shadow val="0"/>
        <u val="none"/>
        <vertAlign val="baseline"/>
        <sz val="11"/>
        <color theme="0"/>
        <name val="Calibri"/>
        <family val="2"/>
        <scheme val="minor"/>
      </font>
      <numFmt numFmtId="164" formatCode="mm:ss.0;@"/>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bottom/>
      </border>
    </dxf>
    <dxf>
      <numFmt numFmtId="164" formatCode="mm:ss.0;@"/>
      <alignment horizontal="center" vertical="center" textRotation="0" wrapText="0" indent="0" justifyLastLine="0" shrinkToFit="0" readingOrder="0"/>
      <border diagonalUp="0" diagonalDown="0" outline="0">
        <left style="medium">
          <color indexed="64"/>
        </left>
        <right style="medium">
          <color indexed="64"/>
        </right>
        <top/>
        <bottom/>
      </border>
    </dxf>
    <dxf>
      <numFmt numFmtId="164" formatCode="mm:ss.0;@"/>
      <alignment horizontal="center" vertical="bottom" textRotation="0" wrapText="0" indent="0" justifyLastLine="0" shrinkToFit="0" readingOrder="0"/>
      <border outline="0">
        <right style="medium">
          <color indexed="64"/>
        </right>
      </border>
    </dxf>
    <dxf>
      <font>
        <b val="0"/>
        <i/>
        <strike val="0"/>
        <condense val="0"/>
        <extend val="0"/>
        <outline val="0"/>
        <shadow val="0"/>
        <u val="none"/>
        <vertAlign val="baseline"/>
        <sz val="11"/>
        <color theme="1"/>
        <name val="Calibri"/>
        <family val="2"/>
        <scheme val="minor"/>
      </font>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font>
        <i/>
      </font>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font>
        <i/>
      </font>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border diagonalUp="0" diagonalDown="0">
        <left style="medium">
          <color indexed="64"/>
        </left>
        <top/>
        <bottom/>
        <horizontal/>
      </border>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30" formatCode="@"/>
      <border diagonalUp="0" diagonalDown="0">
        <left style="medium">
          <color indexed="64"/>
        </left>
        <right style="medium">
          <color indexed="64"/>
        </right>
        <top/>
        <bottom/>
        <vertical/>
        <horizontal/>
      </border>
    </dxf>
    <dxf>
      <border outline="0">
        <left style="thin">
          <color rgb="FF000000"/>
        </left>
        <right style="medium">
          <color rgb="FF000000"/>
        </right>
      </border>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numFmt numFmtId="164" formatCode="mm:ss.0;@"/>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center" vertical="center" textRotation="0" wrapText="0" indent="0" justifyLastLine="0" shrinkToFit="0" readingOrder="0"/>
    </dxf>
    <dxf>
      <numFmt numFmtId="164" formatCode="mm:ss.0;@"/>
      <alignment horizontal="center" vertical="center" textRotation="0" wrapText="0" indent="0" justifyLastLine="0" shrinkToFit="0" readingOrder="0"/>
      <border>
        <right style="medium">
          <color indexed="64"/>
        </right>
      </border>
    </dxf>
    <dxf>
      <numFmt numFmtId="164" formatCode="mm:ss.0;@"/>
    </dxf>
    <dxf>
      <font>
        <b val="0"/>
        <i/>
        <strike val="0"/>
        <condense val="0"/>
        <extend val="0"/>
        <outline val="0"/>
        <shadow val="0"/>
        <u val="none"/>
        <vertAlign val="baseline"/>
        <sz val="11"/>
        <color theme="1"/>
        <name val="Calibri"/>
        <family val="2"/>
        <scheme val="minor"/>
      </font>
      <numFmt numFmtId="164" formatCode="mm:ss.0;@"/>
      <alignment horizontal="center" vertical="bottom" textRotation="0" wrapText="0" indent="0" justifyLastLine="0" shrinkToFit="0" readingOrder="0"/>
    </dxf>
    <dxf>
      <font>
        <b val="0"/>
        <i/>
        <strike val="0"/>
        <condense val="0"/>
        <extend val="0"/>
        <outline val="0"/>
        <shadow val="0"/>
        <u val="none"/>
        <vertAlign val="baseline"/>
        <sz val="11"/>
        <color theme="1"/>
        <name val="Calibri"/>
        <family val="2"/>
        <scheme val="minor"/>
      </font>
      <numFmt numFmtId="164" formatCode="mm:ss.0;@"/>
      <alignment horizontal="center" vertical="bottom" textRotation="0" wrapText="0" indent="0" justifyLastLine="0" shrinkToFit="0" readingOrder="0"/>
    </dxf>
    <dxf>
      <numFmt numFmtId="164" formatCode="mm:ss.0;@"/>
    </dxf>
    <dxf>
      <numFmt numFmtId="164" formatCode="mm:ss.0;@"/>
    </dxf>
    <dxf>
      <numFmt numFmtId="164" formatCode="mm:ss.0;@"/>
    </dxf>
    <dxf>
      <numFmt numFmtId="164" formatCode="mm:ss.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border outline="0">
        <right style="medium">
          <color indexed="64"/>
        </right>
      </border>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30" formatCode="@"/>
      <border diagonalUp="0" diagonalDown="0">
        <left style="medium">
          <color indexed="64"/>
        </left>
        <right style="medium">
          <color indexed="64"/>
        </right>
        <top/>
        <bottom/>
        <vertical/>
        <horizontal/>
      </border>
    </dxf>
    <dxf>
      <border outline="0">
        <left style="thin">
          <color rgb="FF000000"/>
        </left>
      </border>
    </dxf>
    <dxf>
      <font>
        <b/>
        <i val="0"/>
        <strike val="0"/>
        <condense val="0"/>
        <extend val="0"/>
        <outline val="0"/>
        <shadow val="0"/>
        <u val="none"/>
        <vertAlign val="baseline"/>
        <sz val="11"/>
        <color theme="0"/>
        <name val="Calibri"/>
        <family val="2"/>
        <scheme val="minor"/>
      </font>
      <numFmt numFmtId="164" formatCode="mm:ss.0;@"/>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bottom/>
      </border>
    </dxf>
    <dxf>
      <numFmt numFmtId="164" formatCode="mm:ss.0;@"/>
      <alignment horizontal="center" vertical="center" textRotation="0" wrapText="0" indent="0" justifyLastLine="0" shrinkToFit="0" readingOrder="0"/>
      <border diagonalUp="0" diagonalDown="0" outline="0">
        <left style="medium">
          <color indexed="64"/>
        </left>
        <right style="medium">
          <color indexed="64"/>
        </right>
        <top/>
        <bottom/>
      </border>
    </dxf>
    <dxf>
      <numFmt numFmtId="164" formatCode="mm:ss.0;@"/>
      <alignment horizontal="center" vertical="bottom" textRotation="0" wrapText="0" indent="0" justifyLastLine="0" shrinkToFit="0" readingOrder="0"/>
      <border outline="0">
        <right style="medium">
          <color indexed="64"/>
        </right>
      </border>
    </dxf>
    <dxf>
      <font>
        <b val="0"/>
        <i/>
        <strike val="0"/>
        <condense val="0"/>
        <extend val="0"/>
        <outline val="0"/>
        <shadow val="0"/>
        <u val="none"/>
        <vertAlign val="baseline"/>
        <sz val="11"/>
        <color theme="1"/>
        <name val="Calibri"/>
        <family val="2"/>
        <scheme val="minor"/>
      </font>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font>
        <i/>
      </font>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font>
        <i/>
      </font>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border diagonalUp="0" diagonalDown="0">
        <left style="medium">
          <color indexed="64"/>
        </left>
        <top/>
        <bottom/>
        <horizontal/>
      </border>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164" formatCode="mm:ss.0;@"/>
      <alignment horizontal="center" vertical="bottom" textRotation="0" wrapText="0" indent="0" justifyLastLine="0" shrinkToFit="0" readingOrder="0"/>
    </dxf>
    <dxf>
      <numFmt numFmtId="30" formatCode="@"/>
      <border diagonalUp="0" diagonalDown="0">
        <left style="medium">
          <color indexed="64"/>
        </left>
        <right style="medium">
          <color indexed="64"/>
        </right>
        <top/>
        <bottom/>
        <vertical/>
        <horizontal/>
      </border>
    </dxf>
    <dxf>
      <border outline="0">
        <left style="thin">
          <color rgb="FF000000"/>
        </left>
        <right style="medium">
          <color rgb="FF000000"/>
        </right>
      </border>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numFmt numFmtId="164" formatCode="mm:ss.0;@"/>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 Id="rId8" Type="http://schemas.openxmlformats.org/officeDocument/2006/relationships/worksheet" Target="worksheets/sheet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EE8B7A35-36D4-4DED-80D3-E94E69A3F240}" name="WO2025Jan710814161822242830323438404244464854565862646668707274766812161820222628323438424446485052" displayName="WO2025Jan710814161822242830323438404244464854565862646668707274766812161820222628323438424446485052" ref="A1:W57" totalsRowShown="0" headerRowDxfId="1295" dataDxfId="1294" tableBorderDxfId="1293">
  <autoFilter ref="A1:W57" xr:uid="{13733F23-878A-465D-B549-8D39D5BC5CA4}"/>
  <sortState xmlns:xlrd2="http://schemas.microsoft.com/office/spreadsheetml/2017/richdata2" ref="A2:W57">
    <sortCondition ref="W1:W57"/>
  </sortState>
  <tableColumns count="23">
    <tableColumn id="1" xr3:uid="{A63AF14B-2699-43A1-8498-240F998F60AA}" name="WO 12/2/2025" dataDxfId="1292"/>
    <tableColumn id="4" xr3:uid="{5ACBDB79-9D1E-44A1-A6C7-672693C07391}" name="5k" dataDxfId="1291"/>
    <tableColumn id="5" xr3:uid="{365DCC36-E515-4050-A03C-CF67AD2FEA8E}" name="Mile" dataDxfId="1290"/>
    <tableColumn id="6" xr3:uid="{A8A2CC81-9B7E-4447-B54D-32238B91F2FC}" name="3k" dataDxfId="1289">
      <calculatedColumnFormula>B2*E2</calculatedColumnFormula>
    </tableColumn>
    <tableColumn id="7" xr3:uid="{15EFCA3A-1951-4698-865B-DE7E95918A6A}" name="Percent" dataDxfId="1288"/>
    <tableColumn id="8" xr3:uid="{CCAF175A-E5D0-4EA4-AA48-9EC1C1DF5BEC}" name="R" dataDxfId="1287">
      <calculatedColumnFormula>C2/4</calculatedColumnFormula>
    </tableColumn>
    <tableColumn id="10" xr3:uid="{6EB4D7FF-4C4F-43AA-8EFF-B82824EBB031}" name="VO2" dataDxfId="1286">
      <calculatedColumnFormula>D2/7.5</calculatedColumnFormula>
    </tableColumn>
    <tableColumn id="9" xr3:uid="{EF3073FE-F266-4FB3-A2A2-CE335D566D0F}" name="I" dataDxfId="1285">
      <calculatedColumnFormula>B2/12.5</calculatedColumnFormula>
    </tableColumn>
    <tableColumn id="11" xr3:uid="{04225E22-0FBF-4DBB-B1C9-BAD2016DB9C5}" name="10k" dataDxfId="1284">
      <calculatedColumnFormula>G2/0.93</calculatedColumnFormula>
    </tableColumn>
    <tableColumn id="12" xr3:uid="{5B0328EF-95EF-42D2-9D42-4FB4E6E35612}" name="CV" dataDxfId="1283">
      <calculatedColumnFormula>G2/0.92</calculatedColumnFormula>
    </tableColumn>
    <tableColumn id="13" xr3:uid="{658E02CF-A2EB-4F10-99B5-E9B6220A98C3}" name="Thresh" dataDxfId="1282">
      <calculatedColumnFormula>G2/0.88</calculatedColumnFormula>
    </tableColumn>
    <tableColumn id="14" xr3:uid="{EED57DA8-5D75-4D7E-8800-E970FF27E739}" name="Thresh L" dataDxfId="1281">
      <calculatedColumnFormula>G2/0.84</calculatedColumnFormula>
    </tableColumn>
    <tableColumn id="21" xr3:uid="{0C11D70C-30B6-41CF-9C6E-1799007A2AFA}" name="T (400)" dataDxfId="1280"/>
    <tableColumn id="20" xr3:uid="{656BF282-9E96-4CE0-8882-DD0C046243B9}" name="1k T" dataDxfId="1279"/>
    <tableColumn id="19" xr3:uid="{A8CF47D1-BC26-4694-A4BD-432A4C1114CD}" name="CV (400)" dataDxfId="1278"/>
    <tableColumn id="18" xr3:uid="{A16DA52D-7952-4023-B094-1615543A2063}" name="600 CV" dataDxfId="1277">
      <calculatedColumnFormula>WO2025Jan710814161822242830323438404244464854565862646668707274766812161820222628323438424446485052[[#This Row],[CV]]*2.5</calculatedColumnFormula>
    </tableColumn>
    <tableColumn id="17" xr3:uid="{944BF062-602C-4E03-ACD4-7D7FE6C55703}" name="200 VO2" dataDxfId="1276">
      <calculatedColumnFormula>WO2025Jan710814161822242830323438404244464854565862646668707274766812161820222628323438424446485052[[#This Row],[VO2]]</calculatedColumnFormula>
    </tableColumn>
    <tableColumn id="15" xr3:uid="{DD6FD2D2-64E1-4979-92F3-F19103060830}" name="I (400)" dataDxfId="1275">
      <calculatedColumnFormula>WO2025Jan710814161822242830323438404244464854565862646668707274766812161820222628323438424446485052[[#This Row],[I]]*2</calculatedColumnFormula>
    </tableColumn>
    <tableColumn id="16" xr3:uid="{EC0C3D80-7D75-4966-A11E-E27AAAB43C95}" name="600 I" dataDxfId="1274">
      <calculatedColumnFormula>WO2025Jan710814161822242830323438404244464854565862646668707274766812161820222628323438424446485052[[#This Row],[VO2]]</calculatedColumnFormula>
    </tableColumn>
    <tableColumn id="22" xr3:uid="{BFDB3BAF-90C8-4F58-8B52-B46942998ED4}" name="200 FBC" dataDxfId="1273"/>
    <tableColumn id="2" xr3:uid="{E53BA741-E119-437D-8714-E8718619F093}" name="…......" dataDxfId="1272"/>
    <tableColumn id="23" xr3:uid="{1689AFD0-A9D0-4CCA-B998-0AC8F3408D7E}" name="…......." dataDxfId="1271"/>
    <tableColumn id="24" xr3:uid="{4011583F-4D9A-4BA6-A323-3DCF638FF6B5}" name="G" dataDxfId="1270"/>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4CA97031-6B4F-4193-B97D-266B98B40C80}" name="WO2025Jan7men11915171923252931333539414345474955575963656769717375777913171921232729333539434547495153" displayName="WO2025Jan7men11915171923252931333539414345474955575963656769717375777913171921232729333539434547495153" ref="A58:W144" totalsRowShown="0" headerRowDxfId="1269" tableBorderDxfId="1268">
  <autoFilter ref="A58:W144" xr:uid="{5DFF29F2-4664-45E4-9AA3-D72D6EA677C9}"/>
  <sortState xmlns:xlrd2="http://schemas.microsoft.com/office/spreadsheetml/2017/richdata2" ref="A59:W144">
    <sortCondition ref="W58:W144"/>
  </sortState>
  <tableColumns count="23">
    <tableColumn id="1" xr3:uid="{C41A9216-AA9E-4BCD-8047-21F110C7ABA4}" name="WO 12/2/2025" dataDxfId="1267"/>
    <tableColumn id="2" xr3:uid="{9956DF9D-F503-47F9-B0A6-4E9870CBE47D}" name="5k" dataDxfId="1266"/>
    <tableColumn id="3" xr3:uid="{4C13837B-14B5-437C-86A3-8D9253688247}" name="Mile" dataDxfId="1265"/>
    <tableColumn id="4" xr3:uid="{3A46018D-F571-40E7-BB2F-B4D184CCBD08}" name="3k" dataDxfId="1264">
      <calculatedColumnFormula>B59*E59</calculatedColumnFormula>
    </tableColumn>
    <tableColumn id="5" xr3:uid="{CB0F8E92-7F0B-48AF-866F-B35ED48DA18B}" name="Percent" dataDxfId="1263"/>
    <tableColumn id="6" xr3:uid="{5318C68E-ACBE-4A5C-9387-FC9C05F729B9}" name="R" dataDxfId="1262">
      <calculatedColumnFormula>C59/4</calculatedColumnFormula>
    </tableColumn>
    <tableColumn id="7" xr3:uid="{CD6451E3-7A95-4E99-897E-B267C804744C}" name="VO2" dataDxfId="1261">
      <calculatedColumnFormula>D59/7.5</calculatedColumnFormula>
    </tableColumn>
    <tableColumn id="8" xr3:uid="{0BC3FEED-6AA0-4ECE-8DFD-DB893A567A2D}" name="I" dataDxfId="1260">
      <calculatedColumnFormula>B59/12.5</calculatedColumnFormula>
    </tableColumn>
    <tableColumn id="9" xr3:uid="{025CDA52-6ABB-41A5-B644-F0B2E4D312C6}" name="10k" dataDxfId="1259">
      <calculatedColumnFormula>G59/0.93</calculatedColumnFormula>
    </tableColumn>
    <tableColumn id="10" xr3:uid="{F4367D13-B12B-4D6B-BADB-9AE97C060B1A}" name="CV" dataDxfId="1258">
      <calculatedColumnFormula>G59/0.92</calculatedColumnFormula>
    </tableColumn>
    <tableColumn id="11" xr3:uid="{86CCCAA7-8038-46D3-B149-626A863C5844}" name="Thresh" dataDxfId="1257">
      <calculatedColumnFormula>G59/0.88</calculatedColumnFormula>
    </tableColumn>
    <tableColumn id="12" xr3:uid="{506B6EBE-F7B2-43AE-8C04-076D3D79DDFA}" name="Thresh L" dataDxfId="1256">
      <calculatedColumnFormula>G59/0.84</calculatedColumnFormula>
    </tableColumn>
    <tableColumn id="13" xr3:uid="{416F71DB-E8FF-435F-92B7-3BF4D1B07D48}" name="T (400)" dataDxfId="1255">
      <calculatedColumnFormula>WO2025Jan7men11915171923252931333539414345474955575963656769717375777913171921232729333539434547495153[[#This Row],[Thresh]]</calculatedColumnFormula>
    </tableColumn>
    <tableColumn id="14" xr3:uid="{AF888229-1E1B-4675-8C2C-E5DA18F138C2}" name="1k T" dataDxfId="1254">
      <calculatedColumnFormula>WO2025Jan7men11915171923252931333539414345474955575963656769717375777913171921232729333539434547495153[[#This Row],[Thresh]]*2.5</calculatedColumnFormula>
    </tableColumn>
    <tableColumn id="15" xr3:uid="{E8DEF97F-6230-4E9A-A6BB-EFBA6C60C980}" name="CV (400)"/>
    <tableColumn id="16" xr3:uid="{8D900203-24BD-4259-B278-E703F7E2054E}" name="600 CV" dataDxfId="1253">
      <calculatedColumnFormula>WO2025Jan7men11915171923252931333539414345474955575963656769717375777913171921232729333539434547495153[[#This Row],[CV (400)]]*1.5</calculatedColumnFormula>
    </tableColumn>
    <tableColumn id="18" xr3:uid="{885AF8A0-785E-4302-8EAC-85D2A63E7661}" name="200 VO2" dataDxfId="1252">
      <calculatedColumnFormula>WO2025Jan7men11915171923252931333539414345474955575963656769717375777913171921232729333539434547495153[[#This Row],[VO2]]/2</calculatedColumnFormula>
    </tableColumn>
    <tableColumn id="19" xr3:uid="{30C7AFA1-F1B2-472E-9C44-FA866B6F27D4}" name="I (400)" dataDxfId="1251">
      <calculatedColumnFormula>WO2025Jan7men11915171923252931333539414345474955575963656769717375777913171921232729333539434547495153[[#This Row],[I]]</calculatedColumnFormula>
    </tableColumn>
    <tableColumn id="24" xr3:uid="{2A3868A7-955A-4106-B50A-31AAADC768D4}" name="600 I" dataDxfId="1250">
      <calculatedColumnFormula>SUM(WO2025Jan7men11915171923252931333539414345474955575963656769717375777913171921232729333539434547495153[[#This Row],[CV (400)]:[I (400)]])</calculatedColumnFormula>
    </tableColumn>
    <tableColumn id="17" xr3:uid="{8F1AA869-295C-4D25-BFBF-31D15FCC2B95}" name="200 FBC" dataDxfId="1249"/>
    <tableColumn id="20" xr3:uid="{A65A8EA9-CF36-4D0E-903C-96D0046575C4}" name="…....." dataDxfId="1248">
      <calculatedColumnFormula>WO2025Jan7men11915171923252931333539414345474955575963656769717375777913171921232729333539434547495153[[#This Row],[I]]*1.5</calculatedColumnFormula>
    </tableColumn>
    <tableColumn id="21" xr3:uid="{DAA69E8E-6900-47C0-9C81-4049AEF20614}" name="…......." dataDxfId="1247">
      <calculatedColumnFormula>WO2025Jan7men11915171923252931333539414345474955575963656769717375777913171921232729333539434547495153[[#This Row],[VO2]]</calculatedColumnFormula>
    </tableColumn>
    <tableColumn id="22" xr3:uid="{29065A2D-D12A-4695-9482-0F501CD4FDC1}" name="G" dataDxfId="1246"/>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C5D846D4-0F5D-4005-B2DD-018D788A661C}" name="WO2025Jan7108141618222428303234384042444648545658626466687072747668121618202226283234384244464850" displayName="WO2025Jan7108141618222428303234384042444648545658626466687072747668121618202226283234384244464850" ref="A1:W57" totalsRowShown="0" headerRowDxfId="1245" dataDxfId="1244" tableBorderDxfId="1243">
  <autoFilter ref="A1:W57" xr:uid="{13733F23-878A-465D-B549-8D39D5BC5CA4}"/>
  <sortState xmlns:xlrd2="http://schemas.microsoft.com/office/spreadsheetml/2017/richdata2" ref="A2:W57">
    <sortCondition ref="W1:W57"/>
  </sortState>
  <tableColumns count="23">
    <tableColumn id="1" xr3:uid="{ACD21862-241D-40E0-9379-CA86150B4551}" name="WO 12/2/2025" dataDxfId="1242"/>
    <tableColumn id="4" xr3:uid="{B07269D1-9E61-45C3-A8DA-1271701F9ABE}" name="5k" dataDxfId="1241"/>
    <tableColumn id="5" xr3:uid="{5570EDDC-D23B-4D60-8D57-BAB3E08CBDEB}" name="Mile" dataDxfId="1240"/>
    <tableColumn id="6" xr3:uid="{10205919-6338-40E9-84F5-F380A2D0FDF8}" name="3k" dataDxfId="1239">
      <calculatedColumnFormula>B2*E2</calculatedColumnFormula>
    </tableColumn>
    <tableColumn id="7" xr3:uid="{58E373B8-74E9-49A6-BCCE-6F29D713D84E}" name="Percent" dataDxfId="1238"/>
    <tableColumn id="8" xr3:uid="{74A9CF65-4F00-4A94-83B3-B70E1E2C0747}" name="R" dataDxfId="1237">
      <calculatedColumnFormula>C2/4</calculatedColumnFormula>
    </tableColumn>
    <tableColumn id="10" xr3:uid="{3E9039D6-D1E5-4D4B-9040-76D707FFC062}" name="VO2" dataDxfId="1236">
      <calculatedColumnFormula>D2/7.5</calculatedColumnFormula>
    </tableColumn>
    <tableColumn id="9" xr3:uid="{D16FDF25-24B1-477C-A11E-51028FAA1A45}" name="I" dataDxfId="1235">
      <calculatedColumnFormula>B2/12.5</calculatedColumnFormula>
    </tableColumn>
    <tableColumn id="11" xr3:uid="{3452836E-E209-41EE-81A1-E859BC65F7E1}" name="10k" dataDxfId="1234">
      <calculatedColumnFormula>G2/0.93</calculatedColumnFormula>
    </tableColumn>
    <tableColumn id="12" xr3:uid="{0CFFF25B-9C48-4964-9010-0C8DCD4B7BC3}" name="CV" dataDxfId="1233">
      <calculatedColumnFormula>G2/0.92</calculatedColumnFormula>
    </tableColumn>
    <tableColumn id="13" xr3:uid="{7C4DB167-13F2-4C12-A483-5B7D2CC96876}" name="Thresh" dataDxfId="1232">
      <calculatedColumnFormula>G2/0.88</calculatedColumnFormula>
    </tableColumn>
    <tableColumn id="14" xr3:uid="{391BD2FA-5DC8-4634-B095-AB0719F5E0AA}" name="Thresh L" dataDxfId="1231">
      <calculatedColumnFormula>G2/0.84</calculatedColumnFormula>
    </tableColumn>
    <tableColumn id="21" xr3:uid="{3F676BCF-EC0D-4238-ADBD-89B45809B084}" name="T (400)" dataDxfId="1230"/>
    <tableColumn id="20" xr3:uid="{630BA67F-C3B8-4E6E-B6D9-F582D34C0A29}" name="1k T" dataDxfId="1229"/>
    <tableColumn id="19" xr3:uid="{5D0C9C59-E4AA-4327-AB73-B592528548A6}" name="CV (400)" dataDxfId="1228"/>
    <tableColumn id="18" xr3:uid="{FF5BA245-A9CD-408A-A1F9-23A1DB6CD165}" name="600 CV" dataDxfId="1227">
      <calculatedColumnFormula>WO2025Jan7108141618222428303234384042444648545658626466687072747668121618202226283234384244464850[[#This Row],[CV]]*2.5</calculatedColumnFormula>
    </tableColumn>
    <tableColumn id="17" xr3:uid="{EF4D9F7D-EBC0-4CE4-A18A-B7C6CAA67995}" name="200 VO2" dataDxfId="1226">
      <calculatedColumnFormula>WO2025Jan7108141618222428303234384042444648545658626466687072747668121618202226283234384244464850[[#This Row],[VO2]]</calculatedColumnFormula>
    </tableColumn>
    <tableColumn id="15" xr3:uid="{35EEC09B-EF3F-4184-8DDE-4351D50C0F1B}" name="I (400)" dataDxfId="1225">
      <calculatedColumnFormula>WO2025Jan7108141618222428303234384042444648545658626466687072747668121618202226283234384244464850[[#This Row],[I]]*2</calculatedColumnFormula>
    </tableColumn>
    <tableColumn id="16" xr3:uid="{2032A642-2D8A-4F59-BCBE-E27DA5EEE7F3}" name="600 I" dataDxfId="1224">
      <calculatedColumnFormula>WO2025Jan7108141618222428303234384042444648545658626466687072747668121618202226283234384244464850[[#This Row],[VO2]]</calculatedColumnFormula>
    </tableColumn>
    <tableColumn id="22" xr3:uid="{A0FA12AC-1F0B-42C9-894A-AE611C3EB5C3}" name="200 FBC" dataDxfId="1223"/>
    <tableColumn id="2" xr3:uid="{445F9BDF-C75D-4CB5-97DA-ED8BFE6FA466}" name="…......" dataDxfId="1222"/>
    <tableColumn id="23" xr3:uid="{A52BC7DF-E900-4B3C-A526-EC5F7D3FB8B1}" name="…......." dataDxfId="1221"/>
    <tableColumn id="24" xr3:uid="{33762EB6-E1C4-4042-9B78-1B1F28445DCF}" name="G" dataDxfId="1220"/>
  </tableColumns>
  <tableStyleInfo name="TableStyleMedium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B6DDB25F-41E7-4722-9D4E-4B0051648536}" name="WO2025Jan7men119151719232529313335394143454749555759636567697173757779131719212327293335394345474951" displayName="WO2025Jan7men119151719232529313335394143454749555759636567697173757779131719212327293335394345474951" ref="A58:W144" totalsRowShown="0" headerRowDxfId="1219" tableBorderDxfId="1218">
  <autoFilter ref="A58:W144" xr:uid="{5DFF29F2-4664-45E4-9AA3-D72D6EA677C9}"/>
  <sortState xmlns:xlrd2="http://schemas.microsoft.com/office/spreadsheetml/2017/richdata2" ref="A59:W144">
    <sortCondition ref="W58:W144"/>
  </sortState>
  <tableColumns count="23">
    <tableColumn id="1" xr3:uid="{9AEE1328-2695-4A36-9170-7B5F0609D68C}" name="WO 12/2/2025" dataDxfId="1217"/>
    <tableColumn id="2" xr3:uid="{C9CB8F34-AE32-4406-9A17-0480C64AA9C7}" name="5k" dataDxfId="1216"/>
    <tableColumn id="3" xr3:uid="{433ABE7B-BA90-4670-8989-AF1231E6DC1C}" name="Mile" dataDxfId="1215"/>
    <tableColumn id="4" xr3:uid="{0A6775DC-A703-4535-9C32-148128F02A27}" name="3k" dataDxfId="1214">
      <calculatedColumnFormula>B59*E59</calculatedColumnFormula>
    </tableColumn>
    <tableColumn id="5" xr3:uid="{024BCEB6-C680-4435-B06E-AE61936EF97B}" name="Percent" dataDxfId="1213"/>
    <tableColumn id="6" xr3:uid="{03A2D8FF-C8A7-41C2-B8CB-0E24E413E471}" name="R" dataDxfId="1212">
      <calculatedColumnFormula>C59/4</calculatedColumnFormula>
    </tableColumn>
    <tableColumn id="7" xr3:uid="{B3703A95-B3C2-401A-A560-14B3D280D589}" name="VO2" dataDxfId="1211">
      <calculatedColumnFormula>D59/7.5</calculatedColumnFormula>
    </tableColumn>
    <tableColumn id="8" xr3:uid="{BB9ABA65-A643-4099-8988-75ABC5E49A9E}" name="I" dataDxfId="1210">
      <calculatedColumnFormula>B59/12.5</calculatedColumnFormula>
    </tableColumn>
    <tableColumn id="9" xr3:uid="{EA018022-7966-4A27-AB62-654B893B235B}" name="10k" dataDxfId="1209">
      <calculatedColumnFormula>G59/0.93</calculatedColumnFormula>
    </tableColumn>
    <tableColumn id="10" xr3:uid="{4C8E7C12-0BF1-4CC6-B48E-C73852EEAD87}" name="CV" dataDxfId="1208">
      <calculatedColumnFormula>G59/0.92</calculatedColumnFormula>
    </tableColumn>
    <tableColumn id="11" xr3:uid="{816026FB-EB7A-4FF2-9684-71E6EA317AF9}" name="Thresh" dataDxfId="1207">
      <calculatedColumnFormula>G59/0.88</calculatedColumnFormula>
    </tableColumn>
    <tableColumn id="12" xr3:uid="{861A2EA0-E9D4-4FD3-9314-BF59477C5F42}" name="Thresh L" dataDxfId="1206">
      <calculatedColumnFormula>G59/0.84</calculatedColumnFormula>
    </tableColumn>
    <tableColumn id="13" xr3:uid="{DB12B49D-3630-4251-B0CF-A6DC0E8804CD}" name="T (400)" dataDxfId="1205">
      <calculatedColumnFormula>WO2025Jan7men119151719232529313335394143454749555759636567697173757779131719212327293335394345474951[[#This Row],[Thresh]]</calculatedColumnFormula>
    </tableColumn>
    <tableColumn id="14" xr3:uid="{0EE1233A-1071-4FB2-8E67-50BD79983BCF}" name="1k T" dataDxfId="1204">
      <calculatedColumnFormula>WO2025Jan7men119151719232529313335394143454749555759636567697173757779131719212327293335394345474951[[#This Row],[Thresh]]*2.5</calculatedColumnFormula>
    </tableColumn>
    <tableColumn id="15" xr3:uid="{EB54322D-6A83-499C-ADD9-9382B6AACEF1}" name="CV (400)"/>
    <tableColumn id="16" xr3:uid="{BDD271BA-C29A-4385-83DC-DB7017477686}" name="600 CV" dataDxfId="1203">
      <calculatedColumnFormula>WO2025Jan7men119151719232529313335394143454749555759636567697173757779131719212327293335394345474951[[#This Row],[CV (400)]]*1.5</calculatedColumnFormula>
    </tableColumn>
    <tableColumn id="18" xr3:uid="{551BF22F-7A6D-4C3B-B6E8-19EBED5C94F0}" name="200 VO2" dataDxfId="1202">
      <calculatedColumnFormula>WO2025Jan7men119151719232529313335394143454749555759636567697173757779131719212327293335394345474951[[#This Row],[VO2]]/2</calculatedColumnFormula>
    </tableColumn>
    <tableColumn id="19" xr3:uid="{21F28940-09AE-4BBC-9871-4F3B69E6B012}" name="I (400)" dataDxfId="1201">
      <calculatedColumnFormula>WO2025Jan7men119151719232529313335394143454749555759636567697173757779131719212327293335394345474951[[#This Row],[I]]</calculatedColumnFormula>
    </tableColumn>
    <tableColumn id="24" xr3:uid="{6241267C-A135-448C-9F4C-5246A214D803}" name="600 I" dataDxfId="1200">
      <calculatedColumnFormula>SUM(WO2025Jan7men119151719232529313335394143454749555759636567697173757779131719212327293335394345474951[[#This Row],[CV (400)]:[I (400)]])</calculatedColumnFormula>
    </tableColumn>
    <tableColumn id="17" xr3:uid="{252C9A11-05AE-4392-B8D2-0056B192CD32}" name="200 FBC" dataDxfId="1199"/>
    <tableColumn id="20" xr3:uid="{ED3CCFF5-1406-4849-B7C3-CD76816A403B}" name="…....." dataDxfId="1198">
      <calculatedColumnFormula>WO2025Jan7men119151719232529313335394143454749555759636567697173757779131719212327293335394345474951[[#This Row],[I]]*1.5</calculatedColumnFormula>
    </tableColumn>
    <tableColumn id="21" xr3:uid="{ED3B2C69-8B11-4656-B499-96DC427643C7}" name="…......." dataDxfId="1197">
      <calculatedColumnFormula>WO2025Jan7men119151719232529313335394143454749555759636567697173757779131719212327293335394345474951[[#This Row],[VO2]]</calculatedColumnFormula>
    </tableColumn>
    <tableColumn id="22" xr3:uid="{51E30D4B-734A-4C94-98D2-905ADFBD590B}" name="G" dataDxfId="1196"/>
  </tableColumns>
  <tableStyleInfo name="TableStyleMedium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41787E5D-69E4-454B-A705-C11F534D3E33}" name="WO2025Jan71081416182224283032343840424446485456586264666870727476681216182022262832343842444648" displayName="WO2025Jan71081416182224283032343840424446485456586264666870727476681216182022262832343842444648" ref="A1:W57" totalsRowShown="0" headerRowDxfId="1195" dataDxfId="1194" tableBorderDxfId="1193">
  <autoFilter ref="A1:W57" xr:uid="{13733F23-878A-465D-B549-8D39D5BC5CA4}"/>
  <sortState xmlns:xlrd2="http://schemas.microsoft.com/office/spreadsheetml/2017/richdata2" ref="A2:W57">
    <sortCondition ref="W1:W57"/>
  </sortState>
  <tableColumns count="23">
    <tableColumn id="1" xr3:uid="{6EAE2B0C-F41F-467B-959C-EFC594B1DF8D}" name="WO 11/25/2025" dataDxfId="1192"/>
    <tableColumn id="4" xr3:uid="{C99DDF22-CFB4-4BAF-986E-5674D255B68E}" name="5k" dataDxfId="1191"/>
    <tableColumn id="5" xr3:uid="{C4495486-ADFC-48B2-A180-0F0BB86914EA}" name="Mile" dataDxfId="1190"/>
    <tableColumn id="6" xr3:uid="{CC18F35E-4274-44E0-9D99-5FF05CAC5E4A}" name="3k" dataDxfId="1189">
      <calculatedColumnFormula>B2*E2</calculatedColumnFormula>
    </tableColumn>
    <tableColumn id="7" xr3:uid="{0A315E3F-A2C8-48D1-9FAD-60F72AA3D38A}" name="Percent" dataDxfId="1188"/>
    <tableColumn id="8" xr3:uid="{774A359B-B2D0-492B-95B4-E33872A9C2A6}" name="R" dataDxfId="1187">
      <calculatedColumnFormula>C2/4</calculatedColumnFormula>
    </tableColumn>
    <tableColumn id="10" xr3:uid="{B09F85EE-EA20-48F3-9080-7A35BCD61967}" name="VO2" dataDxfId="1186">
      <calculatedColumnFormula>D2/7.5</calculatedColumnFormula>
    </tableColumn>
    <tableColumn id="9" xr3:uid="{42B43BF7-8A0F-4EDD-BEA4-195C5DF03D78}" name="I" dataDxfId="1185">
      <calculatedColumnFormula>B2/12.5</calculatedColumnFormula>
    </tableColumn>
    <tableColumn id="11" xr3:uid="{6D2A55B6-144E-4F59-8B0B-EA3AACEED3F9}" name="10k" dataDxfId="1184">
      <calculatedColumnFormula>G2/0.93</calculatedColumnFormula>
    </tableColumn>
    <tableColumn id="12" xr3:uid="{B042F583-E7B6-4909-ADC3-0D4721FB6E40}" name="CV" dataDxfId="1183">
      <calculatedColumnFormula>G2/0.92</calculatedColumnFormula>
    </tableColumn>
    <tableColumn id="13" xr3:uid="{6A8B02C8-64C1-46DE-B575-3A4B985ED63C}" name="Thresh" dataDxfId="1182">
      <calculatedColumnFormula>G2/0.88</calculatedColumnFormula>
    </tableColumn>
    <tableColumn id="14" xr3:uid="{62E464A3-7551-45B1-BE97-0397EF33A90C}" name="Thresh L" dataDxfId="1181">
      <calculatedColumnFormula>G2/0.84</calculatedColumnFormula>
    </tableColumn>
    <tableColumn id="21" xr3:uid="{BBADB878-480D-4C9B-9CE8-9EBF3496C5D3}" name="T (400)" dataDxfId="1180"/>
    <tableColumn id="20" xr3:uid="{2DE6E061-B25A-47C0-BD76-A6E5D970B3A7}" name="1k T" dataDxfId="1179"/>
    <tableColumn id="19" xr3:uid="{6932ABCD-5F35-4BCA-BD26-1BB21E488A06}" name="CV (400)" dataDxfId="1178"/>
    <tableColumn id="18" xr3:uid="{23440E93-29AC-4957-9594-7AEF6DE3F338}" name="600 CV" dataDxfId="1177">
      <calculatedColumnFormula>WO2025Jan71081416182224283032343840424446485456586264666870727476681216182022262832343842444648[[#This Row],[CV]]*2.5</calculatedColumnFormula>
    </tableColumn>
    <tableColumn id="17" xr3:uid="{FB982326-36C7-4803-96DC-A878397DEE45}" name="200 VO2" dataDxfId="1176">
      <calculatedColumnFormula>WO2025Jan71081416182224283032343840424446485456586264666870727476681216182022262832343842444648[[#This Row],[VO2]]</calculatedColumnFormula>
    </tableColumn>
    <tableColumn id="15" xr3:uid="{E2EC9957-EBAD-4D21-8EF9-016934163F5F}" name="I (400)" dataDxfId="1175">
      <calculatedColumnFormula>WO2025Jan71081416182224283032343840424446485456586264666870727476681216182022262832343842444648[[#This Row],[I]]*2</calculatedColumnFormula>
    </tableColumn>
    <tableColumn id="16" xr3:uid="{865406B0-A0FC-4445-A027-2F643BBF9E46}" name="600 I" dataDxfId="1174">
      <calculatedColumnFormula>WO2025Jan71081416182224283032343840424446485456586264666870727476681216182022262832343842444648[[#This Row],[VO2]]</calculatedColumnFormula>
    </tableColumn>
    <tableColumn id="22" xr3:uid="{30E9DF04-5568-4CF7-AF64-83ECB7C91326}" name="200 FBC" dataDxfId="1173"/>
    <tableColumn id="2" xr3:uid="{E101C46C-4E0B-412C-824B-148288B46538}" name="…......" dataDxfId="1172"/>
    <tableColumn id="23" xr3:uid="{54B8C6D6-6861-4002-B44C-26E73786252F}" name="…......." dataDxfId="1171"/>
    <tableColumn id="24" xr3:uid="{C9FCE55E-0B78-46E7-92F9-23733982A439}" name="G" dataDxfId="1170"/>
  </tableColumns>
  <tableStyleInfo name="TableStyleMedium3"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EE9AAAE8-93B8-4031-A105-EDAFC1A2D341}" name="WO2025Jan7men1191517192325293133353941434547495557596365676971737577791317192123272933353943454749" displayName="WO2025Jan7men1191517192325293133353941434547495557596365676971737577791317192123272933353943454749" ref="A58:W144" totalsRowShown="0" headerRowDxfId="1169" tableBorderDxfId="1168">
  <autoFilter ref="A58:W144" xr:uid="{5DFF29F2-4664-45E4-9AA3-D72D6EA677C9}"/>
  <sortState xmlns:xlrd2="http://schemas.microsoft.com/office/spreadsheetml/2017/richdata2" ref="A59:W144">
    <sortCondition ref="W58:W144"/>
  </sortState>
  <tableColumns count="23">
    <tableColumn id="1" xr3:uid="{46F06E1C-BFF4-4975-B7C2-3D9965031C6B}" name="WO 11/18/2025" dataDxfId="1167"/>
    <tableColumn id="2" xr3:uid="{4003CF56-EF85-4C84-B1BE-A61B1E41AC5D}" name="5k" dataDxfId="1166"/>
    <tableColumn id="3" xr3:uid="{4E805FCC-3A41-43F3-A816-8FAEB25BC9E1}" name="Mile" dataDxfId="1165"/>
    <tableColumn id="4" xr3:uid="{84DA575E-89D9-4C25-AB7C-21B707E5C46A}" name="3k" dataDxfId="1164">
      <calculatedColumnFormula>B59*E59</calculatedColumnFormula>
    </tableColumn>
    <tableColumn id="5" xr3:uid="{C9DEEE14-34C2-40A1-BF28-3ECDEDED2194}" name="Percent" dataDxfId="1163"/>
    <tableColumn id="6" xr3:uid="{E5A96D92-B669-4A8D-BD2C-7E892129C1FE}" name="R" dataDxfId="1162">
      <calculatedColumnFormula>C59/4</calculatedColumnFormula>
    </tableColumn>
    <tableColumn id="7" xr3:uid="{666F6BBB-B447-4F2D-A853-8FAB67122BAC}" name="VO2" dataDxfId="1161">
      <calculatedColumnFormula>D59/7.5</calculatedColumnFormula>
    </tableColumn>
    <tableColumn id="8" xr3:uid="{CC728BC1-5C58-4CAE-B575-59C35939CDC3}" name="I" dataDxfId="1160">
      <calculatedColumnFormula>B59/12.5</calculatedColumnFormula>
    </tableColumn>
    <tableColumn id="9" xr3:uid="{CFC7D5DF-FB00-4C03-A32F-F78C5CFFF323}" name="10k" dataDxfId="1159">
      <calculatedColumnFormula>G59/0.93</calculatedColumnFormula>
    </tableColumn>
    <tableColumn id="10" xr3:uid="{9D42BB9A-C12A-4ACB-BA2E-9D52D0CC4D3A}" name="CV" dataDxfId="1158">
      <calculatedColumnFormula>G59/0.92</calculatedColumnFormula>
    </tableColumn>
    <tableColumn id="11" xr3:uid="{5BF2631E-77EF-4540-BC2F-94DFC2415E3F}" name="Thresh" dataDxfId="1157">
      <calculatedColumnFormula>G59/0.88</calculatedColumnFormula>
    </tableColumn>
    <tableColumn id="12" xr3:uid="{ADE5C88F-B6CE-4FA2-B9F6-C9D3791C5941}" name="Thresh L" dataDxfId="1156">
      <calculatedColumnFormula>G59/0.84</calculatedColumnFormula>
    </tableColumn>
    <tableColumn id="13" xr3:uid="{9CCD15DF-6D49-4270-ABDE-028F3667D5D8}" name="T (400)" dataDxfId="1155">
      <calculatedColumnFormula>WO2025Jan7men1191517192325293133353941434547495557596365676971737577791317192123272933353943454749[[#This Row],[Thresh]]</calculatedColumnFormula>
    </tableColumn>
    <tableColumn id="14" xr3:uid="{BA8AB4A3-8454-4CA2-B9B0-3790C4F48D89}" name="600 T" dataDxfId="1154">
      <calculatedColumnFormula>WO2025Jan7men1191517192325293133353941434547495557596365676971737577791317192123272933353943454749[[#This Row],[Thresh]]*2.5</calculatedColumnFormula>
    </tableColumn>
    <tableColumn id="15" xr3:uid="{F5F22A98-1F8B-44AC-971D-058AD973CDAB}" name="400 CV"/>
    <tableColumn id="16" xr3:uid="{BA571F4B-C00F-43DB-9767-9E02A9F8F5CD}" name="200 FBC" dataDxfId="1153">
      <calculatedColumnFormula>WO2025Jan7men1191517192325293133353941434547495557596365676971737577791317192123272933353943454749[[#This Row],[400 CV]]*1.5</calculatedColumnFormula>
    </tableColumn>
    <tableColumn id="18" xr3:uid="{21CAC49F-2E44-4789-AFEA-4BD167543906}" name="….." dataDxfId="1152">
      <calculatedColumnFormula>WO2025Jan7men1191517192325293133353941434547495557596365676971737577791317192123272933353943454749[[#This Row],[VO2]]/2</calculatedColumnFormula>
    </tableColumn>
    <tableColumn id="19" xr3:uid="{09E1CD4A-FB43-44E0-97BB-984F565F17A3}" name="…..." dataDxfId="1151">
      <calculatedColumnFormula>WO2025Jan7men1191517192325293133353941434547495557596365676971737577791317192123272933353943454749[[#This Row],[I]]</calculatedColumnFormula>
    </tableColumn>
    <tableColumn id="24" xr3:uid="{F33FDDFD-F214-430B-84A5-43FB0C835543}" name="…...." dataDxfId="1150">
      <calculatedColumnFormula>SUM(WO2025Jan7men1191517192325293133353941434547495557596365676971737577791317192123272933353943454749[[#This Row],[400 CV]:[…...]])</calculatedColumnFormula>
    </tableColumn>
    <tableColumn id="17" xr3:uid="{38352942-B6CC-4327-969D-174C81801525}" name="…....2" dataDxfId="1149"/>
    <tableColumn id="20" xr3:uid="{D2B2A6D4-8EF1-46ED-8A5B-7E5F99554026}" name="…....." dataDxfId="1148">
      <calculatedColumnFormula>WO2025Jan7men1191517192325293133353941434547495557596365676971737577791317192123272933353943454749[[#This Row],[I]]*1.5</calculatedColumnFormula>
    </tableColumn>
    <tableColumn id="21" xr3:uid="{8AFC7972-3108-489D-93EF-5D925E2484A6}" name="…......." dataDxfId="1147">
      <calculatedColumnFormula>WO2025Jan7men1191517192325293133353941434547495557596365676971737577791317192123272933353943454749[[#This Row],[VO2]]</calculatedColumnFormula>
    </tableColumn>
    <tableColumn id="22" xr3:uid="{E609781C-026A-43F5-A045-BEB1C7814CCB}" name="G" dataDxfId="1146"/>
  </tableColumns>
  <tableStyleInfo name="TableStyleMedium3"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CFFDBADD-D868-4CD1-A784-F67A8534E01C}" name="WO2025Jan710814161822242830323438404244464854565862646668707274766812161820222628323438424446" displayName="WO2025Jan710814161822242830323438404244464854565862646668707274766812161820222628323438424446" ref="A1:W57" totalsRowShown="0" headerRowDxfId="1145" dataDxfId="1144" tableBorderDxfId="1143">
  <autoFilter ref="A1:W57" xr:uid="{13733F23-878A-465D-B549-8D39D5BC5CA4}"/>
  <sortState xmlns:xlrd2="http://schemas.microsoft.com/office/spreadsheetml/2017/richdata2" ref="A2:W57">
    <sortCondition ref="W1:W57"/>
  </sortState>
  <tableColumns count="23">
    <tableColumn id="1" xr3:uid="{FAD23689-C813-4240-BDA2-1A526547C06A}" name="WO 11/18/2025" dataDxfId="1142"/>
    <tableColumn id="4" xr3:uid="{5F483FA3-D5A6-49A3-9463-8BE08B82B60E}" name="5k" dataDxfId="1141"/>
    <tableColumn id="5" xr3:uid="{853B447A-324B-450B-8D95-8A845D583987}" name="Mile" dataDxfId="1140"/>
    <tableColumn id="6" xr3:uid="{6ECC88CC-19BD-424F-8F98-79723DE7C60F}" name="3k" dataDxfId="1139">
      <calculatedColumnFormula>B2*E2</calculatedColumnFormula>
    </tableColumn>
    <tableColumn id="7" xr3:uid="{D36FA2B5-D45C-4BE1-B884-FECE5BC5903E}" name="Percent" dataDxfId="1138"/>
    <tableColumn id="8" xr3:uid="{D469F1AF-2AE2-484B-B207-B881B2AB6E47}" name="R" dataDxfId="1137">
      <calculatedColumnFormula>C2/4</calculatedColumnFormula>
    </tableColumn>
    <tableColumn id="10" xr3:uid="{10A87BF6-8CA2-428B-927B-A138736123CE}" name="VO2" dataDxfId="1136">
      <calculatedColumnFormula>D2/7.5</calculatedColumnFormula>
    </tableColumn>
    <tableColumn id="9" xr3:uid="{499D78DB-E542-41C8-80B7-910B535D954D}" name="I" dataDxfId="1135">
      <calculatedColumnFormula>B2/12.5</calculatedColumnFormula>
    </tableColumn>
    <tableColumn id="11" xr3:uid="{70DC16EA-604A-4609-A783-E7EE93667C7A}" name="10k" dataDxfId="1134">
      <calculatedColumnFormula>G2/0.93</calculatedColumnFormula>
    </tableColumn>
    <tableColumn id="12" xr3:uid="{4E7F1679-C64D-47F5-91BF-6E955C0A8756}" name="CV" dataDxfId="1133">
      <calculatedColumnFormula>G2/0.92</calculatedColumnFormula>
    </tableColumn>
    <tableColumn id="13" xr3:uid="{3671D981-F422-49CD-926B-9725AFA44E7B}" name="Thresh" dataDxfId="1132">
      <calculatedColumnFormula>G2/0.88</calculatedColumnFormula>
    </tableColumn>
    <tableColumn id="14" xr3:uid="{E5C39FC6-F662-481B-9FE4-13E9D94D053E}" name="Thresh L" dataDxfId="1131">
      <calculatedColumnFormula>G2/0.84</calculatedColumnFormula>
    </tableColumn>
    <tableColumn id="21" xr3:uid="{E6FE3B64-448F-4B8D-A901-C18D0618B862}" name="T (400)" dataDxfId="1130"/>
    <tableColumn id="20" xr3:uid="{44DC5F8D-9A56-4485-A8F0-E9F3090F5EDF}" name="800 T" dataDxfId="1129"/>
    <tableColumn id="19" xr3:uid="{BB6A44AF-4980-4BD8-A823-5B4276A8B0BB}" name="CV (400)" dataDxfId="1128"/>
    <tableColumn id="18" xr3:uid="{D6CB4307-E935-4FB9-89FD-FE6792CC8FE2}" name="800 CV" dataDxfId="1127">
      <calculatedColumnFormula>WO2025Jan710814161822242830323438404244464854565862646668707274766812161820222628323438424446[[#This Row],[CV]]*2.5</calculatedColumnFormula>
    </tableColumn>
    <tableColumn id="17" xr3:uid="{FB7B2D2E-1F57-480C-9A5D-7E82939D81DC}" name="I (400)" dataDxfId="1126">
      <calculatedColumnFormula>WO2025Jan710814161822242830323438404244464854565862646668707274766812161820222628323438424446[[#This Row],[VO2]]</calculatedColumnFormula>
    </tableColumn>
    <tableColumn id="15" xr3:uid="{91183296-C87D-47F0-A536-398E8BC712BE}" name="800 I" dataDxfId="1125">
      <calculatedColumnFormula>WO2025Jan710814161822242830323438404244464854565862646668707274766812161820222628323438424446[[#This Row],[I]]*2</calculatedColumnFormula>
    </tableColumn>
    <tableColumn id="16" xr3:uid="{1FA94F2B-6805-491B-A8D8-17B9B307949F}" name="400 VO2" dataDxfId="1124">
      <calculatedColumnFormula>WO2025Jan710814161822242830323438404244464854565862646668707274766812161820222628323438424446[[#This Row],[VO2]]</calculatedColumnFormula>
    </tableColumn>
    <tableColumn id="22" xr3:uid="{B5D86A42-D58E-46A2-9AE8-A5A899F06809}" name="…....." dataDxfId="1123"/>
    <tableColumn id="2" xr3:uid="{C95D81E3-45A6-4CFB-A2CC-18F8AC73EB29}" name="…......" dataDxfId="1122"/>
    <tableColumn id="23" xr3:uid="{0A8A61AD-7B7F-4D50-A6D6-565C960CCF57}" name="…......." dataDxfId="1121"/>
    <tableColumn id="24" xr3:uid="{04C0CED3-D1F5-45B9-A484-E25BF8FA474A}" name="G" dataDxfId="1120"/>
  </tableColumns>
  <tableStyleInfo name="TableStyleMedium3"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46AD527D-F9F8-4872-8E8B-4BFE1114C1C1}" name="WO2025Jan7men11915171923252931333539414345474955575963656769717375777913171921232729333539434547" displayName="WO2025Jan7men11915171923252931333539414345474955575963656769717375777913171921232729333539434547" ref="A58:W144" totalsRowShown="0" headerRowDxfId="1119" tableBorderDxfId="1118">
  <autoFilter ref="A58:W144" xr:uid="{5DFF29F2-4664-45E4-9AA3-D72D6EA677C9}"/>
  <sortState xmlns:xlrd2="http://schemas.microsoft.com/office/spreadsheetml/2017/richdata2" ref="A59:W141">
    <sortCondition ref="W58:W141"/>
  </sortState>
  <tableColumns count="23">
    <tableColumn id="1" xr3:uid="{701741EE-FFE9-411A-9910-001D6314CFB6}" name="WO 11/18/2025" dataDxfId="1117"/>
    <tableColumn id="2" xr3:uid="{89DA9CDB-26BE-47E9-A2EB-385F77D5B948}" name="5k" dataDxfId="1116"/>
    <tableColumn id="3" xr3:uid="{4C832693-34E0-4F4C-8335-D50787D97F53}" name="Mile" dataDxfId="1115"/>
    <tableColumn id="4" xr3:uid="{45D6CF9F-C727-4597-806F-BCF085F81FD9}" name="3k" dataDxfId="1114">
      <calculatedColumnFormula>B59*E59</calculatedColumnFormula>
    </tableColumn>
    <tableColumn id="5" xr3:uid="{B87FF54B-F406-4F1B-9BDA-DDCCF5311A5A}" name="Percent" dataDxfId="1113"/>
    <tableColumn id="6" xr3:uid="{B1AE35F9-9977-4FF3-9DE8-994A32CC09A6}" name="R" dataDxfId="1112">
      <calculatedColumnFormula>C59/4</calculatedColumnFormula>
    </tableColumn>
    <tableColumn id="7" xr3:uid="{A5FAEBE8-BEC5-49F1-B6DF-FF6E44E95BCE}" name="VO2" dataDxfId="1111">
      <calculatedColumnFormula>D59/7.5</calculatedColumnFormula>
    </tableColumn>
    <tableColumn id="8" xr3:uid="{20939338-48E7-4EFF-9550-F50E19FCE73E}" name="I" dataDxfId="1110">
      <calculatedColumnFormula>B59/12.5</calculatedColumnFormula>
    </tableColumn>
    <tableColumn id="9" xr3:uid="{B3FDB1DD-5963-4525-B982-E69AD09E97A2}" name="10k" dataDxfId="1109">
      <calculatedColumnFormula>G59/0.93</calculatedColumnFormula>
    </tableColumn>
    <tableColumn id="10" xr3:uid="{A2B52043-D3DB-4C5B-B5D1-908F4B6F88A0}" name="CV" dataDxfId="1108">
      <calculatedColumnFormula>G59/0.92</calculatedColumnFormula>
    </tableColumn>
    <tableColumn id="11" xr3:uid="{CF9A8FC3-5711-4D01-ABA4-DCBAC7C2C55C}" name="Thresh" dataDxfId="1107">
      <calculatedColumnFormula>G59/0.88</calculatedColumnFormula>
    </tableColumn>
    <tableColumn id="12" xr3:uid="{4BAEF393-1AC2-41F6-A898-26FEAEE2E11B}" name="Thresh L" dataDxfId="1106">
      <calculatedColumnFormula>G59/0.84</calculatedColumnFormula>
    </tableColumn>
    <tableColumn id="13" xr3:uid="{9C903C1B-CBB2-4B9F-9406-6E2AED124FDC}" name="T (400)" dataDxfId="1105">
      <calculatedColumnFormula>WO2025Jan7men11915171923252931333539414345474955575963656769717375777913171921232729333539434547[[#This Row],[Thresh]]</calculatedColumnFormula>
    </tableColumn>
    <tableColumn id="14" xr3:uid="{9C6B1133-68CC-4723-908A-7370D05370D0}" name="1k T" dataDxfId="1104">
      <calculatedColumnFormula>WO2025Jan7men11915171923252931333539414345474955575963656769717375777913171921232729333539434547[[#This Row],[Thresh]]*2.5</calculatedColumnFormula>
    </tableColumn>
    <tableColumn id="15" xr3:uid="{0161B3E7-0FAF-4171-B1B4-23BC694BD51C}" name="CV (400)"/>
    <tableColumn id="16" xr3:uid="{93E7DF4D-3BEB-4DA1-8C69-EE48E6818CB9}" name="1k CV" dataDxfId="1103">
      <calculatedColumnFormula>WO2025Jan7men11915171923252931333539414345474955575963656769717375777913171921232729333539434547[[#This Row],[CV (400)]]*1.5</calculatedColumnFormula>
    </tableColumn>
    <tableColumn id="18" xr3:uid="{7F4DDC1B-53A6-487F-A836-042C6AD4D8CA}" name="400 VO2" dataDxfId="1102">
      <calculatedColumnFormula>WO2025Jan7men11915171923252931333539414345474955575963656769717375777913171921232729333539434547[[#This Row],[VO2]]/2</calculatedColumnFormula>
    </tableColumn>
    <tableColumn id="19" xr3:uid="{00B4777C-3CCE-4575-9D65-8198533E605C}" name="…..." dataDxfId="1101">
      <calculatedColumnFormula>WO2025Jan7men11915171923252931333539414345474955575963656769717375777913171921232729333539434547[[#This Row],[I]]</calculatedColumnFormula>
    </tableColumn>
    <tableColumn id="24" xr3:uid="{F6C06B19-85C3-4FBB-8C58-FE8187C659FC}" name="…...." dataDxfId="1100">
      <calculatedColumnFormula>SUM(WO2025Jan7men11915171923252931333539414345474955575963656769717375777913171921232729333539434547[[#This Row],[CV (400)]:[…...]])</calculatedColumnFormula>
    </tableColumn>
    <tableColumn id="17" xr3:uid="{A62FE062-A18F-4083-A585-1B56599BAE12}" name="…....2" dataDxfId="1099"/>
    <tableColumn id="20" xr3:uid="{AFC81B22-621E-48CC-8AFC-59C1A633CF9D}" name="…....." dataDxfId="1098">
      <calculatedColumnFormula>WO2025Jan7men11915171923252931333539414345474955575963656769717375777913171921232729333539434547[[#This Row],[I]]*1.5</calculatedColumnFormula>
    </tableColumn>
    <tableColumn id="21" xr3:uid="{94826C6A-AF83-41F6-85FA-03992E65264D}" name="…......." dataDxfId="1097">
      <calculatedColumnFormula>WO2025Jan7men11915171923252931333539414345474955575963656769717375777913171921232729333539434547[[#This Row],[VO2]]</calculatedColumnFormula>
    </tableColumn>
    <tableColumn id="22" xr3:uid="{DA1430A1-2757-4D5D-9B9D-8CF21A84F79B}" name="G" dataDxfId="1096"/>
  </tableColumns>
  <tableStyleInfo name="TableStyleMedium3"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C515272D-8F39-46BA-8736-BEE837BB4EB5}" name="WO2025Jan7108141618222428303234384042444648545658626466687072747668121618202226283234384244" displayName="WO2025Jan7108141618222428303234384042444648545658626466687072747668121618202226283234384244" ref="A1:W57" totalsRowShown="0" headerRowDxfId="1095" dataDxfId="1094" tableBorderDxfId="1093">
  <autoFilter ref="A1:W57" xr:uid="{13733F23-878A-465D-B549-8D39D5BC5CA4}"/>
  <sortState xmlns:xlrd2="http://schemas.microsoft.com/office/spreadsheetml/2017/richdata2" ref="A2:W57">
    <sortCondition ref="W1:W57"/>
  </sortState>
  <tableColumns count="23">
    <tableColumn id="1" xr3:uid="{4DC60097-A706-4ACD-A14F-DB033D94A256}" name="WO 11/11/2025" dataDxfId="1092"/>
    <tableColumn id="4" xr3:uid="{C95CB9E1-4660-43D2-BC46-11B2D639A118}" name="5k" dataDxfId="1091"/>
    <tableColumn id="5" xr3:uid="{3B01E1C9-6F5F-4DF1-B5EF-7ABEE14865E0}" name="Mile" dataDxfId="1090"/>
    <tableColumn id="6" xr3:uid="{71FB0353-1E6D-4391-B51D-30D7CC145CBF}" name="3k" dataDxfId="1089">
      <calculatedColumnFormula>B2*E2</calculatedColumnFormula>
    </tableColumn>
    <tableColumn id="7" xr3:uid="{99F6461B-A348-459B-80F6-E66120FAC970}" name="Percent" dataDxfId="1088"/>
    <tableColumn id="8" xr3:uid="{E80F5519-E322-4876-9AE7-77A37960D93F}" name="R" dataDxfId="1087">
      <calculatedColumnFormula>C2/4</calculatedColumnFormula>
    </tableColumn>
    <tableColumn id="10" xr3:uid="{9274EB07-C54C-4EAB-94D1-8DA803822EA5}" name="VO2" dataDxfId="1086">
      <calculatedColumnFormula>D2/7.5</calculatedColumnFormula>
    </tableColumn>
    <tableColumn id="9" xr3:uid="{4ACC725A-D45D-4D15-A321-5F0238541A23}" name="I" dataDxfId="1085">
      <calculatedColumnFormula>B2/12.5</calculatedColumnFormula>
    </tableColumn>
    <tableColumn id="11" xr3:uid="{CD7B05EF-67F2-491D-85EE-5034C83DAE54}" name="10k" dataDxfId="1084">
      <calculatedColumnFormula>G2/0.93</calculatedColumnFormula>
    </tableColumn>
    <tableColumn id="12" xr3:uid="{918079B3-5A4C-4392-A459-1E38C613F6B2}" name="CV" dataDxfId="1083">
      <calculatedColumnFormula>G2/0.92</calculatedColumnFormula>
    </tableColumn>
    <tableColumn id="13" xr3:uid="{8C66B1AE-E205-4274-B85D-FEEB83C31A73}" name="Thresh" dataDxfId="1082">
      <calculatedColumnFormula>G2/0.88</calculatedColumnFormula>
    </tableColumn>
    <tableColumn id="14" xr3:uid="{D627E976-6F46-4F32-BC0C-21557F97E2F9}" name="Thresh L" dataDxfId="1081">
      <calculatedColumnFormula>G2/0.84</calculatedColumnFormula>
    </tableColumn>
    <tableColumn id="21" xr3:uid="{0F9EC46B-C40D-4287-9EB3-8E68DBD6228B}" name="T (400)" dataDxfId="1080"/>
    <tableColumn id="20" xr3:uid="{82232147-D0D5-46A9-8A24-32F498C172EA}" name="800 T" dataDxfId="1079"/>
    <tableColumn id="19" xr3:uid="{23ABA350-828E-4C3E-9CD8-987183B7E290}" name="CV (400)" dataDxfId="1078"/>
    <tableColumn id="18" xr3:uid="{C01A05B4-85B0-4A40-88DB-35834277C5AA}" name="800 CV" dataDxfId="1077">
      <calculatedColumnFormula>WO2025Jan7108141618222428303234384042444648545658626466687072747668121618202226283234384244[[#This Row],[CV]]*2.5</calculatedColumnFormula>
    </tableColumn>
    <tableColumn id="17" xr3:uid="{097EE6EC-5647-4E1A-9B85-A22D43E3BD45}" name="I (400)" dataDxfId="1076">
      <calculatedColumnFormula>WO2025Jan7108141618222428303234384042444648545658626466687072747668121618202226283234384244[[#This Row],[VO2]]</calculatedColumnFormula>
    </tableColumn>
    <tableColumn id="15" xr3:uid="{B9B2A507-A907-4AA5-AA56-CB28C7F29FFE}" name="800 I" dataDxfId="1075">
      <calculatedColumnFormula>WO2025Jan7108141618222428303234384042444648545658626466687072747668121618202226283234384244[[#This Row],[I]]*2</calculatedColumnFormula>
    </tableColumn>
    <tableColumn id="16" xr3:uid="{CAC33FFE-F79D-4A1B-957B-CA626F5D64DB}" name="400 VO2" dataDxfId="1074">
      <calculatedColumnFormula>WO2025Jan7108141618222428303234384042444648545658626466687072747668121618202226283234384244[[#This Row],[VO2]]</calculatedColumnFormula>
    </tableColumn>
    <tableColumn id="22" xr3:uid="{5851F625-B030-4FE0-943A-7E17F2E07A78}" name="…....." dataDxfId="1073"/>
    <tableColumn id="2" xr3:uid="{B731A9DC-FA30-4933-A543-A1D866D2C95C}" name="…......" dataDxfId="1072"/>
    <tableColumn id="23" xr3:uid="{970066F9-1CBF-468E-92A0-F1725FBD946B}" name="…......." dataDxfId="1071"/>
    <tableColumn id="24" xr3:uid="{379A7F8D-3BB5-448A-9472-B7D568F29F4D}" name="G" dataDxfId="1070"/>
  </tableColumns>
  <tableStyleInfo name="TableStyleMedium3"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D50CB267-1B89-4110-AC23-2D065329DF63}" name="WO2025Jan7men119151719232529313335394143454749555759636567697173757779131719212327293335394345" displayName="WO2025Jan7men119151719232529313335394143454749555759636567697173757779131719212327293335394345" ref="A58:W144" totalsRowShown="0" headerRowDxfId="1069" tableBorderDxfId="1068">
  <autoFilter ref="A58:W144" xr:uid="{5DFF29F2-4664-45E4-9AA3-D72D6EA677C9}"/>
  <sortState xmlns:xlrd2="http://schemas.microsoft.com/office/spreadsheetml/2017/richdata2" ref="A59:W141">
    <sortCondition ref="W58:W141"/>
  </sortState>
  <tableColumns count="23">
    <tableColumn id="1" xr3:uid="{D387BA75-76B5-401D-A215-05CC8429AF65}" name="WO 11/11/2025" dataDxfId="1067"/>
    <tableColumn id="2" xr3:uid="{D7CAE49E-7435-4C13-B810-0EDB8DC0E056}" name="5k" dataDxfId="1066"/>
    <tableColumn id="3" xr3:uid="{2C8A0B1E-2755-432C-9C53-750836B53EB1}" name="Mile" dataDxfId="1065"/>
    <tableColumn id="4" xr3:uid="{3C50B1E4-62C6-4F5A-A48F-B05E5B2E4D66}" name="3k" dataDxfId="1064">
      <calculatedColumnFormula>B59*E59</calculatedColumnFormula>
    </tableColumn>
    <tableColumn id="5" xr3:uid="{B01A7407-E141-4690-831B-85B8640FBB5A}" name="Percent" dataDxfId="1063"/>
    <tableColumn id="6" xr3:uid="{8174BA18-70F6-464D-93EB-E9FE547C6F2F}" name="R" dataDxfId="1062">
      <calculatedColumnFormula>C59/4</calculatedColumnFormula>
    </tableColumn>
    <tableColumn id="7" xr3:uid="{2DD36350-20A4-463A-AED3-76351E5D9B94}" name="VO2" dataDxfId="1061">
      <calculatedColumnFormula>D59/7.5</calculatedColumnFormula>
    </tableColumn>
    <tableColumn id="8" xr3:uid="{7E3D406E-7689-4CD2-9F5B-D14860A78DE2}" name="I" dataDxfId="1060">
      <calculatedColumnFormula>B59/12.5</calculatedColumnFormula>
    </tableColumn>
    <tableColumn id="9" xr3:uid="{A0AA0F5E-98C2-4BBC-944B-803ACF4BFE11}" name="10k" dataDxfId="1059">
      <calculatedColumnFormula>G59/0.93</calculatedColumnFormula>
    </tableColumn>
    <tableColumn id="10" xr3:uid="{6ADFD33D-ADE8-49AB-A947-3D0FC091CDC2}" name="CV" dataDxfId="1058">
      <calculatedColumnFormula>G59/0.92</calculatedColumnFormula>
    </tableColumn>
    <tableColumn id="11" xr3:uid="{8F99AE7C-E78B-44EF-AF50-FAD9AFBC3364}" name="Thresh" dataDxfId="1057">
      <calculatedColumnFormula>G59/0.88</calculatedColumnFormula>
    </tableColumn>
    <tableColumn id="12" xr3:uid="{42805573-8CDE-4547-AE6A-68EE5833D0D9}" name="Thresh L" dataDxfId="1056">
      <calculatedColumnFormula>G59/0.84</calculatedColumnFormula>
    </tableColumn>
    <tableColumn id="13" xr3:uid="{DF87CC66-50C8-4763-B683-DAA7661858CC}" name="T (400)" dataDxfId="1055">
      <calculatedColumnFormula>WO2025Jan7men119151719232529313335394143454749555759636567697173757779131719212327293335394345[[#This Row],[Thresh]]</calculatedColumnFormula>
    </tableColumn>
    <tableColumn id="14" xr3:uid="{BC70865A-DB9C-4A62-B5EB-7BE217A26602}" name="1k T" dataDxfId="1054">
      <calculatedColumnFormula>WO2025Jan7men119151719232529313335394143454749555759636567697173757779131719212327293335394345[[#This Row],[Thresh]]*2.5</calculatedColumnFormula>
    </tableColumn>
    <tableColumn id="15" xr3:uid="{A2CF1815-70EC-44F4-A6B2-C2606231973E}" name="CV (400)"/>
    <tableColumn id="16" xr3:uid="{508960A6-552B-4F70-B009-626E9D63DD82}" name="1k CV" dataDxfId="1053">
      <calculatedColumnFormula>WO2025Jan7men119151719232529313335394143454749555759636567697173757779131719212327293335394345[[#This Row],[CV (400)]]*1.5</calculatedColumnFormula>
    </tableColumn>
    <tableColumn id="18" xr3:uid="{413C62AC-4B43-4142-81DE-9F294BE62984}" name="400 VO2" dataDxfId="1052">
      <calculatedColumnFormula>WO2025Jan7men119151719232529313335394143454749555759636567697173757779131719212327293335394345[[#This Row],[VO2]]/2</calculatedColumnFormula>
    </tableColumn>
    <tableColumn id="19" xr3:uid="{686D4BD3-4987-44E3-943B-B5E423E84206}" name="…..." dataDxfId="1051">
      <calculatedColumnFormula>WO2025Jan7men119151719232529313335394143454749555759636567697173757779131719212327293335394345[[#This Row],[I]]</calculatedColumnFormula>
    </tableColumn>
    <tableColumn id="24" xr3:uid="{F3B13D0A-1D8B-4C63-9292-D62EFD5A87BF}" name="…...." dataDxfId="1050">
      <calculatedColumnFormula>SUM(WO2025Jan7men119151719232529313335394143454749555759636567697173757779131719212327293335394345[[#This Row],[CV (400)]:[…...]])</calculatedColumnFormula>
    </tableColumn>
    <tableColumn id="17" xr3:uid="{942148CA-337E-4A66-92E2-B81A51C7B4B6}" name="…....2" dataDxfId="1049"/>
    <tableColumn id="20" xr3:uid="{299D1349-3520-4AE5-B02D-13957425BD88}" name="…....." dataDxfId="1048">
      <calculatedColumnFormula>WO2025Jan7men119151719232529313335394143454749555759636567697173757779131719212327293335394345[[#This Row],[I]]*1.5</calculatedColumnFormula>
    </tableColumn>
    <tableColumn id="21" xr3:uid="{58584DEE-1E1E-4031-B79A-C8FD3DE3201F}" name="…......." dataDxfId="1047">
      <calculatedColumnFormula>WO2025Jan7men119151719232529313335394143454749555759636567697173757779131719212327293335394345[[#This Row],[VO2]]</calculatedColumnFormula>
    </tableColumn>
    <tableColumn id="22" xr3:uid="{A3A00B8C-1F91-4415-B213-F6FCC44E24EB}" name="G" dataDxfId="1046"/>
  </tableColumns>
  <tableStyleInfo name="TableStyleMedium3"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9439A447-8962-417B-9525-F1EE70059BF1}" name="WO2025Jan71081416182224283032343840424446485456586264666870727476681216182022262832343842" displayName="WO2025Jan71081416182224283032343840424446485456586264666870727476681216182022262832343842" ref="A1:W57" totalsRowShown="0" headerRowDxfId="1045" dataDxfId="1044" tableBorderDxfId="1043">
  <autoFilter ref="A1:W57" xr:uid="{13733F23-878A-465D-B549-8D39D5BC5CA4}"/>
  <sortState xmlns:xlrd2="http://schemas.microsoft.com/office/spreadsheetml/2017/richdata2" ref="A2:W57">
    <sortCondition ref="W1:W57"/>
  </sortState>
  <tableColumns count="23">
    <tableColumn id="1" xr3:uid="{66445084-9B1D-45EE-999E-00E5D1632C2A}" name="WO 11/7/2025" dataDxfId="1042"/>
    <tableColumn id="4" xr3:uid="{BAB08C97-6E5D-4B8A-BD9E-C28B2A1BE588}" name="5k" dataDxfId="1041"/>
    <tableColumn id="5" xr3:uid="{702A65B3-28D5-4AB8-AC9A-352DA7285C82}" name="Mile" dataDxfId="1040"/>
    <tableColumn id="6" xr3:uid="{7CADA1D3-C1B1-4CD4-A77C-7F36FFE21FB2}" name="3k" dataDxfId="1039">
      <calculatedColumnFormula>B2*E2</calculatedColumnFormula>
    </tableColumn>
    <tableColumn id="7" xr3:uid="{4F1D0F9B-4F29-4B4A-AF9A-846335DEF0E5}" name="Percent" dataDxfId="1038"/>
    <tableColumn id="8" xr3:uid="{6C90CAE3-0C7F-4DF9-9000-D4A480525C3E}" name="R" dataDxfId="1037">
      <calculatedColumnFormula>C2/4</calculatedColumnFormula>
    </tableColumn>
    <tableColumn id="10" xr3:uid="{749E3C71-41BA-4EF0-9ABE-924545845264}" name="VO2" dataDxfId="1036">
      <calculatedColumnFormula>D2/7.5</calculatedColumnFormula>
    </tableColumn>
    <tableColumn id="9" xr3:uid="{F773F6A7-2F0D-4FC7-A169-31E8FB4761EF}" name="I" dataDxfId="1035">
      <calculatedColumnFormula>B2/12.5</calculatedColumnFormula>
    </tableColumn>
    <tableColumn id="11" xr3:uid="{DF7C8F2F-00A9-477D-814D-333A6E30C0A7}" name="10k" dataDxfId="1034">
      <calculatedColumnFormula>G2/0.93</calculatedColumnFormula>
    </tableColumn>
    <tableColumn id="12" xr3:uid="{F3C8AF25-EF38-4C41-A9CD-DC8AB873645F}" name="CV" dataDxfId="1033">
      <calculatedColumnFormula>G2/0.92</calculatedColumnFormula>
    </tableColumn>
    <tableColumn id="13" xr3:uid="{87A6854B-EFBD-438F-B699-2D414320F63B}" name="Thresh" dataDxfId="1032">
      <calculatedColumnFormula>G2/0.88</calculatedColumnFormula>
    </tableColumn>
    <tableColumn id="14" xr3:uid="{08C4BA8A-6490-4C6F-ADA6-38D194E87297}" name="Thresh L" dataDxfId="1031">
      <calculatedColumnFormula>G2/0.84</calculatedColumnFormula>
    </tableColumn>
    <tableColumn id="21" xr3:uid="{CF81E059-F603-49C1-BFA0-653409B1E5DE}" name="T (400)" dataDxfId="1030"/>
    <tableColumn id="20" xr3:uid="{A5125D47-4810-41FE-811C-26597D50EBFB}" name="1200 T" dataDxfId="1029"/>
    <tableColumn id="19" xr3:uid="{91D78F10-68D8-4A6B-A6A3-A7438820125D}" name="CV (400)" dataDxfId="1028"/>
    <tableColumn id="18" xr3:uid="{D6C95B42-BEA9-4264-8C54-48E48E005531}" name="1200 CV" dataDxfId="1027">
      <calculatedColumnFormula>WO2025Jan71081416182224283032343840424446485456586264666870727476681216182022262832343842[[#This Row],[CV]]*2.5</calculatedColumnFormula>
    </tableColumn>
    <tableColumn id="17" xr3:uid="{AA4C808D-F543-49ED-B600-4C1511D12565}" name="200 R" dataDxfId="1026">
      <calculatedColumnFormula>WO2025Jan71081416182224283032343840424446485456586264666870727476681216182022262832343842[[#This Row],[VO2]]</calculatedColumnFormula>
    </tableColumn>
    <tableColumn id="15" xr3:uid="{6F4EB46C-09EB-4098-8F12-0017EAF2FB89}" name="…..." dataDxfId="1025">
      <calculatedColumnFormula>WO2025Jan71081416182224283032343840424446485456586264666870727476681216182022262832343842[[#This Row],[I]]*2</calculatedColumnFormula>
    </tableColumn>
    <tableColumn id="16" xr3:uid="{82C7046F-DC44-4C4E-B5B1-935AAE900C7C}" name="…...." dataDxfId="1024">
      <calculatedColumnFormula>WO2025Jan71081416182224283032343840424446485456586264666870727476681216182022262832343842[[#This Row],[VO2]]</calculatedColumnFormula>
    </tableColumn>
    <tableColumn id="22" xr3:uid="{CADFB723-48F4-44B4-B990-5A7C6681E738}" name="…....." dataDxfId="1023"/>
    <tableColumn id="2" xr3:uid="{51555327-E49A-452A-B890-099FE443DE0F}" name="…......" dataDxfId="1022"/>
    <tableColumn id="23" xr3:uid="{41F67DD3-5C0A-4FA2-BA74-B0FDAF541B5D}" name="…......." dataDxfId="1021"/>
    <tableColumn id="24" xr3:uid="{279A4354-CA89-4FAC-AADA-DB504786B917}" name="G" dataDxfId="1020"/>
  </tableColumns>
  <tableStyleInfo name="TableStyleMedium3"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A0E0A5B3-2EBB-40B5-A846-1F8B8FC29427}" name="WO2025Jan7men1191517192325293133353941434547495557596365676971737577791317192123272933353943" displayName="WO2025Jan7men1191517192325293133353941434547495557596365676971737577791317192123272933353943" ref="A58:W144" totalsRowShown="0" headerRowDxfId="1019" tableBorderDxfId="1018">
  <autoFilter ref="A58:W144" xr:uid="{5DFF29F2-4664-45E4-9AA3-D72D6EA677C9}"/>
  <sortState xmlns:xlrd2="http://schemas.microsoft.com/office/spreadsheetml/2017/richdata2" ref="A59:W141">
    <sortCondition ref="W58:W141"/>
  </sortState>
  <tableColumns count="23">
    <tableColumn id="1" xr3:uid="{1D6B813D-FA60-4655-A976-7FE0C4104A66}" name="WO 11/7/2025" dataDxfId="1017"/>
    <tableColumn id="2" xr3:uid="{67619DC2-14DD-4BA7-83F7-C67154D20DBA}" name="5k" dataDxfId="1016"/>
    <tableColumn id="3" xr3:uid="{91880013-A651-4983-9D5A-B699A9549FA1}" name="Mile" dataDxfId="1015"/>
    <tableColumn id="4" xr3:uid="{D7EEABAD-7A12-4EC7-B8C8-3456A202DD75}" name="3k" dataDxfId="1014">
      <calculatedColumnFormula>B59*E59</calculatedColumnFormula>
    </tableColumn>
    <tableColumn id="5" xr3:uid="{85C02565-6858-4926-8290-1030EC53EC3E}" name="Percent" dataDxfId="1013"/>
    <tableColumn id="6" xr3:uid="{0C4F6BA7-BAE1-4191-B7EA-1EB9F941CFDB}" name="R" dataDxfId="1012">
      <calculatedColumnFormula>C59/4</calculatedColumnFormula>
    </tableColumn>
    <tableColumn id="7" xr3:uid="{5A9DF024-CE6C-4C07-B4C8-FFEED0FB9F36}" name="VO2" dataDxfId="1011">
      <calculatedColumnFormula>D59/7.5</calculatedColumnFormula>
    </tableColumn>
    <tableColumn id="8" xr3:uid="{3D405EFD-081F-4B97-8DEF-C0C9811460F6}" name="I" dataDxfId="1010">
      <calculatedColumnFormula>B59/12.5</calculatedColumnFormula>
    </tableColumn>
    <tableColumn id="9" xr3:uid="{9682CAF8-88D9-4EA9-A462-804B5EFE525B}" name="10k" dataDxfId="1009">
      <calculatedColumnFormula>G59/0.93</calculatedColumnFormula>
    </tableColumn>
    <tableColumn id="10" xr3:uid="{84EFB82C-178D-450D-863A-36C1CB6D5C06}" name="CV" dataDxfId="1008">
      <calculatedColumnFormula>G59/0.92</calculatedColumnFormula>
    </tableColumn>
    <tableColumn id="11" xr3:uid="{CD9D1A15-D509-4AC4-B048-60AA00E21834}" name="Thresh" dataDxfId="1007">
      <calculatedColumnFormula>G59/0.88</calculatedColumnFormula>
    </tableColumn>
    <tableColumn id="12" xr3:uid="{01449447-40A6-4ED5-9E5B-E52DDBDC3323}" name="Thresh L" dataDxfId="1006">
      <calculatedColumnFormula>G59/0.84</calculatedColumnFormula>
    </tableColumn>
    <tableColumn id="13" xr3:uid="{BAF6F45B-63E3-4B5F-AF86-43AF2DEA4222}" name="T (400)" dataDxfId="1005">
      <calculatedColumnFormula>WO2025Jan7men1191517192325293133353941434547495557596365676971737577791317192123272933353943[[#This Row],[Thresh]]</calculatedColumnFormula>
    </tableColumn>
    <tableColumn id="14" xr3:uid="{265DEC28-729C-460D-B48A-33FB5470010E}" name="1200 T" dataDxfId="1004">
      <calculatedColumnFormula>WO2025Jan7men1191517192325293133353941434547495557596365676971737577791317192123272933353943[[#This Row],[Thresh]]*2.5</calculatedColumnFormula>
    </tableColumn>
    <tableColumn id="15" xr3:uid="{003B5D08-71C8-45BE-A344-564BF9C5340C}" name="CV (400)"/>
    <tableColumn id="16" xr3:uid="{3EFDE85A-9A53-4E18-8D72-56CA4A5378C5}" name="1200 CV" dataDxfId="1003">
      <calculatedColumnFormula>WO2025Jan7men1191517192325293133353941434547495557596365676971737577791317192123272933353943[[#This Row],[CV (400)]]*1.5</calculatedColumnFormula>
    </tableColumn>
    <tableColumn id="18" xr3:uid="{5EC4E08E-A988-4783-BB2E-7F07EC9685BA}" name="I (400)" dataDxfId="1002">
      <calculatedColumnFormula>WO2025Jan7men1191517192325293133353941434547495557596365676971737577791317192123272933353943[[#This Row],[VO2]]/2</calculatedColumnFormula>
    </tableColumn>
    <tableColumn id="19" xr3:uid="{A1EAC013-D5E9-42ED-8EB1-99D9F311A639}" name="600 I" dataDxfId="1001">
      <calculatedColumnFormula>WO2025Jan7men1191517192325293133353941434547495557596365676971737577791317192123272933353943[[#This Row],[I]]</calculatedColumnFormula>
    </tableColumn>
    <tableColumn id="24" xr3:uid="{808E1F79-E193-47EB-8E1E-4D8AE257EC7D}" name="600 T" dataDxfId="1000">
      <calculatedColumnFormula>SUM(WO2025Jan7men1191517192325293133353941434547495557596365676971737577791317192123272933353943[[#This Row],[CV (400)]:[600 I]])</calculatedColumnFormula>
    </tableColumn>
    <tableColumn id="17" xr3:uid="{CDE7003C-C1AB-4266-B57F-6539122F164B}" name="…...." dataDxfId="999"/>
    <tableColumn id="20" xr3:uid="{053CE575-79C2-4C5E-875F-17AC834195B2}" name="…....." dataDxfId="998">
      <calculatedColumnFormula>WO2025Jan7men1191517192325293133353941434547495557596365676971737577791317192123272933353943[[#This Row],[I]]*1.5</calculatedColumnFormula>
    </tableColumn>
    <tableColumn id="21" xr3:uid="{7DF455A1-CF35-4225-BA53-1F213AEA429F}" name="…......." dataDxfId="997">
      <calculatedColumnFormula>WO2025Jan7men1191517192325293133353941434547495557596365676971737577791317192123272933353943[[#This Row],[VO2]]</calculatedColumnFormula>
    </tableColumn>
    <tableColumn id="22" xr3:uid="{06CF435E-2339-4EAB-ABAF-768058F7F5A2}" name="G" dataDxfId="996"/>
  </tableColumns>
  <tableStyleInfo name="TableStyleMedium3"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CD105682-CF88-4EDC-9742-421748C7066C}" name="WO2025Jan710814161822242830323438404244464854565862646668707274766812161820222628323438" displayName="WO2025Jan710814161822242830323438404244464854565862646668707274766812161820222628323438" ref="A1:W57" totalsRowShown="0" headerRowDxfId="995" dataDxfId="994" tableBorderDxfId="993">
  <autoFilter ref="A1:W57" xr:uid="{13733F23-878A-465D-B549-8D39D5BC5CA4}"/>
  <sortState xmlns:xlrd2="http://schemas.microsoft.com/office/spreadsheetml/2017/richdata2" ref="A2:W57">
    <sortCondition ref="W1:W57"/>
  </sortState>
  <tableColumns count="23">
    <tableColumn id="1" xr3:uid="{41CB26B7-86C0-47A6-B6F7-F8034086A07C}" name="WO 11/4/2025" dataDxfId="992"/>
    <tableColumn id="4" xr3:uid="{4C611109-6588-4FDA-8BB5-1948330CFF3D}" name="5k" dataDxfId="991"/>
    <tableColumn id="5" xr3:uid="{15EB272B-1C7A-4AA3-B66E-FEC134F774D5}" name="Mile" dataDxfId="990"/>
    <tableColumn id="6" xr3:uid="{72B34DB8-01F0-48A1-90D3-A1ECF7957E66}" name="3k" dataDxfId="989">
      <calculatedColumnFormula>B2*E2</calculatedColumnFormula>
    </tableColumn>
    <tableColumn id="7" xr3:uid="{50ACF170-9E5A-4D8C-A924-FE40BA08DE66}" name="Percent" dataDxfId="988"/>
    <tableColumn id="8" xr3:uid="{0A6E766B-60E0-4FFA-883F-0512EE4F26A6}" name="R" dataDxfId="987">
      <calculatedColumnFormula>C2/4</calculatedColumnFormula>
    </tableColumn>
    <tableColumn id="10" xr3:uid="{A2BF197C-73CC-4B5C-9707-C035A2FB1A24}" name="VO2" dataDxfId="986">
      <calculatedColumnFormula>D2/7.5</calculatedColumnFormula>
    </tableColumn>
    <tableColumn id="9" xr3:uid="{B3E9C7C4-E374-4F5F-8B4A-89DF2199D3FA}" name="I" dataDxfId="985">
      <calculatedColumnFormula>B2/12.5</calculatedColumnFormula>
    </tableColumn>
    <tableColumn id="11" xr3:uid="{A657721E-E8BF-45FF-9FD5-D21D60E9117C}" name="10k" dataDxfId="984">
      <calculatedColumnFormula>G2/0.93</calculatedColumnFormula>
    </tableColumn>
    <tableColumn id="12" xr3:uid="{C0D0CAFE-3CEC-448C-9093-12368AB57098}" name="CV" dataDxfId="983">
      <calculatedColumnFormula>G2/0.92</calculatedColumnFormula>
    </tableColumn>
    <tableColumn id="13" xr3:uid="{25DF6B39-2BDD-4264-8EC0-D8A9EB432402}" name="Thresh" dataDxfId="982">
      <calculatedColumnFormula>G2/0.88</calculatedColumnFormula>
    </tableColumn>
    <tableColumn id="14" xr3:uid="{7F20010C-2CEC-4F72-92E4-20992869AC73}" name="Thresh L" dataDxfId="981">
      <calculatedColumnFormula>G2/0.84</calculatedColumnFormula>
    </tableColumn>
    <tableColumn id="21" xr3:uid="{10BCE37A-7993-486E-B039-4DF24F780E7E}" name="T (400)" dataDxfId="980"/>
    <tableColumn id="20" xr3:uid="{0646BE36-2F82-4970-B8A9-4C4602DEBC67}" name="800 T" dataDxfId="979"/>
    <tableColumn id="19" xr3:uid="{4893CC09-8E25-4B63-AB1F-867752353963}" name="CV (400)" dataDxfId="978"/>
    <tableColumn id="18" xr3:uid="{24AFB1BE-0AA1-418C-BEE4-173EDE2B4849}" name="600 CV" dataDxfId="977">
      <calculatedColumnFormula>WO2025Jan710814161822242830323438404244464854565862646668707274766812161820222628323438[[#This Row],[CV]]*2.5</calculatedColumnFormula>
    </tableColumn>
    <tableColumn id="17" xr3:uid="{09883DD6-300F-4C31-928A-EE90B939481E}" name="I (400)" dataDxfId="976">
      <calculatedColumnFormula>WO2025Jan710814161822242830323438404244464854565862646668707274766812161820222628323438[[#This Row],[VO2]]</calculatedColumnFormula>
    </tableColumn>
    <tableColumn id="15" xr3:uid="{8170404B-37BF-400B-B2CA-E5F27074310C}" name="600 I" dataDxfId="975">
      <calculatedColumnFormula>WO2025Jan710814161822242830323438404244464854565862646668707274766812161820222628323438[[#This Row],[I]]*2</calculatedColumnFormula>
    </tableColumn>
    <tableColumn id="16" xr3:uid="{AD7D27A5-5A96-43C1-83C7-EDA0B9EFFB4A}" name="400 VO2" dataDxfId="974">
      <calculatedColumnFormula>WO2025Jan710814161822242830323438404244464854565862646668707274766812161820222628323438[[#This Row],[VO2]]</calculatedColumnFormula>
    </tableColumn>
    <tableColumn id="22" xr3:uid="{E4625CC6-6CD8-4269-8020-3BF8FE18875B}" name="…....." dataDxfId="973"/>
    <tableColumn id="2" xr3:uid="{31973DBD-59EF-4A40-8BA3-FA2B44BC2EFC}" name="…......" dataDxfId="972"/>
    <tableColumn id="23" xr3:uid="{C7D2C270-8A0B-4AD8-B900-317D67E0FE9D}" name="…......." dataDxfId="971"/>
    <tableColumn id="24" xr3:uid="{A543728F-5D63-45AA-AC5D-EA34DBD5CFEA}" name="G" dataDxfId="970"/>
  </tableColumns>
  <tableStyleInfo name="TableStyleMedium3"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1195ABEC-0793-4BE6-8C66-D065745E1633}" name="WO2025Jan7men11915171923252931333539414345474955575963656769717375777913171921232729333539" displayName="WO2025Jan7men11915171923252931333539414345474955575963656769717375777913171921232729333539" ref="A58:W144" totalsRowShown="0" headerRowDxfId="969" tableBorderDxfId="968">
  <autoFilter ref="A58:W144" xr:uid="{5DFF29F2-4664-45E4-9AA3-D72D6EA677C9}"/>
  <sortState xmlns:xlrd2="http://schemas.microsoft.com/office/spreadsheetml/2017/richdata2" ref="A59:W141">
    <sortCondition ref="W58:W141"/>
  </sortState>
  <tableColumns count="23">
    <tableColumn id="1" xr3:uid="{7337A6D2-4040-4E4F-BF9F-4222C9AE3BA3}" name="WO 11/4/2025" dataDxfId="967"/>
    <tableColumn id="2" xr3:uid="{8870A007-C37E-4C96-ABCE-3845BDBEE4DF}" name="5k" dataDxfId="966"/>
    <tableColumn id="3" xr3:uid="{11C55D49-F7F0-40AA-A889-130262537213}" name="Mile" dataDxfId="965"/>
    <tableColumn id="4" xr3:uid="{92A40840-DD65-45F6-AB43-4841C4DBE5F0}" name="3k" dataDxfId="964">
      <calculatedColumnFormula>B59*E59</calculatedColumnFormula>
    </tableColumn>
    <tableColumn id="5" xr3:uid="{D92A7E9E-BDB0-40E5-B9C0-3229ED5D5FA7}" name="Percent" dataDxfId="963"/>
    <tableColumn id="6" xr3:uid="{E5E8A6F7-3035-40F5-A345-0BD2F0CF4971}" name="R" dataDxfId="962">
      <calculatedColumnFormula>C59/4</calculatedColumnFormula>
    </tableColumn>
    <tableColumn id="7" xr3:uid="{5EA45A14-CF92-4524-81A9-9040D9494AB1}" name="VO2" dataDxfId="961">
      <calculatedColumnFormula>D59/7.5</calculatedColumnFormula>
    </tableColumn>
    <tableColumn id="8" xr3:uid="{970069C5-ED5F-4665-A743-9D561C8E31E4}" name="I" dataDxfId="960">
      <calculatedColumnFormula>B59/12.5</calculatedColumnFormula>
    </tableColumn>
    <tableColumn id="9" xr3:uid="{4844411B-C93D-41BB-9EE6-399A0CB55493}" name="10k" dataDxfId="959">
      <calculatedColumnFormula>G59/0.93</calculatedColumnFormula>
    </tableColumn>
    <tableColumn id="10" xr3:uid="{5DA63987-DE07-4F47-B2D3-AEC2B0117772}" name="CV" dataDxfId="958">
      <calculatedColumnFormula>G59/0.92</calculatedColumnFormula>
    </tableColumn>
    <tableColumn id="11" xr3:uid="{8A4D8652-3C4E-4C52-88C5-6B6F592E0CCA}" name="Thresh" dataDxfId="957">
      <calculatedColumnFormula>G59/0.88</calculatedColumnFormula>
    </tableColumn>
    <tableColumn id="12" xr3:uid="{9471106A-5FAC-4B3A-9CE9-0BB0314105FB}" name="Thresh L" dataDxfId="956">
      <calculatedColumnFormula>G59/0.84</calculatedColumnFormula>
    </tableColumn>
    <tableColumn id="13" xr3:uid="{C59C20D3-A6DE-49AC-8B46-5E2EEBCC12BD}" name="T (400)" dataDxfId="955">
      <calculatedColumnFormula>WO2025Jan7men11915171923252931333539414345474955575963656769717375777913171921232729333539[[#This Row],[Thresh]]</calculatedColumnFormula>
    </tableColumn>
    <tableColumn id="14" xr3:uid="{F34BE52F-6CDC-47D2-903F-E8A570CD75E0}" name="600 T" dataDxfId="954">
      <calculatedColumnFormula>WO2025Jan7men11915171923252931333539414345474955575963656769717375777913171921232729333539[[#This Row],[Thresh]]*2.5</calculatedColumnFormula>
    </tableColumn>
    <tableColumn id="15" xr3:uid="{087D1CA2-B2CF-4FCE-9BB3-BF57B2ECEE7B}" name="800 T"/>
    <tableColumn id="16" xr3:uid="{19A6C75A-0D42-4830-B8B9-C71332345DAB}" name="1200 T" dataDxfId="953">
      <calculatedColumnFormula>WO2025Jan7men11915171923252931333539414345474955575963656769717375777913171921232729333539[[#This Row],[800 T]]*1.5</calculatedColumnFormula>
    </tableColumn>
    <tableColumn id="18" xr3:uid="{7AD09E8F-0341-4F58-A1A1-03C5AAE30FB8}" name="CV (400)" dataDxfId="952">
      <calculatedColumnFormula>WO2025Jan7men11915171923252931333539414345474955575963656769717375777913171921232729333539[[#This Row],[VO2]]/2</calculatedColumnFormula>
    </tableColumn>
    <tableColumn id="19" xr3:uid="{514D9855-CCF1-47A9-A260-57162820286D}" name="800 CV" dataDxfId="951">
      <calculatedColumnFormula>WO2025Jan7men11915171923252931333539414345474955575963656769717375777913171921232729333539[[#This Row],[I]]</calculatedColumnFormula>
    </tableColumn>
    <tableColumn id="24" xr3:uid="{55BCF014-C5CB-4A73-8044-90033D0653A4}" name="I (400)" dataDxfId="950">
      <calculatedColumnFormula>SUM(WO2025Jan7men11915171923252931333539414345474955575963656769717375777913171921232729333539[[#This Row],[800 T]:[800 CV]])</calculatedColumnFormula>
    </tableColumn>
    <tableColumn id="17" xr3:uid="{6B65E1F6-AF64-4CB2-B297-8EDCF85DC37F}" name="600 I" dataDxfId="949"/>
    <tableColumn id="20" xr3:uid="{95AC919F-DED0-4AE6-8F95-CBA2611B901E}" name="400 VO2" dataDxfId="948">
      <calculatedColumnFormula>WO2025Jan7men11915171923252931333539414345474955575963656769717375777913171921232729333539[[#This Row],[I]]*1.5</calculatedColumnFormula>
    </tableColumn>
    <tableColumn id="21" xr3:uid="{B7D31B9A-B881-4657-8FC1-DD04E0A8F536}" name="…......." dataDxfId="947">
      <calculatedColumnFormula>WO2025Jan7men11915171923252931333539414345474955575963656769717375777913171921232729333539[[#This Row],[VO2]]</calculatedColumnFormula>
    </tableColumn>
    <tableColumn id="22" xr3:uid="{9FCE545B-8CD7-42E5-95A2-35B399A8C68C}" name="G" dataDxfId="946"/>
  </tableColumns>
  <tableStyleInfo name="TableStyleMedium3"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2403B144-F973-4D6B-8C2D-A1F45FA63D65}" name="WO2025Jan710814161822242830323438404244464854565862646668707274766812161820222628323440" displayName="WO2025Jan710814161822242830323438404244464854565862646668707274766812161820222628323440" ref="A1:W57" totalsRowShown="0" headerRowDxfId="945" dataDxfId="944" tableBorderDxfId="943">
  <autoFilter ref="A1:W57" xr:uid="{13733F23-878A-465D-B549-8D39D5BC5CA4}"/>
  <sortState xmlns:xlrd2="http://schemas.microsoft.com/office/spreadsheetml/2017/richdata2" ref="A2:W57">
    <sortCondition ref="W1:W57"/>
  </sortState>
  <tableColumns count="23">
    <tableColumn id="1" xr3:uid="{531BBECB-BAF4-4A38-BA3E-7A59DBE560D6}" name="WO 10/28/2025" dataDxfId="942"/>
    <tableColumn id="4" xr3:uid="{4EE2C460-FA8A-4E33-8120-C9A291E7CEF6}" name="5k" dataDxfId="941"/>
    <tableColumn id="5" xr3:uid="{EC613DFE-1FC9-43FD-A6AF-A24E440B4160}" name="Mile" dataDxfId="940"/>
    <tableColumn id="6" xr3:uid="{19CC3D63-0A3A-4D54-835D-E69DD5A47D2A}" name="3k" dataDxfId="939">
      <calculatedColumnFormula>B2*E2</calculatedColumnFormula>
    </tableColumn>
    <tableColumn id="7" xr3:uid="{01DB4121-6CC6-48E9-8C62-60AD4C160594}" name="Percent" dataDxfId="938"/>
    <tableColumn id="8" xr3:uid="{346E42E9-DD0B-4DF8-8BDE-74E919011D08}" name="R" dataDxfId="937">
      <calculatedColumnFormula>C2/4</calculatedColumnFormula>
    </tableColumn>
    <tableColumn id="10" xr3:uid="{C6DD8382-F115-42ED-A19A-14346FAE86A2}" name="VO2" dataDxfId="936">
      <calculatedColumnFormula>D2/7.5</calculatedColumnFormula>
    </tableColumn>
    <tableColumn id="9" xr3:uid="{24F31E2E-D496-43EB-BFFE-919748ED0A06}" name="I" dataDxfId="935">
      <calculatedColumnFormula>B2/12.5</calculatedColumnFormula>
    </tableColumn>
    <tableColumn id="11" xr3:uid="{2B9FCA4A-12C2-4685-A360-24100890D0EE}" name="10k" dataDxfId="934">
      <calculatedColumnFormula>G2/0.93</calculatedColumnFormula>
    </tableColumn>
    <tableColumn id="12" xr3:uid="{856E1F47-0852-468C-980A-5EED22E7A52D}" name="CV" dataDxfId="933">
      <calculatedColumnFormula>G2/0.92</calculatedColumnFormula>
    </tableColumn>
    <tableColumn id="13" xr3:uid="{F13C33C2-101F-46C3-AE7C-5648BDA94D93}" name="Thresh" dataDxfId="932">
      <calculatedColumnFormula>G2/0.88</calculatedColumnFormula>
    </tableColumn>
    <tableColumn id="14" xr3:uid="{CFC3A253-AA16-45F5-AE0F-3F40C4FEE0DB}" name="Thresh L" dataDxfId="931">
      <calculatedColumnFormula>G2/0.84</calculatedColumnFormula>
    </tableColumn>
    <tableColumn id="21" xr3:uid="{601415D0-6175-4151-AC68-D105983D04D7}" name="T (400)" dataDxfId="930"/>
    <tableColumn id="20" xr3:uid="{744E4B45-4FCE-41AF-BB65-183260BE98A9}" name="800 T" dataDxfId="929"/>
    <tableColumn id="19" xr3:uid="{97814D1C-42A1-4CE7-BBD7-7ADDFA2F140A}" name="CV (400)" dataDxfId="928"/>
    <tableColumn id="18" xr3:uid="{01BA7375-3D15-4605-9170-B6D6A75339DC}" name="800 CV" dataDxfId="927">
      <calculatedColumnFormula>WO2025Jan710814161822242830323438404244464854565862646668707274766812161820222628323440[[#This Row],[CV]]*2</calculatedColumnFormula>
    </tableColumn>
    <tableColumn id="17" xr3:uid="{9C9EDF46-0B7F-4EC0-AE0D-F36CFD7152A7}" name="400 VO2" dataDxfId="926">
      <calculatedColumnFormula>WO2025Jan710814161822242830323438404244464854565862646668707274766812161820222628323440[[#This Row],[VO2]]</calculatedColumnFormula>
    </tableColumn>
    <tableColumn id="15" xr3:uid="{7D943B0B-76EF-4C15-B221-0CF344D8191C}" name="…..." dataDxfId="925">
      <calculatedColumnFormula>WO2025Jan710814161822242830323438404244464854565862646668707274766812161820222628323440[[#This Row],[I]]*2</calculatedColumnFormula>
    </tableColumn>
    <tableColumn id="16" xr3:uid="{3C9ABDC2-AAD0-45D4-AEEE-B62DCEB8085A}" name="…...." dataDxfId="924">
      <calculatedColumnFormula>WO2025Jan710814161822242830323438404244464854565862646668707274766812161820222628323440[[#This Row],[VO2]]</calculatedColumnFormula>
    </tableColumn>
    <tableColumn id="22" xr3:uid="{B92CFB87-CF8F-4D59-B3A5-31DA3E6E718B}" name="…....." dataDxfId="923"/>
    <tableColumn id="2" xr3:uid="{CF8F7D5C-A820-4E74-8DF5-AA9705B931F5}" name="…......" dataDxfId="922"/>
    <tableColumn id="23" xr3:uid="{7EA080DC-81B5-4A29-A9BD-5BFDBFF03947}" name="…......." dataDxfId="921"/>
    <tableColumn id="24" xr3:uid="{46498B0D-80F2-4C69-AAB5-06A344D8AF51}" name="G" dataDxfId="920"/>
  </tableColumns>
  <tableStyleInfo name="TableStyleMedium3"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16248356-CB0D-4985-B40F-7E694E011A12}" name="WO2025Jan7men11915171923252931333539414345474955575963656769717375777913171921232729333541" displayName="WO2025Jan7men11915171923252931333539414345474955575963656769717375777913171921232729333541" ref="A58:W144" totalsRowShown="0" headerRowDxfId="919" tableBorderDxfId="918">
  <autoFilter ref="A58:W144" xr:uid="{5DFF29F2-4664-45E4-9AA3-D72D6EA677C9}"/>
  <sortState xmlns:xlrd2="http://schemas.microsoft.com/office/spreadsheetml/2017/richdata2" ref="A59:W141">
    <sortCondition ref="W58:W141"/>
  </sortState>
  <tableColumns count="23">
    <tableColumn id="1" xr3:uid="{C75293AC-134A-45B8-A72A-4C36CAE12AA0}" name="WO 10/28/2025" dataDxfId="917"/>
    <tableColumn id="2" xr3:uid="{6992B383-D713-45CA-86D7-B4A3B113690A}" name="5k" dataDxfId="916"/>
    <tableColumn id="3" xr3:uid="{C52BF57F-8D32-4838-A361-B688C63C09B3}" name="Mile" dataDxfId="915"/>
    <tableColumn id="4" xr3:uid="{58CACF79-BC88-4330-9E7A-54D03FC561F5}" name="3k" dataDxfId="914">
      <calculatedColumnFormula>B59*E59</calculatedColumnFormula>
    </tableColumn>
    <tableColumn id="5" xr3:uid="{F057C34E-3289-46FA-BDFE-23111FA0695A}" name="Percent" dataDxfId="913"/>
    <tableColumn id="6" xr3:uid="{4C8806AA-F20A-41F0-833B-64908E35513D}" name="R" dataDxfId="912">
      <calculatedColumnFormula>C59/4</calculatedColumnFormula>
    </tableColumn>
    <tableColumn id="7" xr3:uid="{0B22DA17-3904-4924-B5BA-06E6D7DE1109}" name="VO2" dataDxfId="911">
      <calculatedColumnFormula>D59/7.5</calculatedColumnFormula>
    </tableColumn>
    <tableColumn id="8" xr3:uid="{CB09A56C-F982-4D74-ADBA-AE0BBAA2AB86}" name="I" dataDxfId="910">
      <calculatedColumnFormula>B59/12.5</calculatedColumnFormula>
    </tableColumn>
    <tableColumn id="9" xr3:uid="{E8291903-A12F-4213-B366-767945A19A52}" name="10k" dataDxfId="909">
      <calculatedColumnFormula>G59/0.93</calculatedColumnFormula>
    </tableColumn>
    <tableColumn id="10" xr3:uid="{A3F41251-341B-4FC8-9AD1-1614A735434C}" name="CV" dataDxfId="908">
      <calculatedColumnFormula>G59/0.92</calculatedColumnFormula>
    </tableColumn>
    <tableColumn id="11" xr3:uid="{4826E0F6-AB93-4234-A571-B6B5998CD5B7}" name="Thresh" dataDxfId="907">
      <calculatedColumnFormula>G59/0.88</calculatedColumnFormula>
    </tableColumn>
    <tableColumn id="12" xr3:uid="{0C8C3C7B-4429-4AC8-83F5-F816C683AFB5}" name="Thresh L" dataDxfId="906">
      <calculatedColumnFormula>G59/0.84</calculatedColumnFormula>
    </tableColumn>
    <tableColumn id="13" xr3:uid="{ACC9C5DE-047B-4A97-81D4-706DE0B6C7BB}" name="T (400)" dataDxfId="905">
      <calculatedColumnFormula>WO2025Jan7men11915171923252931333539414345474955575963656769717375777913171921232729333541[[#This Row],[Thresh]]</calculatedColumnFormula>
    </tableColumn>
    <tableColumn id="14" xr3:uid="{8D6B7B97-BB87-46A9-8007-864DEF3B9545}" name="1k T" dataDxfId="904">
      <calculatedColumnFormula>WO2025Jan7men11915171923252931333539414345474955575963656769717375777913171921232729333541[[#This Row],[Thresh]]*2.5</calculatedColumnFormula>
    </tableColumn>
    <tableColumn id="15" xr3:uid="{D97A4D10-4151-475A-9780-F1287241A412}" name="CV (400)"/>
    <tableColumn id="16" xr3:uid="{FA179FD0-DB9B-4F13-9C47-6236E90ABB27}" name="1k CV" dataDxfId="903">
      <calculatedColumnFormula>WO2025Jan7men11915171923252931333539414345474955575963656769717375777913171921232729333541[[#This Row],[CV (400)]]*1.5</calculatedColumnFormula>
    </tableColumn>
    <tableColumn id="18" xr3:uid="{22C08DEF-1010-462B-817C-EF32ECA5907A}" name="I (400)" dataDxfId="902">
      <calculatedColumnFormula>WO2025Jan7men11915171923252931333539414345474955575963656769717375777913171921232729333541[[#This Row],[VO2]]/2</calculatedColumnFormula>
    </tableColumn>
    <tableColumn id="19" xr3:uid="{CEAA0DBC-AFE2-4378-94AA-243DCEDA66C2}" name="1k I" dataDxfId="901">
      <calculatedColumnFormula>WO2025Jan7men11915171923252931333539414345474955575963656769717375777913171921232729333541[[#This Row],[I]]</calculatedColumnFormula>
    </tableColumn>
    <tableColumn id="24" xr3:uid="{556A446E-8AC4-44AD-9E7F-C725DDAA772A}" name="400 VO2" dataDxfId="900">
      <calculatedColumnFormula>SUM(WO2025Jan7men11915171923252931333539414345474955575963656769717375777913171921232729333541[[#This Row],[CV (400)]:[1k I]])</calculatedColumnFormula>
    </tableColumn>
    <tableColumn id="17" xr3:uid="{E38937D1-0298-4581-AC33-588BE168D35A}" name="…....." dataDxfId="899"/>
    <tableColumn id="20" xr3:uid="{07698ECA-BCFD-45FE-AE20-BC91B3C15150}" name="…......" dataDxfId="898">
      <calculatedColumnFormula>WO2025Jan7men11915171923252931333539414345474955575963656769717375777913171921232729333541[[#This Row],[I]]*1.5</calculatedColumnFormula>
    </tableColumn>
    <tableColumn id="21" xr3:uid="{FDD86736-A9A8-4975-920C-0579702EDC7D}" name="…......." dataDxfId="897">
      <calculatedColumnFormula>WO2025Jan7men11915171923252931333539414345474955575963656769717375777913171921232729333541[[#This Row],[VO2]]</calculatedColumnFormula>
    </tableColumn>
    <tableColumn id="22" xr3:uid="{9277EB40-03DB-48E6-B358-1C141A0054E6}" name="G" dataDxfId="896"/>
  </tableColumns>
  <tableStyleInfo name="TableStyleMedium3"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E4841438-FABE-43A3-A062-D08C31DA326B}" name="WO2025Jan710814161822242830323438404244464854565862646668707274766812161820222436" displayName="WO2025Jan710814161822242830323438404244464854565862646668707274766812161820222436" ref="A1:W57" totalsRowShown="0" headerRowDxfId="895" dataDxfId="894" tableBorderDxfId="893">
  <autoFilter ref="A1:W57" xr:uid="{13733F23-878A-465D-B549-8D39D5BC5CA4}"/>
  <sortState xmlns:xlrd2="http://schemas.microsoft.com/office/spreadsheetml/2017/richdata2" ref="A2:W57">
    <sortCondition ref="W1:W57"/>
  </sortState>
  <tableColumns count="23">
    <tableColumn id="1" xr3:uid="{19857318-686B-4954-B313-253B2719C684}" name="WO 10/24/2025" dataDxfId="892"/>
    <tableColumn id="4" xr3:uid="{3FF893E1-3EF1-4AF9-AEFD-F222D13B9CA1}" name="5k" dataDxfId="891"/>
    <tableColumn id="5" xr3:uid="{CED37252-D67A-427C-BA73-BD5E96450F57}" name="Mile" dataDxfId="890"/>
    <tableColumn id="6" xr3:uid="{A8837140-C59C-490D-AAD0-98AFF459CAEB}" name="3k" dataDxfId="889">
      <calculatedColumnFormula>B2*E2</calculatedColumnFormula>
    </tableColumn>
    <tableColumn id="7" xr3:uid="{E8463710-86FF-4E13-8A16-816EDEA071E3}" name="Percent" dataDxfId="888"/>
    <tableColumn id="8" xr3:uid="{D96F227E-D6BC-4FC1-8923-D8E336C760AD}" name="R" dataDxfId="887">
      <calculatedColumnFormula>C2/4</calculatedColumnFormula>
    </tableColumn>
    <tableColumn id="10" xr3:uid="{010A43E1-0B89-4489-9685-BEBD09561231}" name="VO2" dataDxfId="886">
      <calculatedColumnFormula>D2/7.5</calculatedColumnFormula>
    </tableColumn>
    <tableColumn id="9" xr3:uid="{784C3685-748E-483A-887F-71FF16520CBC}" name="I" dataDxfId="885">
      <calculatedColumnFormula>B2/12.5</calculatedColumnFormula>
    </tableColumn>
    <tableColumn id="11" xr3:uid="{9AAD915F-FD71-4E16-8C8E-CFB847A79091}" name="10k" dataDxfId="884">
      <calculatedColumnFormula>G2/0.93</calculatedColumnFormula>
    </tableColumn>
    <tableColumn id="12" xr3:uid="{9803895D-9E55-4A74-AA50-9C392E931622}" name="CV" dataDxfId="883">
      <calculatedColumnFormula>G2/0.92</calculatedColumnFormula>
    </tableColumn>
    <tableColumn id="13" xr3:uid="{AD6D4C0E-5339-4B82-BA0D-DB6D25603718}" name="Thresh" dataDxfId="882">
      <calculatedColumnFormula>G2/0.88</calculatedColumnFormula>
    </tableColumn>
    <tableColumn id="14" xr3:uid="{87E71247-B7B4-4770-9EFC-40E9C4284AD8}" name="Thresh L" dataDxfId="881">
      <calculatedColumnFormula>G2/0.84</calculatedColumnFormula>
    </tableColumn>
    <tableColumn id="21" xr3:uid="{C16C0D7D-721F-4B28-9482-B74E7ED1BF42}" name="." dataDxfId="880"/>
    <tableColumn id="20" xr3:uid="{2ACBD775-E425-4C0F-AB49-1B2FBB2A4AE3}" name=".." dataDxfId="879"/>
    <tableColumn id="19" xr3:uid="{E79F0D1A-021F-4619-965F-7BA395CEEBE4}" name="…" dataDxfId="878"/>
    <tableColumn id="18" xr3:uid="{3607C232-1537-4448-9CD1-D58F119603B2}" name="…." dataDxfId="877">
      <calculatedColumnFormula>WO2025Jan710814161822242830323438404244464854565862646668707274766812161820222436[[#This Row],[CV]]*2.5</calculatedColumnFormula>
    </tableColumn>
    <tableColumn id="17" xr3:uid="{ABD6CF04-0368-4F7A-95DA-CB4813961FDE}" name="….." dataDxfId="876">
      <calculatedColumnFormula>WO2025Jan710814161822242830323438404244464854565862646668707274766812161820222436[[#This Row],[VO2]]</calculatedColumnFormula>
    </tableColumn>
    <tableColumn id="15" xr3:uid="{ABDCC19E-7560-4A60-A7A3-885DDFCBA400}" name="…..." dataDxfId="875">
      <calculatedColumnFormula>WO2025Jan710814161822242830323438404244464854565862646668707274766812161820222436[[#This Row],[I]]*2</calculatedColumnFormula>
    </tableColumn>
    <tableColumn id="16" xr3:uid="{DBACC19E-1D01-42AF-A215-DEF03E636EE6}" name="…...." dataDxfId="874">
      <calculatedColumnFormula>WO2025Jan710814161822242830323438404244464854565862646668707274766812161820222436[[#This Row],[VO2]]</calculatedColumnFormula>
    </tableColumn>
    <tableColumn id="22" xr3:uid="{8F4E61CB-18FF-4922-9889-AAE991CA9530}" name="…....." dataDxfId="873"/>
    <tableColumn id="2" xr3:uid="{34BE8C27-E163-48AE-A877-58F3E9F648E5}" name="…......" dataDxfId="872"/>
    <tableColumn id="23" xr3:uid="{7A18C9E5-3E7A-4BC5-8FE9-28A2719BD07E}" name="…......." dataDxfId="871"/>
    <tableColumn id="24" xr3:uid="{0B139F50-9444-41D4-A9A4-B994D2A5DE30}" name="G" dataDxfId="870"/>
  </tableColumns>
  <tableStyleInfo name="TableStyleMedium3"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F34D6A33-495F-4A12-B7C3-3B037877B237}" name="WO2025Jan7men11915171923252931333539414345474955575963656769717375777913171921232537" displayName="WO2025Jan7men11915171923252931333539414345474955575963656769717375777913171921232537" ref="A58:W144" totalsRowShown="0" headerRowDxfId="869" tableBorderDxfId="868">
  <autoFilter ref="A58:W144" xr:uid="{5DFF29F2-4664-45E4-9AA3-D72D6EA677C9}"/>
  <sortState xmlns:xlrd2="http://schemas.microsoft.com/office/spreadsheetml/2017/richdata2" ref="A59:W141">
    <sortCondition ref="W58:W141"/>
  </sortState>
  <tableColumns count="23">
    <tableColumn id="1" xr3:uid="{23C4132A-DB2E-4C83-9044-FE712850CE6E}" name="WO 10/24/2025" dataDxfId="867"/>
    <tableColumn id="2" xr3:uid="{9B67C69E-7757-4617-9F67-0D852256B3E4}" name="5k" dataDxfId="866"/>
    <tableColumn id="3" xr3:uid="{E39723A6-78DE-431C-9767-EB842B1823D5}" name="Mile" dataDxfId="865"/>
    <tableColumn id="4" xr3:uid="{5230F0F9-9341-40E9-8C43-82D1CDB4377E}" name="3k" dataDxfId="864">
      <calculatedColumnFormula>B59*E59</calculatedColumnFormula>
    </tableColumn>
    <tableColumn id="5" xr3:uid="{F48ECDDF-4BBB-430D-9F3A-243C49E4089A}" name="Percent" dataDxfId="863"/>
    <tableColumn id="6" xr3:uid="{5BF9F8C4-B39E-49F1-8824-455DF3FC2017}" name="R" dataDxfId="862">
      <calculatedColumnFormula>C59/4</calculatedColumnFormula>
    </tableColumn>
    <tableColumn id="7" xr3:uid="{0D143445-AE1C-474B-8455-E86A21E35551}" name="VO2" dataDxfId="861">
      <calculatedColumnFormula>D59/7.5</calculatedColumnFormula>
    </tableColumn>
    <tableColumn id="8" xr3:uid="{2840DC6E-ED10-440A-85BE-BEDF6559A9A1}" name="I" dataDxfId="860">
      <calculatedColumnFormula>B59/12.5</calculatedColumnFormula>
    </tableColumn>
    <tableColumn id="9" xr3:uid="{CEFDA04F-1F75-4826-B030-C4FC0B94499C}" name="10k" dataDxfId="859">
      <calculatedColumnFormula>G59/0.93</calculatedColumnFormula>
    </tableColumn>
    <tableColumn id="10" xr3:uid="{4F4398E4-9BAD-438C-9ABD-8971D71B0FA3}" name="CV" dataDxfId="858">
      <calculatedColumnFormula>G59/0.92</calculatedColumnFormula>
    </tableColumn>
    <tableColumn id="11" xr3:uid="{920D3827-5D86-4489-9B31-A3B828133FC3}" name="Thresh" dataDxfId="857">
      <calculatedColumnFormula>G59/0.88</calculatedColumnFormula>
    </tableColumn>
    <tableColumn id="12" xr3:uid="{7A6F19A5-7A20-4850-8D2A-31D2D4F74AFC}" name="Thresh L" dataDxfId="856">
      <calculatedColumnFormula>G59/0.84</calculatedColumnFormula>
    </tableColumn>
    <tableColumn id="13" xr3:uid="{9DBCD34C-D34A-4527-8C03-203E10F64F66}" name="." dataDxfId="855">
      <calculatedColumnFormula>WO2025Jan7men11915171923252931333539414345474955575963656769717375777913171921232537[[#This Row],[Thresh]]</calculatedColumnFormula>
    </tableColumn>
    <tableColumn id="14" xr3:uid="{36D3B00E-AD85-4BF1-A3AE-1FB1A68ECD13}" name=".." dataDxfId="854">
      <calculatedColumnFormula>WO2025Jan7men11915171923252931333539414345474955575963656769717375777913171921232537[[#This Row],[Thresh]]*2.5</calculatedColumnFormula>
    </tableColumn>
    <tableColumn id="15" xr3:uid="{9427F971-542F-4415-953D-B49667AE550E}" name="…"/>
    <tableColumn id="16" xr3:uid="{3AF9DE1F-07EF-47A6-A8CC-05A02F7B9C79}" name="…." dataDxfId="853">
      <calculatedColumnFormula>WO2025Jan7men11915171923252931333539414345474955575963656769717375777913171921232537[[#This Row],[…]]*1.5</calculatedColumnFormula>
    </tableColumn>
    <tableColumn id="18" xr3:uid="{707902B6-D883-43B0-8C2C-984BC5914129}" name="….." dataDxfId="852">
      <calculatedColumnFormula>WO2025Jan7men11915171923252931333539414345474955575963656769717375777913171921232537[[#This Row],[VO2]]/2</calculatedColumnFormula>
    </tableColumn>
    <tableColumn id="19" xr3:uid="{4EDE2951-323F-4EB8-9962-A8A2558B0F86}" name="…..." dataDxfId="851">
      <calculatedColumnFormula>WO2025Jan7men11915171923252931333539414345474955575963656769717375777913171921232537[[#This Row],[I]]</calculatedColumnFormula>
    </tableColumn>
    <tableColumn id="24" xr3:uid="{A7048704-60E9-4EEA-844C-C4D14FC12C95}" name="…...." dataDxfId="850">
      <calculatedColumnFormula>SUM(WO2025Jan7men11915171923252931333539414345474955575963656769717375777913171921232537[[#This Row],[…]:[…...]])</calculatedColumnFormula>
    </tableColumn>
    <tableColumn id="17" xr3:uid="{BCBB299D-2B39-445A-820B-7589430C105E}" name="…....." dataDxfId="849"/>
    <tableColumn id="20" xr3:uid="{092EDF0A-46DC-425A-A188-2AA0E806700F}" name="…......" dataDxfId="848">
      <calculatedColumnFormula>WO2025Jan7men11915171923252931333539414345474955575963656769717375777913171921232537[[#This Row],[I]]*1.5</calculatedColumnFormula>
    </tableColumn>
    <tableColumn id="21" xr3:uid="{4CCDB8DE-1937-4396-82DA-36AE798FEC25}" name="…......." dataDxfId="847">
      <calculatedColumnFormula>WO2025Jan7men11915171923252931333539414345474955575963656769717375777913171921232537[[#This Row],[VO2]]</calculatedColumnFormula>
    </tableColumn>
    <tableColumn id="22" xr3:uid="{A88EA25C-025F-4E76-8EC9-46BC51B1B9FE}" name="G" dataDxfId="846"/>
  </tableColumns>
  <tableStyleInfo name="TableStyleMedium3"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FA5202A1-7EF5-4DDC-9FCB-1F3E5F689DB9}" name="WO2025Jan7108141618222428303234384042444648545658626466687072747668121618202226283234" displayName="WO2025Jan7108141618222428303234384042444648545658626466687072747668121618202226283234" ref="A1:W57" totalsRowShown="0" headerRowDxfId="845" dataDxfId="844" tableBorderDxfId="843">
  <autoFilter ref="A1:W57" xr:uid="{13733F23-878A-465D-B549-8D39D5BC5CA4}"/>
  <sortState xmlns:xlrd2="http://schemas.microsoft.com/office/spreadsheetml/2017/richdata2" ref="A2:W57">
    <sortCondition ref="W1:W57"/>
  </sortState>
  <tableColumns count="23">
    <tableColumn id="1" xr3:uid="{5DFEAB52-ABA5-4537-B5B8-7DDA9B031B6E}" name="WO 10/21/2025" dataDxfId="842"/>
    <tableColumn id="4" xr3:uid="{11545FBB-7FCE-4B48-A258-AF5121647D1D}" name="5k" dataDxfId="841"/>
    <tableColumn id="5" xr3:uid="{E7B7C208-6304-44EC-B15F-D3F8D4893535}" name="Mile" dataDxfId="840"/>
    <tableColumn id="6" xr3:uid="{667BBB85-6373-4166-BD05-43BCB1043D25}" name="3k" dataDxfId="839">
      <calculatedColumnFormula>B2*E2</calculatedColumnFormula>
    </tableColumn>
    <tableColumn id="7" xr3:uid="{C2EEC777-D464-4DDB-8898-88CBFB241E1D}" name="Percent" dataDxfId="838"/>
    <tableColumn id="8" xr3:uid="{780BC383-2BD5-4BA5-AA5A-18819B1E8F25}" name="R" dataDxfId="837">
      <calculatedColumnFormula>C2/4</calculatedColumnFormula>
    </tableColumn>
    <tableColumn id="10" xr3:uid="{BAC7FD0A-432F-451F-BFA6-EE38396313A9}" name="VO2" dataDxfId="836">
      <calculatedColumnFormula>D2/7.5</calculatedColumnFormula>
    </tableColumn>
    <tableColumn id="9" xr3:uid="{117BC2C9-D816-4584-B34C-E4694EE04C4F}" name="I" dataDxfId="835">
      <calculatedColumnFormula>B2/12.5</calculatedColumnFormula>
    </tableColumn>
    <tableColumn id="11" xr3:uid="{3D995E74-5825-4899-B601-3DF1607FADA3}" name="10k" dataDxfId="834">
      <calculatedColumnFormula>G2/0.93</calculatedColumnFormula>
    </tableColumn>
    <tableColumn id="12" xr3:uid="{996516BA-6D66-43CF-891D-837B1A048514}" name="CV" dataDxfId="833">
      <calculatedColumnFormula>G2/0.92</calculatedColumnFormula>
    </tableColumn>
    <tableColumn id="13" xr3:uid="{415A60BB-137B-470C-B233-D97C2CD5ABCC}" name="Thresh" dataDxfId="832">
      <calculatedColumnFormula>G2/0.88</calculatedColumnFormula>
    </tableColumn>
    <tableColumn id="14" xr3:uid="{3C1EA9BF-F826-4F13-9E94-F05473FEA95B}" name="Thresh L" dataDxfId="831">
      <calculatedColumnFormula>G2/0.84</calculatedColumnFormula>
    </tableColumn>
    <tableColumn id="21" xr3:uid="{8C8DEB40-51E8-4D17-AB2A-F452D35B7947}" name="T (400)" dataDxfId="830"/>
    <tableColumn id="20" xr3:uid="{5048062F-8DA8-4087-A449-6DCFAEC69472}" name="800 T" dataDxfId="829"/>
    <tableColumn id="19" xr3:uid="{502147EA-A45E-4416-8428-D5997FB6A55C}" name="400 CV" dataDxfId="828"/>
    <tableColumn id="18" xr3:uid="{0703C317-D861-4888-A982-E71619F9F904}" name="200 VO2" dataDxfId="827">
      <calculatedColumnFormula>WO2025Jan7108141618222428303234384042444648545658626466687072747668121618202226283234[[#This Row],[CV]]*2.5</calculatedColumnFormula>
    </tableColumn>
    <tableColumn id="17" xr3:uid="{5AA5DBF1-A992-4037-95B2-87D0A2F57B3F}" name="200 R" dataDxfId="826">
      <calculatedColumnFormula>WO2025Jan7108141618222428303234384042444648545658626466687072747668121618202226283234[[#This Row],[VO2]]</calculatedColumnFormula>
    </tableColumn>
    <tableColumn id="15" xr3:uid="{D541AA36-41F8-4641-A4E2-F86C413A793C}" name="…..." dataDxfId="825">
      <calculatedColumnFormula>WO2025Jan7108141618222428303234384042444648545658626466687072747668121618202226283234[[#This Row],[I]]*2</calculatedColumnFormula>
    </tableColumn>
    <tableColumn id="16" xr3:uid="{C5552B7A-1333-4452-825B-466BF3207F60}" name="…...." dataDxfId="824">
      <calculatedColumnFormula>WO2025Jan7108141618222428303234384042444648545658626466687072747668121618202226283234[[#This Row],[VO2]]</calculatedColumnFormula>
    </tableColumn>
    <tableColumn id="22" xr3:uid="{6334E0A1-4BDE-471A-8851-954F9F51F7EF}" name="…....." dataDxfId="823"/>
    <tableColumn id="2" xr3:uid="{F5940834-D934-4630-82ED-7282D843420F}" name="…......" dataDxfId="822"/>
    <tableColumn id="23" xr3:uid="{8C2342C1-ED6D-48BE-B734-5B822B6AE043}" name="…......." dataDxfId="821"/>
    <tableColumn id="24" xr3:uid="{ACEB85BA-655C-4989-A06B-9F5819A8042F}" name="G" dataDxfId="820"/>
  </tableColumns>
  <tableStyleInfo name="TableStyleMedium3"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A3F8C282-3110-4C07-AA04-9B5F6B7A17A6}" name="WO2025Jan7men119151719232529313335394143454749555759636567697173757779131719212327293335" displayName="WO2025Jan7men119151719232529313335394143454749555759636567697173757779131719212327293335" ref="A58:W144" totalsRowShown="0" headerRowDxfId="819" tableBorderDxfId="818">
  <autoFilter ref="A58:W144" xr:uid="{5DFF29F2-4664-45E4-9AA3-D72D6EA677C9}"/>
  <sortState xmlns:xlrd2="http://schemas.microsoft.com/office/spreadsheetml/2017/richdata2" ref="A59:W141">
    <sortCondition ref="W58:W141"/>
  </sortState>
  <tableColumns count="23">
    <tableColumn id="1" xr3:uid="{787FCF2F-A89D-40A1-8ED7-D10ACCAE6C16}" name="WO 10/21/2025" dataDxfId="817"/>
    <tableColumn id="2" xr3:uid="{07050ABD-32B7-4C56-9AE0-BC923439F82A}" name="5k" dataDxfId="816"/>
    <tableColumn id="3" xr3:uid="{F60AE58E-75D6-4393-B608-742D251A5D07}" name="Mile" dataDxfId="815"/>
    <tableColumn id="4" xr3:uid="{850C1E5B-54BA-4AD5-B869-003C05C818BC}" name="3k" dataDxfId="814">
      <calculatedColumnFormula>B59*E59</calculatedColumnFormula>
    </tableColumn>
    <tableColumn id="5" xr3:uid="{CCACD4AA-8D60-4F34-842C-FDD940447491}" name="Percent" dataDxfId="813"/>
    <tableColumn id="6" xr3:uid="{19A67173-6ED9-4A55-9C10-A8C25332F428}" name="R" dataDxfId="812">
      <calculatedColumnFormula>C59/4</calculatedColumnFormula>
    </tableColumn>
    <tableColumn id="7" xr3:uid="{AD6BEBDB-8E95-47C9-94F2-DC71F340E859}" name="VO2" dataDxfId="811">
      <calculatedColumnFormula>D59/7.5</calculatedColumnFormula>
    </tableColumn>
    <tableColumn id="8" xr3:uid="{095943DD-507C-4436-A84E-4D19150DE0C9}" name="I" dataDxfId="810">
      <calculatedColumnFormula>B59/12.5</calculatedColumnFormula>
    </tableColumn>
    <tableColumn id="9" xr3:uid="{F867C4E9-4F93-42D6-A806-20EB5B6C4616}" name="10k" dataDxfId="809">
      <calculatedColumnFormula>G59/0.93</calculatedColumnFormula>
    </tableColumn>
    <tableColumn id="10" xr3:uid="{697BB3A8-AA2F-46EC-B1A1-2D0B3C71A35D}" name="CV" dataDxfId="808">
      <calculatedColumnFormula>G59/0.92</calculatedColumnFormula>
    </tableColumn>
    <tableColumn id="11" xr3:uid="{C45866D5-00E4-4EEB-A891-47DD0C0E3B2E}" name="Thresh" dataDxfId="807">
      <calculatedColumnFormula>G59/0.88</calculatedColumnFormula>
    </tableColumn>
    <tableColumn id="12" xr3:uid="{35C2E924-A0FE-420C-BB4B-68F61C957EAD}" name="Thresh L" dataDxfId="806">
      <calculatedColumnFormula>G59/0.84</calculatedColumnFormula>
    </tableColumn>
    <tableColumn id="13" xr3:uid="{C80CA318-F46B-49DA-B4B1-2D73D820086F}" name="T (400)" dataDxfId="805">
      <calculatedColumnFormula>WO2025Jan7men119151719232529313335394143454749555759636567697173757779131719212327293335[[#This Row],[Thresh]]</calculatedColumnFormula>
    </tableColumn>
    <tableColumn id="14" xr3:uid="{4CC48EB4-DCB4-4186-A90B-372876703883}" name="600 T" dataDxfId="804">
      <calculatedColumnFormula>WO2025Jan7men119151719232529313335394143454749555759636567697173757779131719212327293335[[#This Row],[Thresh]]*2.5</calculatedColumnFormula>
    </tableColumn>
    <tableColumn id="15" xr3:uid="{C3D7F0B5-CC72-491C-9C50-07B3D15EC44B}" name="400 CV"/>
    <tableColumn id="16" xr3:uid="{6EA7AC01-393D-4BA7-9239-5D3893B8F9D9}" name="400 VO2" dataDxfId="803">
      <calculatedColumnFormula>WO2025Jan7men119151719232529313335394143454749555759636567697173757779131719212327293335[[#This Row],[400 CV]]*1.5</calculatedColumnFormula>
    </tableColumn>
    <tableColumn id="18" xr3:uid="{0D02BE63-4815-4817-B76F-6F58288FD106}" name="….." dataDxfId="802">
      <calculatedColumnFormula>WO2025Jan7men119151719232529313335394143454749555759636567697173757779131719212327293335[[#This Row],[VO2]]/2</calculatedColumnFormula>
    </tableColumn>
    <tableColumn id="19" xr3:uid="{058150F0-E035-4AEE-80B9-EA13264CC0D2}" name="…..." dataDxfId="801">
      <calculatedColumnFormula>WO2025Jan7men119151719232529313335394143454749555759636567697173757779131719212327293335[[#This Row],[I]]</calculatedColumnFormula>
    </tableColumn>
    <tableColumn id="24" xr3:uid="{4F33507F-4428-4F75-BB09-4A1D3330CA3A}" name="…...." dataDxfId="800">
      <calculatedColumnFormula>SUM(WO2025Jan7men119151719232529313335394143454749555759636567697173757779131719212327293335[[#This Row],[400 CV]:[…...]])</calculatedColumnFormula>
    </tableColumn>
    <tableColumn id="17" xr3:uid="{FEB959CC-BAC7-4ED4-BAF2-2D0E5FD9883F}" name="…....." dataDxfId="799"/>
    <tableColumn id="20" xr3:uid="{51607047-BC7D-4D6E-B351-BE4B7090A739}" name="…......" dataDxfId="798">
      <calculatedColumnFormula>WO2025Jan7men119151719232529313335394143454749555759636567697173757779131719212327293335[[#This Row],[I]]*1.5</calculatedColumnFormula>
    </tableColumn>
    <tableColumn id="21" xr3:uid="{44CE6EB3-4D1B-417A-96A1-0EFCC86BD24A}" name="…......." dataDxfId="797">
      <calculatedColumnFormula>WO2025Jan7men119151719232529313335394143454749555759636567697173757779131719212327293335[[#This Row],[VO2]]</calculatedColumnFormula>
    </tableColumn>
    <tableColumn id="22" xr3:uid="{0A6DE7E2-D9E5-4CAB-B3AA-660F8922DAD7}" name="G" dataDxfId="796"/>
  </tableColumns>
  <tableStyleInfo name="TableStyleMedium3"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1E5E3A06-1BB1-4932-AB17-FFC8BDCA0B35}" name="WO2025Jan71081416182224283032343840424446485456586264666870727476681216182022262832" displayName="WO2025Jan71081416182224283032343840424446485456586264666870727476681216182022262832" ref="A1:W57" totalsRowShown="0" headerRowDxfId="795" dataDxfId="794" tableBorderDxfId="793">
  <autoFilter ref="A1:W57" xr:uid="{13733F23-878A-465D-B549-8D39D5BC5CA4}"/>
  <sortState xmlns:xlrd2="http://schemas.microsoft.com/office/spreadsheetml/2017/richdata2" ref="A2:W57">
    <sortCondition ref="W1:W57"/>
  </sortState>
  <tableColumns count="23">
    <tableColumn id="1" xr3:uid="{DB5DADAC-5509-498E-B624-FDC0AE19C2AA}" name="WO 10/14/2025" dataDxfId="792"/>
    <tableColumn id="4" xr3:uid="{69720617-9A14-49F2-A3D0-A2F0B9A825DB}" name="5k" dataDxfId="791"/>
    <tableColumn id="5" xr3:uid="{96256807-CCA2-429F-94FD-3327CACDD6CF}" name="Mile" dataDxfId="790"/>
    <tableColumn id="6" xr3:uid="{A3A2AF1E-76C4-4A76-ACEB-CB27A14F7452}" name="3k" dataDxfId="789">
      <calculatedColumnFormula>B2*E2</calculatedColumnFormula>
    </tableColumn>
    <tableColumn id="7" xr3:uid="{72BEC53A-8152-45A5-8B1B-7866AACBC5EB}" name="Percent" dataDxfId="788"/>
    <tableColumn id="8" xr3:uid="{28488FC4-B25B-4EC3-B860-1616D66FA534}" name="R" dataDxfId="787">
      <calculatedColumnFormula>C2/4</calculatedColumnFormula>
    </tableColumn>
    <tableColumn id="10" xr3:uid="{237D07A2-D794-4EB4-8E4C-6F26F63103CE}" name="VO2" dataDxfId="786">
      <calculatedColumnFormula>D2/7.5</calculatedColumnFormula>
    </tableColumn>
    <tableColumn id="9" xr3:uid="{E370488F-A5A4-418F-B70D-8F66320C88A1}" name="I" dataDxfId="785">
      <calculatedColumnFormula>B2/12.5</calculatedColumnFormula>
    </tableColumn>
    <tableColumn id="11" xr3:uid="{D807E3A9-7BBD-4D10-98FC-11EBF6346050}" name="10k" dataDxfId="784">
      <calculatedColumnFormula>G2/0.93</calculatedColumnFormula>
    </tableColumn>
    <tableColumn id="12" xr3:uid="{A587B130-A1C2-45EB-A069-C8802C08E95F}" name="CV" dataDxfId="783">
      <calculatedColumnFormula>G2/0.92</calculatedColumnFormula>
    </tableColumn>
    <tableColumn id="13" xr3:uid="{193B7087-897F-4C5E-951E-4731C4C05FCF}" name="Thresh" dataDxfId="782">
      <calculatedColumnFormula>G2/0.88</calculatedColumnFormula>
    </tableColumn>
    <tableColumn id="14" xr3:uid="{62EE4E22-533E-4F26-BFC9-78F32CAC2AC1}" name="Thresh L" dataDxfId="781">
      <calculatedColumnFormula>G2/0.84</calculatedColumnFormula>
    </tableColumn>
    <tableColumn id="21" xr3:uid="{30FA8CFA-82BD-4167-AC3B-0FE02FED3DCA}" name="T (400)" dataDxfId="780"/>
    <tableColumn id="20" xr3:uid="{45608A9C-F0A0-4117-A2F2-467903C6DF6F}" name="1k T" dataDxfId="779"/>
    <tableColumn id="19" xr3:uid="{478589E4-9CC2-4F26-BB55-B99B232EE75B}" name="CV (400)" dataDxfId="778"/>
    <tableColumn id="18" xr3:uid="{11D86784-6B28-4EA5-A7F2-C09C5D247DF5}" name="1k CV" dataDxfId="777">
      <calculatedColumnFormula>WO2025Jan71081416182224283032343840424446485456586264666870727476681216182022262832[[#This Row],[CV]]*2.5</calculatedColumnFormula>
    </tableColumn>
    <tableColumn id="17" xr3:uid="{42A902BD-EAB8-4F5A-96C9-DD2AC63A1C82}" name="I (400)" dataDxfId="776">
      <calculatedColumnFormula>WO2025Jan71081416182224283032343840424446485456586264666870727476681216182022262832[[#This Row],[VO2]]</calculatedColumnFormula>
    </tableColumn>
    <tableColumn id="15" xr3:uid="{08DFAFDC-1B0A-4482-812C-BF757F421C36}" name="1k I" dataDxfId="775">
      <calculatedColumnFormula>WO2025Jan71081416182224283032343840424446485456586264666870727476681216182022262832[[#This Row],[I]]*2</calculatedColumnFormula>
    </tableColumn>
    <tableColumn id="16" xr3:uid="{642F2C0A-C272-4FF9-B138-1C78ABF68D80}" name="400 VO2" dataDxfId="774">
      <calculatedColumnFormula>WO2025Jan71081416182224283032343840424446485456586264666870727476681216182022262832[[#This Row],[VO2]]</calculatedColumnFormula>
    </tableColumn>
    <tableColumn id="22" xr3:uid="{76E5DAEE-D7FF-433F-9080-4A42B2AF0902}" name="…....." dataDxfId="773"/>
    <tableColumn id="2" xr3:uid="{256CD2BA-4CBC-46EC-BCD1-DE68B35F230A}" name="…......" dataDxfId="772"/>
    <tableColumn id="23" xr3:uid="{4F1212AB-C0F3-4867-B12D-23CB62004F2D}" name="…......." dataDxfId="771"/>
    <tableColumn id="24" xr3:uid="{D5E83E93-3D5C-4E77-8B05-4C8E99DFB410}" name="G" dataDxfId="770"/>
  </tableColumns>
  <tableStyleInfo name="TableStyleMedium3"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8A8C029-B1F4-44E9-A4D2-2F13727B8387}" name="WO2025Jan7men1191517192325293133353941434547495557596365676971737577791317192123272933" displayName="WO2025Jan7men1191517192325293133353941434547495557596365676971737577791317192123272933" ref="A58:W144" totalsRowShown="0" headerRowDxfId="769" tableBorderDxfId="768">
  <autoFilter ref="A58:W144" xr:uid="{5DFF29F2-4664-45E4-9AA3-D72D6EA677C9}"/>
  <sortState xmlns:xlrd2="http://schemas.microsoft.com/office/spreadsheetml/2017/richdata2" ref="A59:W141">
    <sortCondition ref="W58:W141"/>
  </sortState>
  <tableColumns count="23">
    <tableColumn id="1" xr3:uid="{365954FC-11DE-4850-9C60-847DE781D52B}" name="WO 10/14/2025" dataDxfId="767"/>
    <tableColumn id="2" xr3:uid="{B29B7097-E700-47B1-BE07-48F8AFBF87D1}" name="5k" dataDxfId="766"/>
    <tableColumn id="3" xr3:uid="{FC0EE9A4-8BCB-46D4-8D62-CC7B1A6BD4ED}" name="Mile" dataDxfId="765"/>
    <tableColumn id="4" xr3:uid="{C0488796-E579-469C-AE2F-32B574F2908F}" name="3k" dataDxfId="764">
      <calculatedColumnFormula>B59*E59</calculatedColumnFormula>
    </tableColumn>
    <tableColumn id="5" xr3:uid="{1A92671C-A312-4E2A-BCD6-9326830DA5B0}" name="Percent" dataDxfId="763"/>
    <tableColumn id="6" xr3:uid="{BD677559-474E-4DAF-BE8C-C5E49C87D055}" name="R" dataDxfId="762">
      <calculatedColumnFormula>C59/4</calculatedColumnFormula>
    </tableColumn>
    <tableColumn id="7" xr3:uid="{7A945959-1B1B-4AC2-92FB-C9EBF6E03B61}" name="VO2" dataDxfId="761">
      <calculatedColumnFormula>D59/7.5</calculatedColumnFormula>
    </tableColumn>
    <tableColumn id="8" xr3:uid="{3EBEBEEA-0D9F-4052-B894-2FABD90A823C}" name="I" dataDxfId="760">
      <calculatedColumnFormula>B59/12.5</calculatedColumnFormula>
    </tableColumn>
    <tableColumn id="9" xr3:uid="{EF7F75C5-00F2-49FA-9A35-A68A108DEB05}" name="10k" dataDxfId="759">
      <calculatedColumnFormula>G59/0.93</calculatedColumnFormula>
    </tableColumn>
    <tableColumn id="10" xr3:uid="{A57A3103-484C-41F5-9EDC-9A23EAB91362}" name="CV" dataDxfId="758">
      <calculatedColumnFormula>G59/0.92</calculatedColumnFormula>
    </tableColumn>
    <tableColumn id="11" xr3:uid="{9E76FE11-7E0F-41EA-83CC-A8B356CF48A5}" name="Thresh" dataDxfId="757">
      <calculatedColumnFormula>G59/0.88</calculatedColumnFormula>
    </tableColumn>
    <tableColumn id="12" xr3:uid="{2288D7BF-ED74-41C7-8DBF-0CCED4D21109}" name="Thresh L" dataDxfId="756">
      <calculatedColumnFormula>G59/0.84</calculatedColumnFormula>
    </tableColumn>
    <tableColumn id="13" xr3:uid="{EAB1E78A-C208-498B-B4D7-42A9975FC06E}" name="T (400)" dataDxfId="755">
      <calculatedColumnFormula>WO2025Jan7men1191517192325293133353941434547495557596365676971737577791317192123272933[[#This Row],[Thresh]]</calculatedColumnFormula>
    </tableColumn>
    <tableColumn id="14" xr3:uid="{D3EA234A-E87E-4880-82AF-D0D598315EFF}" name="1k T" dataDxfId="754">
      <calculatedColumnFormula>WO2025Jan7men1191517192325293133353941434547495557596365676971737577791317192123272933[[#This Row],[Thresh]]*2.5</calculatedColumnFormula>
    </tableColumn>
    <tableColumn id="15" xr3:uid="{ED7D90B0-C7ED-42FC-BD3E-FDB861C7957A}" name="CV (400)"/>
    <tableColumn id="16" xr3:uid="{A8EFD0D0-EC70-4C17-A592-88D6E12801D1}" name="1k CV" dataDxfId="753">
      <calculatedColumnFormula>WO2025Jan7men1191517192325293133353941434547495557596365676971737577791317192123272933[[#This Row],[CV (400)]]*1.5</calculatedColumnFormula>
    </tableColumn>
    <tableColumn id="18" xr3:uid="{83F4CDE5-B3CE-45E1-A991-0D7971D12FB1}" name="I (400)" dataDxfId="752">
      <calculatedColumnFormula>WO2025Jan7men1191517192325293133353941434547495557596365676971737577791317192123272933[[#This Row],[VO2]]/2</calculatedColumnFormula>
    </tableColumn>
    <tableColumn id="19" xr3:uid="{5BF75156-C5BD-4799-8C9C-53C4CD288767}" name="1k I" dataDxfId="751">
      <calculatedColumnFormula>WO2025Jan7men1191517192325293133353941434547495557596365676971737577791317192123272933[[#This Row],[I]]</calculatedColumnFormula>
    </tableColumn>
    <tableColumn id="24" xr3:uid="{5359528A-E70F-44E8-B034-9BAB7248BE01}" name="400 VO2" dataDxfId="750">
      <calculatedColumnFormula>SUM(WO2025Jan7men1191517192325293133353941434547495557596365676971737577791317192123272933[[#This Row],[CV (400)]:[1k I]])</calculatedColumnFormula>
    </tableColumn>
    <tableColumn id="17" xr3:uid="{170FB235-AFF7-4619-8F61-A2D250A37AC4}" name="…....." dataDxfId="749"/>
    <tableColumn id="20" xr3:uid="{00DE758C-87B7-4B78-AEF8-6F0D7C6B2490}" name="…......" dataDxfId="748">
      <calculatedColumnFormula>WO2025Jan7men1191517192325293133353941434547495557596365676971737577791317192123272933[[#This Row],[I]]*1.5</calculatedColumnFormula>
    </tableColumn>
    <tableColumn id="21" xr3:uid="{F1AD3D15-D8FD-4E32-9F7F-612F8E7584DF}" name="…......." dataDxfId="747">
      <calculatedColumnFormula>WO2025Jan7men1191517192325293133353941434547495557596365676971737577791317192123272933[[#This Row],[VO2]]</calculatedColumnFormula>
    </tableColumn>
    <tableColumn id="22" xr3:uid="{5D502C15-CE86-42C2-A39F-70D801E7FFFC}" name="G" dataDxfId="746"/>
  </tableColumns>
  <tableStyleInfo name="TableStyleMedium3"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B030A18E-E9A0-49C2-AEB2-C8E2163453AA}" name="WO2025Jan710814161822242830323438404244464854565862646668707274766812161820222430" displayName="WO2025Jan710814161822242830323438404244464854565862646668707274766812161820222430" ref="A1:W57" totalsRowShown="0" headerRowDxfId="745" dataDxfId="744" tableBorderDxfId="743">
  <autoFilter ref="A1:W57" xr:uid="{13733F23-878A-465D-B549-8D39D5BC5CA4}"/>
  <sortState xmlns:xlrd2="http://schemas.microsoft.com/office/spreadsheetml/2017/richdata2" ref="A2:W57">
    <sortCondition ref="W1:W57"/>
  </sortState>
  <tableColumns count="23">
    <tableColumn id="1" xr3:uid="{8B812259-54E8-4D59-BC4F-2A0B6A659A9C}" name="WO 10/10/2025" dataDxfId="742"/>
    <tableColumn id="4" xr3:uid="{285AAE79-2EBA-4838-B461-232E304C79D2}" name="5k" dataDxfId="741"/>
    <tableColumn id="5" xr3:uid="{257AF8B3-C9F9-4887-AAF7-1D8E2404A52F}" name="Mile" dataDxfId="740"/>
    <tableColumn id="6" xr3:uid="{50C2D4CB-1972-4634-9291-06225EB51772}" name="3k" dataDxfId="739">
      <calculatedColumnFormula>B2*E2</calculatedColumnFormula>
    </tableColumn>
    <tableColumn id="7" xr3:uid="{614F6789-7129-4780-8633-142295537B0F}" name="Percent" dataDxfId="738"/>
    <tableColumn id="8" xr3:uid="{16F7EDE3-8887-4347-AA2D-A29A3ACDA44C}" name="R" dataDxfId="737">
      <calculatedColumnFormula>C2/4</calculatedColumnFormula>
    </tableColumn>
    <tableColumn id="10" xr3:uid="{22C1790D-E760-4515-9061-DF7907ED0E0F}" name="VO2" dataDxfId="736">
      <calculatedColumnFormula>D2/7.5</calculatedColumnFormula>
    </tableColumn>
    <tableColumn id="9" xr3:uid="{C439A4B7-0223-429E-A18B-54AD241A41A1}" name="I" dataDxfId="735">
      <calculatedColumnFormula>B2/12.5</calculatedColumnFormula>
    </tableColumn>
    <tableColumn id="11" xr3:uid="{49296FB8-478E-4FD5-8C19-149053D27490}" name="10k" dataDxfId="734">
      <calculatedColumnFormula>G2/0.93</calculatedColumnFormula>
    </tableColumn>
    <tableColumn id="12" xr3:uid="{01515F2F-BAF6-40D2-BE5D-3DE83878035D}" name="CV" dataDxfId="733">
      <calculatedColumnFormula>G2/0.92</calculatedColumnFormula>
    </tableColumn>
    <tableColumn id="13" xr3:uid="{14E7C198-F606-4CC8-95B3-AE67F80D8C5E}" name="Thresh" dataDxfId="732">
      <calculatedColumnFormula>G2/0.88</calculatedColumnFormula>
    </tableColumn>
    <tableColumn id="14" xr3:uid="{08351955-B70A-461A-897D-D6E7433D5FCF}" name="Thresh L" dataDxfId="731">
      <calculatedColumnFormula>G2/0.84</calculatedColumnFormula>
    </tableColumn>
    <tableColumn id="21" xr3:uid="{665C27A9-2EDD-4534-8193-092BAF153FF1}" name="." dataDxfId="730"/>
    <tableColumn id="20" xr3:uid="{ABE3EF52-B448-4EC1-AB7B-21C9DBC30F02}" name=".." dataDxfId="729"/>
    <tableColumn id="19" xr3:uid="{6371BF69-CBB0-42B0-BC84-41E12ED7B06F}" name="…" dataDxfId="728"/>
    <tableColumn id="18" xr3:uid="{B2040DC8-BFC0-4218-A85F-A1AC9B7F36FB}" name="…." dataDxfId="727">
      <calculatedColumnFormula>WO2025Jan710814161822242830323438404244464854565862646668707274766812161820222430[[#This Row],[CV]]*2.5</calculatedColumnFormula>
    </tableColumn>
    <tableColumn id="17" xr3:uid="{B29FE460-8938-435B-9ECC-799E8418BA0A}" name="….." dataDxfId="726">
      <calculatedColumnFormula>WO2025Jan710814161822242830323438404244464854565862646668707274766812161820222430[[#This Row],[VO2]]</calculatedColumnFormula>
    </tableColumn>
    <tableColumn id="15" xr3:uid="{37EF06B9-94AD-48FD-8B5C-0B57A9C9D64D}" name="…..." dataDxfId="725">
      <calculatedColumnFormula>WO2025Jan710814161822242830323438404244464854565862646668707274766812161820222430[[#This Row],[I]]*2</calculatedColumnFormula>
    </tableColumn>
    <tableColumn id="16" xr3:uid="{7BC90E83-7EEC-4ED5-89EC-F89297804DEF}" name="…...." dataDxfId="724">
      <calculatedColumnFormula>WO2025Jan710814161822242830323438404244464854565862646668707274766812161820222430[[#This Row],[VO2]]</calculatedColumnFormula>
    </tableColumn>
    <tableColumn id="22" xr3:uid="{180C3166-C6A4-49EA-9161-55A21A0587FD}" name="…....." dataDxfId="723"/>
    <tableColumn id="2" xr3:uid="{7A870785-E98B-481A-80F1-719E1470F33D}" name="…......" dataDxfId="722"/>
    <tableColumn id="23" xr3:uid="{9A50986E-EBC4-4CBA-974C-30DF1E5D0E14}" name="…......." dataDxfId="721"/>
    <tableColumn id="24" xr3:uid="{8FA42C34-410F-491D-9134-B2422F1FCBA1}" name="G" dataDxfId="720"/>
  </tableColumns>
  <tableStyleInfo name="TableStyleMedium3"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8BD7B7DE-70C9-4D13-8852-42AEAFC4F515}" name="WO2025Jan7men11915171923252931333539414345474955575963656769717375777913171921232531" displayName="WO2025Jan7men11915171923252931333539414345474955575963656769717375777913171921232531" ref="A58:W144" totalsRowShown="0" headerRowDxfId="719" tableBorderDxfId="718">
  <autoFilter ref="A58:W144" xr:uid="{5DFF29F2-4664-45E4-9AA3-D72D6EA677C9}"/>
  <sortState xmlns:xlrd2="http://schemas.microsoft.com/office/spreadsheetml/2017/richdata2" ref="A59:W141">
    <sortCondition ref="W58:W141"/>
  </sortState>
  <tableColumns count="23">
    <tableColumn id="1" xr3:uid="{DF32DCFE-C3F3-4366-97E8-05A0DCB12FC6}" name="WO 10/10/2025" dataDxfId="717"/>
    <tableColumn id="2" xr3:uid="{CE722715-EC4B-479A-B534-13F656356670}" name="5k" dataDxfId="716"/>
    <tableColumn id="3" xr3:uid="{76350465-BB30-4200-884B-C792BA98BA4A}" name="Mile" dataDxfId="715"/>
    <tableColumn id="4" xr3:uid="{1A6439AA-FE01-4C4F-A823-49B3A74DCC66}" name="3k" dataDxfId="714">
      <calculatedColumnFormula>B59*E59</calculatedColumnFormula>
    </tableColumn>
    <tableColumn id="5" xr3:uid="{07C43E09-8084-458E-ADBA-EC5992B21D18}" name="Percent" dataDxfId="713"/>
    <tableColumn id="6" xr3:uid="{C70F1428-3503-475B-9AEA-2B64DCC83F8A}" name="R" dataDxfId="712">
      <calculatedColumnFormula>C59/4</calculatedColumnFormula>
    </tableColumn>
    <tableColumn id="7" xr3:uid="{4B4E41D7-E010-437C-A825-AC90F020BC2D}" name="VO2" dataDxfId="711">
      <calculatedColumnFormula>D59/7.5</calculatedColumnFormula>
    </tableColumn>
    <tableColumn id="8" xr3:uid="{757C3448-3FCB-48CB-AD33-E0BA1D26183E}" name="I" dataDxfId="710">
      <calculatedColumnFormula>B59/12.5</calculatedColumnFormula>
    </tableColumn>
    <tableColumn id="9" xr3:uid="{1F38A583-3E90-4937-89AC-95A72E15AC48}" name="10k" dataDxfId="709">
      <calculatedColumnFormula>G59/0.93</calculatedColumnFormula>
    </tableColumn>
    <tableColumn id="10" xr3:uid="{0BCA15EE-DE59-4CE5-BD22-876362A30DAC}" name="CV" dataDxfId="708">
      <calculatedColumnFormula>G59/0.92</calculatedColumnFormula>
    </tableColumn>
    <tableColumn id="11" xr3:uid="{D1FC4A8F-AD56-4F64-B44D-BD4F36404C2D}" name="Thresh" dataDxfId="707">
      <calculatedColumnFormula>G59/0.88</calculatedColumnFormula>
    </tableColumn>
    <tableColumn id="12" xr3:uid="{6614B52D-00B3-41C2-A8F2-0A5E0E5E355F}" name="Thresh L" dataDxfId="706">
      <calculatedColumnFormula>G59/0.84</calculatedColumnFormula>
    </tableColumn>
    <tableColumn id="13" xr3:uid="{3F59D683-0D46-4953-9732-8F910FAD52DF}" name="." dataDxfId="705">
      <calculatedColumnFormula>WO2025Jan7men11915171923252931333539414345474955575963656769717375777913171921232531[[#This Row],[Thresh]]</calculatedColumnFormula>
    </tableColumn>
    <tableColumn id="14" xr3:uid="{62BBAE8D-5FC3-4723-B3EB-59135AE41E6E}" name=".." dataDxfId="704">
      <calculatedColumnFormula>WO2025Jan7men11915171923252931333539414345474955575963656769717375777913171921232531[[#This Row],[Thresh]]*2.5</calculatedColumnFormula>
    </tableColumn>
    <tableColumn id="15" xr3:uid="{E4FE5F3D-A0A1-4A9B-927F-D1A378295CE3}" name="…"/>
    <tableColumn id="16" xr3:uid="{356B4554-3892-4A36-82F9-AE230276A178}" name="…." dataDxfId="703">
      <calculatedColumnFormula>WO2025Jan7men11915171923252931333539414345474955575963656769717375777913171921232531[[#This Row],[…]]*1.5</calculatedColumnFormula>
    </tableColumn>
    <tableColumn id="18" xr3:uid="{D75C2E62-3CAB-4BF6-B34D-A05340DD7E5E}" name="….." dataDxfId="702">
      <calculatedColumnFormula>WO2025Jan7men11915171923252931333539414345474955575963656769717375777913171921232531[[#This Row],[VO2]]/2</calculatedColumnFormula>
    </tableColumn>
    <tableColumn id="19" xr3:uid="{566E8BA9-4EE5-42FB-A2F5-B546FCE67F16}" name="…..." dataDxfId="701">
      <calculatedColumnFormula>WO2025Jan7men11915171923252931333539414345474955575963656769717375777913171921232531[[#This Row],[I]]</calculatedColumnFormula>
    </tableColumn>
    <tableColumn id="24" xr3:uid="{814AE05C-6F79-45B6-B2AC-F85016D29D65}" name="…...." dataDxfId="700">
      <calculatedColumnFormula>SUM(WO2025Jan7men11915171923252931333539414345474955575963656769717375777913171921232531[[#This Row],[…]:[…...]])</calculatedColumnFormula>
    </tableColumn>
    <tableColumn id="17" xr3:uid="{F5FE897C-ECC8-4CEF-84BD-A15CAB721C17}" name="…....." dataDxfId="699"/>
    <tableColumn id="20" xr3:uid="{D04720B5-EDA6-4224-A7C9-142432376D7F}" name="…......" dataDxfId="698">
      <calculatedColumnFormula>WO2025Jan7men11915171923252931333539414345474955575963656769717375777913171921232531[[#This Row],[I]]*1.5</calculatedColumnFormula>
    </tableColumn>
    <tableColumn id="21" xr3:uid="{5D9D33E6-9A6C-40B1-8D8A-7351EDB963A7}" name="…......." dataDxfId="697">
      <calculatedColumnFormula>WO2025Jan7men11915171923252931333539414345474955575963656769717375777913171921232531[[#This Row],[VO2]]</calculatedColumnFormula>
    </tableColumn>
    <tableColumn id="22" xr3:uid="{B2709A7E-DAA5-4422-87DD-C58BF546B058}" name="G" dataDxfId="696"/>
  </tableColumns>
  <tableStyleInfo name="TableStyleMedium3"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6C95AD06-7C1E-4AD8-AB02-BD077FB9E44A}" name="WO2025Jan710814161822242830323438404244464854565862646668707274766812161820222628" displayName="WO2025Jan710814161822242830323438404244464854565862646668707274766812161820222628" ref="A1:W57" totalsRowShown="0" headerRowDxfId="695" dataDxfId="694" tableBorderDxfId="693">
  <autoFilter ref="A1:W57" xr:uid="{13733F23-878A-465D-B549-8D39D5BC5CA4}"/>
  <sortState xmlns:xlrd2="http://schemas.microsoft.com/office/spreadsheetml/2017/richdata2" ref="A2:W57">
    <sortCondition ref="W1:W57"/>
  </sortState>
  <tableColumns count="23">
    <tableColumn id="1" xr3:uid="{C978FAD4-0E6B-4497-9F2C-8BC92653F35F}" name="WO 10/7/2025" dataDxfId="692"/>
    <tableColumn id="4" xr3:uid="{A5E46F91-7FB0-4713-BE7A-EE046CAF5D56}" name="5k" dataDxfId="691"/>
    <tableColumn id="5" xr3:uid="{F7D5098F-6DF2-4E1B-A879-504416FBA4DB}" name="Mile" dataDxfId="690"/>
    <tableColumn id="6" xr3:uid="{A0928B8F-242C-412D-BA1E-9D9547776ED6}" name="3k" dataDxfId="689">
      <calculatedColumnFormula>B2*E2</calculatedColumnFormula>
    </tableColumn>
    <tableColumn id="7" xr3:uid="{0B83E0CC-BCED-4DCE-B05C-F882C659779C}" name="Percent" dataDxfId="688"/>
    <tableColumn id="8" xr3:uid="{C3E99C7C-DCAE-475F-AFA7-C22936A3F606}" name="R" dataDxfId="687">
      <calculatedColumnFormula>C2/4</calculatedColumnFormula>
    </tableColumn>
    <tableColumn id="10" xr3:uid="{8F463B80-38AF-4E1C-80FC-D9E3BC4A2DA8}" name="VO2" dataDxfId="686">
      <calculatedColumnFormula>D2/7.5</calculatedColumnFormula>
    </tableColumn>
    <tableColumn id="9" xr3:uid="{3492C3CB-2393-41E2-9AAB-38CCE251F929}" name="I" dataDxfId="685">
      <calculatedColumnFormula>B2/12.5</calculatedColumnFormula>
    </tableColumn>
    <tableColumn id="11" xr3:uid="{1A021CB8-CD7B-4F7B-82BF-8AD17AB53158}" name="10k" dataDxfId="684">
      <calculatedColumnFormula>G2/0.93</calculatedColumnFormula>
    </tableColumn>
    <tableColumn id="12" xr3:uid="{421F549D-12F9-4272-8B13-2E644225E93C}" name="CV" dataDxfId="683">
      <calculatedColumnFormula>G2/0.92</calculatedColumnFormula>
    </tableColumn>
    <tableColumn id="13" xr3:uid="{8E991BE5-2272-4F7F-8D07-95D3C2011902}" name="Thresh" dataDxfId="682">
      <calculatedColumnFormula>G2/0.88</calculatedColumnFormula>
    </tableColumn>
    <tableColumn id="14" xr3:uid="{D21B7057-A004-4067-986E-7725AA84AA36}" name="Thresh L" dataDxfId="681">
      <calculatedColumnFormula>G2/0.84</calculatedColumnFormula>
    </tableColumn>
    <tableColumn id="21" xr3:uid="{285D7A3F-94E6-46F4-88EF-E37051211F12}" name="T (400)" dataDxfId="680"/>
    <tableColumn id="20" xr3:uid="{444FF381-E864-42D8-A477-9993DAE6856E}" name="1200 T" dataDxfId="679"/>
    <tableColumn id="19" xr3:uid="{CF205B8E-FDC8-404D-884F-8A1CEE6B87A5}" name="CV (400)" dataDxfId="678"/>
    <tableColumn id="18" xr3:uid="{E3B67150-3E10-4214-BFC4-3DB502C9445B}" name="600 CV" dataDxfId="677">
      <calculatedColumnFormula>WO2025Jan710814161822242830323438404244464854565862646668707274766812161820222628[[#This Row],[CV]]*2.5</calculatedColumnFormula>
    </tableColumn>
    <tableColumn id="17" xr3:uid="{1249CCC1-31EA-4BC5-AC50-73BF31339D15}" name="I (400)" dataDxfId="676">
      <calculatedColumnFormula>WO2025Jan710814161822242830323438404244464854565862646668707274766812161820222628[[#This Row],[VO2]]</calculatedColumnFormula>
    </tableColumn>
    <tableColumn id="15" xr3:uid="{18CFF78C-0C78-42FF-9DC6-211FDB51C2CC}" name="1600 I" dataDxfId="675">
      <calculatedColumnFormula>WO2025Jan710814161822242830323438404244464854565862646668707274766812161820222628[[#This Row],[I]]*2</calculatedColumnFormula>
    </tableColumn>
    <tableColumn id="16" xr3:uid="{F322F1CD-BB0F-45C5-9E95-3D5D81516D41}" name="600 T" dataDxfId="674">
      <calculatedColumnFormula>WO2025Jan710814161822242830323438404244464854565862646668707274766812161820222628[[#This Row],[VO2]]</calculatedColumnFormula>
    </tableColumn>
    <tableColumn id="22" xr3:uid="{140D3224-D522-408C-8D96-CB612885F21D}" name="200 FBC" dataDxfId="673"/>
    <tableColumn id="2" xr3:uid="{3D11DC31-4A0C-4747-8265-254296613D39}" name="…......" dataDxfId="672"/>
    <tableColumn id="23" xr3:uid="{D1611F38-0DD8-45C6-ACE4-FA4ECC944EB6}" name="…......." dataDxfId="671"/>
    <tableColumn id="24" xr3:uid="{BD5C28DE-7F82-4765-B96D-C451288004BD}" name="G" dataDxfId="670"/>
  </tableColumns>
  <tableStyleInfo name="TableStyleMedium3"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DDCDFFF7-9907-4C5B-9ADB-340E2AC91B25}" name="WO2025Jan7men11915171923252931333539414345474955575963656769717375777913171921232729" displayName="WO2025Jan7men11915171923252931333539414345474955575963656769717375777913171921232729" ref="A58:W144" totalsRowShown="0" headerRowDxfId="669" tableBorderDxfId="668">
  <autoFilter ref="A58:W144" xr:uid="{5DFF29F2-4664-45E4-9AA3-D72D6EA677C9}"/>
  <sortState xmlns:xlrd2="http://schemas.microsoft.com/office/spreadsheetml/2017/richdata2" ref="A59:W141">
    <sortCondition ref="W58:W141"/>
  </sortState>
  <tableColumns count="23">
    <tableColumn id="1" xr3:uid="{349B0FD3-13C6-4F5D-88B3-5B9126F1C2C9}" name="WO 10/7/2025" dataDxfId="667"/>
    <tableColumn id="2" xr3:uid="{22702A80-051F-4482-AC17-D4E9C810008B}" name="5k" dataDxfId="666"/>
    <tableColumn id="3" xr3:uid="{7B103C1E-5230-4F89-BE95-0C62FB0B9FE3}" name="Mile" dataDxfId="665"/>
    <tableColumn id="4" xr3:uid="{CFCBCE5D-CABE-403C-AA7B-B33112139C53}" name="3k" dataDxfId="664">
      <calculatedColumnFormula>B59*E59</calculatedColumnFormula>
    </tableColumn>
    <tableColumn id="5" xr3:uid="{CC293F16-11A3-4643-8B79-862CD5BE10EE}" name="Percent" dataDxfId="663"/>
    <tableColumn id="6" xr3:uid="{BC038A1C-4688-48D7-8E3A-870FE4305FEC}" name="R" dataDxfId="662">
      <calculatedColumnFormula>C59/4</calculatedColumnFormula>
    </tableColumn>
    <tableColumn id="7" xr3:uid="{5DAEA201-A262-462F-A654-0F038224C762}" name="VO2" dataDxfId="661">
      <calculatedColumnFormula>D59/7.5</calculatedColumnFormula>
    </tableColumn>
    <tableColumn id="8" xr3:uid="{40446A1A-7948-4828-A4F8-0B16C32E7686}" name="I" dataDxfId="660">
      <calculatedColumnFormula>B59/12.5</calculatedColumnFormula>
    </tableColumn>
    <tableColumn id="9" xr3:uid="{C86375C1-2DF7-4B95-B6C9-BB7B6BC20666}" name="10k" dataDxfId="659">
      <calculatedColumnFormula>G59/0.93</calculatedColumnFormula>
    </tableColumn>
    <tableColumn id="10" xr3:uid="{8A4E8AAD-03EA-436E-B123-112A01EB74A6}" name="CV" dataDxfId="658">
      <calculatedColumnFormula>G59/0.92</calculatedColumnFormula>
    </tableColumn>
    <tableColumn id="11" xr3:uid="{A67C39D2-5606-4442-AB18-4491A5493162}" name="Thresh" dataDxfId="657">
      <calculatedColumnFormula>G59/0.88</calculatedColumnFormula>
    </tableColumn>
    <tableColumn id="12" xr3:uid="{628994B8-B17C-4C8B-B018-5E4FC33D7399}" name="Thresh L" dataDxfId="656">
      <calculatedColumnFormula>G59/0.84</calculatedColumnFormula>
    </tableColumn>
    <tableColumn id="13" xr3:uid="{620A49E5-B555-4B4F-B298-269D3DB6180F}" name="T (400)" dataDxfId="655">
      <calculatedColumnFormula>WO2025Jan7men11915171923252931333539414345474955575963656769717375777913171921232729[[#This Row],[Thresh]]</calculatedColumnFormula>
    </tableColumn>
    <tableColumn id="14" xr3:uid="{A59ED4EE-408B-4159-90A2-42BD264BC7D7}" name="1200 T" dataDxfId="654">
      <calculatedColumnFormula>WO2025Jan7men11915171923252931333539414345474955575963656769717375777913171921232729[[#This Row],[Thresh]]*2.5</calculatedColumnFormula>
    </tableColumn>
    <tableColumn id="15" xr3:uid="{2497BA66-72DC-4FBC-BCD4-BA4B02A8ABD0}" name="400 CV"/>
    <tableColumn id="16" xr3:uid="{ABCA1E46-E852-481A-90D6-CA0B0A12B2E5}" name="I (400)" dataDxfId="653">
      <calculatedColumnFormula>WO2025Jan7men11915171923252931333539414345474955575963656769717375777913171921232729[[#This Row],[400 CV]]*1.5</calculatedColumnFormula>
    </tableColumn>
    <tableColumn id="18" xr3:uid="{7EF18325-9E7F-4548-BFEF-DE3D213835F1}" name="2k I" dataDxfId="652">
      <calculatedColumnFormula>WO2025Jan7men11915171923252931333539414345474955575963656769717375777913171921232729[[#This Row],[VO2]]/2</calculatedColumnFormula>
    </tableColumn>
    <tableColumn id="19" xr3:uid="{27AC7111-C2E3-4FA3-8669-F08795CDBC22}" name="800 T" dataDxfId="651">
      <calculatedColumnFormula>WO2025Jan7men11915171923252931333539414345474955575963656769717375777913171921232729[[#This Row],[I]]</calculatedColumnFormula>
    </tableColumn>
    <tableColumn id="24" xr3:uid="{844717ED-8905-4802-9B63-42F5EBBF4CF8}" name="…...." dataDxfId="650">
      <calculatedColumnFormula>SUM(WO2025Jan7men11915171923252931333539414345474955575963656769717375777913171921232729[[#This Row],[400 CV]:[800 T]])</calculatedColumnFormula>
    </tableColumn>
    <tableColumn id="17" xr3:uid="{2369B33F-1FAF-405B-B708-043116FADA3F}" name="…....." dataDxfId="649"/>
    <tableColumn id="20" xr3:uid="{37A7349B-ADA2-49DB-AF88-A9B6F9F86766}" name="…......" dataDxfId="648">
      <calculatedColumnFormula>WO2025Jan7men11915171923252931333539414345474955575963656769717375777913171921232729[[#This Row],[I]]*1.5</calculatedColumnFormula>
    </tableColumn>
    <tableColumn id="21" xr3:uid="{205C4331-DE3E-4E67-A480-4D9223D21707}" name="…......." dataDxfId="647">
      <calculatedColumnFormula>WO2025Jan7men11915171923252931333539414345474955575963656769717375777913171921232729[[#This Row],[VO2]]</calculatedColumnFormula>
    </tableColumn>
    <tableColumn id="22" xr3:uid="{69E0EC81-293D-40BB-8A0D-FF314CB39466}" name="G" dataDxfId="646"/>
  </tableColumns>
  <tableStyleInfo name="TableStyleMedium3"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661A8E0A-6757-4FEC-9DE0-BF51AE31AF5B}" name="WO2025Jan7108141618222428303234384042444648545658626466687072747668121618202226" displayName="WO2025Jan7108141618222428303234384042444648545658626466687072747668121618202226" ref="A1:W57" totalsRowShown="0" headerRowDxfId="645" dataDxfId="644" tableBorderDxfId="643">
  <autoFilter ref="A1:W57" xr:uid="{13733F23-878A-465D-B549-8D39D5BC5CA4}"/>
  <sortState xmlns:xlrd2="http://schemas.microsoft.com/office/spreadsheetml/2017/richdata2" ref="A2:W57">
    <sortCondition ref="W1:W57"/>
  </sortState>
  <tableColumns count="23">
    <tableColumn id="1" xr3:uid="{75EC8628-114E-4429-B5AD-D8770F051F27}" name="WO 9/30/2025" dataDxfId="642"/>
    <tableColumn id="4" xr3:uid="{3D894AA9-B194-47B6-938B-D28C6ACB8331}" name="5k" dataDxfId="641"/>
    <tableColumn id="5" xr3:uid="{1AFD9322-872B-4B05-A30F-F69CE2DA2C17}" name="Mile" dataDxfId="640"/>
    <tableColumn id="6" xr3:uid="{0E10887C-4A5B-4087-A38D-9F5D94DCDA34}" name="3k" dataDxfId="639">
      <calculatedColumnFormula>B2*E2</calculatedColumnFormula>
    </tableColumn>
    <tableColumn id="7" xr3:uid="{4CC3F9A0-3BD9-4524-9FFA-3EBE0FACF0D2}" name="Percent" dataDxfId="638"/>
    <tableColumn id="8" xr3:uid="{030246BC-DFE1-48CA-B9B9-161A07971B9D}" name="R" dataDxfId="637">
      <calculatedColumnFormula>C2/4</calculatedColumnFormula>
    </tableColumn>
    <tableColumn id="10" xr3:uid="{7E4A82D6-385D-46C1-80F3-4E5AFB7B2122}" name="VO2" dataDxfId="636">
      <calculatedColumnFormula>D2/7.5</calculatedColumnFormula>
    </tableColumn>
    <tableColumn id="9" xr3:uid="{859EC0D7-2ACD-4922-8720-BA74D2DD64DB}" name="I" dataDxfId="635">
      <calculatedColumnFormula>B2/12.5</calculatedColumnFormula>
    </tableColumn>
    <tableColumn id="11" xr3:uid="{55F404CF-31ED-4B22-979F-0199EE38759E}" name="10k" dataDxfId="634">
      <calculatedColumnFormula>G2/0.93</calculatedColumnFormula>
    </tableColumn>
    <tableColumn id="12" xr3:uid="{DADFA24D-BEF2-40F0-922E-C3BB4468A304}" name="CV" dataDxfId="633">
      <calculatedColumnFormula>G2/0.92</calculatedColumnFormula>
    </tableColumn>
    <tableColumn id="13" xr3:uid="{3557B116-FA99-4449-8F17-78BD874F01E2}" name="Thresh" dataDxfId="632">
      <calculatedColumnFormula>G2/0.88</calculatedColumnFormula>
    </tableColumn>
    <tableColumn id="14" xr3:uid="{2B366360-C04A-4FB3-9D19-92F46875C83E}" name="Thresh L" dataDxfId="631">
      <calculatedColumnFormula>G2/0.84</calculatedColumnFormula>
    </tableColumn>
    <tableColumn id="21" xr3:uid="{B68802F8-2BE6-483D-97B0-5321A94540BA}" name="T (400)" dataDxfId="630"/>
    <tableColumn id="20" xr3:uid="{CE0F2944-3E10-4916-8EEF-9869FCA2E94B}" name="600 T" dataDxfId="629"/>
    <tableColumn id="19" xr3:uid="{C57005D9-5EB0-4A33-9AA7-82C50F2E8BCC}" name="CV (400)" dataDxfId="628"/>
    <tableColumn id="18" xr3:uid="{F468EEF8-924C-4287-89D2-EA7804EACA24}" name="600 CV" dataDxfId="627">
      <calculatedColumnFormula>WO2025Jan7108141618222428303234384042444648545658626466687072747668121618202226[[#This Row],[CV]]*2.5</calculatedColumnFormula>
    </tableColumn>
    <tableColumn id="17" xr3:uid="{F01AEB8D-1060-4DB0-B09C-E3639FF9C082}" name="I (400)" dataDxfId="626">
      <calculatedColumnFormula>WO2025Jan7108141618222428303234384042444648545658626466687072747668121618202226[[#This Row],[VO2]]</calculatedColumnFormula>
    </tableColumn>
    <tableColumn id="15" xr3:uid="{79335A71-CC95-4443-A7B4-769216BDEE97}" name="600 I" dataDxfId="625">
      <calculatedColumnFormula>WO2025Jan7108141618222428303234384042444648545658626466687072747668121618202226[[#This Row],[I]]*2</calculatedColumnFormula>
    </tableColumn>
    <tableColumn id="16" xr3:uid="{ADCE403C-B412-4669-9E28-A7AC73021FD8}" name="400 VO2" dataDxfId="624">
      <calculatedColumnFormula>WO2025Jan7108141618222428303234384042444648545658626466687072747668121618202226[[#This Row],[VO2]]</calculatedColumnFormula>
    </tableColumn>
    <tableColumn id="22" xr3:uid="{00E0134D-6E3F-464A-A910-826DE2031394}" name="…....." dataDxfId="623"/>
    <tableColumn id="2" xr3:uid="{C5468231-5AC7-44A9-A562-00164D732507}" name="…......" dataDxfId="622"/>
    <tableColumn id="23" xr3:uid="{FDEDAB4C-2F03-4FC2-8915-90DE3C01859A}" name="…......." dataDxfId="621"/>
    <tableColumn id="24" xr3:uid="{BF76E7EB-FFFC-4C14-9D82-79B9891230C8}" name="G" dataDxfId="620"/>
  </tableColumns>
  <tableStyleInfo name="TableStyleMedium3"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4983F713-2777-41C2-9D8D-741F402BDBCE}" name="WO2025Jan7men119151719232529313335394143454749555759636567697173757779131719212327" displayName="WO2025Jan7men119151719232529313335394143454749555759636567697173757779131719212327" ref="A58:W144" totalsRowShown="0" headerRowDxfId="619" tableBorderDxfId="618">
  <autoFilter ref="A58:W144" xr:uid="{5DFF29F2-4664-45E4-9AA3-D72D6EA677C9}"/>
  <sortState xmlns:xlrd2="http://schemas.microsoft.com/office/spreadsheetml/2017/richdata2" ref="A59:W141">
    <sortCondition ref="W58:W141"/>
  </sortState>
  <tableColumns count="23">
    <tableColumn id="1" xr3:uid="{8D7E07C3-4C59-40EB-AD36-74DB4C81804F}" name="WO 9/30/2025" dataDxfId="617"/>
    <tableColumn id="2" xr3:uid="{CB351E86-6F31-4D29-8962-CA6EEF421498}" name="5k" dataDxfId="616"/>
    <tableColumn id="3" xr3:uid="{BE39B8BF-22ED-4A6F-8501-EA0546D6A397}" name="Mile" dataDxfId="615"/>
    <tableColumn id="4" xr3:uid="{E2EFDB9E-D7EC-475E-A30C-127A1927DA61}" name="3k" dataDxfId="614">
      <calculatedColumnFormula>B59*E59</calculatedColumnFormula>
    </tableColumn>
    <tableColumn id="5" xr3:uid="{C20B6851-B6D1-4505-BB88-AA0C72668746}" name="Percent" dataDxfId="613"/>
    <tableColumn id="6" xr3:uid="{360C5AFD-2149-40D2-93B0-AF47613C3AA4}" name="R" dataDxfId="612">
      <calculatedColumnFormula>C59/4</calculatedColumnFormula>
    </tableColumn>
    <tableColumn id="7" xr3:uid="{F6719507-699C-40DA-9E2E-E666582AFB85}" name="VO2" dataDxfId="611">
      <calculatedColumnFormula>D59/7.5</calculatedColumnFormula>
    </tableColumn>
    <tableColumn id="8" xr3:uid="{172B786E-0B5D-4286-BFF5-023D4FB636F7}" name="I" dataDxfId="610">
      <calculatedColumnFormula>B59/12.5</calculatedColumnFormula>
    </tableColumn>
    <tableColumn id="9" xr3:uid="{615C6F8A-A26C-4D2E-A209-3F99956A862D}" name="10k" dataDxfId="609">
      <calculatedColumnFormula>G59/0.93</calculatedColumnFormula>
    </tableColumn>
    <tableColumn id="10" xr3:uid="{D7D71DFA-0497-40CC-A064-380FE101AB9E}" name="CV" dataDxfId="608">
      <calculatedColumnFormula>G59/0.92</calculatedColumnFormula>
    </tableColumn>
    <tableColumn id="11" xr3:uid="{96C58D6E-794B-4A5C-9E6C-29F3C66CB3D5}" name="Thresh" dataDxfId="607">
      <calculatedColumnFormula>G59/0.88</calculatedColumnFormula>
    </tableColumn>
    <tableColumn id="12" xr3:uid="{0FA944C6-CFC9-44E1-B3F1-EBDBF7309196}" name="Thresh L" dataDxfId="606">
      <calculatedColumnFormula>G59/0.84</calculatedColumnFormula>
    </tableColumn>
    <tableColumn id="13" xr3:uid="{B73F9C1F-EF34-4CFA-87F3-AC96E73E8437}" name="T (400)" dataDxfId="605">
      <calculatedColumnFormula>WO2025Jan7men119151719232529313335394143454749555759636567697173757779131719212327[[#This Row],[Thresh]]</calculatedColumnFormula>
    </tableColumn>
    <tableColumn id="14" xr3:uid="{169C5E94-2A73-4DAE-B287-69F3ED4024B9}" name="1k T" dataDxfId="604">
      <calculatedColumnFormula>WO2025Jan7men119151719232529313335394143454749555759636567697173757779131719212327[[#This Row],[Thresh]]*2.5</calculatedColumnFormula>
    </tableColumn>
    <tableColumn id="15" xr3:uid="{15255F97-5F00-41CF-BC99-932F77304B9F}" name="CV (400)"/>
    <tableColumn id="16" xr3:uid="{CBD3F5EF-B619-47DD-8780-FAE7DB943D69}" name="1k CV" dataDxfId="603">
      <calculatedColumnFormula>WO2025Jan7men119151719232529313335394143454749555759636567697173757779131719212327[[#This Row],[CV (400)]]*1.5</calculatedColumnFormula>
    </tableColumn>
    <tableColumn id="18" xr3:uid="{0D1B7F6C-BBAB-4CC8-9789-F84F7CBD7F46}" name="I (400)" dataDxfId="602">
      <calculatedColumnFormula>WO2025Jan7men119151719232529313335394143454749555759636567697173757779131719212327[[#This Row],[VO2]]/2</calculatedColumnFormula>
    </tableColumn>
    <tableColumn id="19" xr3:uid="{6DCD147C-02DB-4DCE-BC37-343BEDE545BD}" name="1k I" dataDxfId="601">
      <calculatedColumnFormula>WO2025Jan7men119151719232529313335394143454749555759636567697173757779131719212327[[#This Row],[I]]</calculatedColumnFormula>
    </tableColumn>
    <tableColumn id="24" xr3:uid="{6F47B8FD-54E7-4A0E-BD33-38CF55AB7C35}" name="400 VO2" dataDxfId="600">
      <calculatedColumnFormula>SUM(WO2025Jan7men119151719232529313335394143454749555759636567697173757779131719212327[[#This Row],[CV (400)]:[1k I]])</calculatedColumnFormula>
    </tableColumn>
    <tableColumn id="17" xr3:uid="{A9463148-2D19-4784-B564-D33EFEAAEC0C}" name="…....." dataDxfId="599"/>
    <tableColumn id="20" xr3:uid="{80E365C0-A3D8-4CF4-8720-E17348FB613B}" name="…......" dataDxfId="598">
      <calculatedColumnFormula>WO2025Jan7men119151719232529313335394143454749555759636567697173757779131719212327[[#This Row],[I]]*1.5</calculatedColumnFormula>
    </tableColumn>
    <tableColumn id="21" xr3:uid="{B147193E-2630-4EBB-9439-F321826BE1E7}" name="…......." dataDxfId="597">
      <calculatedColumnFormula>WO2025Jan7men119151719232529313335394143454749555759636567697173757779131719212327[[#This Row],[VO2]]</calculatedColumnFormula>
    </tableColumn>
    <tableColumn id="22" xr3:uid="{0CC25F3F-6A7F-41F6-9FA5-D53E98ADD168}" name="G" dataDxfId="596"/>
  </tableColumns>
  <tableStyleInfo name="TableStyleMedium3"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7DFCF396-CEFB-4600-A4E3-893E448B6FF9}" name="WO2025Jan7108141618222428303234384042444648545658626466687072747668121618202224" displayName="WO2025Jan7108141618222428303234384042444648545658626466687072747668121618202224" ref="A1:W57" totalsRowShown="0" headerRowDxfId="595" dataDxfId="594" tableBorderDxfId="593">
  <autoFilter ref="A1:W57" xr:uid="{13733F23-878A-465D-B549-8D39D5BC5CA4}"/>
  <sortState xmlns:xlrd2="http://schemas.microsoft.com/office/spreadsheetml/2017/richdata2" ref="A2:W57">
    <sortCondition ref="W1:W57"/>
  </sortState>
  <tableColumns count="23">
    <tableColumn id="1" xr3:uid="{A892FE16-A1E7-4F06-BB1A-9954DCA1239C}" name="WO 9/26/2025" dataDxfId="592"/>
    <tableColumn id="4" xr3:uid="{08B17443-9E7D-43B6-A432-D3FF044E8199}" name="5k" dataDxfId="591"/>
    <tableColumn id="5" xr3:uid="{0C170904-2AE2-40B0-8D3E-902C15604012}" name="Mile" dataDxfId="590"/>
    <tableColumn id="6" xr3:uid="{32276026-4783-4C29-B99F-98924928A7E8}" name="3k" dataDxfId="589">
      <calculatedColumnFormula>B2*E2</calculatedColumnFormula>
    </tableColumn>
    <tableColumn id="7" xr3:uid="{3F61C8CD-6ECB-4E5C-92AE-AFDE34CF047C}" name="Percent" dataDxfId="588"/>
    <tableColumn id="8" xr3:uid="{674A7997-3630-48F3-89C0-369291C5D234}" name="R" dataDxfId="587">
      <calculatedColumnFormula>C2/4</calculatedColumnFormula>
    </tableColumn>
    <tableColumn id="10" xr3:uid="{1AD51BA6-E717-4C1E-9642-62B6E39D151C}" name="VO2" dataDxfId="586">
      <calculatedColumnFormula>D2/7.5</calculatedColumnFormula>
    </tableColumn>
    <tableColumn id="9" xr3:uid="{E6EAD66C-24E8-42C0-A1A4-BFC8941501B8}" name="I" dataDxfId="585">
      <calculatedColumnFormula>B2/12.5</calculatedColumnFormula>
    </tableColumn>
    <tableColumn id="11" xr3:uid="{AB2BAB74-B766-4EE7-9B3F-9E7C494F44B5}" name="10k" dataDxfId="584">
      <calculatedColumnFormula>G2/0.93</calculatedColumnFormula>
    </tableColumn>
    <tableColumn id="12" xr3:uid="{78B2A57C-A0D7-4FB6-8048-895A31D565DB}" name="CV" dataDxfId="583">
      <calculatedColumnFormula>G2/0.92</calculatedColumnFormula>
    </tableColumn>
    <tableColumn id="13" xr3:uid="{880195EE-03F3-4655-9D61-E2F50FF4602D}" name="Thresh" dataDxfId="582">
      <calculatedColumnFormula>G2/0.88</calculatedColumnFormula>
    </tableColumn>
    <tableColumn id="14" xr3:uid="{A16E1F9A-BD49-4AF2-98AD-B043BE4088EE}" name="Thresh L" dataDxfId="581">
      <calculatedColumnFormula>G2/0.84</calculatedColumnFormula>
    </tableColumn>
    <tableColumn id="21" xr3:uid="{5A822D2B-68FA-4FDC-8D8C-344C29BEBE77}" name="." dataDxfId="580"/>
    <tableColumn id="20" xr3:uid="{B4E1D981-74F9-43D4-9364-E59C8AA396A9}" name=".." dataDxfId="579"/>
    <tableColumn id="19" xr3:uid="{EAE481FF-A946-4E6A-8750-60DF69333480}" name="…" dataDxfId="578"/>
    <tableColumn id="18" xr3:uid="{22016535-4129-4FC5-91B3-29503B864B3E}" name="…." dataDxfId="577">
      <calculatedColumnFormula>WO2025Jan7108141618222428303234384042444648545658626466687072747668121618202224[[#This Row],[CV]]*2.5</calculatedColumnFormula>
    </tableColumn>
    <tableColumn id="17" xr3:uid="{F6187EEA-6A16-4A1D-9CB4-EFD2D45E6C58}" name="….." dataDxfId="576">
      <calculatedColumnFormula>WO2025Jan7108141618222428303234384042444648545658626466687072747668121618202224[[#This Row],[VO2]]</calculatedColumnFormula>
    </tableColumn>
    <tableColumn id="15" xr3:uid="{2FF24FE0-20C0-4D28-BCB6-5A0C647B4153}" name="…..." dataDxfId="575">
      <calculatedColumnFormula>WO2025Jan7108141618222428303234384042444648545658626466687072747668121618202224[[#This Row],[I]]*2</calculatedColumnFormula>
    </tableColumn>
    <tableColumn id="16" xr3:uid="{E0D84E9D-BCED-4991-B25A-3B7A1F05FE88}" name="…...." dataDxfId="574">
      <calculatedColumnFormula>WO2025Jan7108141618222428303234384042444648545658626466687072747668121618202224[[#This Row],[VO2]]</calculatedColumnFormula>
    </tableColumn>
    <tableColumn id="22" xr3:uid="{8ADE01B2-BF2E-45B4-AAE5-ADDF5D2A203C}" name="…....." dataDxfId="573"/>
    <tableColumn id="2" xr3:uid="{A2D76C32-F9D0-4691-97B6-BACFE25C6F47}" name="…......" dataDxfId="572"/>
    <tableColumn id="23" xr3:uid="{56AF6E7A-6E38-4186-91F3-E2F4878157A0}" name="…......." dataDxfId="571"/>
    <tableColumn id="24" xr3:uid="{22E26239-AB55-4A45-A20A-9501A4BF76AD}" name="G" dataDxfId="570"/>
  </tableColumns>
  <tableStyleInfo name="TableStyleMedium3"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FE4B795E-6D3F-4344-BC47-F79779D72D3A}" name="WO2025Jan7men119151719232529313335394143454749555759636567697173757779131719212325" displayName="WO2025Jan7men119151719232529313335394143454749555759636567697173757779131719212325" ref="A58:W144" totalsRowShown="0" headerRowDxfId="569" tableBorderDxfId="568">
  <autoFilter ref="A58:W144" xr:uid="{5DFF29F2-4664-45E4-9AA3-D72D6EA677C9}"/>
  <sortState xmlns:xlrd2="http://schemas.microsoft.com/office/spreadsheetml/2017/richdata2" ref="A59:W141">
    <sortCondition ref="W58:W141"/>
  </sortState>
  <tableColumns count="23">
    <tableColumn id="1" xr3:uid="{5E411038-68AE-437E-9BCF-D85AFD676466}" name="WO 9/26/2025" dataDxfId="567"/>
    <tableColumn id="2" xr3:uid="{AF816F91-C78F-4F91-A569-A59796D2DF0E}" name="5k" dataDxfId="566"/>
    <tableColumn id="3" xr3:uid="{E0683F79-BD3B-4B40-9B93-F75D155CE983}" name="Mile" dataDxfId="565"/>
    <tableColumn id="4" xr3:uid="{4B1E72A1-CD6A-4B6B-8945-984EA9D2B3CF}" name="3k" dataDxfId="564">
      <calculatedColumnFormula>B59*E59</calculatedColumnFormula>
    </tableColumn>
    <tableColumn id="5" xr3:uid="{31633321-E620-40B1-95DC-C36A08600758}" name="Percent" dataDxfId="563"/>
    <tableColumn id="6" xr3:uid="{8D347A14-AB14-48B8-8DAF-8715BEF21722}" name="R" dataDxfId="562">
      <calculatedColumnFormula>C59/4</calculatedColumnFormula>
    </tableColumn>
    <tableColumn id="7" xr3:uid="{DDE6AE10-0B63-4532-B68F-9D808FFAFC9A}" name="VO2" dataDxfId="561">
      <calculatedColumnFormula>D59/7.5</calculatedColumnFormula>
    </tableColumn>
    <tableColumn id="8" xr3:uid="{EF73ADA0-B4C4-48A9-924B-C532A6182953}" name="I" dataDxfId="560">
      <calculatedColumnFormula>B59/12.5</calculatedColumnFormula>
    </tableColumn>
    <tableColumn id="9" xr3:uid="{77A6ABBA-2F01-4F5C-8BA2-0EE312A20A64}" name="10k" dataDxfId="559">
      <calculatedColumnFormula>G59/0.93</calculatedColumnFormula>
    </tableColumn>
    <tableColumn id="10" xr3:uid="{51925257-EC28-4729-A40D-FE7128C532AF}" name="CV" dataDxfId="558">
      <calculatedColumnFormula>G59/0.92</calculatedColumnFormula>
    </tableColumn>
    <tableColumn id="11" xr3:uid="{097B2699-3EEC-4D07-BFD8-DA8028102648}" name="Thresh" dataDxfId="557">
      <calculatedColumnFormula>G59/0.88</calculatedColumnFormula>
    </tableColumn>
    <tableColumn id="12" xr3:uid="{B607F4BA-DFD5-49BB-B92C-18CBFE9B99AF}" name="Thresh L" dataDxfId="556">
      <calculatedColumnFormula>G59/0.84</calculatedColumnFormula>
    </tableColumn>
    <tableColumn id="13" xr3:uid="{7D782D08-8B0A-42AD-96BD-A262CD9F396F}" name="." dataDxfId="555">
      <calculatedColumnFormula>WO2025Jan7men119151719232529313335394143454749555759636567697173757779131719212325[[#This Row],[Thresh]]</calculatedColumnFormula>
    </tableColumn>
    <tableColumn id="14" xr3:uid="{836A4AAB-3C8F-4BD0-A8A4-337DEE43BBD3}" name=".." dataDxfId="554">
      <calculatedColumnFormula>WO2025Jan7men119151719232529313335394143454749555759636567697173757779131719212325[[#This Row],[Thresh]]*2.5</calculatedColumnFormula>
    </tableColumn>
    <tableColumn id="15" xr3:uid="{137D179D-50FA-4AF6-B205-484285E02EE1}" name="…"/>
    <tableColumn id="16" xr3:uid="{F22CFAD3-D7AD-4909-BF64-563291C48B3B}" name="…." dataDxfId="553">
      <calculatedColumnFormula>WO2025Jan7men119151719232529313335394143454749555759636567697173757779131719212325[[#This Row],[…]]*1.5</calculatedColumnFormula>
    </tableColumn>
    <tableColumn id="18" xr3:uid="{27463F1E-121E-4C01-858A-A0270229C3FD}" name="….." dataDxfId="552">
      <calculatedColumnFormula>WO2025Jan7men119151719232529313335394143454749555759636567697173757779131719212325[[#This Row],[VO2]]/2</calculatedColumnFormula>
    </tableColumn>
    <tableColumn id="19" xr3:uid="{EC5E6F79-BCF6-45AE-B937-A4104B54FE92}" name="…..." dataDxfId="551">
      <calculatedColumnFormula>WO2025Jan7men119151719232529313335394143454749555759636567697173757779131719212325[[#This Row],[I]]</calculatedColumnFormula>
    </tableColumn>
    <tableColumn id="24" xr3:uid="{9D3F53D2-F828-4E64-A4E4-D456D1C44A9E}" name="…...." dataDxfId="550">
      <calculatedColumnFormula>SUM(WO2025Jan7men119151719232529313335394143454749555759636567697173757779131719212325[[#This Row],[…]:[…...]])</calculatedColumnFormula>
    </tableColumn>
    <tableColumn id="17" xr3:uid="{093303BE-B974-4996-9D7E-F9A8823875AE}" name="…....." dataDxfId="549"/>
    <tableColumn id="20" xr3:uid="{60FF363B-2E11-4D25-AB39-7FC7D727C42D}" name="…......" dataDxfId="548">
      <calculatedColumnFormula>WO2025Jan7men119151719232529313335394143454749555759636567697173757779131719212325[[#This Row],[I]]*1.5</calculatedColumnFormula>
    </tableColumn>
    <tableColumn id="21" xr3:uid="{95D4AA8A-C8A1-4F75-BBC3-2129EA8CC6E4}" name="…......." dataDxfId="547">
      <calculatedColumnFormula>WO2025Jan7men119151719232529313335394143454749555759636567697173757779131719212325[[#This Row],[VO2]]</calculatedColumnFormula>
    </tableColumn>
    <tableColumn id="22" xr3:uid="{44D10775-83DB-4606-BDF3-E07E80D455FF}" name="G" dataDxfId="546"/>
  </tableColumns>
  <tableStyleInfo name="TableStyleMedium3"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DAE845CD-F9CD-4ED9-958E-DB58414EC840}" name="WO2025Jan71081416182224283032343840424446485456586264666870727476681216182022" displayName="WO2025Jan71081416182224283032343840424446485456586264666870727476681216182022" ref="A1:W57" totalsRowShown="0" headerRowDxfId="545" dataDxfId="544" tableBorderDxfId="543">
  <autoFilter ref="A1:W57" xr:uid="{13733F23-878A-465D-B549-8D39D5BC5CA4}"/>
  <sortState xmlns:xlrd2="http://schemas.microsoft.com/office/spreadsheetml/2017/richdata2" ref="A2:W57">
    <sortCondition ref="W1:W57"/>
  </sortState>
  <tableColumns count="23">
    <tableColumn id="1" xr3:uid="{249EC3D0-4741-4A8D-9A68-BBF9B222E1DF}" name="WO 9/23/2025" dataDxfId="542"/>
    <tableColumn id="4" xr3:uid="{BB1586CC-11E7-472F-8900-0BA29A30E8FC}" name="5k" dataDxfId="541"/>
    <tableColumn id="5" xr3:uid="{F384FEE8-EC1D-4172-8D55-90BBFA76C7AE}" name="Mile" dataDxfId="540"/>
    <tableColumn id="6" xr3:uid="{0FEDAB83-FFDF-4647-B7BD-C381B04E6650}" name="3k" dataDxfId="539">
      <calculatedColumnFormula>B2*E2</calculatedColumnFormula>
    </tableColumn>
    <tableColumn id="7" xr3:uid="{CC0EA4A9-7744-4EB0-906F-4B3CC324E79C}" name="Percent" dataDxfId="538"/>
    <tableColumn id="8" xr3:uid="{3E57B539-E62E-42DA-9809-211673B54E76}" name="R" dataDxfId="537">
      <calculatedColumnFormula>C2/4</calculatedColumnFormula>
    </tableColumn>
    <tableColumn id="10" xr3:uid="{704999E1-F309-48E1-9AB0-FC4F8D3B14F3}" name="VO2" dataDxfId="536">
      <calculatedColumnFormula>D2/7.5</calculatedColumnFormula>
    </tableColumn>
    <tableColumn id="9" xr3:uid="{45FC3A54-B29A-47F8-B0AD-0BCD71F82DF0}" name="I" dataDxfId="535">
      <calculatedColumnFormula>B2/12.5</calculatedColumnFormula>
    </tableColumn>
    <tableColumn id="11" xr3:uid="{3383AC26-D8E6-42A8-8562-B77AE9ED23EC}" name="10k" dataDxfId="534">
      <calculatedColumnFormula>G2/0.93</calculatedColumnFormula>
    </tableColumn>
    <tableColumn id="12" xr3:uid="{9C5E8B2A-36F7-4A5A-B60C-45025B524447}" name="CV" dataDxfId="533">
      <calculatedColumnFormula>G2/0.92</calculatedColumnFormula>
    </tableColumn>
    <tableColumn id="13" xr3:uid="{DFA307B9-FC69-44FD-800A-9AF582A3D7DB}" name="Thresh" dataDxfId="532">
      <calculatedColumnFormula>G2/0.88</calculatedColumnFormula>
    </tableColumn>
    <tableColumn id="14" xr3:uid="{E786BF71-2C21-439A-AE75-C5B8E6A2403E}" name="Thresh L" dataDxfId="531">
      <calculatedColumnFormula>G2/0.84</calculatedColumnFormula>
    </tableColumn>
    <tableColumn id="21" xr3:uid="{D3A6AAC5-5295-4FCE-B4FF-D9AF117C2C41}" name="T (400)" dataDxfId="530"/>
    <tableColumn id="20" xr3:uid="{0459924D-EDC9-4CFD-B059-181D76BBB992}" name="1200 T" dataDxfId="529"/>
    <tableColumn id="19" xr3:uid="{FFFABA3D-E3B4-48D7-AF9B-ECD5A8EFEE37}" name="400 VO2" dataDxfId="528"/>
    <tableColumn id="18" xr3:uid="{19ACE5C5-E3CC-4B61-B42F-4547F182087A}" name="…." dataDxfId="527">
      <calculatedColumnFormula>WO2025Jan71081416182224283032343840424446485456586264666870727476681216182022[[#This Row],[CV]]*2.5</calculatedColumnFormula>
    </tableColumn>
    <tableColumn id="17" xr3:uid="{621ED764-73BF-435C-80EB-92109511BC95}" name="….." dataDxfId="526">
      <calculatedColumnFormula>WO2025Jan71081416182224283032343840424446485456586264666870727476681216182022[[#This Row],[VO2]]</calculatedColumnFormula>
    </tableColumn>
    <tableColumn id="15" xr3:uid="{8A84AF30-2C8C-49E1-BA89-430F688B207F}" name="…..." dataDxfId="525">
      <calculatedColumnFormula>WO2025Jan71081416182224283032343840424446485456586264666870727476681216182022[[#This Row],[I]]*2</calculatedColumnFormula>
    </tableColumn>
    <tableColumn id="16" xr3:uid="{FB63B4D1-2A5E-409E-82E8-DFF2FF610EC5}" name="…...." dataDxfId="524">
      <calculatedColumnFormula>WO2025Jan71081416182224283032343840424446485456586264666870727476681216182022[[#This Row],[VO2]]</calculatedColumnFormula>
    </tableColumn>
    <tableColumn id="22" xr3:uid="{B2AEB914-639C-4D48-BE8A-15C0841AB0E0}" name="…....." dataDxfId="523"/>
    <tableColumn id="2" xr3:uid="{A6EA1D80-324A-427F-988C-BF6D27EE1481}" name="…......" dataDxfId="522"/>
    <tableColumn id="23" xr3:uid="{C9455E80-9E91-4330-9987-78284D5B77F0}" name="…......." dataDxfId="521"/>
    <tableColumn id="24" xr3:uid="{9963BC67-60BF-4F0D-9722-F1C6D193E826}" name="G" dataDxfId="520"/>
  </tableColumns>
  <tableStyleInfo name="TableStyleMedium3"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15180F04-5BDF-46DC-A0DB-AF6235C2AC5E}" name="WO2025Jan7men1191517192325293133353941434547495557596365676971737577791317192123" displayName="WO2025Jan7men1191517192325293133353941434547495557596365676971737577791317192123" ref="A58:W144" totalsRowShown="0" headerRowDxfId="519" tableBorderDxfId="518">
  <autoFilter ref="A58:W144" xr:uid="{5DFF29F2-4664-45E4-9AA3-D72D6EA677C9}"/>
  <sortState xmlns:xlrd2="http://schemas.microsoft.com/office/spreadsheetml/2017/richdata2" ref="A59:W141">
    <sortCondition ref="W58:W141"/>
  </sortState>
  <tableColumns count="23">
    <tableColumn id="1" xr3:uid="{28F80A80-9E48-4FD0-9E22-A33FF44C6A25}" name="WO 9/23/2025" dataDxfId="517"/>
    <tableColumn id="2" xr3:uid="{C464C85D-2232-427C-8466-FA7CEB33DF9C}" name="5k" dataDxfId="516"/>
    <tableColumn id="3" xr3:uid="{F0474FD6-C33B-45B0-B9AD-CDCFB4BAC716}" name="Mile" dataDxfId="515"/>
    <tableColumn id="4" xr3:uid="{4DDB39EC-1558-4636-BC7C-E8683A7EA628}" name="3k" dataDxfId="514">
      <calculatedColumnFormula>B59*E59</calculatedColumnFormula>
    </tableColumn>
    <tableColumn id="5" xr3:uid="{D7D89290-6FA2-465F-8CE7-AFE5ADFA7738}" name="Percent" dataDxfId="513"/>
    <tableColumn id="6" xr3:uid="{324BDF37-F28F-430E-895F-7AF60F8380C0}" name="R" dataDxfId="512">
      <calculatedColumnFormula>C59/4</calculatedColumnFormula>
    </tableColumn>
    <tableColumn id="7" xr3:uid="{17AC09C5-1C96-4B00-87D7-202BD2DDAE7C}" name="VO2" dataDxfId="511">
      <calculatedColumnFormula>D59/7.5</calculatedColumnFormula>
    </tableColumn>
    <tableColumn id="8" xr3:uid="{5D94051A-0C7C-430D-9DFE-EFC0651948B9}" name="I" dataDxfId="510">
      <calculatedColumnFormula>B59/12.5</calculatedColumnFormula>
    </tableColumn>
    <tableColumn id="9" xr3:uid="{386995CB-4B39-4B0E-B18C-4B337CFB038E}" name="10k" dataDxfId="509">
      <calculatedColumnFormula>G59/0.93</calculatedColumnFormula>
    </tableColumn>
    <tableColumn id="10" xr3:uid="{423DA0FB-5861-4679-BF0F-E86CE4EB9A54}" name="CV" dataDxfId="508">
      <calculatedColumnFormula>G59/0.92</calculatedColumnFormula>
    </tableColumn>
    <tableColumn id="11" xr3:uid="{E48E959C-6137-4CB2-AF8B-6C6FCEFEA3BA}" name="Thresh" dataDxfId="507">
      <calculatedColumnFormula>G59/0.88</calculatedColumnFormula>
    </tableColumn>
    <tableColumn id="12" xr3:uid="{034AA1BE-2A71-40A7-97A7-FDB37BF4BB1D}" name="Thresh L" dataDxfId="506">
      <calculatedColumnFormula>G59/0.84</calculatedColumnFormula>
    </tableColumn>
    <tableColumn id="13" xr3:uid="{24CC362C-8C88-45B7-845D-14A2C0BAA1E5}" name="CV (400)" dataDxfId="505">
      <calculatedColumnFormula>WO2025Jan7men1191517192325293133353941434547495557596365676971737577791317192123[[#This Row],[Thresh]]</calculatedColumnFormula>
    </tableColumn>
    <tableColumn id="14" xr3:uid="{533D19AA-5F5B-429B-8198-66A9F4B3523B}" name="1k CV" dataDxfId="504">
      <calculatedColumnFormula>WO2025Jan7men1191517192325293133353941434547495557596365676971737577791317192123[[#This Row],[Thresh]]*2.5</calculatedColumnFormula>
    </tableColumn>
    <tableColumn id="15" xr3:uid="{BB8BAF90-B343-4379-9471-4073569055FF}" name="400 VO2"/>
    <tableColumn id="16" xr3:uid="{5CBEB903-C128-45AC-8585-8D73BDB41D67}" name="…." dataDxfId="503">
      <calculatedColumnFormula>WO2025Jan7men1191517192325293133353941434547495557596365676971737577791317192123[[#This Row],[400 VO2]]*1.5</calculatedColumnFormula>
    </tableColumn>
    <tableColumn id="18" xr3:uid="{522FA911-74D7-415F-BFCE-A1CD726B9A47}" name="….." dataDxfId="502">
      <calculatedColumnFormula>WO2025Jan7men1191517192325293133353941434547495557596365676971737577791317192123[[#This Row],[VO2]]/2</calculatedColumnFormula>
    </tableColumn>
    <tableColumn id="19" xr3:uid="{32F1ACD0-D2A2-4EFD-9C0A-C3DEAB1E57EE}" name="…..." dataDxfId="501">
      <calculatedColumnFormula>WO2025Jan7men1191517192325293133353941434547495557596365676971737577791317192123[[#This Row],[I]]</calculatedColumnFormula>
    </tableColumn>
    <tableColumn id="24" xr3:uid="{C790E3E0-2ACD-492D-8A9E-B5279E1DA434}" name="…...." dataDxfId="500">
      <calculatedColumnFormula>SUM(WO2025Jan7men1191517192325293133353941434547495557596365676971737577791317192123[[#This Row],[400 VO2]:[…...]])</calculatedColumnFormula>
    </tableColumn>
    <tableColumn id="17" xr3:uid="{3B6D0B17-DA3D-4A27-91ED-13AA38E0F2BF}" name="…....." dataDxfId="499"/>
    <tableColumn id="20" xr3:uid="{6903979B-04F5-43E1-BB09-A3A9E831D920}" name="…......" dataDxfId="498">
      <calculatedColumnFormula>WO2025Jan7men1191517192325293133353941434547495557596365676971737577791317192123[[#This Row],[I]]*1.5</calculatedColumnFormula>
    </tableColumn>
    <tableColumn id="21" xr3:uid="{8E877465-69CC-478B-BA77-F6E13098114D}" name="…......." dataDxfId="497">
      <calculatedColumnFormula>WO2025Jan7men1191517192325293133353941434547495557596365676971737577791317192123[[#This Row],[VO2]]</calculatedColumnFormula>
    </tableColumn>
    <tableColumn id="22" xr3:uid="{B4A6A067-E716-4E06-AFB1-E013505A464E}" name="G" dataDxfId="496"/>
  </tableColumns>
  <tableStyleInfo name="TableStyleMedium3"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876ECD45-7FF8-4E26-AF4A-B84F8E704CCF}" name="WO2025Jan710814161822242830323438404244464854565862646668707274766812161820" displayName="WO2025Jan710814161822242830323438404244464854565862646668707274766812161820" ref="A1:W57" totalsRowShown="0" headerRowDxfId="495" dataDxfId="494" tableBorderDxfId="493">
  <autoFilter ref="A1:W57" xr:uid="{13733F23-878A-465D-B549-8D39D5BC5CA4}"/>
  <sortState xmlns:xlrd2="http://schemas.microsoft.com/office/spreadsheetml/2017/richdata2" ref="A2:W57">
    <sortCondition ref="W1:W57"/>
  </sortState>
  <tableColumns count="23">
    <tableColumn id="1" xr3:uid="{906CA7B9-CF1D-4F3D-BB8C-B34A85E53DCA}" name="WO 9/19/2025" dataDxfId="492"/>
    <tableColumn id="4" xr3:uid="{72986988-BEBB-4959-B887-ECC8BA42269A}" name="5k" dataDxfId="491"/>
    <tableColumn id="5" xr3:uid="{8BC0ABBD-6846-43EA-84A7-D62014E99C06}" name="Mile" dataDxfId="490"/>
    <tableColumn id="6" xr3:uid="{E111A9E9-20E6-4AA2-A981-9592A0C13D0A}" name="3k" dataDxfId="489">
      <calculatedColumnFormula>B2*E2</calculatedColumnFormula>
    </tableColumn>
    <tableColumn id="7" xr3:uid="{CF575486-0B65-45E2-B8BF-BEB02FD4EA3D}" name="Percent" dataDxfId="488"/>
    <tableColumn id="8" xr3:uid="{6C913EF0-7A80-4BB1-825E-59C751271455}" name="R" dataDxfId="487">
      <calculatedColumnFormula>C2/4</calculatedColumnFormula>
    </tableColumn>
    <tableColumn id="10" xr3:uid="{9721AC2C-42ED-45C6-BC4E-62EB10517616}" name="VO2" dataDxfId="486">
      <calculatedColumnFormula>D2/7.5</calculatedColumnFormula>
    </tableColumn>
    <tableColumn id="9" xr3:uid="{F974F526-1282-4A16-ACEF-2DA38538DDAA}" name="I" dataDxfId="485">
      <calculatedColumnFormula>B2/12.5</calculatedColumnFormula>
    </tableColumn>
    <tableColumn id="11" xr3:uid="{2AE019FF-E11A-4CFE-97D6-40D5FBE19D71}" name="10k" dataDxfId="484">
      <calculatedColumnFormula>G2/0.93</calculatedColumnFormula>
    </tableColumn>
    <tableColumn id="12" xr3:uid="{28A9AF78-22A2-405A-B5FC-31ED1A4D74E5}" name="CV" dataDxfId="483">
      <calculatedColumnFormula>G2/0.92</calculatedColumnFormula>
    </tableColumn>
    <tableColumn id="13" xr3:uid="{0A23066B-8C2B-4932-94CA-F112174725E4}" name="Thresh" dataDxfId="482">
      <calculatedColumnFormula>G2/0.88</calculatedColumnFormula>
    </tableColumn>
    <tableColumn id="14" xr3:uid="{9C628530-BE84-4CD4-A67A-C76A514BC7F7}" name="Thresh L" dataDxfId="481">
      <calculatedColumnFormula>G2/0.84</calculatedColumnFormula>
    </tableColumn>
    <tableColumn id="21" xr3:uid="{150FF627-D74A-4F8E-A3FE-220E6273D0D1}" name="10K (400)" dataDxfId="480"/>
    <tableColumn id="20" xr3:uid="{DADDA504-68F9-4577-B285-3F79883208A6}" name="1600 10K" dataDxfId="479"/>
    <tableColumn id="19" xr3:uid="{4592C147-3C34-461C-BBCD-0013579BCE3A}" name="T (400)" dataDxfId="478"/>
    <tableColumn id="18" xr3:uid="{82E4A460-0FCF-46E3-AACA-1E373B3D035B}" name="2K T" dataDxfId="477">
      <calculatedColumnFormula>WO2025Jan710814161822242830323438404244464854565862646668707274766812161820[[#This Row],[CV]]*2.5</calculatedColumnFormula>
    </tableColumn>
    <tableColumn id="17" xr3:uid="{759EBE00-461C-4F9A-9006-AE6B42FDAE1D}" name="I (400)" dataDxfId="476">
      <calculatedColumnFormula>WO2025Jan710814161822242830323438404244464854565862646668707274766812161820[[#This Row],[VO2]]</calculatedColumnFormula>
    </tableColumn>
    <tableColumn id="15" xr3:uid="{55D8DD74-2D72-4547-9B74-9B07F0DD3A65}" name="1200 I" dataDxfId="475">
      <calculatedColumnFormula>WO2025Jan710814161822242830323438404244464854565862646668707274766812161820[[#This Row],[I]]*2</calculatedColumnFormula>
    </tableColumn>
    <tableColumn id="16" xr3:uid="{3C1D501D-F4E8-43B3-9D73-CC1050BC4D30}" name="VO2 (400)" dataDxfId="474">
      <calculatedColumnFormula>WO2025Jan710814161822242830323438404244464854565862646668707274766812161820[[#This Row],[VO2]]</calculatedColumnFormula>
    </tableColumn>
    <tableColumn id="22" xr3:uid="{20BD8593-8614-4F1F-8F66-A3E39BDDE955}" name="800 VO2" dataDxfId="473"/>
    <tableColumn id="2" xr3:uid="{E7656EC2-60AE-4B81-9BE2-A776DDB3E373}" name="400" dataDxfId="472"/>
    <tableColumn id="23" xr3:uid="{C1DFB21D-E5EA-4253-B7C0-1E8DA2CC0A89}" name="…......." dataDxfId="471"/>
    <tableColumn id="24" xr3:uid="{DDA59C54-E5F7-4D18-9314-4AF6010283D0}" name="G" dataDxfId="470"/>
  </tableColumns>
  <tableStyleInfo name="TableStyleMedium3"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6D61A474-0F79-4A54-B1D4-4F17A0086DCD}" name="WO2025Jan7men11915171923252931333539414345474955575963656769717375777913171921" displayName="WO2025Jan7men11915171923252931333539414345474955575963656769717375777913171921" ref="A58:W144" totalsRowShown="0" headerRowDxfId="469" tableBorderDxfId="468">
  <autoFilter ref="A58:W144" xr:uid="{5DFF29F2-4664-45E4-9AA3-D72D6EA677C9}"/>
  <sortState xmlns:xlrd2="http://schemas.microsoft.com/office/spreadsheetml/2017/richdata2" ref="A59:W141">
    <sortCondition ref="W58:W141"/>
  </sortState>
  <tableColumns count="23">
    <tableColumn id="1" xr3:uid="{FA2B8BA6-5190-44D3-8CB9-63EEAE927BFF}" name="WO 9/19/2025" dataDxfId="467"/>
    <tableColumn id="2" xr3:uid="{AE415AAA-0842-4045-9869-E979DED6800E}" name="5k" dataDxfId="466"/>
    <tableColumn id="3" xr3:uid="{C7D1705F-2F7F-40AC-AB89-40975E952469}" name="Mile" dataDxfId="465"/>
    <tableColumn id="4" xr3:uid="{868D0DC8-AF87-4E0B-9FFF-44CE3E14F4F4}" name="3k" dataDxfId="464">
      <calculatedColumnFormula>B59*E59</calculatedColumnFormula>
    </tableColumn>
    <tableColumn id="5" xr3:uid="{07BBDA66-4487-4699-8940-39B08B25D301}" name="Percent" dataDxfId="463"/>
    <tableColumn id="6" xr3:uid="{17732FD6-5F25-444A-9B10-CFBDFA00D0F4}" name="R" dataDxfId="462">
      <calculatedColumnFormula>C59/4</calculatedColumnFormula>
    </tableColumn>
    <tableColumn id="7" xr3:uid="{20F58C3C-C5F7-4D3B-8D3A-646B0A5D8DA2}" name="VO2" dataDxfId="461">
      <calculatedColumnFormula>D59/7.5</calculatedColumnFormula>
    </tableColumn>
    <tableColumn id="8" xr3:uid="{7D829D32-ECC8-40A9-B865-78344C07387E}" name="I" dataDxfId="460">
      <calculatedColumnFormula>B59/12.5</calculatedColumnFormula>
    </tableColumn>
    <tableColumn id="9" xr3:uid="{E099B30B-69E3-4183-83BD-B9E1E79BB73D}" name="10k" dataDxfId="459">
      <calculatedColumnFormula>G59/0.93</calculatedColumnFormula>
    </tableColumn>
    <tableColumn id="10" xr3:uid="{341C289B-7CDE-49C5-A99E-DECC7B4BBBA2}" name="CV" dataDxfId="458">
      <calculatedColumnFormula>G59/0.92</calculatedColumnFormula>
    </tableColumn>
    <tableColumn id="11" xr3:uid="{BDE46901-00B2-457A-995D-709C3601183C}" name="Thresh" dataDxfId="457">
      <calculatedColumnFormula>G59/0.88</calculatedColumnFormula>
    </tableColumn>
    <tableColumn id="12" xr3:uid="{44E430C3-3660-46B8-8544-26DD066986BD}" name="Thresh L" dataDxfId="456">
      <calculatedColumnFormula>G59/0.84</calculatedColumnFormula>
    </tableColumn>
    <tableColumn id="13" xr3:uid="{F525BC15-E01D-4793-863A-49958E834220}" name="10K (400)" dataDxfId="455">
      <calculatedColumnFormula>WO2025Jan7men11915171923252931333539414345474955575963656769717375777913171921[[#This Row],[Thresh]]</calculatedColumnFormula>
    </tableColumn>
    <tableColumn id="14" xr3:uid="{474CBF07-1209-4810-93E4-4C1CF6E667DE}" name="1600 10K" dataDxfId="454">
      <calculatedColumnFormula>WO2025Jan7men11915171923252931333539414345474955575963656769717375777913171921[[#This Row],[Thresh]]*2.5</calculatedColumnFormula>
    </tableColumn>
    <tableColumn id="15" xr3:uid="{E6C22172-A60A-4EA9-8000-3FC79BEBE375}" name="T (400)"/>
    <tableColumn id="16" xr3:uid="{D2A3993D-9180-4778-8B8A-05EE48D1DF3D}" name="2K T" dataDxfId="453">
      <calculatedColumnFormula>WO2025Jan7men11915171923252931333539414345474955575963656769717375777913171921[[#This Row],[T (400)]]*1.5</calculatedColumnFormula>
    </tableColumn>
    <tableColumn id="18" xr3:uid="{95116663-7675-4D8F-A5D3-DCC312DFB57C}" name="I (400)" dataDxfId="452">
      <calculatedColumnFormula>WO2025Jan7men11915171923252931333539414345474955575963656769717375777913171921[[#This Row],[VO2]]/2</calculatedColumnFormula>
    </tableColumn>
    <tableColumn id="19" xr3:uid="{2D62869C-0688-426F-BDCB-D54321F32AA5}" name="1200 I" dataDxfId="451">
      <calculatedColumnFormula>WO2025Jan7men11915171923252931333539414345474955575963656769717375777913171921[[#This Row],[I]]</calculatedColumnFormula>
    </tableColumn>
    <tableColumn id="24" xr3:uid="{55AE4E1F-FB73-4668-9D43-CD6C50E370D8}" name="VO2 (400)" dataDxfId="450">
      <calculatedColumnFormula>SUM(WO2025Jan7men11915171923252931333539414345474955575963656769717375777913171921[[#This Row],[T (400)]:[1200 I]])</calculatedColumnFormula>
    </tableColumn>
    <tableColumn id="17" xr3:uid="{2308D131-3317-47AD-B99F-701BC9F3BEE3}" name="800 VO2" dataDxfId="449"/>
    <tableColumn id="20" xr3:uid="{1B7D4908-5E91-4399-829E-D79CF8687E44}" name="400" dataDxfId="448">
      <calculatedColumnFormula>WO2025Jan7men11915171923252931333539414345474955575963656769717375777913171921[[#This Row],[I]]*1.5</calculatedColumnFormula>
    </tableColumn>
    <tableColumn id="21" xr3:uid="{34FEF74E-8B7A-4A46-BA5C-065669AA1006}" name="…......." dataDxfId="447">
      <calculatedColumnFormula>WO2025Jan7men11915171923252931333539414345474955575963656769717375777913171921[[#This Row],[VO2]]</calculatedColumnFormula>
    </tableColumn>
    <tableColumn id="22" xr3:uid="{F5219257-EF20-47E5-96AB-E1EB1024BBE5}" name="G" dataDxfId="446"/>
  </tableColumns>
  <tableStyleInfo name="TableStyleMedium3"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315C86CE-05D1-4285-92AF-5C14F52D8488}" name="WO2025Jan7108141618222428303234384042444648545658626466687072747668121618" displayName="WO2025Jan7108141618222428303234384042444648545658626466687072747668121618" ref="A1:W57" totalsRowShown="0" headerRowDxfId="445" dataDxfId="444" tableBorderDxfId="443">
  <autoFilter ref="A1:W57" xr:uid="{13733F23-878A-465D-B549-8D39D5BC5CA4}"/>
  <sortState xmlns:xlrd2="http://schemas.microsoft.com/office/spreadsheetml/2017/richdata2" ref="A2:W57">
    <sortCondition ref="W1:W57"/>
  </sortState>
  <tableColumns count="23">
    <tableColumn id="1" xr3:uid="{12D03303-1505-4E73-9450-F8BCFB47D935}" name="WO 9/16/2025" dataDxfId="442"/>
    <tableColumn id="4" xr3:uid="{81C1FF2D-132C-4EE3-BE28-A23AF57DE5B7}" name="5k" dataDxfId="441"/>
    <tableColumn id="5" xr3:uid="{55E23708-97BD-4648-AA36-E577278C2C51}" name="Mile" dataDxfId="440"/>
    <tableColumn id="6" xr3:uid="{BB2BE57E-0AE0-490F-A23C-8A178D233808}" name="3k" dataDxfId="439">
      <calculatedColumnFormula>B2*E2</calculatedColumnFormula>
    </tableColumn>
    <tableColumn id="7" xr3:uid="{8D16636C-7880-44AE-9371-625EB148CBA3}" name="Percent" dataDxfId="438"/>
    <tableColumn id="8" xr3:uid="{9CCB15CE-53A6-4115-8C59-A17F388A4552}" name="R" dataDxfId="437">
      <calculatedColumnFormula>C2/4</calculatedColumnFormula>
    </tableColumn>
    <tableColumn id="10" xr3:uid="{0DF5E10F-E1B1-485D-9D3B-2C09EA4B0946}" name="VO2" dataDxfId="436">
      <calculatedColumnFormula>D2/7.5</calculatedColumnFormula>
    </tableColumn>
    <tableColumn id="9" xr3:uid="{6ADE86B7-BEEF-466D-BF42-7961E31003E3}" name="I" dataDxfId="435">
      <calculatedColumnFormula>B2/12.5</calculatedColumnFormula>
    </tableColumn>
    <tableColumn id="11" xr3:uid="{10783042-8332-4574-A0E3-424BC6E9A19A}" name="10k" dataDxfId="434">
      <calculatedColumnFormula>G2/0.93</calculatedColumnFormula>
    </tableColumn>
    <tableColumn id="12" xr3:uid="{3025B376-FC83-41D4-83EB-FB2601738F23}" name="CV" dataDxfId="433">
      <calculatedColumnFormula>G2/0.92</calculatedColumnFormula>
    </tableColumn>
    <tableColumn id="13" xr3:uid="{B23D6282-CCE4-4C63-B84D-F06EE536319F}" name="Thresh" dataDxfId="432">
      <calculatedColumnFormula>G2/0.88</calculatedColumnFormula>
    </tableColumn>
    <tableColumn id="14" xr3:uid="{1CD9A453-9C24-4E77-9455-41F6ADE779C9}" name="Thresh L" dataDxfId="431">
      <calculatedColumnFormula>G2/0.84</calculatedColumnFormula>
    </tableColumn>
    <tableColumn id="21" xr3:uid="{839C8FFE-A7BB-4B60-887A-41A3A2B85CB0}" name="T (400)" dataDxfId="430"/>
    <tableColumn id="20" xr3:uid="{A88F57F8-F4DE-4EF4-A773-470ADA7FF868}" name="600 T" dataDxfId="429"/>
    <tableColumn id="19" xr3:uid="{C573DD2D-92F7-4D15-90A8-607EEAD22F01}" name="400 VO2" dataDxfId="428"/>
    <tableColumn id="18" xr3:uid="{2814A53F-F3C9-4AFF-BB0C-62A71163A532}" name="200 R" dataDxfId="427">
      <calculatedColumnFormula>WO2025Jan7108141618222428303234384042444648545658626466687072747668121618[[#This Row],[CV]]*2.5</calculatedColumnFormula>
    </tableColumn>
    <tableColumn id="17" xr3:uid="{9A4C9F1A-A40D-407B-890D-7DBA11EDCF2A}" name="….." dataDxfId="426">
      <calculatedColumnFormula>WO2025Jan7108141618222428303234384042444648545658626466687072747668121618[[#This Row],[VO2]]</calculatedColumnFormula>
    </tableColumn>
    <tableColumn id="15" xr3:uid="{C616CBBE-5138-4B32-9604-ACF6E413A70B}" name="…..." dataDxfId="425">
      <calculatedColumnFormula>WO2025Jan7108141618222428303234384042444648545658626466687072747668121618[[#This Row],[I]]*2</calculatedColumnFormula>
    </tableColumn>
    <tableColumn id="16" xr3:uid="{5436C531-F555-4E9B-8799-4CA7DF5FB59F}" name="…...." dataDxfId="424">
      <calculatedColumnFormula>WO2025Jan7108141618222428303234384042444648545658626466687072747668121618[[#This Row],[VO2]]</calculatedColumnFormula>
    </tableColumn>
    <tableColumn id="22" xr3:uid="{4E8DC481-A1D0-418D-9EC8-6C1B48B08CDF}" name="…....." dataDxfId="423"/>
    <tableColumn id="2" xr3:uid="{56E4645C-C20E-4E94-A351-8313590C3C48}" name="…......" dataDxfId="422"/>
    <tableColumn id="23" xr3:uid="{EC02C3F6-17E9-4EE0-BE7B-607EAB2902C7}" name="…......." dataDxfId="421"/>
    <tableColumn id="24" xr3:uid="{D626A62B-C006-43D0-A5E9-E52CC2F326E1}" name="G" dataDxfId="420"/>
  </tableColumns>
  <tableStyleInfo name="TableStyleMedium3"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F5AEE37B-5413-418F-AF76-C12B8F29E156}" name="WO2025Jan7men119151719232529313335394143454749555759636567697173757779131719" displayName="WO2025Jan7men119151719232529313335394143454749555759636567697173757779131719" ref="A58:W144" totalsRowShown="0" headerRowDxfId="419" tableBorderDxfId="418">
  <autoFilter ref="A58:W144" xr:uid="{5DFF29F2-4664-45E4-9AA3-D72D6EA677C9}"/>
  <sortState xmlns:xlrd2="http://schemas.microsoft.com/office/spreadsheetml/2017/richdata2" ref="A59:W141">
    <sortCondition ref="W58:W141"/>
  </sortState>
  <tableColumns count="23">
    <tableColumn id="1" xr3:uid="{9B44CAC2-2D3A-4158-ACBB-3E7337479013}" name="WO 9/16/2025" dataDxfId="417"/>
    <tableColumn id="2" xr3:uid="{EF82EC47-7DE2-4F67-B6DD-31F7AB681EEE}" name="5k" dataDxfId="416"/>
    <tableColumn id="3" xr3:uid="{A753560D-7494-4CB9-ADE2-AFE160539563}" name="Mile" dataDxfId="415"/>
    <tableColumn id="4" xr3:uid="{8887F1D5-FEBE-486F-AF1F-3580FF1BE49D}" name="3k" dataDxfId="414">
      <calculatedColumnFormula>B59*E59</calculatedColumnFormula>
    </tableColumn>
    <tableColumn id="5" xr3:uid="{2FAEF4D5-B4A2-4FBC-9DAD-2D60344252FE}" name="Percent" dataDxfId="413"/>
    <tableColumn id="6" xr3:uid="{72F7C572-5D07-4370-8DD4-B07654C5011B}" name="R" dataDxfId="412">
      <calculatedColumnFormula>C59/4</calculatedColumnFormula>
    </tableColumn>
    <tableColumn id="7" xr3:uid="{50BB7BF7-37FD-4246-9E28-881F0D149FD0}" name="VO2" dataDxfId="411">
      <calculatedColumnFormula>D59/7.5</calculatedColumnFormula>
    </tableColumn>
    <tableColumn id="8" xr3:uid="{C4C73F06-12BD-4760-B02D-ECD31DFB73F8}" name="I" dataDxfId="410">
      <calculatedColumnFormula>B59/12.5</calculatedColumnFormula>
    </tableColumn>
    <tableColumn id="9" xr3:uid="{713B3F5E-9CDF-4CB4-9E8F-13244CB8B2CF}" name="10k" dataDxfId="409">
      <calculatedColumnFormula>G59/0.93</calculatedColumnFormula>
    </tableColumn>
    <tableColumn id="10" xr3:uid="{F3DA51BF-B567-41D9-AB1C-2012F8809A63}" name="CV" dataDxfId="408">
      <calculatedColumnFormula>G59/0.92</calculatedColumnFormula>
    </tableColumn>
    <tableColumn id="11" xr3:uid="{78CE7839-1DCE-42F9-802D-9BFFF0685EF7}" name="Thresh" dataDxfId="407">
      <calculatedColumnFormula>G59/0.88</calculatedColumnFormula>
    </tableColumn>
    <tableColumn id="12" xr3:uid="{BC61F56B-D858-4249-A92A-61B5E27E7DF9}" name="Thresh L" dataDxfId="406">
      <calculatedColumnFormula>G59/0.84</calculatedColumnFormula>
    </tableColumn>
    <tableColumn id="13" xr3:uid="{885681DB-D033-4952-82F4-767776894C9F}" name="T (400)" dataDxfId="405">
      <calculatedColumnFormula>WO2025Jan7men119151719232529313335394143454749555759636567697173757779131719[[#This Row],[Thresh]]</calculatedColumnFormula>
    </tableColumn>
    <tableColumn id="14" xr3:uid="{F8D1C687-B17B-4052-B070-C07ED87CC1C4}" name="800 T" dataDxfId="404">
      <calculatedColumnFormula>WO2025Jan7men119151719232529313335394143454749555759636567697173757779131719[[#This Row],[Thresh]]*2.5</calculatedColumnFormula>
    </tableColumn>
    <tableColumn id="15" xr3:uid="{31A48DAC-093F-4867-AD6E-4AA3F37B09D5}" name="400 I"/>
    <tableColumn id="16" xr3:uid="{30501390-839F-47E6-AA69-A6E1584C860D}" name="400 VO2" dataDxfId="403">
      <calculatedColumnFormula>WO2025Jan7men119151719232529313335394143454749555759636567697173757779131719[[#This Row],[400 I]]*1.5</calculatedColumnFormula>
    </tableColumn>
    <tableColumn id="18" xr3:uid="{FCB24103-22DF-44A8-A03B-606C1F510EC3}" name="….." dataDxfId="402">
      <calculatedColumnFormula>WO2025Jan7men119151719232529313335394143454749555759636567697173757779131719[[#This Row],[VO2]]/2</calculatedColumnFormula>
    </tableColumn>
    <tableColumn id="19" xr3:uid="{03141F81-77F9-4041-B447-C5E9B0A9C6B5}" name="…..." dataDxfId="401">
      <calculatedColumnFormula>WO2025Jan7men119151719232529313335394143454749555759636567697173757779131719[[#This Row],[I]]</calculatedColumnFormula>
    </tableColumn>
    <tableColumn id="24" xr3:uid="{B67885DC-1476-4718-9332-31EF94DBC510}" name="…...." dataDxfId="400">
      <calculatedColumnFormula>SUM(WO2025Jan7men119151719232529313335394143454749555759636567697173757779131719[[#This Row],[400 I]:[…...]])</calculatedColumnFormula>
    </tableColumn>
    <tableColumn id="17" xr3:uid="{6F3EE5F1-1EF1-4321-A23D-E99C71526C4A}" name="…....." dataDxfId="399"/>
    <tableColumn id="20" xr3:uid="{6E3A2536-CF04-47CB-BACA-74B33EF5A3DC}" name="…......" dataDxfId="398">
      <calculatedColumnFormula>WO2025Jan7men119151719232529313335394143454749555759636567697173757779131719[[#This Row],[I]]*1.5</calculatedColumnFormula>
    </tableColumn>
    <tableColumn id="21" xr3:uid="{0A0795DF-BEE9-4ABA-8B65-6BDF0AABBD44}" name="…......." dataDxfId="397">
      <calculatedColumnFormula>WO2025Jan7men119151719232529313335394143454749555759636567697173757779131719[[#This Row],[VO2]]</calculatedColumnFormula>
    </tableColumn>
    <tableColumn id="22" xr3:uid="{E9D58884-6CAE-4B5B-A3D4-8207220E31DF}" name="G" dataDxfId="396"/>
  </tableColumns>
  <tableStyleInfo name="TableStyleMedium3"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74E0C47E-4F65-4CF4-BD33-3AAE8F21D984}" name="WO2025Jan71081416182224283032343840424446485456586264666870727476681216" displayName="WO2025Jan71081416182224283032343840424446485456586264666870727476681216" ref="A1:W57" totalsRowShown="0" headerRowDxfId="395" dataDxfId="394" tableBorderDxfId="393">
  <autoFilter ref="A1:W57" xr:uid="{13733F23-878A-465D-B549-8D39D5BC5CA4}"/>
  <sortState xmlns:xlrd2="http://schemas.microsoft.com/office/spreadsheetml/2017/richdata2" ref="A2:W57">
    <sortCondition ref="W1:W57"/>
  </sortState>
  <tableColumns count="23">
    <tableColumn id="1" xr3:uid="{8CEDABF6-BDD3-482F-B64B-00D26860DD10}" name="WO 9/9/2025" dataDxfId="392"/>
    <tableColumn id="4" xr3:uid="{F25B82A9-3EDF-4205-954D-4309F8331F05}" name="5k" dataDxfId="391"/>
    <tableColumn id="5" xr3:uid="{4FB66FA0-3ED5-4F89-9421-5350F61572AD}" name="Mile" dataDxfId="390"/>
    <tableColumn id="6" xr3:uid="{E3E784DF-0E8A-484A-B937-53F81E36E6A1}" name="3k" dataDxfId="389">
      <calculatedColumnFormula>B2*E2</calculatedColumnFormula>
    </tableColumn>
    <tableColumn id="7" xr3:uid="{EC790690-6130-422D-A0EE-3F83D8352070}" name="Percent" dataDxfId="388"/>
    <tableColumn id="8" xr3:uid="{0E03DDFB-E100-4651-86B9-6C77942BE44B}" name="R" dataDxfId="387">
      <calculatedColumnFormula>C2/4</calculatedColumnFormula>
    </tableColumn>
    <tableColumn id="10" xr3:uid="{3978A844-E8B6-4415-B54A-DCA2793CA03F}" name="VO2" dataDxfId="386">
      <calculatedColumnFormula>D2/7.5</calculatedColumnFormula>
    </tableColumn>
    <tableColumn id="9" xr3:uid="{90C2B07F-27EE-4F1F-BE4A-F0F20413C6BD}" name="I" dataDxfId="385">
      <calculatedColumnFormula>B2/12.5</calculatedColumnFormula>
    </tableColumn>
    <tableColumn id="11" xr3:uid="{CF8D1A60-0B48-4800-A124-42D01179CAFD}" name="10k" dataDxfId="384">
      <calculatedColumnFormula>G2/0.93</calculatedColumnFormula>
    </tableColumn>
    <tableColumn id="12" xr3:uid="{34D31B2C-394C-49A3-B8E6-86E57CA7F28E}" name="CV" dataDxfId="383">
      <calculatedColumnFormula>G2/0.92</calculatedColumnFormula>
    </tableColumn>
    <tableColumn id="13" xr3:uid="{7A43C346-85EE-4F53-AA59-CFE53B0E9382}" name="Thresh" dataDxfId="382">
      <calculatedColumnFormula>G2/0.88</calculatedColumnFormula>
    </tableColumn>
    <tableColumn id="14" xr3:uid="{DE4EFE20-A81D-416E-8969-5C6AF95004E4}" name="Thresh L" dataDxfId="381">
      <calculatedColumnFormula>G2/0.84</calculatedColumnFormula>
    </tableColumn>
    <tableColumn id="21" xr3:uid="{4D7F39A3-B889-4BF7-87EA-6790986BF05D}" name="T (400)" dataDxfId="380"/>
    <tableColumn id="20" xr3:uid="{F14C8421-5946-45C1-A068-914A69B9796A}" name="1k T" dataDxfId="379"/>
    <tableColumn id="19" xr3:uid="{D577BC10-671C-4799-A25C-0F923BA6005E}" name="CV (400)" dataDxfId="378"/>
    <tableColumn id="18" xr3:uid="{B50F1B74-7928-4659-BC21-222C9B54C16D}" name="1k CV" dataDxfId="377">
      <calculatedColumnFormula>WO2025Jan71081416182224283032343840424446485456586264666870727476681216[[#This Row],[CV]]*2.5</calculatedColumnFormula>
    </tableColumn>
    <tableColumn id="17" xr3:uid="{FB996FE4-F397-4B4D-B9D3-988A664A6822}" name="400 VO2" dataDxfId="376">
      <calculatedColumnFormula>WO2025Jan71081416182224283032343840424446485456586264666870727476681216[[#This Row],[VO2]]</calculatedColumnFormula>
    </tableColumn>
    <tableColumn id="15" xr3:uid="{481CFED1-ECFC-4CED-A698-F995574445B5}" name="…..." dataDxfId="375">
      <calculatedColumnFormula>WO2025Jan71081416182224283032343840424446485456586264666870727476681216[[#This Row],[I]]*2</calculatedColumnFormula>
    </tableColumn>
    <tableColumn id="16" xr3:uid="{A5718633-160A-48D0-8932-961DC14FEFFE}" name="…...." dataDxfId="374">
      <calculatedColumnFormula>WO2025Jan71081416182224283032343840424446485456586264666870727476681216[[#This Row],[VO2]]</calculatedColumnFormula>
    </tableColumn>
    <tableColumn id="22" xr3:uid="{8E70D60F-1166-41AA-8E7C-53C8DA42900F}" name="…....." dataDxfId="373"/>
    <tableColumn id="2" xr3:uid="{5EADDEE7-2CD4-44F2-B6ED-BB397DE9B067}" name="…......" dataDxfId="372"/>
    <tableColumn id="23" xr3:uid="{5ED7F219-9707-489F-918C-F3E5563FFE09}" name="…......." dataDxfId="371"/>
    <tableColumn id="24" xr3:uid="{74E4E0F0-5D83-4F67-9250-7454CA661BE5}" name="G" dataDxfId="370"/>
  </tableColumns>
  <tableStyleInfo name="TableStyleMedium3"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676701A-8F95-4514-AC0F-A9EC07F7ECAD}" name="WO2025Jan7men1191517192325293133353941434547495557596365676971737577791317" displayName="WO2025Jan7men1191517192325293133353941434547495557596365676971737577791317" ref="A58:W144" totalsRowShown="0" headerRowDxfId="369" tableBorderDxfId="368">
  <autoFilter ref="A58:W144" xr:uid="{5DFF29F2-4664-45E4-9AA3-D72D6EA677C9}"/>
  <sortState xmlns:xlrd2="http://schemas.microsoft.com/office/spreadsheetml/2017/richdata2" ref="A59:W141">
    <sortCondition ref="W58:W141"/>
  </sortState>
  <tableColumns count="23">
    <tableColumn id="1" xr3:uid="{6FE5F68D-4A23-450B-A4EA-E3D2A38BAE70}" name="WO 9/9/2025" dataDxfId="367"/>
    <tableColumn id="2" xr3:uid="{0167FA85-86F0-4D78-A380-83BB187C697F}" name="5k" dataDxfId="366"/>
    <tableColumn id="3" xr3:uid="{DB05B088-47B5-4AFA-867A-0F7B023548F0}" name="Mile" dataDxfId="365"/>
    <tableColumn id="4" xr3:uid="{23F111C5-FB14-43FD-B835-B871D8E739F1}" name="3k" dataDxfId="364">
      <calculatedColumnFormula>B59*E59</calculatedColumnFormula>
    </tableColumn>
    <tableColumn id="5" xr3:uid="{B1D8ED96-98FD-4221-91A0-8BA76B9C80BC}" name="Percent" dataDxfId="363"/>
    <tableColumn id="6" xr3:uid="{70A3206A-FDCB-400B-9B0E-990FFC11F0BE}" name="R" dataDxfId="362">
      <calculatedColumnFormula>C59/4</calculatedColumnFormula>
    </tableColumn>
    <tableColumn id="7" xr3:uid="{B2070187-2093-44D6-803C-1363CD61C105}" name="VO2" dataDxfId="361">
      <calculatedColumnFormula>D59/7.5</calculatedColumnFormula>
    </tableColumn>
    <tableColumn id="8" xr3:uid="{7020C8B7-820D-4297-ADB8-801B1CCDEC0B}" name="I" dataDxfId="360">
      <calculatedColumnFormula>B59/12.5</calculatedColumnFormula>
    </tableColumn>
    <tableColumn id="9" xr3:uid="{1DF3BFA7-4952-4E82-AFB4-C76191D2107D}" name="10k" dataDxfId="359">
      <calculatedColumnFormula>G59/0.93</calculatedColumnFormula>
    </tableColumn>
    <tableColumn id="10" xr3:uid="{0A110B44-5040-4F30-AE5D-D35A75837C4D}" name="CV" dataDxfId="358">
      <calculatedColumnFormula>G59/0.92</calculatedColumnFormula>
    </tableColumn>
    <tableColumn id="11" xr3:uid="{792FBD10-D688-4C54-96CA-7BF5E517F891}" name="Thresh" dataDxfId="357">
      <calculatedColumnFormula>G59/0.88</calculatedColumnFormula>
    </tableColumn>
    <tableColumn id="12" xr3:uid="{459BB218-2701-4D5A-B7B3-F7CB0435068E}" name="Thresh L" dataDxfId="356">
      <calculatedColumnFormula>G59/0.84</calculatedColumnFormula>
    </tableColumn>
    <tableColumn id="13" xr3:uid="{0343BCF0-4973-403F-AA18-E1012CBEEF4C}" name="T (400)" dataDxfId="355">
      <calculatedColumnFormula>WO2025Jan7men1191517192325293133353941434547495557596365676971737577791317[[#This Row],[Thresh]]</calculatedColumnFormula>
    </tableColumn>
    <tableColumn id="14" xr3:uid="{D7E103FD-4FA0-41BC-BE67-CF0D2D6FAF66}" name="1k T" dataDxfId="354">
      <calculatedColumnFormula>WO2025Jan7men1191517192325293133353941434547495557596365676971737577791317[[#This Row],[Thresh]]*2.5</calculatedColumnFormula>
    </tableColumn>
    <tableColumn id="15" xr3:uid="{FCA2EC55-9F52-44F2-8C6A-6C671A0D5472}" name="CV (400)"/>
    <tableColumn id="16" xr3:uid="{22B35200-EF54-41D6-B43E-BB2CCD39310E}" name="1k CV" dataDxfId="353">
      <calculatedColumnFormula>WO2025Jan7men1191517192325293133353941434547495557596365676971737577791317[[#This Row],[CV (400)]]*1.5</calculatedColumnFormula>
    </tableColumn>
    <tableColumn id="18" xr3:uid="{DB6C3684-42E1-4FDB-916A-4628F9A06572}" name="400 VO2" dataDxfId="352">
      <calculatedColumnFormula>WO2025Jan7men1191517192325293133353941434547495557596365676971737577791317[[#This Row],[VO2]]/2</calculatedColumnFormula>
    </tableColumn>
    <tableColumn id="19" xr3:uid="{02E5A49C-5D0F-4DDE-8C14-B3BCF13F53A8}" name="…..." dataDxfId="351">
      <calculatedColumnFormula>WO2025Jan7men1191517192325293133353941434547495557596365676971737577791317[[#This Row],[I]]</calculatedColumnFormula>
    </tableColumn>
    <tableColumn id="24" xr3:uid="{5B4FF8B0-F104-46C5-A647-0EA7F8BB5ADE}" name="…...." dataDxfId="350">
      <calculatedColumnFormula>SUM(WO2025Jan7men1191517192325293133353941434547495557596365676971737577791317[[#This Row],[CV (400)]:[…...]])</calculatedColumnFormula>
    </tableColumn>
    <tableColumn id="17" xr3:uid="{F99EE6C9-E21B-4404-A262-99D59377A6A8}" name="…....." dataDxfId="349"/>
    <tableColumn id="20" xr3:uid="{1517B633-35D1-46E4-8C11-1BB181175EB4}" name="…......" dataDxfId="348">
      <calculatedColumnFormula>WO2025Jan7men1191517192325293133353941434547495557596365676971737577791317[[#This Row],[I]]*1.5</calculatedColumnFormula>
    </tableColumn>
    <tableColumn id="21" xr3:uid="{39309724-550C-4965-BFD9-84FF686439B8}" name="…......." dataDxfId="347">
      <calculatedColumnFormula>WO2025Jan7men1191517192325293133353941434547495557596365676971737577791317[[#This Row],[VO2]]</calculatedColumnFormula>
    </tableColumn>
    <tableColumn id="22" xr3:uid="{44DB9937-9920-4EE6-A5B9-D0FC4C1A1817}" name="G" dataDxfId="346"/>
  </tableColumns>
  <tableStyleInfo name="TableStyleMedium3"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5AC4381A-92ED-46A9-80DF-35F36275B7C4}" name="WO2025Jan71081416182224283032343840424446485456586264666870727476681214" displayName="WO2025Jan71081416182224283032343840424446485456586264666870727476681214" ref="A1:W57" totalsRowShown="0" headerRowDxfId="345" dataDxfId="344" tableBorderDxfId="343">
  <autoFilter ref="A1:W57" xr:uid="{13733F23-878A-465D-B549-8D39D5BC5CA4}"/>
  <sortState xmlns:xlrd2="http://schemas.microsoft.com/office/spreadsheetml/2017/richdata2" ref="A2:W57">
    <sortCondition ref="W1:W57"/>
  </sortState>
  <tableColumns count="23">
    <tableColumn id="1" xr3:uid="{A7393905-EAC6-4814-9E01-B8A11F265121}" name="WO 9/5/2025" dataDxfId="342"/>
    <tableColumn id="4" xr3:uid="{BD456A40-17F8-48E5-8E32-B4844263FB01}" name="5k" dataDxfId="341"/>
    <tableColumn id="5" xr3:uid="{465531DE-7E9A-416A-83D6-B52490550AB3}" name="Mile" dataDxfId="340"/>
    <tableColumn id="6" xr3:uid="{897F839A-51B6-4DBA-A50F-F16B5C9A055C}" name="3k" dataDxfId="339">
      <calculatedColumnFormula>B2*E2</calculatedColumnFormula>
    </tableColumn>
    <tableColumn id="7" xr3:uid="{153C4FAE-A344-428D-A308-7ECB28FF10E0}" name="Percent" dataDxfId="338"/>
    <tableColumn id="8" xr3:uid="{F9A38C3F-AC52-4FD6-AF95-0C45F07B585A}" name="R" dataDxfId="337">
      <calculatedColumnFormula>C2/4</calculatedColumnFormula>
    </tableColumn>
    <tableColumn id="10" xr3:uid="{79DBC279-E887-48A3-8745-AD25937352E9}" name="VO2" dataDxfId="336">
      <calculatedColumnFormula>D2/7.5</calculatedColumnFormula>
    </tableColumn>
    <tableColumn id="9" xr3:uid="{7CB1E24D-7EF6-4138-8903-9768C9E52F9E}" name="I" dataDxfId="335">
      <calculatedColumnFormula>B2/12.5</calculatedColumnFormula>
    </tableColumn>
    <tableColumn id="11" xr3:uid="{9858796F-7F0B-4DA2-9202-8C817D91A93C}" name="10k" dataDxfId="334">
      <calculatedColumnFormula>G2/0.93</calculatedColumnFormula>
    </tableColumn>
    <tableColumn id="12" xr3:uid="{6E2C0C91-5A36-4EA0-95BC-0163B9CC62B1}" name="CV" dataDxfId="333">
      <calculatedColumnFormula>G2/0.92</calculatedColumnFormula>
    </tableColumn>
    <tableColumn id="13" xr3:uid="{D73F6C84-C046-4156-A827-4F849B4A3047}" name="Thresh" dataDxfId="332">
      <calculatedColumnFormula>G2/0.88</calculatedColumnFormula>
    </tableColumn>
    <tableColumn id="14" xr3:uid="{A326EA69-028F-49C5-93E1-211A2B73A9FB}" name="Thresh L" dataDxfId="331">
      <calculatedColumnFormula>G2/0.84</calculatedColumnFormula>
    </tableColumn>
    <tableColumn id="21" xr3:uid="{073BEA94-A4A4-448D-82CD-2701EC9A2D5B}" name="." dataDxfId="330"/>
    <tableColumn id="20" xr3:uid="{70796033-4C89-4CDA-AAA4-C38BF4E622C4}" name=".." dataDxfId="329"/>
    <tableColumn id="19" xr3:uid="{07D978EA-E16A-4ABC-9E55-9661AAE36BA4}" name="…" dataDxfId="328"/>
    <tableColumn id="18" xr3:uid="{248FF13F-7E0A-4A30-AFEF-F182CAB4F979}" name="…." dataDxfId="327">
      <calculatedColumnFormula>WO2025Jan71081416182224283032343840424446485456586264666870727476681214[[#This Row],[CV]]*2.5</calculatedColumnFormula>
    </tableColumn>
    <tableColumn id="17" xr3:uid="{C5E6E785-4C71-4064-9710-0712CDA0A7F3}" name="….." dataDxfId="326">
      <calculatedColumnFormula>WO2025Jan71081416182224283032343840424446485456586264666870727476681214[[#This Row],[VO2]]</calculatedColumnFormula>
    </tableColumn>
    <tableColumn id="15" xr3:uid="{1220F7AA-7707-49EE-9BE7-DFB37A0A60E0}" name="…..." dataDxfId="325">
      <calculatedColumnFormula>WO2025Jan71081416182224283032343840424446485456586264666870727476681214[[#This Row],[I]]*2</calculatedColumnFormula>
    </tableColumn>
    <tableColumn id="16" xr3:uid="{51916F2C-1D0D-41FC-AD81-A1090527C90D}" name="…...." dataDxfId="324">
      <calculatedColumnFormula>WO2025Jan71081416182224283032343840424446485456586264666870727476681214[[#This Row],[VO2]]</calculatedColumnFormula>
    </tableColumn>
    <tableColumn id="22" xr3:uid="{9CB246DF-5D7F-409E-AA3B-E3609F923651}" name="…....." dataDxfId="323"/>
    <tableColumn id="2" xr3:uid="{32CBD75B-A147-4BD3-909F-3C8B58AD53CC}" name="…......" dataDxfId="322"/>
    <tableColumn id="23" xr3:uid="{B5DCD306-0629-423A-B653-D72313BBE5C2}" name="…......." dataDxfId="321"/>
    <tableColumn id="24" xr3:uid="{5D8F8BB3-4C41-4D7F-B814-BC242F377F79}" name="G" dataDxfId="320"/>
  </tableColumns>
  <tableStyleInfo name="TableStyleMedium3"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C96215F0-DD14-432C-9B3D-2AA219111F0A}" name="WO2025Jan7men1191517192325293133353941434547495557596365676971737577791315" displayName="WO2025Jan7men1191517192325293133353941434547495557596365676971737577791315" ref="A58:W144" totalsRowShown="0" headerRowDxfId="319" tableBorderDxfId="318">
  <autoFilter ref="A58:W144" xr:uid="{5DFF29F2-4664-45E4-9AA3-D72D6EA677C9}"/>
  <sortState xmlns:xlrd2="http://schemas.microsoft.com/office/spreadsheetml/2017/richdata2" ref="A59:W141">
    <sortCondition ref="W58:W141"/>
  </sortState>
  <tableColumns count="23">
    <tableColumn id="1" xr3:uid="{62121483-806B-43CB-B440-9D3A32D465E0}" name="WO 9/5/2025" dataDxfId="317"/>
    <tableColumn id="2" xr3:uid="{F0E749EC-0810-446E-AA95-8EC4528BD940}" name="5k" dataDxfId="316"/>
    <tableColumn id="3" xr3:uid="{89187FDF-27EA-4068-8A1F-4B333E9A8A83}" name="Mile" dataDxfId="315"/>
    <tableColumn id="4" xr3:uid="{902C50FF-4ACE-41C1-B1A8-DFEE5438DA54}" name="3k" dataDxfId="314">
      <calculatedColumnFormula>B59*E59</calculatedColumnFormula>
    </tableColumn>
    <tableColumn id="5" xr3:uid="{80EAA70B-368A-40F5-B832-036C461D7365}" name="Percent" dataDxfId="313"/>
    <tableColumn id="6" xr3:uid="{61281B14-C83F-4794-ABE0-7B04EA5F4486}" name="R" dataDxfId="312">
      <calculatedColumnFormula>C59/4</calculatedColumnFormula>
    </tableColumn>
    <tableColumn id="7" xr3:uid="{02386EC0-52A6-4399-8EE8-A281B552E78A}" name="VO2" dataDxfId="311">
      <calculatedColumnFormula>D59/7.5</calculatedColumnFormula>
    </tableColumn>
    <tableColumn id="8" xr3:uid="{18D01462-45EE-494C-857E-9EA976ADD8E1}" name="I" dataDxfId="310">
      <calculatedColumnFormula>B59/12.5</calculatedColumnFormula>
    </tableColumn>
    <tableColumn id="9" xr3:uid="{6D836E1C-C760-49D8-8524-21C3E20AF15E}" name="10k" dataDxfId="309">
      <calculatedColumnFormula>G59/0.93</calculatedColumnFormula>
    </tableColumn>
    <tableColumn id="10" xr3:uid="{6B85DEB1-2980-4E68-A71B-CD943C5FD09C}" name="CV" dataDxfId="308">
      <calculatedColumnFormula>G59/0.92</calculatedColumnFormula>
    </tableColumn>
    <tableColumn id="11" xr3:uid="{FA196F45-805B-4719-A039-A55DA07EF2AD}" name="Thresh" dataDxfId="307">
      <calculatedColumnFormula>G59/0.88</calculatedColumnFormula>
    </tableColumn>
    <tableColumn id="12" xr3:uid="{7DAF02FC-8509-4FBD-A50D-E8D6AB9F118B}" name="Thresh L" dataDxfId="306">
      <calculatedColumnFormula>G59/0.84</calculatedColumnFormula>
    </tableColumn>
    <tableColumn id="13" xr3:uid="{FDF71F9A-5069-4044-B04D-B46496620417}" name="." dataDxfId="305">
      <calculatedColumnFormula>WO2025Jan7men1191517192325293133353941434547495557596365676971737577791315[[#This Row],[Thresh]]</calculatedColumnFormula>
    </tableColumn>
    <tableColumn id="14" xr3:uid="{32B50661-01C1-4F44-A6A9-E67FC8E61F22}" name=".." dataDxfId="304">
      <calculatedColumnFormula>WO2025Jan7men1191517192325293133353941434547495557596365676971737577791315[[#This Row],[Thresh]]*2.5</calculatedColumnFormula>
    </tableColumn>
    <tableColumn id="15" xr3:uid="{40A64FFD-B6A3-4FF2-8BDE-7065093FDCF7}" name="…"/>
    <tableColumn id="16" xr3:uid="{3F014EA9-87B2-449D-8CE3-A0FF03F61E90}" name="…." dataDxfId="303">
      <calculatedColumnFormula>WO2025Jan7men1191517192325293133353941434547495557596365676971737577791315[[#This Row],[…]]*1.5</calculatedColumnFormula>
    </tableColumn>
    <tableColumn id="18" xr3:uid="{58CAFE93-8305-43F0-8162-339EC1052E91}" name="….." dataDxfId="302">
      <calculatedColumnFormula>WO2025Jan7men1191517192325293133353941434547495557596365676971737577791315[[#This Row],[VO2]]/2</calculatedColumnFormula>
    </tableColumn>
    <tableColumn id="19" xr3:uid="{3C7C5445-6B2B-4EF7-BE48-CF8A868AE493}" name="…..." dataDxfId="301">
      <calculatedColumnFormula>WO2025Jan7men1191517192325293133353941434547495557596365676971737577791315[[#This Row],[I]]</calculatedColumnFormula>
    </tableColumn>
    <tableColumn id="24" xr3:uid="{65A0F11A-2B07-4BFC-A547-8AD5ECB86850}" name="…...." dataDxfId="300">
      <calculatedColumnFormula>SUM(WO2025Jan7men1191517192325293133353941434547495557596365676971737577791315[[#This Row],[…]:[…...]])</calculatedColumnFormula>
    </tableColumn>
    <tableColumn id="17" xr3:uid="{CF015B4F-1B9C-4643-91E5-62CD75DA6002}" name="…....." dataDxfId="299"/>
    <tableColumn id="20" xr3:uid="{0696578A-2864-42EA-9EB6-3153137BE3DF}" name="…......" dataDxfId="298">
      <calculatedColumnFormula>WO2025Jan7men1191517192325293133353941434547495557596365676971737577791315[[#This Row],[I]]*1.5</calculatedColumnFormula>
    </tableColumn>
    <tableColumn id="21" xr3:uid="{023856B0-B1AF-4FFE-A069-3EC573D39007}" name="…......." dataDxfId="297">
      <calculatedColumnFormula>WO2025Jan7men1191517192325293133353941434547495557596365676971737577791315[[#This Row],[VO2]]</calculatedColumnFormula>
    </tableColumn>
    <tableColumn id="22" xr3:uid="{A0DA92DD-CB6B-4DD6-858C-D0596316C1CF}" name="G" dataDxfId="296"/>
  </tableColumns>
  <tableStyleInfo name="TableStyleMedium3"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E2E788F-E08E-440E-B572-6819C7257F9D}" name="WO2025Jan710814161822242830323438404244464854565862646668707274766812" displayName="WO2025Jan710814161822242830323438404244464854565862646668707274766812" ref="A1:W57" totalsRowShown="0" headerRowDxfId="295" dataDxfId="294" tableBorderDxfId="293">
  <autoFilter ref="A1:W57" xr:uid="{13733F23-878A-465D-B549-8D39D5BC5CA4}"/>
  <sortState xmlns:xlrd2="http://schemas.microsoft.com/office/spreadsheetml/2017/richdata2" ref="A2:W57">
    <sortCondition ref="W1:W57"/>
  </sortState>
  <tableColumns count="23">
    <tableColumn id="1" xr3:uid="{A8624FB2-4242-40E8-A4C6-1A940D2AC53B}" name="WO 9/2/2025" dataDxfId="292"/>
    <tableColumn id="4" xr3:uid="{2AD583FD-0A35-427D-9979-A8F4F73DD7B9}" name="5k" dataDxfId="291"/>
    <tableColumn id="5" xr3:uid="{F0B09963-FA9D-467A-B824-22F07A5EAAB3}" name="Mile" dataDxfId="290"/>
    <tableColumn id="6" xr3:uid="{EC4FA628-1412-4B59-9E9E-6861580D07CD}" name="3k" dataDxfId="289">
      <calculatedColumnFormula>B2*E2</calculatedColumnFormula>
    </tableColumn>
    <tableColumn id="7" xr3:uid="{3CDC8C8B-0952-4F87-BF0F-D80C7603C217}" name="Percent" dataDxfId="288"/>
    <tableColumn id="8" xr3:uid="{C929B966-AAF1-4793-B50E-F1C0D8465A7D}" name="R" dataDxfId="287">
      <calculatedColumnFormula>C2/4</calculatedColumnFormula>
    </tableColumn>
    <tableColumn id="10" xr3:uid="{4F8E8790-74CA-4023-90B2-0A4BBD3DB238}" name="VO2" dataDxfId="286">
      <calculatedColumnFormula>D2/7.5</calculatedColumnFormula>
    </tableColumn>
    <tableColumn id="9" xr3:uid="{FEEF9C28-F5FE-4A2C-93C3-35A729F89651}" name="I" dataDxfId="285">
      <calculatedColumnFormula>B2/12.5</calculatedColumnFormula>
    </tableColumn>
    <tableColumn id="11" xr3:uid="{A3B94215-3C61-4AFE-8A42-2C3435FF055D}" name="10k" dataDxfId="284">
      <calculatedColumnFormula>G2/0.93</calculatedColumnFormula>
    </tableColumn>
    <tableColumn id="12" xr3:uid="{5A3AEC91-60B1-4DFF-95EF-8084CAAE6970}" name="CV" dataDxfId="283">
      <calculatedColumnFormula>G2/0.92</calculatedColumnFormula>
    </tableColumn>
    <tableColumn id="13" xr3:uid="{071280F7-F2F0-4A64-878D-18D8ED36F555}" name="Thresh" dataDxfId="282">
      <calculatedColumnFormula>G2/0.88</calculatedColumnFormula>
    </tableColumn>
    <tableColumn id="14" xr3:uid="{759DDB5F-58FB-411E-A7A5-46DE9305DEBE}" name="Thresh L" dataDxfId="281">
      <calculatedColumnFormula>G2/0.84</calculatedColumnFormula>
    </tableColumn>
    <tableColumn id="21" xr3:uid="{9F9AEDEE-1807-437C-A0F6-DE1866F3D210}" name="T (400)" dataDxfId="280"/>
    <tableColumn id="20" xr3:uid="{0CEDF4A0-1084-4DBD-9744-5AA6E31B5255}" name="1200 T" dataDxfId="279"/>
    <tableColumn id="19" xr3:uid="{CFD860FE-EFFA-4B5D-B47C-CB554EECBF68}" name="400 VO2" dataDxfId="278"/>
    <tableColumn id="18" xr3:uid="{A4E0C56D-502B-42F4-A60D-7845A98C5733}" name="…." dataDxfId="277">
      <calculatedColumnFormula>WO2025Jan710814161822242830323438404244464854565862646668707274766812[[#This Row],[CV]]*2.5</calculatedColumnFormula>
    </tableColumn>
    <tableColumn id="17" xr3:uid="{800CA737-EF2C-4420-BBF9-1B1BFF14DD9C}" name="….." dataDxfId="276">
      <calculatedColumnFormula>WO2025Jan710814161822242830323438404244464854565862646668707274766812[[#This Row],[VO2]]</calculatedColumnFormula>
    </tableColumn>
    <tableColumn id="15" xr3:uid="{9E63594D-CBAC-4C66-A2DB-300DA58FF245}" name="…..." dataDxfId="275">
      <calculatedColumnFormula>WO2025Jan710814161822242830323438404244464854565862646668707274766812[[#This Row],[I]]*2</calculatedColumnFormula>
    </tableColumn>
    <tableColumn id="16" xr3:uid="{FEB2A0CD-E6DE-48C6-B4CC-973E879E0309}" name="…...." dataDxfId="274">
      <calculatedColumnFormula>WO2025Jan710814161822242830323438404244464854565862646668707274766812[[#This Row],[VO2]]</calculatedColumnFormula>
    </tableColumn>
    <tableColumn id="22" xr3:uid="{E1AF54E5-0A39-4D60-A853-86F3515A8DFC}" name="…....." dataDxfId="273"/>
    <tableColumn id="2" xr3:uid="{0054E73C-EF9D-41E5-8CBF-84358CB7E84A}" name="…......" dataDxfId="272"/>
    <tableColumn id="23" xr3:uid="{E047D81A-A0AC-44D3-88E0-5659DA245769}" name="…......." dataDxfId="271"/>
    <tableColumn id="24" xr3:uid="{F339DE2E-5FB8-48D9-9A64-E78191551973}" name="G" dataDxfId="270"/>
  </tableColumns>
  <tableStyleInfo name="TableStyleMedium3"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1168360-E2E7-4389-A4CF-5B7617899D1D}" name="WO2025Jan7men11915171923252931333539414345474955575963656769717375777913" displayName="WO2025Jan7men11915171923252931333539414345474955575963656769717375777913" ref="A58:W144" totalsRowShown="0" headerRowDxfId="269" tableBorderDxfId="268">
  <autoFilter ref="A58:W144" xr:uid="{5DFF29F2-4664-45E4-9AA3-D72D6EA677C9}"/>
  <sortState xmlns:xlrd2="http://schemas.microsoft.com/office/spreadsheetml/2017/richdata2" ref="A59:W141">
    <sortCondition ref="W58:W141"/>
  </sortState>
  <tableColumns count="23">
    <tableColumn id="1" xr3:uid="{8FE9470A-0A08-4EA9-B004-48E246C64FD9}" name="WO 9/2/2025" dataDxfId="267"/>
    <tableColumn id="2" xr3:uid="{2285B238-AAB0-46BA-8306-C42266920C1D}" name="5k" dataDxfId="266"/>
    <tableColumn id="3" xr3:uid="{0AD36505-159A-498C-8CEE-545570D2DBD4}" name="Mile" dataDxfId="265"/>
    <tableColumn id="4" xr3:uid="{32B15D35-9082-427E-88BA-614743A3798E}" name="3k" dataDxfId="264">
      <calculatedColumnFormula>B59*E59</calculatedColumnFormula>
    </tableColumn>
    <tableColumn id="5" xr3:uid="{84401915-CF48-4D41-A53F-A64F8F10D982}" name="Percent" dataDxfId="263"/>
    <tableColumn id="6" xr3:uid="{8D8CDC08-BB62-4DA0-A596-05EB601B73C9}" name="R" dataDxfId="262">
      <calculatedColumnFormula>C59/4</calculatedColumnFormula>
    </tableColumn>
    <tableColumn id="7" xr3:uid="{E40B94E8-2D68-49EA-93E3-47C0C4DE9295}" name="VO2" dataDxfId="261">
      <calculatedColumnFormula>D59/7.5</calculatedColumnFormula>
    </tableColumn>
    <tableColumn id="8" xr3:uid="{5E8C91CC-B677-4E1E-9763-425959A9ED85}" name="I" dataDxfId="260">
      <calculatedColumnFormula>B59/12.5</calculatedColumnFormula>
    </tableColumn>
    <tableColumn id="9" xr3:uid="{93FCF7AA-2991-4CAD-A8A5-1A40AD9673F2}" name="10k" dataDxfId="259">
      <calculatedColumnFormula>G59/0.93</calculatedColumnFormula>
    </tableColumn>
    <tableColumn id="10" xr3:uid="{B534674B-DCD4-458A-A3AE-B7E2DFA88EF9}" name="CV" dataDxfId="258">
      <calculatedColumnFormula>G59/0.92</calculatedColumnFormula>
    </tableColumn>
    <tableColumn id="11" xr3:uid="{9E76DED8-D4C0-4DBD-9A1C-632723A24427}" name="Thresh" dataDxfId="257">
      <calculatedColumnFormula>G59/0.88</calculatedColumnFormula>
    </tableColumn>
    <tableColumn id="12" xr3:uid="{DE1BD25E-B168-4036-BA90-2723894EC9EC}" name="Thresh L" dataDxfId="256">
      <calculatedColumnFormula>G59/0.84</calculatedColumnFormula>
    </tableColumn>
    <tableColumn id="13" xr3:uid="{E2B68C68-28CC-452E-911C-4047F12CB59D}" name="T (400)" dataDxfId="255">
      <calculatedColumnFormula>WO2025Jan7men11915171923252931333539414345474955575963656769717375777913[[#This Row],[Thresh]]</calculatedColumnFormula>
    </tableColumn>
    <tableColumn id="14" xr3:uid="{36B7E2DA-A88F-4BDE-B264-E2C851C8BFE9}" name="1600 T" dataDxfId="254">
      <calculatedColumnFormula>WO2025Jan7men11915171923252931333539414345474955575963656769717375777913[[#This Row],[Thresh]]*2.5</calculatedColumnFormula>
    </tableColumn>
    <tableColumn id="15" xr3:uid="{26AC0FE6-B31E-44BB-BC4B-04C0AE4311F4}" name="400 VO2"/>
    <tableColumn id="16" xr3:uid="{0D30A99E-84CC-4C35-A3DE-8CECD6101E54}" name="…." dataDxfId="253">
      <calculatedColumnFormula>WO2025Jan7men11915171923252931333539414345474955575963656769717375777913[[#This Row],[400 VO2]]*1.5</calculatedColumnFormula>
    </tableColumn>
    <tableColumn id="18" xr3:uid="{299FC140-1A3F-4E61-B730-22087B3EF025}" name="….." dataDxfId="252">
      <calculatedColumnFormula>WO2025Jan7men11915171923252931333539414345474955575963656769717375777913[[#This Row],[VO2]]/2</calculatedColumnFormula>
    </tableColumn>
    <tableColumn id="19" xr3:uid="{CC815138-5740-4F67-BD69-1FF74F63DEA6}" name="…..." dataDxfId="251">
      <calculatedColumnFormula>WO2025Jan7men11915171923252931333539414345474955575963656769717375777913[[#This Row],[I]]</calculatedColumnFormula>
    </tableColumn>
    <tableColumn id="24" xr3:uid="{EA03B72A-258F-4D32-8B97-4E4C886F95FF}" name="…...." dataDxfId="250">
      <calculatedColumnFormula>SUM(WO2025Jan7men11915171923252931333539414345474955575963656769717375777913[[#This Row],[400 VO2]:[…...]])</calculatedColumnFormula>
    </tableColumn>
    <tableColumn id="17" xr3:uid="{4668439F-EE08-45FB-B246-029E82B407F6}" name="…....." dataDxfId="249"/>
    <tableColumn id="20" xr3:uid="{8D870E83-2DDC-4C7F-A22B-203953EF0087}" name="…......" dataDxfId="248">
      <calculatedColumnFormula>WO2025Jan7men11915171923252931333539414345474955575963656769717375777913[[#This Row],[I]]*1.5</calculatedColumnFormula>
    </tableColumn>
    <tableColumn id="21" xr3:uid="{CD24D159-4C84-4AE0-AC94-33A9FDA2D89A}" name="…......." dataDxfId="247">
      <calculatedColumnFormula>WO2025Jan7men11915171923252931333539414345474955575963656769717375777913[[#This Row],[VO2]]</calculatedColumnFormula>
    </tableColumn>
    <tableColumn id="22" xr3:uid="{BCD107D3-BFCB-43CF-8339-1DB23693A1B4}" name="G" dataDxfId="246"/>
  </tableColumns>
  <tableStyleInfo name="TableStyleMedium3"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536FF5F-9A0F-4AEB-B865-CD3B7628B3D6}" name="WO2025Jan710814161822242830323438404244464854565862646668707274766810" displayName="WO2025Jan710814161822242830323438404244464854565862646668707274766810" ref="A1:W57" totalsRowShown="0" headerRowDxfId="245" dataDxfId="244" tableBorderDxfId="243">
  <autoFilter ref="A1:W57" xr:uid="{13733F23-878A-465D-B549-8D39D5BC5CA4}"/>
  <sortState xmlns:xlrd2="http://schemas.microsoft.com/office/spreadsheetml/2017/richdata2" ref="A2:W57">
    <sortCondition ref="W1:W57"/>
  </sortState>
  <tableColumns count="23">
    <tableColumn id="1" xr3:uid="{FA403F9E-F338-4F2F-85C5-ADA9CBCA0802}" name="WO 8/30/2025" dataDxfId="242"/>
    <tableColumn id="4" xr3:uid="{6A1B9102-E583-405F-988E-66832EB30B52}" name="5k" dataDxfId="241"/>
    <tableColumn id="5" xr3:uid="{6887F5AC-4FB4-4912-A9AA-98F792A4EA5B}" name="Mile" dataDxfId="240"/>
    <tableColumn id="6" xr3:uid="{58E2BCB6-2C64-4821-B169-93FD669472AF}" name="3k" dataDxfId="239">
      <calculatedColumnFormula>B2*E2</calculatedColumnFormula>
    </tableColumn>
    <tableColumn id="7" xr3:uid="{1AA6B0B6-A519-4E13-AF17-47741D2F9A2A}" name="Percent" dataDxfId="238"/>
    <tableColumn id="8" xr3:uid="{5DA0EBAC-BDD5-4E08-90FA-57400156F99F}" name="R" dataDxfId="237">
      <calculatedColumnFormula>C2/4</calculatedColumnFormula>
    </tableColumn>
    <tableColumn id="10" xr3:uid="{B252E48D-882F-4C5B-B90B-54A5F709CA3D}" name="VO2" dataDxfId="236">
      <calculatedColumnFormula>D2/7.5</calculatedColumnFormula>
    </tableColumn>
    <tableColumn id="9" xr3:uid="{9D8BCC92-BAB8-4070-A193-F4482DDF68CE}" name="I" dataDxfId="235">
      <calculatedColumnFormula>B2/12.5</calculatedColumnFormula>
    </tableColumn>
    <tableColumn id="11" xr3:uid="{85AFD4AC-9A9E-4E9C-8624-6BC2E6E70B81}" name="10k" dataDxfId="234">
      <calculatedColumnFormula>G2/0.93</calculatedColumnFormula>
    </tableColumn>
    <tableColumn id="12" xr3:uid="{91D0B999-9E52-4374-9FBB-1EEC6F237E9C}" name="CV" dataDxfId="233">
      <calculatedColumnFormula>G2/0.92</calculatedColumnFormula>
    </tableColumn>
    <tableColumn id="13" xr3:uid="{E2AA6F37-EE61-4034-A72A-B70A40914FBD}" name="Thresh" dataDxfId="232">
      <calculatedColumnFormula>G2/0.88</calculatedColumnFormula>
    </tableColumn>
    <tableColumn id="14" xr3:uid="{BD30F142-EB88-4885-88EB-B1C07A49FA49}" name="Thresh L" dataDxfId="231">
      <calculatedColumnFormula>G2/0.84</calculatedColumnFormula>
    </tableColumn>
    <tableColumn id="21" xr3:uid="{0A575692-0739-4156-90DB-28899AB61A86}" name="T (400)" dataDxfId="230"/>
    <tableColumn id="20" xr3:uid="{630E63AA-6D86-443B-9544-345B13B90356}" name="600 T" dataDxfId="229"/>
    <tableColumn id="19" xr3:uid="{7A4CA123-452A-401A-8322-5D62F536035C}" name="…" dataDxfId="228"/>
    <tableColumn id="18" xr3:uid="{868A2D84-D936-4DD9-9AA8-A0F094B3BA29}" name="…." dataDxfId="227">
      <calculatedColumnFormula>WO2025Jan710814161822242830323438404244464854565862646668707274766810[[#This Row],[CV]]*2.5</calculatedColumnFormula>
    </tableColumn>
    <tableColumn id="17" xr3:uid="{98C25040-66E3-4A78-BB13-377664115FFF}" name="….." dataDxfId="226">
      <calculatedColumnFormula>WO2025Jan710814161822242830323438404244464854565862646668707274766810[[#This Row],[VO2]]</calculatedColumnFormula>
    </tableColumn>
    <tableColumn id="15" xr3:uid="{AA2B0DE0-C417-4CCA-A3E3-389E50281591}" name="…..." dataDxfId="225">
      <calculatedColumnFormula>WO2025Jan710814161822242830323438404244464854565862646668707274766810[[#This Row],[I]]*2</calculatedColumnFormula>
    </tableColumn>
    <tableColumn id="16" xr3:uid="{687EEF6F-5249-4419-AB3F-9A7ECB6568C9}" name="…...." dataDxfId="224">
      <calculatedColumnFormula>WO2025Jan710814161822242830323438404244464854565862646668707274766810[[#This Row],[VO2]]</calculatedColumnFormula>
    </tableColumn>
    <tableColumn id="22" xr3:uid="{7D6820E7-C955-449E-96B8-BD1D2BFAC537}" name="…....." dataDxfId="223"/>
    <tableColumn id="2" xr3:uid="{03411C75-DB90-43EC-9A46-505B77223E1D}" name="…......" dataDxfId="222"/>
    <tableColumn id="23" xr3:uid="{56FAC771-17D3-4251-87CB-8F24F64E23ED}" name="…......." dataDxfId="221"/>
    <tableColumn id="24" xr3:uid="{60CBB61E-918A-4574-9450-D5A249456060}" name="G" dataDxfId="220"/>
  </tableColumns>
  <tableStyleInfo name="TableStyleMedium3"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A3D027D-2ACF-424C-A5BA-CFEB6A6B949B}" name="WO2025Jan7men11915171923252931333539414345474955575963656769717375777911" displayName="WO2025Jan7men11915171923252931333539414345474955575963656769717375777911" ref="A58:W144" totalsRowShown="0" headerRowDxfId="219" tableBorderDxfId="218">
  <autoFilter ref="A58:W144" xr:uid="{5DFF29F2-4664-45E4-9AA3-D72D6EA677C9}"/>
  <sortState xmlns:xlrd2="http://schemas.microsoft.com/office/spreadsheetml/2017/richdata2" ref="A59:W144">
    <sortCondition ref="W58:W144"/>
  </sortState>
  <tableColumns count="23">
    <tableColumn id="1" xr3:uid="{DEEFD348-F8F4-430C-AC04-98590A8C67CD}" name="WO 8/30/2025" dataDxfId="217"/>
    <tableColumn id="2" xr3:uid="{3B1813A1-4EFE-40E7-A4D3-A3F5949526B4}" name="5k" dataDxfId="216"/>
    <tableColumn id="3" xr3:uid="{2E4214C9-B205-4603-824C-E131EE34826B}" name="Mile" dataDxfId="215"/>
    <tableColumn id="4" xr3:uid="{9C3A8E03-7A9A-4398-A58C-5C9C39842D2A}" name="3k" dataDxfId="214">
      <calculatedColumnFormula>B59*E59</calculatedColumnFormula>
    </tableColumn>
    <tableColumn id="5" xr3:uid="{9B6A11B7-8A2E-4C8A-8E21-26BE6652858C}" name="Percent" dataDxfId="213"/>
    <tableColumn id="6" xr3:uid="{3F752151-39B1-4AE2-BD5F-8F12F038C4D2}" name="R" dataDxfId="212">
      <calculatedColumnFormula>C59/4</calculatedColumnFormula>
    </tableColumn>
    <tableColumn id="7" xr3:uid="{7CCF1E63-1369-409E-ADBA-0D731627E3A3}" name="VO2" dataDxfId="211">
      <calculatedColumnFormula>D59/7.5</calculatedColumnFormula>
    </tableColumn>
    <tableColumn id="8" xr3:uid="{CA6F3A26-35A7-48D5-894F-F5FA2EC7783F}" name="I" dataDxfId="210">
      <calculatedColumnFormula>B59/12.5</calculatedColumnFormula>
    </tableColumn>
    <tableColumn id="9" xr3:uid="{1B223FAA-259E-4581-A7DF-573A080DE7CD}" name="10k" dataDxfId="209">
      <calculatedColumnFormula>G59/0.93</calculatedColumnFormula>
    </tableColumn>
    <tableColumn id="10" xr3:uid="{B2710909-5CD8-4D39-B945-2EE68D840407}" name="CV" dataDxfId="208">
      <calculatedColumnFormula>G59/0.92</calculatedColumnFormula>
    </tableColumn>
    <tableColumn id="11" xr3:uid="{91189120-0178-40CE-BFF2-E710874A954A}" name="Thresh" dataDxfId="207">
      <calculatedColumnFormula>G59/0.88</calculatedColumnFormula>
    </tableColumn>
    <tableColumn id="12" xr3:uid="{9A9B8768-523B-44AD-9FFC-A2D08EE81403}" name="Thresh L" dataDxfId="206">
      <calculatedColumnFormula>G59/0.84</calculatedColumnFormula>
    </tableColumn>
    <tableColumn id="13" xr3:uid="{1CEA13F3-1A86-420C-A834-CFB8A5969A87}" name="T (400)" dataDxfId="205">
      <calculatedColumnFormula>WO2025Jan7men11915171923252931333539414345474955575963656769717375777911[[#This Row],[Thresh]]</calculatedColumnFormula>
    </tableColumn>
    <tableColumn id="14" xr3:uid="{055F94AC-104F-494E-A822-56A5BF2C515C}" name="600 T" dataDxfId="204">
      <calculatedColumnFormula>WO2025Jan7men11915171923252931333539414345474955575963656769717375777911[[#This Row],[Thresh]]*2.5</calculatedColumnFormula>
    </tableColumn>
    <tableColumn id="15" xr3:uid="{B6077D9D-F57B-4B93-AED2-71C3430B7260}" name="…"/>
    <tableColumn id="16" xr3:uid="{352A9C42-818A-4CA7-B914-767344B1C447}" name="…." dataDxfId="203">
      <calculatedColumnFormula>WO2025Jan7men11915171923252931333539414345474955575963656769717375777911[[#This Row],[…]]*1.5</calculatedColumnFormula>
    </tableColumn>
    <tableColumn id="18" xr3:uid="{462310AB-8FE5-41A4-AE80-B855C529E4AC}" name="….." dataDxfId="202">
      <calculatedColumnFormula>WO2025Jan7men11915171923252931333539414345474955575963656769717375777911[[#This Row],[VO2]]/2</calculatedColumnFormula>
    </tableColumn>
    <tableColumn id="19" xr3:uid="{A9BB961C-BDDF-432B-9E02-21E7F10A3272}" name="…..." dataDxfId="201">
      <calculatedColumnFormula>WO2025Jan7men11915171923252931333539414345474955575963656769717375777911[[#This Row],[I]]</calculatedColumnFormula>
    </tableColumn>
    <tableColumn id="24" xr3:uid="{B2199E23-0ED6-4EF3-ACBB-9EB180C2D77A}" name="…...." dataDxfId="200">
      <calculatedColumnFormula>SUM(WO2025Jan7men11915171923252931333539414345474955575963656769717375777911[[#This Row],[…]:[…...]])</calculatedColumnFormula>
    </tableColumn>
    <tableColumn id="17" xr3:uid="{3A16FA1A-7343-45E5-8245-56F01E4E42CD}" name="…....." dataDxfId="199"/>
    <tableColumn id="20" xr3:uid="{5F6E9507-D88F-4BEE-B435-D494279AB6D7}" name="…......" dataDxfId="198">
      <calculatedColumnFormula>WO2025Jan7men11915171923252931333539414345474955575963656769717375777911[[#This Row],[I]]*1.5</calculatedColumnFormula>
    </tableColumn>
    <tableColumn id="21" xr3:uid="{CBCD19DC-2EE4-4D3A-AFE6-7078488D16A7}" name="…......." dataDxfId="197">
      <calculatedColumnFormula>WO2025Jan7men11915171923252931333539414345474955575963656769717375777911[[#This Row],[VO2]]</calculatedColumnFormula>
    </tableColumn>
    <tableColumn id="22" xr3:uid="{EBFD1423-E7F0-422A-8987-FF921F7AF5F9}" name="G" dataDxfId="196"/>
  </tableColumns>
  <tableStyleInfo name="TableStyleMedium3"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4D4FBCB-147E-45E2-8674-DCEFC6797173}" name="WO2025Jan7108141618222428303234384042444648545658626466687072747668" displayName="WO2025Jan7108141618222428303234384042444648545658626466687072747668" ref="A1:W57" totalsRowShown="0" headerRowDxfId="195" dataDxfId="194" tableBorderDxfId="193">
  <autoFilter ref="A1:W57" xr:uid="{13733F23-878A-465D-B549-8D39D5BC5CA4}"/>
  <sortState xmlns:xlrd2="http://schemas.microsoft.com/office/spreadsheetml/2017/richdata2" ref="A2:W57">
    <sortCondition ref="W1:W57"/>
  </sortState>
  <tableColumns count="23">
    <tableColumn id="1" xr3:uid="{3248279E-F672-4DF2-BAB9-6FB14DE6C648}" name="WO 8/26/2025" dataDxfId="192"/>
    <tableColumn id="4" xr3:uid="{2A35BE2F-FF70-4923-B05B-7D8F0BD18415}" name="5k" dataDxfId="191"/>
    <tableColumn id="5" xr3:uid="{C1D125DB-24CD-4009-A571-91AA7E906810}" name="Mile" dataDxfId="190"/>
    <tableColumn id="6" xr3:uid="{19466708-A11F-41CC-9AAB-D902F2ED2CE6}" name="3k" dataDxfId="189">
      <calculatedColumnFormula>B2*E2</calculatedColumnFormula>
    </tableColumn>
    <tableColumn id="7" xr3:uid="{CB457402-9EC6-4B54-B5C2-32E3D561C255}" name="Percent" dataDxfId="188"/>
    <tableColumn id="8" xr3:uid="{F66D07C7-D9DE-482E-A13E-01AF3CD4A352}" name="R" dataDxfId="187">
      <calculatedColumnFormula>C2/4</calculatedColumnFormula>
    </tableColumn>
    <tableColumn id="10" xr3:uid="{4EF882CB-7D13-4198-B21C-E6C71887DEE1}" name="VO2" dataDxfId="186">
      <calculatedColumnFormula>D2/7.5</calculatedColumnFormula>
    </tableColumn>
    <tableColumn id="9" xr3:uid="{6BEF562A-4ADC-4A14-B7F8-655E3B1A576A}" name="I" dataDxfId="185">
      <calculatedColumnFormula>B2/12.5</calculatedColumnFormula>
    </tableColumn>
    <tableColumn id="11" xr3:uid="{A3CC04D8-D694-47AA-AAA4-A5751B0B277D}" name="10k" dataDxfId="184">
      <calculatedColumnFormula>G2/0.93</calculatedColumnFormula>
    </tableColumn>
    <tableColumn id="12" xr3:uid="{3CC1EEE1-FE9A-4E4C-8834-2C8270D91B3B}" name="CV" dataDxfId="183">
      <calculatedColumnFormula>G2/0.92</calculatedColumnFormula>
    </tableColumn>
    <tableColumn id="13" xr3:uid="{B051263A-923C-44BA-BF9D-883A238B0C41}" name="Thresh" dataDxfId="182">
      <calculatedColumnFormula>G2/0.88</calculatedColumnFormula>
    </tableColumn>
    <tableColumn id="14" xr3:uid="{EE7244B0-2193-4722-9277-170E6F8E4ADA}" name="Thresh L" dataDxfId="181">
      <calculatedColumnFormula>G2/0.84</calculatedColumnFormula>
    </tableColumn>
    <tableColumn id="21" xr3:uid="{52D484C9-04E1-48F1-A8DD-2211707F117A}" name="T (400)" dataDxfId="180"/>
    <tableColumn id="20" xr3:uid="{525BF156-75D0-40AF-BF37-306348DF78F3}" name="1k T" dataDxfId="179"/>
    <tableColumn id="19" xr3:uid="{A139A1D7-E4E6-42A6-8D95-9037C1F36BD1}" name="400 VO2" dataDxfId="178"/>
    <tableColumn id="18" xr3:uid="{BA59AD15-90B8-4E64-91EB-461E5E1E732A}" name="…." dataDxfId="177">
      <calculatedColumnFormula>WO2025Jan7108141618222428303234384042444648545658626466687072747668[[#This Row],[CV]]*2.5</calculatedColumnFormula>
    </tableColumn>
    <tableColumn id="17" xr3:uid="{880866F3-CD03-489F-AF86-E9DE8DD5DDC8}" name="….." dataDxfId="176">
      <calculatedColumnFormula>WO2025Jan7108141618222428303234384042444648545658626466687072747668[[#This Row],[VO2]]</calculatedColumnFormula>
    </tableColumn>
    <tableColumn id="15" xr3:uid="{10DBA5E8-E1A4-45AC-8BC5-5DCC4C2631D8}" name="…..." dataDxfId="175">
      <calculatedColumnFormula>WO2025Jan7108141618222428303234384042444648545658626466687072747668[[#This Row],[I]]*2</calculatedColumnFormula>
    </tableColumn>
    <tableColumn id="16" xr3:uid="{B4D87516-596D-4E9C-BD1B-7C2CBE7AE641}" name="…...." dataDxfId="174">
      <calculatedColumnFormula>WO2025Jan7108141618222428303234384042444648545658626466687072747668[[#This Row],[VO2]]</calculatedColumnFormula>
    </tableColumn>
    <tableColumn id="22" xr3:uid="{D9EFBA38-D85D-4720-B668-962EE12A6FC5}" name="…....." dataDxfId="173"/>
    <tableColumn id="2" xr3:uid="{226CF643-9BD7-4BC0-8022-8227729DC210}" name="…......" dataDxfId="172"/>
    <tableColumn id="23" xr3:uid="{A88A3512-12B5-46A9-A6B1-62ADC20700EB}" name="…......." dataDxfId="171"/>
    <tableColumn id="24" xr3:uid="{F6726836-5B09-4325-9C06-955E2BE211F1}" name="G" dataDxfId="170"/>
  </tableColumns>
  <tableStyleInfo name="TableStyleMedium3"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B162D16-0C00-4BDD-B39F-12AAF1114E02}" name="WO2025Jan7men119151719232529313335394143454749555759636567697173757779" displayName="WO2025Jan7men119151719232529313335394143454749555759636567697173757779" ref="A58:W144" totalsRowShown="0" headerRowDxfId="169" tableBorderDxfId="168">
  <autoFilter ref="A58:W144" xr:uid="{5DFF29F2-4664-45E4-9AA3-D72D6EA677C9}"/>
  <sortState xmlns:xlrd2="http://schemas.microsoft.com/office/spreadsheetml/2017/richdata2" ref="A59:W141">
    <sortCondition ref="W58:W141"/>
  </sortState>
  <tableColumns count="23">
    <tableColumn id="1" xr3:uid="{FC3EA4FF-B36D-4638-A687-BBBFCD27CD8A}" name="WO 8/26/2025" dataDxfId="167"/>
    <tableColumn id="2" xr3:uid="{4FB87D65-E9F9-4D41-BFAC-B7169518CFE5}" name="5k" dataDxfId="166"/>
    <tableColumn id="3" xr3:uid="{1C252131-BE4E-4093-8554-72813BDD3B1E}" name="Mile" dataDxfId="165"/>
    <tableColumn id="4" xr3:uid="{DC2CEE28-3BC8-423A-91DD-99AB4AD05A2A}" name="3k" dataDxfId="164">
      <calculatedColumnFormula>B59*E59</calculatedColumnFormula>
    </tableColumn>
    <tableColumn id="5" xr3:uid="{F09BBE44-873F-4F9B-BCBD-52DA39964DC9}" name="Percent" dataDxfId="163"/>
    <tableColumn id="6" xr3:uid="{E2955120-7565-4526-81F6-A2F659EA28DE}" name="R" dataDxfId="162">
      <calculatedColumnFormula>C59/4</calculatedColumnFormula>
    </tableColumn>
    <tableColumn id="7" xr3:uid="{12B8870B-DDDF-492A-BBFD-63956805D808}" name="VO2" dataDxfId="161">
      <calculatedColumnFormula>D59/7.5</calculatedColumnFormula>
    </tableColumn>
    <tableColumn id="8" xr3:uid="{0357A126-DB93-43DE-AE11-DE5C27499A9A}" name="I" dataDxfId="160">
      <calculatedColumnFormula>B59/12.5</calculatedColumnFormula>
    </tableColumn>
    <tableColumn id="9" xr3:uid="{57FA70DB-C60F-4E40-82D6-1F02B363C6FC}" name="10k" dataDxfId="159">
      <calculatedColumnFormula>G59/0.93</calculatedColumnFormula>
    </tableColumn>
    <tableColumn id="10" xr3:uid="{49DBC273-6DE7-4F2C-9EF0-02E2DFD3FFB1}" name="CV" dataDxfId="158">
      <calculatedColumnFormula>G59/0.92</calculatedColumnFormula>
    </tableColumn>
    <tableColumn id="11" xr3:uid="{56B1BCDA-37A3-42C6-8822-41C01E2BA82F}" name="Thresh" dataDxfId="157">
      <calculatedColumnFormula>G59/0.88</calculatedColumnFormula>
    </tableColumn>
    <tableColumn id="12" xr3:uid="{8A4A2727-B2B8-4717-AF42-AEBE3D72BDB0}" name="Thresh L" dataDxfId="156">
      <calculatedColumnFormula>G59/0.84</calculatedColumnFormula>
    </tableColumn>
    <tableColumn id="13" xr3:uid="{C46D88B3-2678-4E27-B9CE-9196C6DA4D0E}" name="T (400)" dataDxfId="155">
      <calculatedColumnFormula>WO2025Jan7men119151719232529313335394143454749555759636567697173757779[[#This Row],[Thresh]]</calculatedColumnFormula>
    </tableColumn>
    <tableColumn id="14" xr3:uid="{7AE17748-76D8-4D3B-9DC2-22EE5840EC27}" name="1k T" dataDxfId="154">
      <calculatedColumnFormula>WO2025Jan7men119151719232529313335394143454749555759636567697173757779[[#This Row],[Thresh]]*2.5</calculatedColumnFormula>
    </tableColumn>
    <tableColumn id="15" xr3:uid="{94D04C76-EE61-4D70-88D0-0F45D1E416D0}" name="400 VO2"/>
    <tableColumn id="16" xr3:uid="{C091684F-4761-4A8F-953F-0EFE6D128410}" name="…." dataDxfId="153">
      <calculatedColumnFormula>WO2025Jan7men119151719232529313335394143454749555759636567697173757779[[#This Row],[400 VO2]]*1.5</calculatedColumnFormula>
    </tableColumn>
    <tableColumn id="18" xr3:uid="{2DDB3D96-E8FC-47F7-B727-45642325DF24}" name="….." dataDxfId="152">
      <calculatedColumnFormula>WO2025Jan7men119151719232529313335394143454749555759636567697173757779[[#This Row],[VO2]]/2</calculatedColumnFormula>
    </tableColumn>
    <tableColumn id="19" xr3:uid="{DFCEF25B-1E77-49E1-B0DA-600687D37B80}" name="…..." dataDxfId="151">
      <calculatedColumnFormula>WO2025Jan7men119151719232529313335394143454749555759636567697173757779[[#This Row],[I]]</calculatedColumnFormula>
    </tableColumn>
    <tableColumn id="24" xr3:uid="{891E4B75-373B-4E1D-981D-AA37CE6B7F22}" name="…...." dataDxfId="150">
      <calculatedColumnFormula>SUM(WO2025Jan7men119151719232529313335394143454749555759636567697173757779[[#This Row],[400 VO2]:[…...]])</calculatedColumnFormula>
    </tableColumn>
    <tableColumn id="17" xr3:uid="{886F851D-789A-4B3A-BC5C-48CB307ED1B3}" name="…....." dataDxfId="149"/>
    <tableColumn id="20" xr3:uid="{3D2AAB7A-6C66-49F1-B224-87724E0E4AFF}" name="…......" dataDxfId="148">
      <calculatedColumnFormula>WO2025Jan7men119151719232529313335394143454749555759636567697173757779[[#This Row],[I]]*1.5</calculatedColumnFormula>
    </tableColumn>
    <tableColumn id="21" xr3:uid="{39A78B15-EF2D-4AE8-8ABB-C631A54189D7}" name="…......." dataDxfId="147">
      <calculatedColumnFormula>WO2025Jan7men119151719232529313335394143454749555759636567697173757779[[#This Row],[VO2]]</calculatedColumnFormula>
    </tableColumn>
    <tableColumn id="22" xr3:uid="{8A0AAD5F-7D49-4FA7-93AF-C47D0E0E154C}" name="G" dataDxfId="146"/>
  </tableColumns>
  <tableStyleInfo name="TableStyleMedium3"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5CA8ADD-CABF-1E42-954D-147BB90F6C3E}" name="WO2025Jan710814161822242830323438404244464854565862646668707274766" displayName="WO2025Jan710814161822242830323438404244464854565862646668707274766" ref="A1:W57" totalsRowShown="0" headerRowDxfId="145" dataDxfId="144" tableBorderDxfId="143">
  <autoFilter ref="A1:W57" xr:uid="{13733F23-878A-465D-B549-8D39D5BC5CA4}"/>
  <sortState xmlns:xlrd2="http://schemas.microsoft.com/office/spreadsheetml/2017/richdata2" ref="A2:W57">
    <sortCondition ref="W1:W57"/>
  </sortState>
  <tableColumns count="23">
    <tableColumn id="1" xr3:uid="{5FCAD15C-9FCC-5448-B42D-2E3E3BA6DA8D}" name="WO 8/22/2025" dataDxfId="142"/>
    <tableColumn id="4" xr3:uid="{D92082BA-FCFA-2448-8592-2D98CE46240C}" name="5k" dataDxfId="141"/>
    <tableColumn id="5" xr3:uid="{D37EAFA6-3CD5-1046-9A50-F02C565E0658}" name="Mile" dataDxfId="140"/>
    <tableColumn id="6" xr3:uid="{2D2AEA8D-7A28-684F-9D1A-FA64298DFD6A}" name="3k" dataDxfId="139">
      <calculatedColumnFormula>B2*E2</calculatedColumnFormula>
    </tableColumn>
    <tableColumn id="7" xr3:uid="{0814E64B-AC75-664F-AAA2-248255E96F29}" name="Percent" dataDxfId="138"/>
    <tableColumn id="8" xr3:uid="{442E6BAC-AF3B-5F44-ABC3-49BD5C96AF8B}" name="R" dataDxfId="137">
      <calculatedColumnFormula>C2/4</calculatedColumnFormula>
    </tableColumn>
    <tableColumn id="10" xr3:uid="{640A357F-0CA4-5D4A-BC5E-99E6B1E7E622}" name="VO2" dataDxfId="136">
      <calculatedColumnFormula>D2/7.5</calculatedColumnFormula>
    </tableColumn>
    <tableColumn id="9" xr3:uid="{8B9CAF16-71EA-E64A-906A-DB8CD9AD50DB}" name="I" dataDxfId="135">
      <calculatedColumnFormula>B2/12.5</calculatedColumnFormula>
    </tableColumn>
    <tableColumn id="11" xr3:uid="{7607142A-2153-DB42-AF58-7EC0CC839FA8}" name="10k" dataDxfId="134">
      <calculatedColumnFormula>G2/0.93</calculatedColumnFormula>
    </tableColumn>
    <tableColumn id="12" xr3:uid="{C98EBFBA-A372-A647-869D-A597445400DD}" name="CV" dataDxfId="133">
      <calculatedColumnFormula>G2/0.92</calculatedColumnFormula>
    </tableColumn>
    <tableColumn id="13" xr3:uid="{BDD2E1E7-F7BA-1242-97FD-8E0C987E4848}" name="Thresh" dataDxfId="132">
      <calculatedColumnFormula>G2/0.88</calculatedColumnFormula>
    </tableColumn>
    <tableColumn id="14" xr3:uid="{BDD56AB5-290C-0944-A6FF-35BE6A41BC37}" name="Thresh L" dataDxfId="131">
      <calculatedColumnFormula>G2/0.84</calculatedColumnFormula>
    </tableColumn>
    <tableColumn id="21" xr3:uid="{BF732146-7B93-4847-8603-DB8307052958}" name="400 VO2" dataDxfId="130"/>
    <tableColumn id="20" xr3:uid="{E78F274B-AECB-C44A-BA62-6AC35F6EBF5D}" name="T (400)" dataDxfId="129"/>
    <tableColumn id="19" xr3:uid="{4CFE2963-97F0-EA4B-A9CD-32140F7172B5}" name="1200 T" dataDxfId="128"/>
    <tableColumn id="18" xr3:uid="{F4A7A3CA-53B1-AA45-8D7E-001A82C76297}" name="…." dataDxfId="127">
      <calculatedColumnFormula>WO2025Jan710814161822242830323438404244464854565862646668707274766[[#This Row],[CV]]*2.5</calculatedColumnFormula>
    </tableColumn>
    <tableColumn id="17" xr3:uid="{7FE1DE96-7506-6841-8748-616349BC3351}" name="….." dataDxfId="126">
      <calculatedColumnFormula>WO2025Jan710814161822242830323438404244464854565862646668707274766[[#This Row],[VO2]]</calculatedColumnFormula>
    </tableColumn>
    <tableColumn id="15" xr3:uid="{E262796F-F311-A64D-BC66-D67C9B03B123}" name="…..." dataDxfId="125">
      <calculatedColumnFormula>WO2025Jan710814161822242830323438404244464854565862646668707274766[[#This Row],[I]]*2</calculatedColumnFormula>
    </tableColumn>
    <tableColumn id="16" xr3:uid="{D1A405B2-7482-BC43-A349-A4506B385EBB}" name="…...." dataDxfId="124">
      <calculatedColumnFormula>WO2025Jan710814161822242830323438404244464854565862646668707274766[[#This Row],[VO2]]</calculatedColumnFormula>
    </tableColumn>
    <tableColumn id="22" xr3:uid="{FB84F667-C1BA-604B-80CD-9E2EB011C689}" name="…....." dataDxfId="123"/>
    <tableColumn id="2" xr3:uid="{7526445D-B635-E843-9E0E-37BE83F13AC2}" name="…......" dataDxfId="122"/>
    <tableColumn id="23" xr3:uid="{D7A95CB2-D00E-A64D-9066-76AD71695C22}" name="…......." dataDxfId="121"/>
    <tableColumn id="24" xr3:uid="{95E1057E-9393-EB4E-810B-5A3E5690D496}" name="G" dataDxfId="120"/>
  </tableColumns>
  <tableStyleInfo name="TableStyleMedium3"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920B560-FA6A-174B-84CC-F81314DF00A3}" name="WO2025Jan7men11915171923252931333539414345474955575963656769717375777" displayName="WO2025Jan7men11915171923252931333539414345474955575963656769717375777" ref="A58:W144" totalsRowShown="0" headerRowDxfId="119" tableBorderDxfId="118">
  <autoFilter ref="A58:W144" xr:uid="{5DFF29F2-4664-45E4-9AA3-D72D6EA677C9}"/>
  <sortState xmlns:xlrd2="http://schemas.microsoft.com/office/spreadsheetml/2017/richdata2" ref="A59:W141">
    <sortCondition ref="W58:W141"/>
  </sortState>
  <tableColumns count="23">
    <tableColumn id="1" xr3:uid="{B771401E-5983-274C-8F83-CADA97479E9A}" name="WO 8/22/2025" dataDxfId="117"/>
    <tableColumn id="2" xr3:uid="{F24C51C3-7EC6-E342-BFCB-A1FC19B6A779}" name="5k" dataDxfId="116"/>
    <tableColumn id="3" xr3:uid="{3532960E-0006-7A40-A786-B8DB7AE69B40}" name="Mile" dataDxfId="115"/>
    <tableColumn id="4" xr3:uid="{D14E2A80-0288-5343-A60F-61F736E38C77}" name="3k" dataDxfId="114">
      <calculatedColumnFormula>B59*E59</calculatedColumnFormula>
    </tableColumn>
    <tableColumn id="5" xr3:uid="{51BD799F-C7F9-1644-92D5-176D7AA294C3}" name="Percent" dataDxfId="113"/>
    <tableColumn id="6" xr3:uid="{5279642A-195F-DD48-B953-66C8C1D503FA}" name="R" dataDxfId="112">
      <calculatedColumnFormula>C59/4</calculatedColumnFormula>
    </tableColumn>
    <tableColumn id="7" xr3:uid="{E7988D2C-452D-E04B-ACAB-B8FF9674F057}" name="VO2" dataDxfId="111">
      <calculatedColumnFormula>D59/7.5</calculatedColumnFormula>
    </tableColumn>
    <tableColumn id="8" xr3:uid="{134A4434-11FE-B84B-B5E6-3E4C8BBDBD5F}" name="I" dataDxfId="110">
      <calculatedColumnFormula>B59/12.5</calculatedColumnFormula>
    </tableColumn>
    <tableColumn id="9" xr3:uid="{8240D403-35BC-2D42-9268-166B2B33E218}" name="10k" dataDxfId="109">
      <calculatedColumnFormula>G59/0.93</calculatedColumnFormula>
    </tableColumn>
    <tableColumn id="10" xr3:uid="{F1D6FD69-0800-614A-BF26-12D1D14D458F}" name="CV" dataDxfId="108">
      <calculatedColumnFormula>G59/0.92</calculatedColumnFormula>
    </tableColumn>
    <tableColumn id="11" xr3:uid="{205F211D-BEB8-C541-AA6A-17AD905284BF}" name="Thresh" dataDxfId="107">
      <calculatedColumnFormula>G59/0.88</calculatedColumnFormula>
    </tableColumn>
    <tableColumn id="12" xr3:uid="{3862B504-8245-E44B-A3AC-FBE624332579}" name="Thresh L" dataDxfId="106">
      <calculatedColumnFormula>G59/0.84</calculatedColumnFormula>
    </tableColumn>
    <tableColumn id="13" xr3:uid="{A542DA78-6618-D645-9008-CAA2FE261C7A}" name="T (400)" dataDxfId="105">
      <calculatedColumnFormula>WO2025Jan7men11915171923252931333539414345474955575963656769717375777[[#This Row],[Thresh]]</calculatedColumnFormula>
    </tableColumn>
    <tableColumn id="14" xr3:uid="{7A07BB4B-EBAF-7D43-8672-5E671EED60EB}" name="600 T" dataDxfId="104">
      <calculatedColumnFormula>WO2025Jan7men11915171923252931333539414345474955575963656769717375777[[#This Row],[Thresh]]*2.5</calculatedColumnFormula>
    </tableColumn>
    <tableColumn id="15" xr3:uid="{9D5462ED-484A-984C-A0C9-C76377377B85}" name="…"/>
    <tableColumn id="16" xr3:uid="{5DFC3408-6D57-7F49-A0F8-900D4C0D1AF2}" name="…." dataDxfId="103">
      <calculatedColumnFormula>WO2025Jan7men11915171923252931333539414345474955575963656769717375777[[#This Row],[…]]*1.5</calculatedColumnFormula>
    </tableColumn>
    <tableColumn id="18" xr3:uid="{761F6F79-DF89-C145-B3B7-AEAF58AA0973}" name="….." dataDxfId="102">
      <calculatedColumnFormula>WO2025Jan7men11915171923252931333539414345474955575963656769717375777[[#This Row],[VO2]]/2</calculatedColumnFormula>
    </tableColumn>
    <tableColumn id="19" xr3:uid="{42D9BF04-CB87-AD43-B15B-85B4D47F6CB7}" name="…..." dataDxfId="101">
      <calculatedColumnFormula>WO2025Jan7men11915171923252931333539414345474955575963656769717375777[[#This Row],[I]]</calculatedColumnFormula>
    </tableColumn>
    <tableColumn id="24" xr3:uid="{4AAF223A-1B78-484D-A48A-249874758125}" name="…...." dataDxfId="100">
      <calculatedColumnFormula>SUM(WO2025Jan7men11915171923252931333539414345474955575963656769717375777[[#This Row],[…]:[…...]])</calculatedColumnFormula>
    </tableColumn>
    <tableColumn id="17" xr3:uid="{4BEA28B9-5AD8-2849-8583-C0EE9B695276}" name="…....." dataDxfId="99"/>
    <tableColumn id="20" xr3:uid="{B7940A77-AE45-534F-900A-3C7460B69B74}" name="…......" dataDxfId="98">
      <calculatedColumnFormula>WO2025Jan7men11915171923252931333539414345474955575963656769717375777[[#This Row],[I]]*1.5</calculatedColumnFormula>
    </tableColumn>
    <tableColumn id="21" xr3:uid="{BAE707AF-1937-CF4C-B4E3-EAD5D9C13EE3}" name="…......." dataDxfId="97">
      <calculatedColumnFormula>WO2025Jan7men11915171923252931333539414345474955575963656769717375777[[#This Row],[VO2]]</calculatedColumnFormula>
    </tableColumn>
    <tableColumn id="22" xr3:uid="{1301949D-2611-AC4E-BC0B-B126E655A695}" name="G" dataDxfId="96"/>
  </tableColumns>
  <tableStyleInfo name="TableStyleMedium3"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DA47F82-C7AF-423E-89C9-834A7793E9BB}" name="WO2025Jan71081416182224283032343840424446485456586264666870727476" displayName="WO2025Jan71081416182224283032343840424446485456586264666870727476" ref="A1:W57" totalsRowShown="0" headerRowDxfId="95" dataDxfId="94" tableBorderDxfId="93">
  <autoFilter ref="A1:W57" xr:uid="{13733F23-878A-465D-B549-8D39D5BC5CA4}"/>
  <sortState xmlns:xlrd2="http://schemas.microsoft.com/office/spreadsheetml/2017/richdata2" ref="A2:W57">
    <sortCondition ref="W1:W57"/>
  </sortState>
  <tableColumns count="23">
    <tableColumn id="1" xr3:uid="{D60FF9AD-60AD-48E6-9312-43B232F6717F}" name="WO 8/19/2025" dataDxfId="92"/>
    <tableColumn id="4" xr3:uid="{F986D623-03F4-41E9-9099-02D5CF0555AD}" name="5k" dataDxfId="91"/>
    <tableColumn id="5" xr3:uid="{5248ACD6-06D8-4AA9-9C49-B454F6DCBF08}" name="Mile" dataDxfId="90"/>
    <tableColumn id="6" xr3:uid="{F9F6C4A2-44D6-4825-9E6C-B4DF82976C20}" name="3k" dataDxfId="89">
      <calculatedColumnFormula>B2*E2</calculatedColumnFormula>
    </tableColumn>
    <tableColumn id="7" xr3:uid="{D16B54AF-C44F-4FCB-80B5-80EBB6637607}" name="Percent" dataDxfId="88"/>
    <tableColumn id="8" xr3:uid="{6EC9A3CD-38BA-4FAF-9220-245DE16D6C48}" name="R" dataDxfId="87">
      <calculatedColumnFormula>C2/4</calculatedColumnFormula>
    </tableColumn>
    <tableColumn id="10" xr3:uid="{A22C8EAC-5828-41F2-BFC9-F5FD52A96114}" name="VO2" dataDxfId="86">
      <calculatedColumnFormula>D2/7.5</calculatedColumnFormula>
    </tableColumn>
    <tableColumn id="9" xr3:uid="{AC8AA0FB-24E0-4936-844F-41935C490E4D}" name="I" dataDxfId="85">
      <calculatedColumnFormula>B2/12.5</calculatedColumnFormula>
    </tableColumn>
    <tableColumn id="11" xr3:uid="{6BAB47BC-7C76-46E4-83A6-C32371B42DA3}" name="10k" dataDxfId="84">
      <calculatedColumnFormula>G2/0.93</calculatedColumnFormula>
    </tableColumn>
    <tableColumn id="12" xr3:uid="{7EB4ECC5-32C4-431E-B9EF-753A78F026F9}" name="CV" dataDxfId="83">
      <calculatedColumnFormula>G2/0.92</calculatedColumnFormula>
    </tableColumn>
    <tableColumn id="13" xr3:uid="{6174D41C-07CB-4AE0-B288-DF311DD9CC1A}" name="Thresh" dataDxfId="82">
      <calculatedColumnFormula>G2/0.88</calculatedColumnFormula>
    </tableColumn>
    <tableColumn id="14" xr3:uid="{9637C40C-D3E5-4BBA-84D6-D1E5C9438C3E}" name="Thresh L" dataDxfId="81">
      <calculatedColumnFormula>G2/0.84</calculatedColumnFormula>
    </tableColumn>
    <tableColumn id="21" xr3:uid="{C290A741-03B5-4FC8-AF5A-71CADF42ECFA}" name="T (400)" dataDxfId="80"/>
    <tableColumn id="20" xr3:uid="{15B52CF0-B0B6-484B-A561-CD4287DF2CB8}" name="800 T" dataDxfId="79"/>
    <tableColumn id="19" xr3:uid="{B6AC1ED9-79A5-4B10-96C3-0DEFE31418C0}" name="400 VO2" dataDxfId="78"/>
    <tableColumn id="18" xr3:uid="{017F12AC-3884-4733-BDFD-6D8D6F713AA4}" name="200 R" dataDxfId="77">
      <calculatedColumnFormula>WO2025Jan71081416182224283032343840424446485456586264666870727476[[#This Row],[CV]]*2.5</calculatedColumnFormula>
    </tableColumn>
    <tableColumn id="17" xr3:uid="{EA6EA034-642F-49A8-8886-3A87BF360417}" name="….." dataDxfId="76">
      <calculatedColumnFormula>WO2025Jan71081416182224283032343840424446485456586264666870727476[[#This Row],[VO2]]</calculatedColumnFormula>
    </tableColumn>
    <tableColumn id="15" xr3:uid="{56E2D748-8F0E-446A-9531-BE4BAED9230D}" name="…..." dataDxfId="75">
      <calculatedColumnFormula>WO2025Jan71081416182224283032343840424446485456586264666870727476[[#This Row],[I]]*2</calculatedColumnFormula>
    </tableColumn>
    <tableColumn id="16" xr3:uid="{68C51FFB-F562-48C7-9A40-0A77D263D426}" name="…...." dataDxfId="74">
      <calculatedColumnFormula>WO2025Jan71081416182224283032343840424446485456586264666870727476[[#This Row],[VO2]]</calculatedColumnFormula>
    </tableColumn>
    <tableColumn id="22" xr3:uid="{D7A0EA28-CEC0-4D91-8B40-A2F248695C63}" name="…....." dataDxfId="73"/>
    <tableColumn id="2" xr3:uid="{C99FF735-AEF9-43C9-946A-766BD281885A}" name="…......" dataDxfId="72"/>
    <tableColumn id="23" xr3:uid="{7791F981-C101-4C9F-AC87-0C4AA2569460}" name="…......." dataDxfId="71"/>
    <tableColumn id="24" xr3:uid="{CB894FFF-414B-4F0D-A9F9-532F52BCDB4F}" name="G" dataDxfId="70"/>
  </tableColumns>
  <tableStyleInfo name="TableStyleMedium3"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6759F0E-F90B-4D82-9A41-C932364C8B6E}" name="WO2025Jan7men1191517192325293133353941434547495557596365676971737577" displayName="WO2025Jan7men1191517192325293133353941434547495557596365676971737577" ref="A58:W144" totalsRowShown="0" headerRowDxfId="69" tableBorderDxfId="68">
  <autoFilter ref="A58:W144" xr:uid="{5DFF29F2-4664-45E4-9AA3-D72D6EA677C9}"/>
  <sortState xmlns:xlrd2="http://schemas.microsoft.com/office/spreadsheetml/2017/richdata2" ref="A59:W141">
    <sortCondition ref="W58:W141"/>
  </sortState>
  <tableColumns count="23">
    <tableColumn id="1" xr3:uid="{F53F0963-7379-466D-8920-B000C8D1EC0A}" name="WO 8/19/2025" dataDxfId="67"/>
    <tableColumn id="2" xr3:uid="{90AF68D7-1B01-4F83-9512-A8131CE9C82F}" name="5k" dataDxfId="66"/>
    <tableColumn id="3" xr3:uid="{A1DBE7B4-5DE1-4078-A2DD-3CBAAEE170EB}" name="Mile" dataDxfId="65"/>
    <tableColumn id="4" xr3:uid="{F56EDF76-DD1D-4877-82C0-6835BCD765FC}" name="3k" dataDxfId="64">
      <calculatedColumnFormula>B59*E59</calculatedColumnFormula>
    </tableColumn>
    <tableColumn id="5" xr3:uid="{73861DD8-0C71-4725-8217-47B7CBA63479}" name="Percent" dataDxfId="63"/>
    <tableColumn id="6" xr3:uid="{45898638-B75C-402F-B512-91FBBE6B42F5}" name="R" dataDxfId="62">
      <calculatedColumnFormula>C59/4</calculatedColumnFormula>
    </tableColumn>
    <tableColumn id="7" xr3:uid="{20E4F516-91E7-4441-A5C7-8C6B9805D702}" name="VO2" dataDxfId="61">
      <calculatedColumnFormula>D59/7.5</calculatedColumnFormula>
    </tableColumn>
    <tableColumn id="8" xr3:uid="{52616051-D861-4E66-99A3-3DBB7B5A4435}" name="I" dataDxfId="60">
      <calculatedColumnFormula>B59/12.5</calculatedColumnFormula>
    </tableColumn>
    <tableColumn id="9" xr3:uid="{18BD44BB-DAB4-4B95-BFAD-65F597C0BF1E}" name="10k" dataDxfId="59">
      <calculatedColumnFormula>G59/0.93</calculatedColumnFormula>
    </tableColumn>
    <tableColumn id="10" xr3:uid="{D10116C1-0EBD-42E5-92C8-492843EEABCD}" name="CV" dataDxfId="58">
      <calculatedColumnFormula>G59/0.92</calculatedColumnFormula>
    </tableColumn>
    <tableColumn id="11" xr3:uid="{0D69C8F7-4A74-40B9-82F7-2C1E840FBE7D}" name="Thresh" dataDxfId="57">
      <calculatedColumnFormula>G59/0.88</calculatedColumnFormula>
    </tableColumn>
    <tableColumn id="12" xr3:uid="{64F6390B-5F22-4160-9CAB-C262732474B4}" name="Thresh L" dataDxfId="56">
      <calculatedColumnFormula>G59/0.84</calculatedColumnFormula>
    </tableColumn>
    <tableColumn id="13" xr3:uid="{10812D46-F68E-48F2-9555-6D2AA5AED5B6}" name="T (400)" dataDxfId="55">
      <calculatedColumnFormula>WO2025Jan7men1191517192325293133353941434547495557596365676971737577[[#This Row],[Thresh]]</calculatedColumnFormula>
    </tableColumn>
    <tableColumn id="14" xr3:uid="{9F4B6E70-C998-44A0-995D-E28450731582}" name="800 T" dataDxfId="54">
      <calculatedColumnFormula>WO2025Jan7men1191517192325293133353941434547495557596365676971737577[[#This Row],[Thresh]]*2.5</calculatedColumnFormula>
    </tableColumn>
    <tableColumn id="15" xr3:uid="{C54F0679-A80A-4024-A5BB-EBEF4144C141}" name="400 VO2"/>
    <tableColumn id="16" xr3:uid="{72E87EB8-F2BB-4847-B1ED-556DD9A30191}" name="200 R" dataDxfId="53">
      <calculatedColumnFormula>WO2025Jan7men1191517192325293133353941434547495557596365676971737577[[#This Row],[400 VO2]]*1.5</calculatedColumnFormula>
    </tableColumn>
    <tableColumn id="18" xr3:uid="{00FAD2CC-5E75-4DE5-95C2-57C7BCC3AD23}" name="….." dataDxfId="52">
      <calculatedColumnFormula>WO2025Jan7men1191517192325293133353941434547495557596365676971737577[[#This Row],[VO2]]/2</calculatedColumnFormula>
    </tableColumn>
    <tableColumn id="19" xr3:uid="{69B4DF03-D935-45D7-A2DF-963BEA2A5ADE}" name="…..." dataDxfId="51">
      <calculatedColumnFormula>WO2025Jan7men1191517192325293133353941434547495557596365676971737577[[#This Row],[I]]</calculatedColumnFormula>
    </tableColumn>
    <tableColumn id="24" xr3:uid="{BCC95B8A-4E0B-4476-ADAD-9E524F55A053}" name="…...." dataDxfId="50">
      <calculatedColumnFormula>SUM(WO2025Jan7men1191517192325293133353941434547495557596365676971737577[[#This Row],[400 VO2]:[…...]])</calculatedColumnFormula>
    </tableColumn>
    <tableColumn id="17" xr3:uid="{BBE7C30A-81C2-42D7-B06C-FD133916D3CD}" name="…....." dataDxfId="49"/>
    <tableColumn id="20" xr3:uid="{9D6719EE-8BA9-4667-A3BC-D2789449550F}" name="…......" dataDxfId="48">
      <calculatedColumnFormula>WO2025Jan7men1191517192325293133353941434547495557596365676971737577[[#This Row],[I]]*1.5</calculatedColumnFormula>
    </tableColumn>
    <tableColumn id="21" xr3:uid="{8C4777F7-45AE-42AB-B4C1-6ED17B63B567}" name="…......." dataDxfId="47">
      <calculatedColumnFormula>WO2025Jan7men1191517192325293133353941434547495557596365676971737577[[#This Row],[VO2]]</calculatedColumnFormula>
    </tableColumn>
    <tableColumn id="22" xr3:uid="{822D7071-B78A-4A82-A9E7-31733CD25709}" name="G" dataDxfId="46"/>
  </tableColumns>
  <tableStyleInfo name="TableStyleMedium3"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26CBA74-DE30-452E-AAB0-4F5CD53E6F42}" name="Table14610121424223234363840444850524811131517192123252729313335394143455351555759616367717375777981838587" displayName="Table14610121424223234363840444850524811131517192123252729313335394143455351555759616367717375777981838587" ref="A1:V54" totalsRowShown="0" headerRowDxfId="45" dataDxfId="44" tableBorderDxfId="43">
  <autoFilter ref="A1:V54" xr:uid="{13733F23-878A-465D-B549-8D39D5BC5CA4}"/>
  <sortState xmlns:xlrd2="http://schemas.microsoft.com/office/spreadsheetml/2017/richdata2" ref="A2:V43">
    <sortCondition ref="V1:V43"/>
  </sortState>
  <tableColumns count="22">
    <tableColumn id="1" xr3:uid="{8FB5242F-8266-48CD-9966-20D50470E41E}" name="WO 8/20/2024" dataDxfId="42"/>
    <tableColumn id="4" xr3:uid="{6AD1AB2A-1535-4962-9900-8C702AE81684}" name="5k" dataDxfId="41"/>
    <tableColumn id="5" xr3:uid="{FD44B015-ED32-4448-B74E-EA58C6B1FC16}" name="Mile" dataDxfId="40"/>
    <tableColumn id="6" xr3:uid="{BA6E653B-2A6E-4AAF-ACA9-74FDE913481E}" name="3k" dataDxfId="39">
      <calculatedColumnFormula>B2*E2</calculatedColumnFormula>
    </tableColumn>
    <tableColumn id="7" xr3:uid="{496DD8A7-9129-41B0-980D-46980455C76B}" name="Percent" dataDxfId="38"/>
    <tableColumn id="8" xr3:uid="{F46C409B-B0AA-4181-9580-48D3921D258A}" name="R" dataDxfId="37">
      <calculatedColumnFormula>C2/4</calculatedColumnFormula>
    </tableColumn>
    <tableColumn id="10" xr3:uid="{91396681-2E44-4ECB-A7B6-1C90FD9E4831}" name="VO2" dataDxfId="36">
      <calculatedColumnFormula>D2/7.5</calculatedColumnFormula>
    </tableColumn>
    <tableColumn id="9" xr3:uid="{FBE07D8C-4D26-45DF-B189-4F102392744F}" name="I" dataDxfId="35">
      <calculatedColumnFormula>B2/12.5</calculatedColumnFormula>
    </tableColumn>
    <tableColumn id="11" xr3:uid="{279C9159-EA09-4111-B6B5-9CE67D39B4F3}" name="10k" dataDxfId="34">
      <calculatedColumnFormula>G2/0.93</calculatedColumnFormula>
    </tableColumn>
    <tableColumn id="12" xr3:uid="{A0F14F12-FA4A-49AC-B2B4-03FFC73B19FE}" name="CV" dataDxfId="33">
      <calculatedColumnFormula>G2/0.92</calculatedColumnFormula>
    </tableColumn>
    <tableColumn id="13" xr3:uid="{72C8CB10-C039-4997-9632-5C4BE2B8B71B}" name="Thresh" dataDxfId="32">
      <calculatedColumnFormula>G2/0.88</calculatedColumnFormula>
    </tableColumn>
    <tableColumn id="14" xr3:uid="{FFB168CB-547B-431D-B610-A7424DDC3A33}" name="Thresh L" dataDxfId="31">
      <calculatedColumnFormula>G2/0.84</calculatedColumnFormula>
    </tableColumn>
    <tableColumn id="21" xr3:uid="{2132B5AF-3682-438A-9A64-9F60B0AE18EB}" name="." dataDxfId="30"/>
    <tableColumn id="20" xr3:uid="{730D8D8C-C344-45CD-BDE0-DC334BFDA21E}" name=".." dataDxfId="29"/>
    <tableColumn id="19" xr3:uid="{086B20C6-1D7D-4A64-B830-EAA920C36E18}" name="…" dataDxfId="28"/>
    <tableColumn id="18" xr3:uid="{BF35B321-EC81-4221-A143-E3231C391DCF}" name="…." dataDxfId="27"/>
    <tableColumn id="17" xr3:uid="{6C895C63-CB88-425C-828D-A9B9EF8D3984}" name="….." dataDxfId="26"/>
    <tableColumn id="15" xr3:uid="{CECF6315-1227-47E7-B090-5A98B2F42FE8}" name="…..." dataDxfId="25"/>
    <tableColumn id="16" xr3:uid="{BC416B12-8816-4667-954A-16593234109B}" name="......." dataDxfId="24"/>
    <tableColumn id="22" xr3:uid="{26C26D17-D28B-4ADB-848C-C410D452DBCB}" name="........" dataDxfId="23"/>
    <tableColumn id="23" xr3:uid="{43AFD955-425B-48C5-82D4-1E496A5F59AA}" name="…......" dataDxfId="22"/>
    <tableColumn id="24" xr3:uid="{3209B748-50B9-4E61-9042-903B2A6C0D76}" name="G" dataDxfId="21"/>
  </tableColumns>
  <tableStyleInfo name="TableStyleMedium3"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6A82461-AEA1-4A35-BFFC-6157D350F068}" name="Table25711131525233335373941454951535912141618202224262830323436404244465452565860626468727476788082848688" displayName="Table25711131525233335373941454951535912141618202224262830323436404244465452565860626468727476788082848688" ref="A55:V138" totalsRowShown="0" headerRowDxfId="20" tableBorderDxfId="19">
  <autoFilter ref="A55:V138" xr:uid="{5DFF29F2-4664-45E4-9AA3-D72D6EA677C9}"/>
  <sortState xmlns:xlrd2="http://schemas.microsoft.com/office/spreadsheetml/2017/richdata2" ref="A56:V131">
    <sortCondition ref="V55:V131"/>
  </sortState>
  <tableColumns count="22">
    <tableColumn id="1" xr3:uid="{5666B857-B90C-45F4-BCC2-978EC0A2B04B}" name="WO 8/20/2024" dataDxfId="18"/>
    <tableColumn id="2" xr3:uid="{D2435DDF-466E-47DB-BCBF-4B12161D7913}" name="5k" dataDxfId="17"/>
    <tableColumn id="3" xr3:uid="{04E1EEB0-C64F-490E-85D5-78E48CF85EEB}" name="Mile" dataDxfId="16"/>
    <tableColumn id="4" xr3:uid="{57ABC1D0-AC4E-4946-9D99-0379BD93AEFF}" name="3k" dataDxfId="15">
      <calculatedColumnFormula>B56*E56</calculatedColumnFormula>
    </tableColumn>
    <tableColumn id="5" xr3:uid="{13328ACF-CF14-40BD-9539-3FC857DEFCCA}" name="Percent" dataDxfId="14"/>
    <tableColumn id="6" xr3:uid="{2E297283-5573-42E7-BB05-78B53DF0EEF0}" name="R" dataDxfId="13">
      <calculatedColumnFormula>C56/4</calculatedColumnFormula>
    </tableColumn>
    <tableColumn id="7" xr3:uid="{380570F7-CC00-4B56-8BA7-B84B713583DB}" name="VO2" dataDxfId="12">
      <calculatedColumnFormula>D56/7.5</calculatedColumnFormula>
    </tableColumn>
    <tableColumn id="8" xr3:uid="{087734AB-B1DE-4BDE-ADE3-309917B95E54}" name="I" dataDxfId="11">
      <calculatedColumnFormula>B56/12.5</calculatedColumnFormula>
    </tableColumn>
    <tableColumn id="9" xr3:uid="{7DB397B4-7EBF-4AFB-9C8D-787A11754060}" name="10k" dataDxfId="10">
      <calculatedColumnFormula>G56/0.93</calculatedColumnFormula>
    </tableColumn>
    <tableColumn id="10" xr3:uid="{61734268-4B83-4E34-9D3C-EC5E3AD8A76C}" name="CV" dataDxfId="9">
      <calculatedColumnFormula>G56/0.92</calculatedColumnFormula>
    </tableColumn>
    <tableColumn id="11" xr3:uid="{B017FB44-E313-42FE-9B18-DF362ACBF874}" name="Thresh" dataDxfId="8">
      <calculatedColumnFormula>G56/0.88</calculatedColumnFormula>
    </tableColumn>
    <tableColumn id="12" xr3:uid="{23D68113-5D7F-4591-A11D-8BBB783B4F15}" name="Thresh L" dataDxfId="7">
      <calculatedColumnFormula>G56/0.84</calculatedColumnFormula>
    </tableColumn>
    <tableColumn id="13" xr3:uid="{7B615823-D7FE-4C6A-B4CD-7A5C4237FB4D}" name="T (400)" dataDxfId="6"/>
    <tableColumn id="14" xr3:uid="{970F213E-E77F-4DB1-871B-38507E5EF065}" name="800 T"/>
    <tableColumn id="15" xr3:uid="{42D4BDE8-FA20-47A1-AF17-D0196F2B474D}" name="CV (400)"/>
    <tableColumn id="16" xr3:uid="{A2AE3E1E-5923-42A6-945D-9F4A6CD3FC10}" name="800 CV" dataDxfId="5">
      <calculatedColumnFormula>Table25711131525233335373941454951535912141618202224262830323436404244465452565860626468727476788082848688[[#This Row],[CV (400)]]*1.5</calculatedColumnFormula>
    </tableColumn>
    <tableColumn id="18" xr3:uid="{FDD75363-0A3F-423A-8B62-DC5BF734D66A}" name="400 VO2" dataDxfId="4">
      <calculatedColumnFormula>Table25711131525233335373941454951535912141618202224262830323436404244465452565860626468727476788082848688[[#This Row],[VO2]]/2</calculatedColumnFormula>
    </tableColumn>
    <tableColumn id="19" xr3:uid="{C89D7CD5-DE1D-48DE-8E36-0E36F21E8DA8}" name="200 R" dataDxfId="3">
      <calculatedColumnFormula>Table25711131525233335373941454951535912141618202224262830323436404244465452565860626468727476788082848688[[#This Row],[I]]</calculatedColumnFormula>
    </tableColumn>
    <tableColumn id="24" xr3:uid="{3D3774DF-F251-4F80-931F-5262A1AB1933}" name="........" dataDxfId="2">
      <calculatedColumnFormula>Table25711131525233335373941454951535912141618202224262830323436404244465452565860626468727476788082848688[[#This Row],[200 R]]*1.5</calculatedColumnFormula>
    </tableColumn>
    <tableColumn id="20" xr3:uid="{2AA886D3-D7C5-44DA-8E92-C3775C008DDC}" name="........2"/>
    <tableColumn id="21" xr3:uid="{877B963D-06E3-4E10-89CE-31103ED8C85F}" name="…......" dataDxfId="1"/>
    <tableColumn id="22" xr3:uid="{6ABBE5A1-150A-44E3-A6C7-FB2E667D3EF6}" name="G" dataDxfId="0"/>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table" Target="../tables/table1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table" Target="../tables/table15.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table" Target="../tables/table1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table" Target="../tables/table1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table" Target="../tables/table2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table" Target="../tables/table23.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table" Target="../tables/table25.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table" Target="../tables/table27.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table" Target="../tables/table30.xml"/><Relationship Id="rId2" Type="http://schemas.openxmlformats.org/officeDocument/2006/relationships/table" Target="../tables/table29.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table" Target="../tables/table32.xml"/><Relationship Id="rId2" Type="http://schemas.openxmlformats.org/officeDocument/2006/relationships/table" Target="../tables/table31.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table" Target="../tables/table33.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table" Target="../tables/table35.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table" Target="../tables/table38.xml"/><Relationship Id="rId2" Type="http://schemas.openxmlformats.org/officeDocument/2006/relationships/table" Target="../tables/table37.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table" Target="../tables/table40.xml"/><Relationship Id="rId2" Type="http://schemas.openxmlformats.org/officeDocument/2006/relationships/table" Target="../tables/table39.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table" Target="../tables/table42.xml"/><Relationship Id="rId2" Type="http://schemas.openxmlformats.org/officeDocument/2006/relationships/table" Target="../tables/table4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table" Target="../tables/table44.xml"/><Relationship Id="rId2" Type="http://schemas.openxmlformats.org/officeDocument/2006/relationships/table" Target="../tables/table43.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table" Target="../tables/table46.xml"/><Relationship Id="rId2" Type="http://schemas.openxmlformats.org/officeDocument/2006/relationships/table" Target="../tables/table45.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table" Target="../tables/table48.xml"/><Relationship Id="rId2" Type="http://schemas.openxmlformats.org/officeDocument/2006/relationships/table" Target="../tables/table47.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table" Target="../tables/table50.xml"/><Relationship Id="rId2" Type="http://schemas.openxmlformats.org/officeDocument/2006/relationships/table" Target="../tables/table49.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table" Target="../tables/table52.xml"/><Relationship Id="rId2" Type="http://schemas.openxmlformats.org/officeDocument/2006/relationships/table" Target="../tables/table51.xml"/><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E9FD2-5F94-43C5-BDC7-7EF862AA68B8}">
  <sheetPr>
    <pageSetUpPr fitToPage="1"/>
  </sheetPr>
  <dimension ref="A1:Z144"/>
  <sheetViews>
    <sheetView zoomScale="70" zoomScaleNormal="70" workbookViewId="0">
      <selection activeCell="U12" sqref="U12"/>
    </sheetView>
  </sheetViews>
  <sheetFormatPr defaultColWidth="8.7109375" defaultRowHeight="14.45"/>
  <cols>
    <col min="1" max="1" width="19.5703125" customWidth="1"/>
    <col min="2" max="2" width="8.7109375" style="29" hidden="1" customWidth="1"/>
    <col min="3" max="3" width="10.140625" hidden="1" customWidth="1"/>
    <col min="4" max="4" width="8.7109375" style="29" hidden="1" customWidth="1"/>
    <col min="5" max="5" width="9.28515625" hidden="1" customWidth="1"/>
    <col min="6" max="6" width="8.7109375" hidden="1" customWidth="1"/>
    <col min="7" max="7" width="9.28515625" hidden="1" customWidth="1"/>
    <col min="8" max="9" width="8.7109375" hidden="1" customWidth="1"/>
    <col min="10" max="10" width="10.7109375" hidden="1" customWidth="1"/>
    <col min="11" max="11" width="11.42578125" hidden="1" customWidth="1"/>
    <col min="12" max="12" width="6.140625" hidden="1" customWidth="1"/>
    <col min="13" max="13" width="8.7109375" customWidth="1"/>
    <col min="14" max="19" width="10.140625" customWidth="1"/>
    <col min="20" max="22" width="8.7109375" customWidth="1"/>
    <col min="23" max="23" width="3.42578125" customWidth="1"/>
    <col min="24" max="24" width="20.42578125" customWidth="1"/>
    <col min="25" max="25" width="12.28515625" bestFit="1" customWidth="1"/>
    <col min="26" max="27" width="12.85546875" bestFit="1" customWidth="1"/>
  </cols>
  <sheetData>
    <row r="1" spans="1:26" ht="14.45" customHeight="1">
      <c r="A1" s="1" t="s">
        <v>0</v>
      </c>
      <c r="B1" s="2" t="s">
        <v>1</v>
      </c>
      <c r="C1" s="2" t="s">
        <v>2</v>
      </c>
      <c r="D1" s="2" t="s">
        <v>3</v>
      </c>
      <c r="E1" s="3" t="s">
        <v>4</v>
      </c>
      <c r="F1" s="2" t="s">
        <v>5</v>
      </c>
      <c r="G1" s="2" t="s">
        <v>6</v>
      </c>
      <c r="H1" s="2" t="s">
        <v>7</v>
      </c>
      <c r="I1" s="4" t="s">
        <v>8</v>
      </c>
      <c r="J1" s="2" t="s">
        <v>9</v>
      </c>
      <c r="K1" s="2" t="s">
        <v>10</v>
      </c>
      <c r="L1" s="2" t="s">
        <v>11</v>
      </c>
      <c r="M1" s="6" t="s">
        <v>12</v>
      </c>
      <c r="N1" s="6" t="s">
        <v>13</v>
      </c>
      <c r="O1" s="7" t="s">
        <v>14</v>
      </c>
      <c r="P1" s="8" t="s">
        <v>15</v>
      </c>
      <c r="Q1" s="8" t="s">
        <v>16</v>
      </c>
      <c r="R1" s="7" t="s">
        <v>17</v>
      </c>
      <c r="S1" s="7" t="s">
        <v>18</v>
      </c>
      <c r="T1" s="7" t="s">
        <v>19</v>
      </c>
      <c r="U1" s="7" t="s">
        <v>20</v>
      </c>
      <c r="V1" s="7" t="s">
        <v>21</v>
      </c>
      <c r="W1" s="9" t="s">
        <v>22</v>
      </c>
      <c r="X1" s="52" t="s">
        <v>23</v>
      </c>
    </row>
    <row r="2" spans="1:26" ht="21" customHeight="1">
      <c r="A2" s="10" t="s">
        <v>24</v>
      </c>
      <c r="B2" s="11">
        <v>1.1979166666666667E-2</v>
      </c>
      <c r="C2" s="11">
        <v>3.5300925925925925E-3</v>
      </c>
      <c r="D2" s="11">
        <f t="shared" ref="D2:D7" si="0">B2*E2</f>
        <v>6.9694791666666672E-3</v>
      </c>
      <c r="E2" s="12">
        <v>0.58179999999999998</v>
      </c>
      <c r="F2" s="11">
        <f t="shared" ref="F2:F7" si="1">C2/4</f>
        <v>8.8252314814814812E-4</v>
      </c>
      <c r="G2" s="11">
        <f t="shared" ref="G2:G7" si="2">D2/7.5</f>
        <v>9.2926388888888898E-4</v>
      </c>
      <c r="H2" s="11">
        <f t="shared" ref="H2:H7" si="3">B2/12.5</f>
        <v>9.5833333333333339E-4</v>
      </c>
      <c r="I2" s="11">
        <f t="shared" ref="I2:I7" si="4">G2/0.93</f>
        <v>9.9920848267622464E-4</v>
      </c>
      <c r="J2" s="11">
        <f t="shared" ref="J2:J7" si="5">G2/0.92</f>
        <v>1.0100694444444445E-3</v>
      </c>
      <c r="K2" s="11">
        <f t="shared" ref="K2:K7" si="6">G2/0.88</f>
        <v>1.055981691919192E-3</v>
      </c>
      <c r="L2" s="11">
        <f t="shared" ref="L2:L7" si="7">G2/0.84</f>
        <v>1.1062665343915346E-3</v>
      </c>
      <c r="M2" s="25">
        <f>WO2025Jan710814161822242830323438404244464854565862646668707274766812161820222628323438424446485052[[#This Row],[Thresh]]</f>
        <v>1.055981691919192E-3</v>
      </c>
      <c r="N2" s="28">
        <f>WO2025Jan710814161822242830323438404244464854565862646668707274766812161820222628323438424446485052[[#This Row],[Thresh]]*2.5</f>
        <v>2.63995422979798E-3</v>
      </c>
      <c r="O2" s="25">
        <f>WO2025Jan710814161822242830323438404244464854565862646668707274766812161820222628323438424446485052[[#This Row],[CV]]</f>
        <v>1.0100694444444445E-3</v>
      </c>
      <c r="P2" s="28">
        <f>WO2025Jan710814161822242830323438404244464854565862646668707274766812161820222628323438424446485052[[#This Row],[CV]]*1.5</f>
        <v>1.5151041666666668E-3</v>
      </c>
      <c r="Q2" s="25">
        <f>WO2025Jan710814161822242830323438404244464854565862646668707274766812161820222628323438424446485052[[#This Row],[VO2]]/2</f>
        <v>4.6463194444444449E-4</v>
      </c>
      <c r="R2" s="25">
        <f>WO2025Jan710814161822242830323438404244464854565862646668707274766812161820222628323438424446485052[[#This Row],[I]]</f>
        <v>9.5833333333333339E-4</v>
      </c>
      <c r="S2" s="25">
        <f>WO2025Jan710814161822242830323438404244464854565862646668707274766812161820222628323438424446485052[[#This Row],[I]]*1.5</f>
        <v>1.4375E-3</v>
      </c>
      <c r="T2" s="28" t="s">
        <v>25</v>
      </c>
      <c r="U2" s="11"/>
      <c r="V2" s="36"/>
      <c r="W2" s="15" t="s">
        <v>26</v>
      </c>
      <c r="X2" s="52"/>
    </row>
    <row r="3" spans="1:26" ht="21" customHeight="1">
      <c r="A3" s="10" t="s">
        <v>27</v>
      </c>
      <c r="B3" s="11">
        <v>1.2268518518518519E-2</v>
      </c>
      <c r="C3" s="11">
        <v>3.6458333333333334E-3</v>
      </c>
      <c r="D3" s="11">
        <f t="shared" si="0"/>
        <v>7.1378240740740742E-3</v>
      </c>
      <c r="E3" s="12">
        <v>0.58179999999999998</v>
      </c>
      <c r="F3" s="11">
        <f t="shared" si="1"/>
        <v>9.1145833333333335E-4</v>
      </c>
      <c r="G3" s="11">
        <f t="shared" si="2"/>
        <v>9.5170987654320989E-4</v>
      </c>
      <c r="H3" s="11">
        <f t="shared" si="3"/>
        <v>9.8148148148148161E-4</v>
      </c>
      <c r="I3" s="11">
        <f t="shared" si="4"/>
        <v>1.0233439532722685E-3</v>
      </c>
      <c r="J3" s="11">
        <f t="shared" si="5"/>
        <v>1.0344672571121847E-3</v>
      </c>
      <c r="K3" s="11">
        <f t="shared" si="6"/>
        <v>1.0814884960718295E-3</v>
      </c>
      <c r="L3" s="11">
        <f t="shared" si="7"/>
        <v>1.1329879482657262E-3</v>
      </c>
      <c r="M3" s="25">
        <f>WO2025Jan710814161822242830323438404244464854565862646668707274766812161820222628323438424446485052[[#This Row],[Thresh]]</f>
        <v>1.0814884960718295E-3</v>
      </c>
      <c r="N3" s="28">
        <f>WO2025Jan710814161822242830323438404244464854565862646668707274766812161820222628323438424446485052[[#This Row],[Thresh]]*2.5</f>
        <v>2.7037212401795738E-3</v>
      </c>
      <c r="O3" s="25">
        <f>WO2025Jan710814161822242830323438404244464854565862646668707274766812161820222628323438424446485052[[#This Row],[CV]]</f>
        <v>1.0344672571121847E-3</v>
      </c>
      <c r="P3" s="28">
        <f>WO2025Jan710814161822242830323438404244464854565862646668707274766812161820222628323438424446485052[[#This Row],[CV]]*1.5</f>
        <v>1.551700885668277E-3</v>
      </c>
      <c r="Q3" s="25">
        <f>WO2025Jan710814161822242830323438404244464854565862646668707274766812161820222628323438424446485052[[#This Row],[VO2]]/2</f>
        <v>4.7585493827160494E-4</v>
      </c>
      <c r="R3" s="25">
        <f>WO2025Jan710814161822242830323438404244464854565862646668707274766812161820222628323438424446485052[[#This Row],[I]]</f>
        <v>9.8148148148148161E-4</v>
      </c>
      <c r="S3" s="25">
        <f>WO2025Jan710814161822242830323438404244464854565862646668707274766812161820222628323438424446485052[[#This Row],[I]]*1.5</f>
        <v>1.4722222222222224E-3</v>
      </c>
      <c r="T3" s="28" t="s">
        <v>25</v>
      </c>
      <c r="U3" s="11"/>
      <c r="V3" s="36"/>
      <c r="W3" s="15" t="s">
        <v>26</v>
      </c>
      <c r="X3" s="52"/>
      <c r="Z3" s="16"/>
    </row>
    <row r="4" spans="1:26" ht="21" customHeight="1">
      <c r="A4" s="10" t="s">
        <v>28</v>
      </c>
      <c r="B4" s="11">
        <v>1.238425925925926E-2</v>
      </c>
      <c r="C4" s="11">
        <v>3.7037037037037038E-3</v>
      </c>
      <c r="D4" s="11">
        <f t="shared" si="0"/>
        <v>7.2051620370370368E-3</v>
      </c>
      <c r="E4" s="12">
        <v>0.58179999999999998</v>
      </c>
      <c r="F4" s="11">
        <f t="shared" si="1"/>
        <v>9.2592592592592596E-4</v>
      </c>
      <c r="G4" s="11">
        <f t="shared" si="2"/>
        <v>9.6068827160493821E-4</v>
      </c>
      <c r="H4" s="11">
        <f t="shared" si="3"/>
        <v>9.9074074074074082E-4</v>
      </c>
      <c r="I4" s="11">
        <f t="shared" si="4"/>
        <v>1.0329981415106862E-3</v>
      </c>
      <c r="J4" s="11">
        <f t="shared" si="5"/>
        <v>1.0442263821792807E-3</v>
      </c>
      <c r="K4" s="11">
        <f t="shared" si="6"/>
        <v>1.0916912177328843E-3</v>
      </c>
      <c r="L4" s="11">
        <f t="shared" si="7"/>
        <v>1.1436765138154027E-3</v>
      </c>
      <c r="M4" s="25">
        <f>WO2025Jan710814161822242830323438404244464854565862646668707274766812161820222628323438424446485052[[#This Row],[Thresh]]</f>
        <v>1.0916912177328843E-3</v>
      </c>
      <c r="N4" s="28">
        <f>WO2025Jan710814161822242830323438404244464854565862646668707274766812161820222628323438424446485052[[#This Row],[Thresh]]*2.5</f>
        <v>2.7292280443322109E-3</v>
      </c>
      <c r="O4" s="25">
        <f>WO2025Jan710814161822242830323438404244464854565862646668707274766812161820222628323438424446485052[[#This Row],[CV]]</f>
        <v>1.0442263821792807E-3</v>
      </c>
      <c r="P4" s="28">
        <f>WO2025Jan710814161822242830323438404244464854565862646668707274766812161820222628323438424446485052[[#This Row],[CV]]*1.5</f>
        <v>1.566339573268921E-3</v>
      </c>
      <c r="Q4" s="25">
        <f>WO2025Jan710814161822242830323438404244464854565862646668707274766812161820222628323438424446485052[[#This Row],[VO2]]/2</f>
        <v>4.803441358024691E-4</v>
      </c>
      <c r="R4" s="25">
        <f>WO2025Jan710814161822242830323438404244464854565862646668707274766812161820222628323438424446485052[[#This Row],[I]]</f>
        <v>9.9074074074074082E-4</v>
      </c>
      <c r="S4" s="25">
        <f>WO2025Jan710814161822242830323438404244464854565862646668707274766812161820222628323438424446485052[[#This Row],[I]]*1.5</f>
        <v>1.4861111111111112E-3</v>
      </c>
      <c r="T4" s="28" t="s">
        <v>25</v>
      </c>
      <c r="U4" s="11"/>
      <c r="V4" s="36"/>
      <c r="W4" s="15" t="s">
        <v>26</v>
      </c>
      <c r="X4" s="52"/>
    </row>
    <row r="5" spans="1:26" ht="21" customHeight="1">
      <c r="A5" s="10" t="s">
        <v>29</v>
      </c>
      <c r="B5" s="11">
        <v>1.238425925925926E-2</v>
      </c>
      <c r="C5" s="11">
        <v>3.8194444444444443E-3</v>
      </c>
      <c r="D5" s="11">
        <f t="shared" si="0"/>
        <v>7.2051620370370368E-3</v>
      </c>
      <c r="E5" s="12">
        <v>0.58179999999999998</v>
      </c>
      <c r="F5" s="11">
        <f t="shared" si="1"/>
        <v>9.5486111111111108E-4</v>
      </c>
      <c r="G5" s="11">
        <f t="shared" si="2"/>
        <v>9.6068827160493821E-4</v>
      </c>
      <c r="H5" s="11">
        <f t="shared" si="3"/>
        <v>9.9074074074074082E-4</v>
      </c>
      <c r="I5" s="11">
        <f t="shared" si="4"/>
        <v>1.0329981415106862E-3</v>
      </c>
      <c r="J5" s="11">
        <f t="shared" si="5"/>
        <v>1.0442263821792807E-3</v>
      </c>
      <c r="K5" s="11">
        <f t="shared" si="6"/>
        <v>1.0916912177328843E-3</v>
      </c>
      <c r="L5" s="11">
        <f t="shared" si="7"/>
        <v>1.1436765138154027E-3</v>
      </c>
      <c r="M5" s="25">
        <f>WO2025Jan710814161822242830323438404244464854565862646668707274766812161820222628323438424446485052[[#This Row],[Thresh]]</f>
        <v>1.0916912177328843E-3</v>
      </c>
      <c r="N5" s="28">
        <f>WO2025Jan710814161822242830323438404244464854565862646668707274766812161820222628323438424446485052[[#This Row],[Thresh]]*2.5</f>
        <v>2.7292280443322109E-3</v>
      </c>
      <c r="O5" s="25">
        <f>WO2025Jan710814161822242830323438404244464854565862646668707274766812161820222628323438424446485052[[#This Row],[CV]]</f>
        <v>1.0442263821792807E-3</v>
      </c>
      <c r="P5" s="28">
        <f>WO2025Jan710814161822242830323438404244464854565862646668707274766812161820222628323438424446485052[[#This Row],[CV]]*1.5</f>
        <v>1.566339573268921E-3</v>
      </c>
      <c r="Q5" s="25">
        <f>WO2025Jan710814161822242830323438404244464854565862646668707274766812161820222628323438424446485052[[#This Row],[VO2]]/2</f>
        <v>4.803441358024691E-4</v>
      </c>
      <c r="R5" s="25">
        <f>WO2025Jan710814161822242830323438404244464854565862646668707274766812161820222628323438424446485052[[#This Row],[I]]</f>
        <v>9.9074074074074082E-4</v>
      </c>
      <c r="S5" s="25">
        <f>WO2025Jan710814161822242830323438404244464854565862646668707274766812161820222628323438424446485052[[#This Row],[I]]*1.5</f>
        <v>1.4861111111111112E-3</v>
      </c>
      <c r="T5" s="28" t="s">
        <v>25</v>
      </c>
      <c r="U5" s="11"/>
      <c r="V5" s="36"/>
      <c r="W5" s="15" t="s">
        <v>26</v>
      </c>
      <c r="X5" s="52"/>
    </row>
    <row r="6" spans="1:26" ht="21" customHeight="1">
      <c r="A6" s="10" t="s">
        <v>30</v>
      </c>
      <c r="B6" s="11">
        <v>1.238425925925926E-2</v>
      </c>
      <c r="C6" s="11">
        <v>3.6458333333333334E-3</v>
      </c>
      <c r="D6" s="11">
        <f t="shared" si="0"/>
        <v>7.2051620370370368E-3</v>
      </c>
      <c r="E6" s="12">
        <v>0.58179999999999998</v>
      </c>
      <c r="F6" s="11">
        <f t="shared" si="1"/>
        <v>9.1145833333333335E-4</v>
      </c>
      <c r="G6" s="11">
        <f t="shared" si="2"/>
        <v>9.6068827160493821E-4</v>
      </c>
      <c r="H6" s="11">
        <f t="shared" si="3"/>
        <v>9.9074074074074082E-4</v>
      </c>
      <c r="I6" s="11">
        <f t="shared" si="4"/>
        <v>1.0329981415106862E-3</v>
      </c>
      <c r="J6" s="11">
        <f t="shared" si="5"/>
        <v>1.0442263821792807E-3</v>
      </c>
      <c r="K6" s="11">
        <f t="shared" si="6"/>
        <v>1.0916912177328843E-3</v>
      </c>
      <c r="L6" s="11">
        <f t="shared" si="7"/>
        <v>1.1436765138154027E-3</v>
      </c>
      <c r="M6" s="25">
        <f>WO2025Jan710814161822242830323438404244464854565862646668707274766812161820222628323438424446485052[[#This Row],[Thresh]]</f>
        <v>1.0916912177328843E-3</v>
      </c>
      <c r="N6" s="28">
        <f>WO2025Jan710814161822242830323438404244464854565862646668707274766812161820222628323438424446485052[[#This Row],[Thresh]]*2.5</f>
        <v>2.7292280443322109E-3</v>
      </c>
      <c r="O6" s="25">
        <f>WO2025Jan710814161822242830323438404244464854565862646668707274766812161820222628323438424446485052[[#This Row],[CV]]</f>
        <v>1.0442263821792807E-3</v>
      </c>
      <c r="P6" s="28">
        <f>WO2025Jan710814161822242830323438404244464854565862646668707274766812161820222628323438424446485052[[#This Row],[CV]]*1.5</f>
        <v>1.566339573268921E-3</v>
      </c>
      <c r="Q6" s="25">
        <f>WO2025Jan710814161822242830323438404244464854565862646668707274766812161820222628323438424446485052[[#This Row],[VO2]]/2</f>
        <v>4.803441358024691E-4</v>
      </c>
      <c r="R6" s="25">
        <f>WO2025Jan710814161822242830323438404244464854565862646668707274766812161820222628323438424446485052[[#This Row],[I]]</f>
        <v>9.9074074074074082E-4</v>
      </c>
      <c r="S6" s="25">
        <f>WO2025Jan710814161822242830323438404244464854565862646668707274766812161820222628323438424446485052[[#This Row],[I]]*1.5</f>
        <v>1.4861111111111112E-3</v>
      </c>
      <c r="T6" s="28" t="s">
        <v>25</v>
      </c>
      <c r="U6" s="11"/>
      <c r="V6" s="36"/>
      <c r="W6" s="15" t="s">
        <v>26</v>
      </c>
      <c r="X6" s="52"/>
    </row>
    <row r="7" spans="1:26" ht="21" customHeight="1">
      <c r="A7" s="10" t="s">
        <v>31</v>
      </c>
      <c r="B7" s="11">
        <v>1.238425925925926E-2</v>
      </c>
      <c r="C7" s="11">
        <v>3.7037037037037038E-3</v>
      </c>
      <c r="D7" s="11">
        <f t="shared" si="0"/>
        <v>7.2051620370370368E-3</v>
      </c>
      <c r="E7" s="12">
        <v>0.58179999999999998</v>
      </c>
      <c r="F7" s="11">
        <f t="shared" si="1"/>
        <v>9.2592592592592596E-4</v>
      </c>
      <c r="G7" s="11">
        <f t="shared" si="2"/>
        <v>9.6068827160493821E-4</v>
      </c>
      <c r="H7" s="11">
        <f t="shared" si="3"/>
        <v>9.9074074074074082E-4</v>
      </c>
      <c r="I7" s="11">
        <f t="shared" si="4"/>
        <v>1.0329981415106862E-3</v>
      </c>
      <c r="J7" s="11">
        <f t="shared" si="5"/>
        <v>1.0442263821792807E-3</v>
      </c>
      <c r="K7" s="11">
        <f t="shared" si="6"/>
        <v>1.0916912177328843E-3</v>
      </c>
      <c r="L7" s="11">
        <f t="shared" si="7"/>
        <v>1.1436765138154027E-3</v>
      </c>
      <c r="M7" s="25">
        <f>WO2025Jan710814161822242830323438404244464854565862646668707274766812161820222628323438424446485052[[#This Row],[Thresh]]</f>
        <v>1.0916912177328843E-3</v>
      </c>
      <c r="N7" s="28">
        <f>WO2025Jan710814161822242830323438404244464854565862646668707274766812161820222628323438424446485052[[#This Row],[Thresh]]*2.5</f>
        <v>2.7292280443322109E-3</v>
      </c>
      <c r="O7" s="25">
        <f>WO2025Jan710814161822242830323438404244464854565862646668707274766812161820222628323438424446485052[[#This Row],[CV]]</f>
        <v>1.0442263821792807E-3</v>
      </c>
      <c r="P7" s="28">
        <f>WO2025Jan710814161822242830323438404244464854565862646668707274766812161820222628323438424446485052[[#This Row],[CV]]*1.5</f>
        <v>1.566339573268921E-3</v>
      </c>
      <c r="Q7" s="25">
        <f>WO2025Jan710814161822242830323438404244464854565862646668707274766812161820222628323438424446485052[[#This Row],[VO2]]/2</f>
        <v>4.803441358024691E-4</v>
      </c>
      <c r="R7" s="25">
        <f>WO2025Jan710814161822242830323438404244464854565862646668707274766812161820222628323438424446485052[[#This Row],[I]]</f>
        <v>9.9074074074074082E-4</v>
      </c>
      <c r="S7" s="25">
        <f>WO2025Jan710814161822242830323438404244464854565862646668707274766812161820222628323438424446485052[[#This Row],[I]]*1.5</f>
        <v>1.4861111111111112E-3</v>
      </c>
      <c r="T7" s="28" t="s">
        <v>25</v>
      </c>
      <c r="U7" s="11"/>
      <c r="V7" s="36"/>
      <c r="W7" s="18" t="s">
        <v>26</v>
      </c>
      <c r="X7" s="52"/>
    </row>
    <row r="8" spans="1:26" ht="21" customHeight="1">
      <c r="A8" s="10"/>
      <c r="B8" s="11"/>
      <c r="C8" s="11"/>
      <c r="D8" s="11"/>
      <c r="E8" s="12"/>
      <c r="F8" s="11"/>
      <c r="G8" s="11"/>
      <c r="H8" s="11"/>
      <c r="I8" s="11"/>
      <c r="J8" s="11"/>
      <c r="K8" s="11"/>
      <c r="L8" s="11"/>
      <c r="M8" s="14"/>
      <c r="N8" s="11"/>
      <c r="O8" s="11"/>
      <c r="P8" s="11"/>
      <c r="Q8" s="14"/>
      <c r="R8" s="11"/>
      <c r="S8" s="14"/>
      <c r="T8" s="14"/>
      <c r="U8" s="14"/>
      <c r="V8" s="17"/>
      <c r="W8" s="18"/>
      <c r="X8" s="52"/>
    </row>
    <row r="9" spans="1:26" ht="21" customHeight="1">
      <c r="A9" s="19"/>
      <c r="B9" s="6"/>
      <c r="C9" s="6"/>
      <c r="D9" s="6"/>
      <c r="E9" s="20"/>
      <c r="F9" s="6"/>
      <c r="G9" s="6"/>
      <c r="H9" s="6"/>
      <c r="I9" s="6"/>
      <c r="J9" s="6"/>
      <c r="K9" s="6"/>
      <c r="L9" s="6"/>
      <c r="M9" s="6" t="s">
        <v>12</v>
      </c>
      <c r="N9" s="6" t="s">
        <v>13</v>
      </c>
      <c r="O9" s="6" t="s">
        <v>14</v>
      </c>
      <c r="P9" s="6" t="s">
        <v>15</v>
      </c>
      <c r="Q9" s="6" t="s">
        <v>32</v>
      </c>
      <c r="R9" s="6" t="s">
        <v>33</v>
      </c>
      <c r="S9" s="6"/>
      <c r="T9" s="6"/>
      <c r="U9" s="6"/>
      <c r="V9" s="6"/>
      <c r="W9" s="35"/>
      <c r="X9" s="52"/>
    </row>
    <row r="10" spans="1:26" ht="21" customHeight="1">
      <c r="A10" s="10" t="s">
        <v>34</v>
      </c>
      <c r="B10" s="11">
        <v>1.1979166666666667E-2</v>
      </c>
      <c r="C10" s="11">
        <v>3.472222222222222E-3</v>
      </c>
      <c r="D10" s="11">
        <f>B10*E10</f>
        <v>6.9694791666666672E-3</v>
      </c>
      <c r="E10" s="12">
        <v>0.58179999999999998</v>
      </c>
      <c r="F10" s="11">
        <f>C10/4</f>
        <v>8.6805555555555551E-4</v>
      </c>
      <c r="G10" s="11">
        <f>D10/7.5</f>
        <v>9.2926388888888898E-4</v>
      </c>
      <c r="H10" s="11">
        <f>B10/12.5</f>
        <v>9.5833333333333339E-4</v>
      </c>
      <c r="I10" s="11">
        <f>G10/0.93</f>
        <v>9.9920848267622464E-4</v>
      </c>
      <c r="J10" s="11">
        <f>G10/0.92</f>
        <v>1.0100694444444445E-3</v>
      </c>
      <c r="K10" s="11">
        <f>G10/0.88</f>
        <v>1.055981691919192E-3</v>
      </c>
      <c r="L10" s="11">
        <f>G10/0.84</f>
        <v>1.1062665343915346E-3</v>
      </c>
      <c r="M10" s="25">
        <f>WO2025Jan710814161822242830323438404244464854565862646668707274766812161820222628323438424446485052[[#This Row],[Thresh]]</f>
        <v>1.055981691919192E-3</v>
      </c>
      <c r="N10" s="28">
        <f>WO2025Jan710814161822242830323438404244464854565862646668707274766812161820222628323438424446485052[[#This Row],[Thresh]]*2.5</f>
        <v>2.63995422979798E-3</v>
      </c>
      <c r="O10" s="25">
        <f>WO2025Jan710814161822242830323438404244464854565862646668707274766812161820222628323438424446485052[[#This Row],[CV]]</f>
        <v>1.0100694444444445E-3</v>
      </c>
      <c r="P10" s="28">
        <f>WO2025Jan710814161822242830323438404244464854565862646668707274766812161820222628323438424446485052[[#This Row],[CV]]*1.5</f>
        <v>1.5151041666666668E-3</v>
      </c>
      <c r="Q10" s="25">
        <f>WO2025Jan710814161822242830323438404244464854565862646668707274766812161820222628323438424446485052[[#This Row],[R]]</f>
        <v>8.6805555555555551E-4</v>
      </c>
      <c r="R10" s="25">
        <f>(WO2025Jan710814161822242830323438404244464854565862646668707274766812161820222628323438424446485052[[#This Row],[R]]/2)-0.0000115740740740741</f>
        <v>4.2245370370370364E-4</v>
      </c>
      <c r="S10" s="25"/>
      <c r="T10" s="28"/>
      <c r="U10" s="11"/>
      <c r="V10" s="36"/>
      <c r="W10" s="18" t="s">
        <v>35</v>
      </c>
      <c r="X10" s="52"/>
    </row>
    <row r="11" spans="1:26" ht="21" customHeight="1">
      <c r="A11" s="10" t="s">
        <v>36</v>
      </c>
      <c r="B11" s="11">
        <v>1.2615740740740742E-2</v>
      </c>
      <c r="C11" s="11">
        <v>3.6458333333333334E-3</v>
      </c>
      <c r="D11" s="11">
        <f>B11*E11</f>
        <v>7.3398379629629629E-3</v>
      </c>
      <c r="E11" s="12">
        <v>0.58179999999999998</v>
      </c>
      <c r="F11" s="11">
        <f>C11/4</f>
        <v>9.1145833333333335E-4</v>
      </c>
      <c r="G11" s="11">
        <f>D11/7.5</f>
        <v>9.7864506172839496E-4</v>
      </c>
      <c r="H11" s="11">
        <f>B11/12.5</f>
        <v>1.0092592592592592E-3</v>
      </c>
      <c r="I11" s="11">
        <f>G11/0.93</f>
        <v>1.0523065179875214E-3</v>
      </c>
      <c r="J11" s="11">
        <f>G11/0.92</f>
        <v>1.0637446323134728E-3</v>
      </c>
      <c r="K11" s="11">
        <f>G11/0.88</f>
        <v>1.1120966610549943E-3</v>
      </c>
      <c r="L11" s="11">
        <f>G11/0.84</f>
        <v>1.165053644914756E-3</v>
      </c>
      <c r="M11" s="25">
        <f>WO2025Jan710814161822242830323438404244464854565862646668707274766812161820222628323438424446485052[[#This Row],[Thresh]]</f>
        <v>1.1120966610549943E-3</v>
      </c>
      <c r="N11" s="28">
        <f>WO2025Jan710814161822242830323438404244464854565862646668707274766812161820222628323438424446485052[[#This Row],[Thresh]]*2.5</f>
        <v>2.7802416526374859E-3</v>
      </c>
      <c r="O11" s="25">
        <f>WO2025Jan710814161822242830323438404244464854565862646668707274766812161820222628323438424446485052[[#This Row],[CV]]</f>
        <v>1.0637446323134728E-3</v>
      </c>
      <c r="P11" s="28">
        <f>WO2025Jan710814161822242830323438404244464854565862646668707274766812161820222628323438424446485052[[#This Row],[CV]]*1.5</f>
        <v>1.5956169484702093E-3</v>
      </c>
      <c r="Q11" s="25">
        <f>WO2025Jan710814161822242830323438404244464854565862646668707274766812161820222628323438424446485052[[#This Row],[R]]</f>
        <v>9.1145833333333335E-4</v>
      </c>
      <c r="R11" s="25">
        <f>(WO2025Jan710814161822242830323438404244464854565862646668707274766812161820222628323438424446485052[[#This Row],[R]]/2)-0.0000115740740740741</f>
        <v>4.4415509259259256E-4</v>
      </c>
      <c r="S11" s="25"/>
      <c r="T11" s="28"/>
      <c r="U11" s="11"/>
      <c r="V11" s="36"/>
      <c r="W11" s="15" t="s">
        <v>35</v>
      </c>
      <c r="X11" s="52" t="s">
        <v>37</v>
      </c>
    </row>
    <row r="12" spans="1:26" ht="21" customHeight="1">
      <c r="A12" s="10" t="s">
        <v>38</v>
      </c>
      <c r="B12" s="11">
        <v>1.238425925925926E-2</v>
      </c>
      <c r="C12" s="11">
        <v>3.5300925925925925E-3</v>
      </c>
      <c r="D12" s="11">
        <f>B12*E12</f>
        <v>7.2051620370370368E-3</v>
      </c>
      <c r="E12" s="12">
        <v>0.58179999999999998</v>
      </c>
      <c r="F12" s="11">
        <f>C12/4</f>
        <v>8.8252314814814812E-4</v>
      </c>
      <c r="G12" s="11">
        <f>D12/7.5</f>
        <v>9.6068827160493821E-4</v>
      </c>
      <c r="H12" s="11">
        <f>B12/12.5</f>
        <v>9.9074074074074082E-4</v>
      </c>
      <c r="I12" s="11">
        <f>G12/0.93</f>
        <v>1.0329981415106862E-3</v>
      </c>
      <c r="J12" s="11">
        <f>G12/0.92</f>
        <v>1.0442263821792807E-3</v>
      </c>
      <c r="K12" s="11">
        <f>G12/0.88</f>
        <v>1.0916912177328843E-3</v>
      </c>
      <c r="L12" s="11">
        <f>G12/0.84</f>
        <v>1.1436765138154027E-3</v>
      </c>
      <c r="M12" s="25">
        <f>WO2025Jan710814161822242830323438404244464854565862646668707274766812161820222628323438424446485052[[#This Row],[Thresh]]</f>
        <v>1.0916912177328843E-3</v>
      </c>
      <c r="N12" s="28">
        <f>WO2025Jan710814161822242830323438404244464854565862646668707274766812161820222628323438424446485052[[#This Row],[Thresh]]*2.5</f>
        <v>2.7292280443322109E-3</v>
      </c>
      <c r="O12" s="25">
        <f>WO2025Jan710814161822242830323438404244464854565862646668707274766812161820222628323438424446485052[[#This Row],[CV]]</f>
        <v>1.0442263821792807E-3</v>
      </c>
      <c r="P12" s="28">
        <f>WO2025Jan710814161822242830323438404244464854565862646668707274766812161820222628323438424446485052[[#This Row],[CV]]*1.5</f>
        <v>1.566339573268921E-3</v>
      </c>
      <c r="Q12" s="25">
        <f>WO2025Jan710814161822242830323438404244464854565862646668707274766812161820222628323438424446485052[[#This Row],[R]]</f>
        <v>8.8252314814814812E-4</v>
      </c>
      <c r="R12" s="25">
        <f>(WO2025Jan710814161822242830323438404244464854565862646668707274766812161820222628323438424446485052[[#This Row],[R]]/2)-0.0000115740740740741</f>
        <v>4.2968749999999995E-4</v>
      </c>
      <c r="S12" s="25"/>
      <c r="T12" s="28"/>
      <c r="U12" s="11"/>
      <c r="V12" s="47"/>
      <c r="W12" s="18" t="s">
        <v>35</v>
      </c>
      <c r="X12" s="52"/>
    </row>
    <row r="13" spans="1:26" ht="21" customHeight="1">
      <c r="A13" s="39"/>
      <c r="B13" s="40"/>
      <c r="C13" s="40"/>
      <c r="D13" s="40"/>
      <c r="E13" s="41"/>
      <c r="F13" s="40"/>
      <c r="G13" s="40"/>
      <c r="H13" s="40"/>
      <c r="I13" s="40"/>
      <c r="J13" s="40"/>
      <c r="K13" s="40"/>
      <c r="L13" s="49"/>
      <c r="M13" s="40" t="s">
        <v>39</v>
      </c>
      <c r="N13" s="40"/>
      <c r="O13" s="40"/>
      <c r="P13" s="40"/>
      <c r="Q13" s="40"/>
      <c r="R13" s="40"/>
      <c r="S13" s="40"/>
      <c r="T13" s="40"/>
      <c r="U13" s="40"/>
      <c r="V13" s="40"/>
      <c r="W13" s="42"/>
      <c r="X13" s="52"/>
    </row>
    <row r="14" spans="1:26" ht="21" customHeight="1">
      <c r="A14" s="19"/>
      <c r="B14" s="6"/>
      <c r="C14" s="6"/>
      <c r="D14" s="6"/>
      <c r="E14" s="20"/>
      <c r="F14" s="6"/>
      <c r="G14" s="6"/>
      <c r="H14" s="6"/>
      <c r="I14" s="6"/>
      <c r="J14" s="6"/>
      <c r="K14" s="6"/>
      <c r="L14" s="6"/>
      <c r="M14" s="6" t="s">
        <v>12</v>
      </c>
      <c r="N14" s="6" t="s">
        <v>13</v>
      </c>
      <c r="O14" s="6" t="s">
        <v>40</v>
      </c>
      <c r="P14" s="6" t="s">
        <v>41</v>
      </c>
      <c r="Q14" s="6" t="s">
        <v>42</v>
      </c>
      <c r="R14" s="6" t="s">
        <v>43</v>
      </c>
      <c r="S14" s="6" t="s">
        <v>44</v>
      </c>
      <c r="T14" s="6" t="s">
        <v>45</v>
      </c>
      <c r="U14" s="6" t="s">
        <v>46</v>
      </c>
      <c r="V14" s="6"/>
      <c r="W14" s="35"/>
      <c r="X14" s="52"/>
    </row>
    <row r="15" spans="1:26" ht="21" customHeight="1">
      <c r="A15" s="10" t="s">
        <v>47</v>
      </c>
      <c r="B15" s="11">
        <v>1.3020833333333334E-2</v>
      </c>
      <c r="C15" s="11">
        <v>3.6458333333333334E-3</v>
      </c>
      <c r="D15" s="11">
        <f>B15*E15</f>
        <v>7.5755208333333334E-3</v>
      </c>
      <c r="E15" s="12">
        <v>0.58179999999999998</v>
      </c>
      <c r="F15" s="11">
        <f>C15/4</f>
        <v>9.1145833333333335E-4</v>
      </c>
      <c r="G15" s="11">
        <f>D15/7.5</f>
        <v>1.0100694444444445E-3</v>
      </c>
      <c r="H15" s="11">
        <f>B15/12.5</f>
        <v>1.0416666666666667E-3</v>
      </c>
      <c r="I15" s="11">
        <f>G15/0.93</f>
        <v>1.0860961768219832E-3</v>
      </c>
      <c r="J15" s="11">
        <f>G15/0.92</f>
        <v>1.0979015700483092E-3</v>
      </c>
      <c r="K15" s="11">
        <f>G15/0.88</f>
        <v>1.1478061868686869E-3</v>
      </c>
      <c r="L15" s="11">
        <f>G15/0.84</f>
        <v>1.2024636243386244E-3</v>
      </c>
      <c r="M15" s="25">
        <f>WO2025Jan710814161822242830323438404244464854565862646668707274766812161820222628323438424446485052[[#This Row],[Thresh]]</f>
        <v>1.1478061868686869E-3</v>
      </c>
      <c r="N15" s="28">
        <f>WO2025Jan710814161822242830323438404244464854565862646668707274766812161820222628323438424446485052[[#This Row],[Thresh]]*2.5</f>
        <v>2.8695154671717171E-3</v>
      </c>
      <c r="O15" s="25">
        <f>WO2025Jan710814161822242830323438404244464854565862646668707274766812161820222628323438424446485052[[#This Row],[R]]/2</f>
        <v>4.5572916666666667E-4</v>
      </c>
      <c r="P15" s="25">
        <f>(WO2025Jan710814161822242830323438404244464854565862646668707274766812161820222628323438424446485052[[#This Row],[R]]/2)-0.0000115740740740741</f>
        <v>4.4415509259259256E-4</v>
      </c>
      <c r="Q15" s="25">
        <f>(WO2025Jan710814161822242830323438404244464854565862646668707274766812161820222628323438424446485052[[#This Row],[R]]/2)-(0.0000115740740740741*2)</f>
        <v>4.3258101851851845E-4</v>
      </c>
      <c r="R15" s="25">
        <f>(WO2025Jan710814161822242830323438404244464854565862646668707274766812161820222628323438424446485052[[#This Row],[R]]/2)-(0.0000115740740740741*3)</f>
        <v>4.2100694444444439E-4</v>
      </c>
      <c r="S15" s="25">
        <f>(WO2025Jan710814161822242830323438404244464854565862646668707274766812161820222628323438424446485052[[#This Row],[R]]/2)-(0.0000115740740740741*4)</f>
        <v>4.0943287037037028E-4</v>
      </c>
      <c r="T15" s="25">
        <f>(WO2025Jan710814161822242830323438404244464854565862646668707274766812161820222628323438424446485052[[#This Row],[R]]/2)-(0.0000115740740740741*5)</f>
        <v>3.9785879629629617E-4</v>
      </c>
      <c r="U15" s="28" t="s">
        <v>25</v>
      </c>
      <c r="V15" s="36"/>
      <c r="W15" s="15" t="s">
        <v>48</v>
      </c>
      <c r="X15" s="52"/>
    </row>
    <row r="16" spans="1:26" ht="21" customHeight="1">
      <c r="A16" s="10" t="s">
        <v>49</v>
      </c>
      <c r="B16" s="11">
        <v>1.2731481481481481E-2</v>
      </c>
      <c r="C16" s="11">
        <v>3.5879629629629629E-3</v>
      </c>
      <c r="D16" s="11">
        <f>B16*E16</f>
        <v>7.4071759259259256E-3</v>
      </c>
      <c r="E16" s="12">
        <v>0.58179999999999998</v>
      </c>
      <c r="F16" s="11">
        <f>C16/4</f>
        <v>8.9699074074074073E-4</v>
      </c>
      <c r="G16" s="11">
        <f>D16/7.5</f>
        <v>9.8762345679012349E-4</v>
      </c>
      <c r="H16" s="11">
        <f>B16/12.5</f>
        <v>1.0185185185185184E-3</v>
      </c>
      <c r="I16" s="11">
        <f>G16/0.93</f>
        <v>1.0619607062259391E-3</v>
      </c>
      <c r="J16" s="11">
        <f>G16/0.92</f>
        <v>1.073503757380569E-3</v>
      </c>
      <c r="K16" s="11">
        <f>G16/0.88</f>
        <v>1.1222993827160494E-3</v>
      </c>
      <c r="L16" s="11">
        <f>G16/0.84</f>
        <v>1.1757422104644328E-3</v>
      </c>
      <c r="M16" s="25">
        <f>WO2025Jan710814161822242830323438404244464854565862646668707274766812161820222628323438424446485052[[#This Row],[Thresh]]</f>
        <v>1.1222993827160494E-3</v>
      </c>
      <c r="N16" s="28">
        <f>WO2025Jan710814161822242830323438404244464854565862646668707274766812161820222628323438424446485052[[#This Row],[Thresh]]*2.5</f>
        <v>2.8057484567901234E-3</v>
      </c>
      <c r="O16" s="25">
        <f>WO2025Jan710814161822242830323438404244464854565862646668707274766812161820222628323438424446485052[[#This Row],[R]]/2</f>
        <v>4.4849537037037037E-4</v>
      </c>
      <c r="P16" s="25">
        <f>(WO2025Jan710814161822242830323438404244464854565862646668707274766812161820222628323438424446485052[[#This Row],[R]]/2)-0.0000115740740740741</f>
        <v>4.3692129629629625E-4</v>
      </c>
      <c r="Q16" s="25">
        <f>(WO2025Jan710814161822242830323438404244464854565862646668707274766812161820222628323438424446485052[[#This Row],[R]]/2)-(0.0000115740740740741*2)</f>
        <v>4.2534722222222214E-4</v>
      </c>
      <c r="R16" s="25">
        <f>(WO2025Jan710814161822242830323438404244464854565862646668707274766812161820222628323438424446485052[[#This Row],[R]]/2)-(0.0000115740740740741*3)</f>
        <v>4.1377314814814808E-4</v>
      </c>
      <c r="S16" s="25">
        <f>(WO2025Jan710814161822242830323438404244464854565862646668707274766812161820222628323438424446485052[[#This Row],[R]]/2)-(0.0000115740740740741*4)</f>
        <v>4.0219907407407397E-4</v>
      </c>
      <c r="T16" s="25">
        <f>(WO2025Jan710814161822242830323438404244464854565862646668707274766812161820222628323438424446485052[[#This Row],[R]]/2)-(0.0000115740740740741*5)</f>
        <v>3.9062499999999986E-4</v>
      </c>
      <c r="U16" s="28" t="s">
        <v>25</v>
      </c>
      <c r="V16" s="36"/>
      <c r="W16" s="15" t="s">
        <v>48</v>
      </c>
      <c r="X16" s="52"/>
    </row>
    <row r="17" spans="1:24" ht="21" customHeight="1">
      <c r="A17" s="10" t="s">
        <v>50</v>
      </c>
      <c r="B17" s="11">
        <v>1.3020833333333334E-2</v>
      </c>
      <c r="C17" s="11">
        <v>3.7037037037037038E-3</v>
      </c>
      <c r="D17" s="11">
        <f>B17*E17</f>
        <v>7.5755208333333334E-3</v>
      </c>
      <c r="E17" s="12">
        <v>0.58179999999999998</v>
      </c>
      <c r="F17" s="11">
        <f>C17/4</f>
        <v>9.2592592592592596E-4</v>
      </c>
      <c r="G17" s="11">
        <f>D17/7.5</f>
        <v>1.0100694444444445E-3</v>
      </c>
      <c r="H17" s="11">
        <f>B17/12.5</f>
        <v>1.0416666666666667E-3</v>
      </c>
      <c r="I17" s="11">
        <f>G17/0.93</f>
        <v>1.0860961768219832E-3</v>
      </c>
      <c r="J17" s="11">
        <f>G17/0.92</f>
        <v>1.0979015700483092E-3</v>
      </c>
      <c r="K17" s="11">
        <f>G17/0.88</f>
        <v>1.1478061868686869E-3</v>
      </c>
      <c r="L17" s="11">
        <f>G17/0.84</f>
        <v>1.2024636243386244E-3</v>
      </c>
      <c r="M17" s="25">
        <f>WO2025Jan710814161822242830323438404244464854565862646668707274766812161820222628323438424446485052[[#This Row],[Thresh]]</f>
        <v>1.1478061868686869E-3</v>
      </c>
      <c r="N17" s="28">
        <f>WO2025Jan710814161822242830323438404244464854565862646668707274766812161820222628323438424446485052[[#This Row],[Thresh]]*2.5</f>
        <v>2.8695154671717171E-3</v>
      </c>
      <c r="O17" s="25">
        <f>WO2025Jan710814161822242830323438404244464854565862646668707274766812161820222628323438424446485052[[#This Row],[R]]/2</f>
        <v>4.6296296296296298E-4</v>
      </c>
      <c r="P17" s="25">
        <f>(WO2025Jan710814161822242830323438404244464854565862646668707274766812161820222628323438424446485052[[#This Row],[R]]/2)-0.0000115740740740741</f>
        <v>4.5138888888888887E-4</v>
      </c>
      <c r="Q17" s="25">
        <f>(WO2025Jan710814161822242830323438404244464854565862646668707274766812161820222628323438424446485052[[#This Row],[R]]/2)-(0.0000115740740740741*2)</f>
        <v>4.3981481481481476E-4</v>
      </c>
      <c r="R17" s="25">
        <f>(WO2025Jan710814161822242830323438404244464854565862646668707274766812161820222628323438424446485052[[#This Row],[R]]/2)-(0.0000115740740740741*3)</f>
        <v>4.282407407407407E-4</v>
      </c>
      <c r="S17" s="25">
        <f>(WO2025Jan710814161822242830323438404244464854565862646668707274766812161820222628323438424446485052[[#This Row],[R]]/2)-(0.0000115740740740741*4)</f>
        <v>4.1666666666666658E-4</v>
      </c>
      <c r="T17" s="25">
        <f>(WO2025Jan710814161822242830323438404244464854565862646668707274766812161820222628323438424446485052[[#This Row],[R]]/2)-(0.0000115740740740741*5)</f>
        <v>4.0509259259259247E-4</v>
      </c>
      <c r="U17" s="28" t="s">
        <v>25</v>
      </c>
      <c r="V17" s="36"/>
      <c r="W17" s="15" t="s">
        <v>48</v>
      </c>
      <c r="X17" s="52"/>
    </row>
    <row r="18" spans="1:24" ht="21" customHeight="1">
      <c r="A18" s="10"/>
      <c r="B18" s="11"/>
      <c r="C18" s="11"/>
      <c r="D18" s="11"/>
      <c r="E18" s="12"/>
      <c r="F18" s="11"/>
      <c r="G18" s="11"/>
      <c r="H18" s="11"/>
      <c r="I18" s="11"/>
      <c r="J18" s="11"/>
      <c r="K18" s="11"/>
      <c r="L18" s="11"/>
      <c r="M18" s="14"/>
      <c r="O18" s="14"/>
      <c r="P18" s="11"/>
      <c r="Q18" s="14"/>
      <c r="R18" s="11"/>
      <c r="S18" s="14"/>
      <c r="T18" s="14"/>
      <c r="U18" s="14"/>
      <c r="V18" s="11"/>
      <c r="W18" s="15"/>
      <c r="X18" s="52"/>
    </row>
    <row r="19" spans="1:24" ht="21" customHeight="1">
      <c r="A19" s="19"/>
      <c r="B19" s="6"/>
      <c r="C19" s="6"/>
      <c r="D19" s="6"/>
      <c r="E19" s="20"/>
      <c r="F19" s="6"/>
      <c r="G19" s="6"/>
      <c r="H19" s="6"/>
      <c r="I19" s="6"/>
      <c r="J19" s="6"/>
      <c r="K19" s="6"/>
      <c r="L19" s="6"/>
      <c r="M19" s="6"/>
      <c r="N19" s="6"/>
      <c r="O19" s="6"/>
      <c r="P19" s="6"/>
      <c r="Q19" s="6"/>
      <c r="R19" s="6"/>
      <c r="S19" s="6"/>
      <c r="T19" s="6"/>
      <c r="U19" s="6"/>
      <c r="V19" s="6"/>
      <c r="W19" s="35"/>
      <c r="X19" s="52"/>
    </row>
    <row r="20" spans="1:24" ht="21" customHeight="1">
      <c r="A20" s="10" t="s">
        <v>51</v>
      </c>
      <c r="B20" s="11">
        <v>1.2615740740740742E-2</v>
      </c>
      <c r="C20" s="11">
        <v>3.5879629629629629E-3</v>
      </c>
      <c r="D20" s="11">
        <f>B20*E20</f>
        <v>7.3398379629629629E-3</v>
      </c>
      <c r="E20" s="12">
        <v>0.58179999999999998</v>
      </c>
      <c r="F20" s="11">
        <f>C20/4</f>
        <v>8.9699074074074073E-4</v>
      </c>
      <c r="G20" s="11">
        <f>D20/7.5</f>
        <v>9.7864506172839496E-4</v>
      </c>
      <c r="H20" s="11">
        <f>B20/12.5</f>
        <v>1.0092592592592592E-3</v>
      </c>
      <c r="I20" s="11">
        <f>G20/0.93</f>
        <v>1.0523065179875214E-3</v>
      </c>
      <c r="J20" s="11">
        <f>G20/0.92</f>
        <v>1.0637446323134728E-3</v>
      </c>
      <c r="K20" s="11">
        <f>G20/0.88</f>
        <v>1.1120966610549943E-3</v>
      </c>
      <c r="L20" s="11">
        <f>G20/0.84</f>
        <v>1.165053644914756E-3</v>
      </c>
      <c r="M20" s="25"/>
      <c r="N20" s="28"/>
      <c r="O20" s="25"/>
      <c r="P20" s="28"/>
      <c r="Q20" s="25"/>
      <c r="R20" s="25"/>
      <c r="S20" s="25"/>
      <c r="T20" s="28"/>
      <c r="U20" s="11"/>
      <c r="V20" s="36"/>
      <c r="W20" s="15" t="s">
        <v>52</v>
      </c>
      <c r="X20" s="52"/>
    </row>
    <row r="21" spans="1:24" ht="21" customHeight="1">
      <c r="A21" s="10" t="s">
        <v>53</v>
      </c>
      <c r="B21" s="11">
        <v>1.2731481481481481E-2</v>
      </c>
      <c r="C21" s="11">
        <v>3.7615740740740739E-3</v>
      </c>
      <c r="D21" s="11">
        <f>B21*E21</f>
        <v>7.4071759259259256E-3</v>
      </c>
      <c r="E21" s="12">
        <v>0.58179999999999998</v>
      </c>
      <c r="F21" s="11">
        <f>C21/4</f>
        <v>9.4039351851851847E-4</v>
      </c>
      <c r="G21" s="11">
        <f>D21/7.5</f>
        <v>9.8762345679012349E-4</v>
      </c>
      <c r="H21" s="11">
        <f>B21/12.5</f>
        <v>1.0185185185185184E-3</v>
      </c>
      <c r="I21" s="11">
        <f>G21/0.93</f>
        <v>1.0619607062259391E-3</v>
      </c>
      <c r="J21" s="11">
        <f>G21/0.92</f>
        <v>1.073503757380569E-3</v>
      </c>
      <c r="K21" s="11">
        <f>G21/0.88</f>
        <v>1.1222993827160494E-3</v>
      </c>
      <c r="L21" s="11">
        <f>G21/0.84</f>
        <v>1.1757422104644328E-3</v>
      </c>
      <c r="M21" s="25"/>
      <c r="N21" s="28"/>
      <c r="O21" s="25"/>
      <c r="P21" s="28"/>
      <c r="Q21" s="25"/>
      <c r="R21" s="25"/>
      <c r="S21" s="25"/>
      <c r="T21" s="28"/>
      <c r="U21" s="25"/>
      <c r="V21" s="25"/>
      <c r="W21" s="15" t="s">
        <v>52</v>
      </c>
      <c r="X21" s="52" t="s">
        <v>54</v>
      </c>
    </row>
    <row r="22" spans="1:24" ht="21" customHeight="1">
      <c r="A22" s="10"/>
      <c r="B22" s="11"/>
      <c r="C22" s="11"/>
      <c r="D22" s="11"/>
      <c r="E22" s="12"/>
      <c r="F22" s="11"/>
      <c r="G22" s="11"/>
      <c r="H22" s="11"/>
      <c r="I22" s="11"/>
      <c r="J22" s="11"/>
      <c r="K22" s="11"/>
      <c r="L22" s="11"/>
      <c r="M22" s="14"/>
      <c r="N22" s="11"/>
      <c r="O22" s="11"/>
      <c r="P22" s="11"/>
      <c r="Q22" s="14"/>
      <c r="R22" s="11"/>
      <c r="S22" s="14"/>
      <c r="T22" s="11"/>
      <c r="U22" s="11"/>
      <c r="V22" s="17"/>
      <c r="W22" s="15"/>
      <c r="X22" s="52"/>
    </row>
    <row r="23" spans="1:24" ht="21" customHeight="1">
      <c r="A23" s="10"/>
      <c r="B23" s="11"/>
      <c r="C23" s="11"/>
      <c r="D23" s="11"/>
      <c r="E23" s="12"/>
      <c r="F23" s="11"/>
      <c r="G23" s="11"/>
      <c r="H23" s="11"/>
      <c r="I23" s="11"/>
      <c r="J23" s="11"/>
      <c r="K23" s="11"/>
      <c r="L23" s="11"/>
      <c r="M23" s="14"/>
      <c r="N23" s="11"/>
      <c r="O23" s="11"/>
      <c r="P23" s="11"/>
      <c r="Q23" s="14"/>
      <c r="R23" s="11"/>
      <c r="S23" s="14"/>
      <c r="T23" s="14"/>
      <c r="U23" s="14"/>
      <c r="V23" s="11"/>
      <c r="W23" s="15"/>
      <c r="X23" s="52"/>
    </row>
    <row r="24" spans="1:24" ht="21" customHeight="1">
      <c r="A24" s="10"/>
      <c r="B24" s="11"/>
      <c r="C24" s="11"/>
      <c r="D24" s="11"/>
      <c r="E24" s="12"/>
      <c r="F24" s="11"/>
      <c r="G24" s="11"/>
      <c r="H24" s="11"/>
      <c r="I24" s="11"/>
      <c r="J24" s="11"/>
      <c r="K24" s="11"/>
      <c r="L24" s="11"/>
      <c r="M24" s="14"/>
      <c r="N24" s="11"/>
      <c r="O24" s="11"/>
      <c r="P24" s="11"/>
      <c r="Q24" s="14"/>
      <c r="R24" s="11"/>
      <c r="S24" s="14"/>
      <c r="T24" s="14"/>
      <c r="U24" s="14"/>
      <c r="V24" s="11"/>
      <c r="W24" s="15"/>
      <c r="X24" s="52"/>
    </row>
    <row r="25" spans="1:24" ht="21" customHeight="1">
      <c r="A25" s="10"/>
      <c r="B25" s="11"/>
      <c r="C25" s="11"/>
      <c r="D25" s="11"/>
      <c r="E25" s="12"/>
      <c r="F25" s="11"/>
      <c r="G25" s="11"/>
      <c r="H25" s="11"/>
      <c r="I25" s="11"/>
      <c r="J25" s="11"/>
      <c r="K25" s="11"/>
      <c r="L25" s="11"/>
      <c r="M25" s="37"/>
      <c r="N25" s="28"/>
      <c r="O25" s="25"/>
      <c r="P25" s="28"/>
      <c r="Q25" s="25"/>
      <c r="R25" s="25"/>
      <c r="S25" s="25"/>
      <c r="T25" s="28"/>
      <c r="U25" s="11"/>
      <c r="V25" s="47"/>
      <c r="W25" s="18"/>
      <c r="X25" s="52"/>
    </row>
    <row r="26" spans="1:24" ht="21" customHeight="1">
      <c r="A26" s="10"/>
      <c r="B26" s="11"/>
      <c r="C26" s="11"/>
      <c r="D26" s="11"/>
      <c r="E26" s="12"/>
      <c r="F26" s="11"/>
      <c r="G26" s="11"/>
      <c r="H26" s="11"/>
      <c r="I26" s="11"/>
      <c r="J26" s="11"/>
      <c r="K26" s="11"/>
      <c r="L26" s="11"/>
      <c r="M26" s="37"/>
      <c r="N26" s="28"/>
      <c r="O26" s="25"/>
      <c r="P26" s="28"/>
      <c r="Q26" s="25"/>
      <c r="R26" s="25"/>
      <c r="S26" s="25"/>
      <c r="T26" s="28"/>
      <c r="U26" s="11"/>
      <c r="V26" s="47"/>
      <c r="W26" s="18"/>
      <c r="X26" s="52"/>
    </row>
    <row r="27" spans="1:24" ht="21" customHeight="1">
      <c r="A27" s="10"/>
      <c r="B27" s="11"/>
      <c r="C27" s="11"/>
      <c r="D27" s="11"/>
      <c r="E27" s="12"/>
      <c r="F27" s="11"/>
      <c r="G27" s="11"/>
      <c r="H27" s="11"/>
      <c r="I27" s="11"/>
      <c r="J27" s="11"/>
      <c r="K27" s="11"/>
      <c r="L27" s="11"/>
      <c r="M27" s="14"/>
      <c r="N27" s="11"/>
      <c r="O27" s="14"/>
      <c r="P27" s="11"/>
      <c r="Q27" s="14"/>
      <c r="R27" s="11"/>
      <c r="S27" s="14"/>
      <c r="T27" s="14"/>
      <c r="U27" s="14"/>
      <c r="V27" s="11"/>
      <c r="W27" s="15"/>
      <c r="X27" s="52"/>
    </row>
    <row r="28" spans="1:24" ht="21" customHeight="1">
      <c r="A28" s="10"/>
      <c r="B28" s="11"/>
      <c r="C28" s="11"/>
      <c r="D28" s="11"/>
      <c r="E28" s="12"/>
      <c r="F28" s="11"/>
      <c r="G28" s="11"/>
      <c r="H28" s="11"/>
      <c r="I28" s="11"/>
      <c r="J28" s="11"/>
      <c r="K28" s="11"/>
      <c r="L28" s="11"/>
      <c r="M28" s="45"/>
      <c r="N28" s="11"/>
      <c r="O28" s="11"/>
      <c r="P28" s="11"/>
      <c r="Q28" s="14"/>
      <c r="R28" s="11"/>
      <c r="S28" s="14"/>
      <c r="T28" s="11"/>
      <c r="U28" s="14"/>
      <c r="V28" s="17"/>
      <c r="W28" s="18"/>
      <c r="X28" s="52"/>
    </row>
    <row r="29" spans="1:24" ht="21" customHeight="1">
      <c r="A29" s="10"/>
      <c r="B29" s="11"/>
      <c r="C29" s="11"/>
      <c r="D29" s="11"/>
      <c r="E29" s="12"/>
      <c r="F29" s="11"/>
      <c r="G29" s="11"/>
      <c r="H29" s="11"/>
      <c r="I29" s="11"/>
      <c r="J29" s="11"/>
      <c r="K29" s="11"/>
      <c r="L29" s="11"/>
      <c r="M29" s="11"/>
      <c r="N29" s="11"/>
      <c r="O29" s="11"/>
      <c r="P29" s="11"/>
      <c r="Q29" s="14"/>
      <c r="R29" s="11"/>
      <c r="S29" s="14"/>
      <c r="T29" s="11"/>
      <c r="U29" s="14"/>
      <c r="V29" s="11"/>
      <c r="W29" s="15"/>
      <c r="X29" s="52"/>
    </row>
    <row r="30" spans="1:24" ht="21" customHeight="1">
      <c r="A30" s="19" t="s">
        <v>0</v>
      </c>
      <c r="B30" s="6"/>
      <c r="C30" s="6"/>
      <c r="D30" s="6"/>
      <c r="E30" s="20"/>
      <c r="F30" s="6"/>
      <c r="G30" s="6"/>
      <c r="H30" s="6"/>
      <c r="I30" s="6"/>
      <c r="J30" s="6"/>
      <c r="K30" s="6"/>
      <c r="L30" s="6"/>
      <c r="M30" s="6"/>
      <c r="N30" s="6"/>
      <c r="O30" s="6"/>
      <c r="P30" s="6"/>
      <c r="Q30" s="6"/>
      <c r="R30" s="6"/>
      <c r="S30" s="6"/>
      <c r="T30" s="6"/>
      <c r="U30" s="6"/>
      <c r="V30" s="6"/>
      <c r="W30" s="35"/>
      <c r="X30" s="52"/>
    </row>
    <row r="31" spans="1:24" ht="21" customHeight="1">
      <c r="A31" s="10" t="s">
        <v>55</v>
      </c>
      <c r="B31" s="11">
        <v>1.238425925925926E-2</v>
      </c>
      <c r="C31" s="11">
        <v>3.5879629629629629E-3</v>
      </c>
      <c r="D31" s="11">
        <f>B31*E31</f>
        <v>7.2051620370370368E-3</v>
      </c>
      <c r="E31" s="12">
        <v>0.58179999999999998</v>
      </c>
      <c r="F31" s="11">
        <f>C31/4</f>
        <v>8.9699074074074073E-4</v>
      </c>
      <c r="G31" s="11">
        <f>D31/7.5</f>
        <v>9.6068827160493821E-4</v>
      </c>
      <c r="H31" s="11">
        <f>B31/12.5</f>
        <v>9.9074074074074082E-4</v>
      </c>
      <c r="I31" s="11">
        <f>G31/0.93</f>
        <v>1.0329981415106862E-3</v>
      </c>
      <c r="J31" s="11">
        <f>G31/0.92</f>
        <v>1.0442263821792807E-3</v>
      </c>
      <c r="K31" s="11">
        <f>G31/0.88</f>
        <v>1.0916912177328843E-3</v>
      </c>
      <c r="L31" s="11">
        <f>G31/0.84</f>
        <v>1.1436765138154027E-3</v>
      </c>
      <c r="M31" s="25"/>
      <c r="N31" s="28"/>
      <c r="O31" s="25"/>
      <c r="P31" s="28"/>
      <c r="Q31" s="25"/>
      <c r="R31" s="25"/>
      <c r="S31" s="25"/>
      <c r="T31" s="28"/>
      <c r="U31" s="11"/>
      <c r="V31" s="36"/>
      <c r="W31" s="18"/>
      <c r="X31" s="52" t="s">
        <v>56</v>
      </c>
    </row>
    <row r="32" spans="1:24" ht="21" customHeight="1">
      <c r="A32" s="10" t="s">
        <v>57</v>
      </c>
      <c r="B32" s="11"/>
      <c r="C32" s="11"/>
      <c r="D32" s="11"/>
      <c r="E32" s="12"/>
      <c r="F32" s="11"/>
      <c r="G32" s="11"/>
      <c r="H32" s="11"/>
      <c r="I32" s="11"/>
      <c r="J32" s="11"/>
      <c r="K32" s="11"/>
      <c r="L32" s="17"/>
      <c r="M32" s="25"/>
      <c r="N32" s="28"/>
      <c r="O32" s="25"/>
      <c r="P32" s="28"/>
      <c r="Q32" s="25"/>
      <c r="R32" s="28"/>
      <c r="S32" s="28"/>
      <c r="T32" s="11"/>
      <c r="U32" s="11"/>
      <c r="V32" s="11"/>
      <c r="W32" s="15"/>
      <c r="X32" s="52"/>
    </row>
    <row r="33" spans="1:24" ht="21" customHeight="1">
      <c r="A33" s="10" t="s">
        <v>58</v>
      </c>
      <c r="B33" s="11">
        <v>1.3020833333333334E-2</v>
      </c>
      <c r="C33" s="11">
        <v>4.1087962962962962E-3</v>
      </c>
      <c r="D33" s="11">
        <f t="shared" ref="D33:D51" si="8">B33*E33</f>
        <v>7.5755208333333334E-3</v>
      </c>
      <c r="E33" s="12">
        <v>0.58179999999999998</v>
      </c>
      <c r="F33" s="11">
        <f t="shared" ref="F33:F51" si="9">C33/4</f>
        <v>1.027199074074074E-3</v>
      </c>
      <c r="G33" s="11">
        <f t="shared" ref="G33:G51" si="10">D33/7.5</f>
        <v>1.0100694444444445E-3</v>
      </c>
      <c r="H33" s="11">
        <f t="shared" ref="H33:H51" si="11">B33/12.5</f>
        <v>1.0416666666666667E-3</v>
      </c>
      <c r="I33" s="11">
        <f t="shared" ref="I33:I51" si="12">G33/0.93</f>
        <v>1.0860961768219832E-3</v>
      </c>
      <c r="J33" s="11">
        <f t="shared" ref="J33:J51" si="13">G33/0.92</f>
        <v>1.0979015700483092E-3</v>
      </c>
      <c r="K33" s="11">
        <f t="shared" ref="K33:K51" si="14">G33/0.88</f>
        <v>1.1478061868686869E-3</v>
      </c>
      <c r="L33" s="11">
        <f t="shared" ref="L33:L51" si="15">G33/0.84</f>
        <v>1.2024636243386244E-3</v>
      </c>
      <c r="M33" s="25"/>
      <c r="N33" s="28"/>
      <c r="O33" s="25"/>
      <c r="P33" s="28"/>
      <c r="Q33" s="25"/>
      <c r="R33" s="25"/>
      <c r="S33" s="25"/>
      <c r="T33" s="28"/>
      <c r="U33" s="11"/>
      <c r="V33" s="36"/>
      <c r="W33" s="15"/>
      <c r="X33" s="52"/>
    </row>
    <row r="34" spans="1:24" ht="21" customHeight="1">
      <c r="A34" s="10" t="s">
        <v>59</v>
      </c>
      <c r="B34" s="11">
        <v>1.2500000000000001E-2</v>
      </c>
      <c r="C34" s="11">
        <v>3.7037037037037038E-3</v>
      </c>
      <c r="D34" s="11">
        <f t="shared" si="8"/>
        <v>7.2725000000000003E-3</v>
      </c>
      <c r="E34" s="12">
        <v>0.58179999999999998</v>
      </c>
      <c r="F34" s="11">
        <f t="shared" si="9"/>
        <v>9.2592592592592596E-4</v>
      </c>
      <c r="G34" s="11">
        <f t="shared" si="10"/>
        <v>9.6966666666666675E-4</v>
      </c>
      <c r="H34" s="11">
        <f t="shared" si="11"/>
        <v>1E-3</v>
      </c>
      <c r="I34" s="11">
        <f t="shared" si="12"/>
        <v>1.0426523297491039E-3</v>
      </c>
      <c r="J34" s="11">
        <f t="shared" si="13"/>
        <v>1.0539855072463768E-3</v>
      </c>
      <c r="K34" s="11">
        <f t="shared" si="14"/>
        <v>1.1018939393939394E-3</v>
      </c>
      <c r="L34" s="11">
        <f t="shared" si="15"/>
        <v>1.1543650793650795E-3</v>
      </c>
      <c r="M34" s="25"/>
      <c r="N34" s="28"/>
      <c r="O34" s="25"/>
      <c r="P34" s="28"/>
      <c r="Q34" s="25"/>
      <c r="R34" s="25"/>
      <c r="S34" s="25"/>
      <c r="T34" s="28"/>
      <c r="U34" s="11"/>
      <c r="V34" s="36"/>
      <c r="W34" s="15"/>
      <c r="X34" s="52"/>
    </row>
    <row r="35" spans="1:24" ht="21" customHeight="1">
      <c r="A35" s="10" t="s">
        <v>60</v>
      </c>
      <c r="B35" s="11">
        <v>1.2268518518518519E-2</v>
      </c>
      <c r="C35" s="11">
        <v>3.6458333333333334E-3</v>
      </c>
      <c r="D35" s="11">
        <f t="shared" si="8"/>
        <v>7.1378240740740742E-3</v>
      </c>
      <c r="E35" s="12">
        <v>0.58179999999999998</v>
      </c>
      <c r="F35" s="11">
        <f t="shared" si="9"/>
        <v>9.1145833333333335E-4</v>
      </c>
      <c r="G35" s="11">
        <f t="shared" si="10"/>
        <v>9.5170987654320989E-4</v>
      </c>
      <c r="H35" s="11">
        <f t="shared" si="11"/>
        <v>9.8148148148148161E-4</v>
      </c>
      <c r="I35" s="11">
        <f t="shared" si="12"/>
        <v>1.0233439532722685E-3</v>
      </c>
      <c r="J35" s="11">
        <f t="shared" si="13"/>
        <v>1.0344672571121847E-3</v>
      </c>
      <c r="K35" s="11">
        <f t="shared" si="14"/>
        <v>1.0814884960718295E-3</v>
      </c>
      <c r="L35" s="11">
        <f t="shared" si="15"/>
        <v>1.1329879482657262E-3</v>
      </c>
      <c r="M35" s="25"/>
      <c r="N35" s="28"/>
      <c r="O35" s="25"/>
      <c r="P35" s="28"/>
      <c r="Q35" s="25"/>
      <c r="R35" s="25"/>
      <c r="S35" s="25"/>
      <c r="T35" s="28"/>
      <c r="U35" s="11"/>
      <c r="V35" s="36"/>
      <c r="W35" s="15"/>
      <c r="X35" s="52"/>
    </row>
    <row r="36" spans="1:24" ht="21" customHeight="1">
      <c r="A36" s="10" t="s">
        <v>61</v>
      </c>
      <c r="B36" s="11">
        <v>1.4583333333333334E-2</v>
      </c>
      <c r="C36" s="11">
        <v>4.3981481481481484E-3</v>
      </c>
      <c r="D36" s="11">
        <f t="shared" si="8"/>
        <v>8.4845833333333336E-3</v>
      </c>
      <c r="E36" s="12">
        <v>0.58179999999999998</v>
      </c>
      <c r="F36" s="11">
        <f t="shared" si="9"/>
        <v>1.0995370370370371E-3</v>
      </c>
      <c r="G36" s="11">
        <f t="shared" si="10"/>
        <v>1.1312777777777777E-3</v>
      </c>
      <c r="H36" s="11">
        <f t="shared" si="11"/>
        <v>1.1666666666666668E-3</v>
      </c>
      <c r="I36" s="11">
        <f t="shared" si="12"/>
        <v>1.2164277180406211E-3</v>
      </c>
      <c r="J36" s="11">
        <f t="shared" si="13"/>
        <v>1.2296497584541061E-3</v>
      </c>
      <c r="K36" s="11">
        <f t="shared" si="14"/>
        <v>1.2855429292929293E-3</v>
      </c>
      <c r="L36" s="11">
        <f t="shared" si="15"/>
        <v>1.3467592592592591E-3</v>
      </c>
      <c r="M36" s="25"/>
      <c r="N36" s="28"/>
      <c r="O36" s="25"/>
      <c r="P36" s="25"/>
      <c r="Q36" s="25"/>
      <c r="R36" s="25"/>
      <c r="S36" s="28"/>
      <c r="T36" s="28"/>
      <c r="U36" s="28"/>
      <c r="V36" s="28"/>
      <c r="W36" s="15"/>
      <c r="X36" s="52"/>
    </row>
    <row r="37" spans="1:24" ht="21" customHeight="1">
      <c r="A37" s="10" t="s">
        <v>62</v>
      </c>
      <c r="B37" s="11">
        <v>1.238425925925926E-2</v>
      </c>
      <c r="C37" s="11">
        <v>3.6458333333333334E-3</v>
      </c>
      <c r="D37" s="11">
        <f t="shared" si="8"/>
        <v>7.2051620370370368E-3</v>
      </c>
      <c r="E37" s="12">
        <v>0.58179999999999998</v>
      </c>
      <c r="F37" s="11">
        <f t="shared" si="9"/>
        <v>9.1145833333333335E-4</v>
      </c>
      <c r="G37" s="11">
        <f t="shared" si="10"/>
        <v>9.6068827160493821E-4</v>
      </c>
      <c r="H37" s="11">
        <f t="shared" si="11"/>
        <v>9.9074074074074082E-4</v>
      </c>
      <c r="I37" s="11">
        <f t="shared" si="12"/>
        <v>1.0329981415106862E-3</v>
      </c>
      <c r="J37" s="11">
        <f t="shared" si="13"/>
        <v>1.0442263821792807E-3</v>
      </c>
      <c r="K37" s="11">
        <f t="shared" si="14"/>
        <v>1.0916912177328843E-3</v>
      </c>
      <c r="L37" s="11">
        <f t="shared" si="15"/>
        <v>1.1436765138154027E-3</v>
      </c>
      <c r="M37" s="25"/>
      <c r="N37" s="28"/>
      <c r="O37" s="25"/>
      <c r="P37" s="28"/>
      <c r="Q37" s="25"/>
      <c r="R37" s="25"/>
      <c r="S37" s="25"/>
      <c r="T37" s="28"/>
      <c r="U37" s="11"/>
      <c r="V37" s="36"/>
      <c r="W37" s="15"/>
      <c r="X37" s="52"/>
    </row>
    <row r="38" spans="1:24" ht="21" customHeight="1">
      <c r="A38" s="10" t="s">
        <v>63</v>
      </c>
      <c r="B38" s="11">
        <v>1.2615740740740742E-2</v>
      </c>
      <c r="C38" s="11">
        <v>3.7037037037037038E-3</v>
      </c>
      <c r="D38" s="11">
        <f t="shared" si="8"/>
        <v>7.3398379629629629E-3</v>
      </c>
      <c r="E38" s="12">
        <v>0.58179999999999998</v>
      </c>
      <c r="F38" s="11">
        <f t="shared" si="9"/>
        <v>9.2592592592592596E-4</v>
      </c>
      <c r="G38" s="11">
        <f t="shared" si="10"/>
        <v>9.7864506172839496E-4</v>
      </c>
      <c r="H38" s="11">
        <f t="shared" si="11"/>
        <v>1.0092592592592592E-3</v>
      </c>
      <c r="I38" s="11">
        <f t="shared" si="12"/>
        <v>1.0523065179875214E-3</v>
      </c>
      <c r="J38" s="11">
        <f t="shared" si="13"/>
        <v>1.0637446323134728E-3</v>
      </c>
      <c r="K38" s="11">
        <f t="shared" si="14"/>
        <v>1.1120966610549943E-3</v>
      </c>
      <c r="L38" s="11">
        <f t="shared" si="15"/>
        <v>1.165053644914756E-3</v>
      </c>
      <c r="M38" s="25"/>
      <c r="N38" s="28"/>
      <c r="O38" s="25"/>
      <c r="P38" s="28"/>
      <c r="Q38" s="25"/>
      <c r="R38" s="25"/>
      <c r="S38" s="25"/>
      <c r="T38" s="28"/>
      <c r="U38" s="11"/>
      <c r="V38" s="36"/>
      <c r="W38" s="15"/>
      <c r="X38" s="52"/>
    </row>
    <row r="39" spans="1:24" ht="21" customHeight="1">
      <c r="A39" s="10" t="s">
        <v>64</v>
      </c>
      <c r="B39" s="11">
        <v>1.2615740740740742E-2</v>
      </c>
      <c r="C39" s="11">
        <v>3.5879629629629629E-3</v>
      </c>
      <c r="D39" s="11">
        <f t="shared" si="8"/>
        <v>7.3398379629629629E-3</v>
      </c>
      <c r="E39" s="12">
        <v>0.58179999999999998</v>
      </c>
      <c r="F39" s="11">
        <f t="shared" si="9"/>
        <v>8.9699074074074073E-4</v>
      </c>
      <c r="G39" s="11">
        <f t="shared" si="10"/>
        <v>9.7864506172839496E-4</v>
      </c>
      <c r="H39" s="11">
        <f t="shared" si="11"/>
        <v>1.0092592592592592E-3</v>
      </c>
      <c r="I39" s="11">
        <f t="shared" si="12"/>
        <v>1.0523065179875214E-3</v>
      </c>
      <c r="J39" s="11">
        <f t="shared" si="13"/>
        <v>1.0637446323134728E-3</v>
      </c>
      <c r="K39" s="11">
        <f t="shared" si="14"/>
        <v>1.1120966610549943E-3</v>
      </c>
      <c r="L39" s="11">
        <f t="shared" si="15"/>
        <v>1.165053644914756E-3</v>
      </c>
      <c r="M39" s="25"/>
      <c r="N39" s="28"/>
      <c r="O39" s="25"/>
      <c r="P39" s="28"/>
      <c r="Q39" s="25"/>
      <c r="R39" s="25"/>
      <c r="S39" s="25"/>
      <c r="T39" s="28"/>
      <c r="U39" s="11"/>
      <c r="V39" s="36"/>
      <c r="W39" s="15"/>
      <c r="X39" s="52"/>
    </row>
    <row r="40" spans="1:24" ht="21" customHeight="1">
      <c r="A40" s="10" t="s">
        <v>65</v>
      </c>
      <c r="B40" s="11">
        <v>1.2731481481481481E-2</v>
      </c>
      <c r="C40" s="11">
        <v>3.8194444444444443E-3</v>
      </c>
      <c r="D40" s="11">
        <f t="shared" si="8"/>
        <v>7.4071759259259256E-3</v>
      </c>
      <c r="E40" s="12">
        <v>0.58179999999999998</v>
      </c>
      <c r="F40" s="11">
        <f t="shared" si="9"/>
        <v>9.5486111111111108E-4</v>
      </c>
      <c r="G40" s="11">
        <f t="shared" si="10"/>
        <v>9.8762345679012349E-4</v>
      </c>
      <c r="H40" s="11">
        <f t="shared" si="11"/>
        <v>1.0185185185185184E-3</v>
      </c>
      <c r="I40" s="11">
        <f t="shared" si="12"/>
        <v>1.0619607062259391E-3</v>
      </c>
      <c r="J40" s="11">
        <f t="shared" si="13"/>
        <v>1.073503757380569E-3</v>
      </c>
      <c r="K40" s="11">
        <f t="shared" si="14"/>
        <v>1.1222993827160494E-3</v>
      </c>
      <c r="L40" s="11">
        <f t="shared" si="15"/>
        <v>1.1757422104644328E-3</v>
      </c>
      <c r="M40" s="25"/>
      <c r="N40" s="28"/>
      <c r="O40" s="25"/>
      <c r="P40" s="28"/>
      <c r="Q40" s="25"/>
      <c r="R40" s="25"/>
      <c r="S40" s="25"/>
      <c r="T40" s="28"/>
      <c r="U40" s="11"/>
      <c r="V40" s="36"/>
      <c r="W40" s="15"/>
      <c r="X40" s="52"/>
    </row>
    <row r="41" spans="1:24" ht="21" customHeight="1">
      <c r="A41" s="10" t="s">
        <v>66</v>
      </c>
      <c r="B41" s="11">
        <v>1.2731481481481481E-2</v>
      </c>
      <c r="C41" s="11">
        <v>3.6458333333333334E-3</v>
      </c>
      <c r="D41" s="11">
        <f t="shared" si="8"/>
        <v>7.4071759259259256E-3</v>
      </c>
      <c r="E41" s="12">
        <v>0.58179999999999998</v>
      </c>
      <c r="F41" s="11">
        <f t="shared" si="9"/>
        <v>9.1145833333333335E-4</v>
      </c>
      <c r="G41" s="11">
        <f t="shared" si="10"/>
        <v>9.8762345679012349E-4</v>
      </c>
      <c r="H41" s="11">
        <f t="shared" si="11"/>
        <v>1.0185185185185184E-3</v>
      </c>
      <c r="I41" s="11">
        <f t="shared" si="12"/>
        <v>1.0619607062259391E-3</v>
      </c>
      <c r="J41" s="11">
        <f t="shared" si="13"/>
        <v>1.073503757380569E-3</v>
      </c>
      <c r="K41" s="11">
        <f t="shared" si="14"/>
        <v>1.1222993827160494E-3</v>
      </c>
      <c r="L41" s="17">
        <f t="shared" si="15"/>
        <v>1.1757422104644328E-3</v>
      </c>
      <c r="M41" s="25"/>
      <c r="N41" s="28"/>
      <c r="O41" s="25"/>
      <c r="P41" s="28"/>
      <c r="Q41" s="25"/>
      <c r="R41" s="25"/>
      <c r="S41" s="25"/>
      <c r="T41" s="28"/>
      <c r="U41" s="11"/>
      <c r="V41" s="36"/>
      <c r="W41" s="15"/>
      <c r="X41" s="52"/>
    </row>
    <row r="42" spans="1:24" ht="21" customHeight="1">
      <c r="A42" s="10" t="s">
        <v>67</v>
      </c>
      <c r="B42" s="11">
        <v>1.3020833333333334E-2</v>
      </c>
      <c r="C42" s="11">
        <v>3.8194444444444443E-3</v>
      </c>
      <c r="D42" s="11">
        <f t="shared" si="8"/>
        <v>7.5755208333333334E-3</v>
      </c>
      <c r="E42" s="12">
        <v>0.58179999999999998</v>
      </c>
      <c r="F42" s="11">
        <f t="shared" si="9"/>
        <v>9.5486111111111108E-4</v>
      </c>
      <c r="G42" s="11">
        <f t="shared" si="10"/>
        <v>1.0100694444444445E-3</v>
      </c>
      <c r="H42" s="11">
        <f t="shared" si="11"/>
        <v>1.0416666666666667E-3</v>
      </c>
      <c r="I42" s="11">
        <f t="shared" si="12"/>
        <v>1.0860961768219832E-3</v>
      </c>
      <c r="J42" s="11">
        <f t="shared" si="13"/>
        <v>1.0979015700483092E-3</v>
      </c>
      <c r="K42" s="11">
        <f t="shared" si="14"/>
        <v>1.1478061868686869E-3</v>
      </c>
      <c r="L42" s="11">
        <f t="shared" si="15"/>
        <v>1.2024636243386244E-3</v>
      </c>
      <c r="M42" s="25"/>
      <c r="N42" s="28"/>
      <c r="O42" s="25"/>
      <c r="P42" s="28"/>
      <c r="Q42" s="25"/>
      <c r="R42" s="25"/>
      <c r="S42" s="25"/>
      <c r="T42" s="28"/>
      <c r="U42" s="11"/>
      <c r="V42" s="36"/>
      <c r="W42" s="15"/>
      <c r="X42" s="52"/>
    </row>
    <row r="43" spans="1:24" ht="21" customHeight="1">
      <c r="A43" s="10" t="s">
        <v>68</v>
      </c>
      <c r="B43" s="11">
        <v>1.3020833333333334E-2</v>
      </c>
      <c r="C43" s="11">
        <v>3.9351851851851848E-3</v>
      </c>
      <c r="D43" s="11">
        <f t="shared" si="8"/>
        <v>7.5755208333333334E-3</v>
      </c>
      <c r="E43" s="12">
        <v>0.58179999999999998</v>
      </c>
      <c r="F43" s="11">
        <f t="shared" si="9"/>
        <v>9.837962962962962E-4</v>
      </c>
      <c r="G43" s="11">
        <f t="shared" si="10"/>
        <v>1.0100694444444445E-3</v>
      </c>
      <c r="H43" s="11">
        <f t="shared" si="11"/>
        <v>1.0416666666666667E-3</v>
      </c>
      <c r="I43" s="11">
        <f t="shared" si="12"/>
        <v>1.0860961768219832E-3</v>
      </c>
      <c r="J43" s="11">
        <f t="shared" si="13"/>
        <v>1.0979015700483092E-3</v>
      </c>
      <c r="K43" s="11">
        <f t="shared" si="14"/>
        <v>1.1478061868686869E-3</v>
      </c>
      <c r="L43" s="11">
        <f t="shared" si="15"/>
        <v>1.2024636243386244E-3</v>
      </c>
      <c r="M43" s="25"/>
      <c r="N43" s="28"/>
      <c r="O43" s="25"/>
      <c r="P43" s="28"/>
      <c r="Q43" s="25"/>
      <c r="R43" s="25"/>
      <c r="S43" s="25"/>
      <c r="T43" s="28"/>
      <c r="U43" s="11"/>
      <c r="V43" s="36"/>
      <c r="W43" s="15"/>
      <c r="X43" s="52"/>
    </row>
    <row r="44" spans="1:24" ht="21" customHeight="1">
      <c r="A44" s="10" t="s">
        <v>69</v>
      </c>
      <c r="B44" s="11">
        <v>1.3541666666666667E-2</v>
      </c>
      <c r="C44" s="11">
        <v>4.0509259259259257E-3</v>
      </c>
      <c r="D44" s="11">
        <f t="shared" si="8"/>
        <v>7.8785416666666674E-3</v>
      </c>
      <c r="E44" s="12">
        <v>0.58179999999999998</v>
      </c>
      <c r="F44" s="11">
        <f t="shared" si="9"/>
        <v>1.0127314814814814E-3</v>
      </c>
      <c r="G44" s="11">
        <f t="shared" si="10"/>
        <v>1.0504722222222224E-3</v>
      </c>
      <c r="H44" s="11">
        <f t="shared" si="11"/>
        <v>1.0833333333333333E-3</v>
      </c>
      <c r="I44" s="11">
        <f t="shared" si="12"/>
        <v>1.1295400238948627E-3</v>
      </c>
      <c r="J44" s="11">
        <f t="shared" si="13"/>
        <v>1.1418176328502417E-3</v>
      </c>
      <c r="K44" s="11">
        <f t="shared" si="14"/>
        <v>1.1937184343434346E-3</v>
      </c>
      <c r="L44" s="11">
        <f t="shared" si="15"/>
        <v>1.2505621693121695E-3</v>
      </c>
      <c r="M44" s="25"/>
      <c r="N44" s="28"/>
      <c r="O44" s="25"/>
      <c r="P44" s="28"/>
      <c r="Q44" s="25"/>
      <c r="R44" s="25"/>
      <c r="S44" s="25"/>
      <c r="T44" s="28"/>
      <c r="U44" s="11"/>
      <c r="V44" s="36"/>
      <c r="W44" s="15"/>
      <c r="X44" s="52"/>
    </row>
    <row r="45" spans="1:24" ht="21" customHeight="1">
      <c r="A45" s="10" t="s">
        <v>70</v>
      </c>
      <c r="B45" s="11">
        <v>1.3541666666666667E-2</v>
      </c>
      <c r="C45" s="11">
        <v>4.0509259259259257E-3</v>
      </c>
      <c r="D45" s="11">
        <f t="shared" si="8"/>
        <v>7.8785416666666674E-3</v>
      </c>
      <c r="E45" s="12">
        <v>0.58179999999999998</v>
      </c>
      <c r="F45" s="11">
        <f t="shared" si="9"/>
        <v>1.0127314814814814E-3</v>
      </c>
      <c r="G45" s="11">
        <f t="shared" si="10"/>
        <v>1.0504722222222224E-3</v>
      </c>
      <c r="H45" s="11">
        <f t="shared" si="11"/>
        <v>1.0833333333333333E-3</v>
      </c>
      <c r="I45" s="11">
        <f t="shared" si="12"/>
        <v>1.1295400238948627E-3</v>
      </c>
      <c r="J45" s="11">
        <f t="shared" si="13"/>
        <v>1.1418176328502417E-3</v>
      </c>
      <c r="K45" s="11">
        <f t="shared" si="14"/>
        <v>1.1937184343434346E-3</v>
      </c>
      <c r="L45" s="11">
        <f t="shared" si="15"/>
        <v>1.2505621693121695E-3</v>
      </c>
      <c r="M45" s="25"/>
      <c r="N45" s="28"/>
      <c r="O45" s="25"/>
      <c r="P45" s="28"/>
      <c r="Q45" s="25"/>
      <c r="R45" s="25"/>
      <c r="S45" s="25"/>
      <c r="T45" s="28"/>
      <c r="U45" s="11"/>
      <c r="V45" s="36"/>
      <c r="W45" s="15"/>
      <c r="X45" s="52"/>
    </row>
    <row r="46" spans="1:24" ht="21" customHeight="1">
      <c r="A46" s="10" t="s">
        <v>71</v>
      </c>
      <c r="B46" s="11">
        <v>1.3541666666666667E-2</v>
      </c>
      <c r="C46" s="11">
        <v>4.0509259259259257E-3</v>
      </c>
      <c r="D46" s="11">
        <f t="shared" si="8"/>
        <v>7.8785416666666674E-3</v>
      </c>
      <c r="E46" s="12">
        <v>0.58179999999999998</v>
      </c>
      <c r="F46" s="11">
        <f t="shared" si="9"/>
        <v>1.0127314814814814E-3</v>
      </c>
      <c r="G46" s="11">
        <f t="shared" si="10"/>
        <v>1.0504722222222224E-3</v>
      </c>
      <c r="H46" s="11">
        <f t="shared" si="11"/>
        <v>1.0833333333333333E-3</v>
      </c>
      <c r="I46" s="11">
        <f t="shared" si="12"/>
        <v>1.1295400238948627E-3</v>
      </c>
      <c r="J46" s="11">
        <f t="shared" si="13"/>
        <v>1.1418176328502417E-3</v>
      </c>
      <c r="K46" s="11">
        <f t="shared" si="14"/>
        <v>1.1937184343434346E-3</v>
      </c>
      <c r="L46" s="11">
        <f t="shared" si="15"/>
        <v>1.2505621693121695E-3</v>
      </c>
      <c r="M46" s="25"/>
      <c r="N46" s="28"/>
      <c r="O46" s="25"/>
      <c r="P46" s="28"/>
      <c r="Q46" s="25"/>
      <c r="R46" s="25"/>
      <c r="S46" s="25"/>
      <c r="T46" s="28"/>
      <c r="U46" s="11"/>
      <c r="V46" s="36"/>
      <c r="W46" s="15"/>
      <c r="X46" s="52"/>
    </row>
    <row r="47" spans="1:24" ht="21" customHeight="1">
      <c r="A47" s="10" t="s">
        <v>72</v>
      </c>
      <c r="B47" s="11">
        <v>1.3541666666666667E-2</v>
      </c>
      <c r="C47" s="11">
        <v>4.0509259259259257E-3</v>
      </c>
      <c r="D47" s="11">
        <f t="shared" si="8"/>
        <v>7.8785416666666674E-3</v>
      </c>
      <c r="E47" s="12">
        <v>0.58179999999999998</v>
      </c>
      <c r="F47" s="11">
        <f t="shared" si="9"/>
        <v>1.0127314814814814E-3</v>
      </c>
      <c r="G47" s="11">
        <f t="shared" si="10"/>
        <v>1.0504722222222224E-3</v>
      </c>
      <c r="H47" s="11">
        <f t="shared" si="11"/>
        <v>1.0833333333333333E-3</v>
      </c>
      <c r="I47" s="11">
        <f t="shared" si="12"/>
        <v>1.1295400238948627E-3</v>
      </c>
      <c r="J47" s="11">
        <f t="shared" si="13"/>
        <v>1.1418176328502417E-3</v>
      </c>
      <c r="K47" s="11">
        <f t="shared" si="14"/>
        <v>1.1937184343434346E-3</v>
      </c>
      <c r="L47" s="11">
        <f t="shared" si="15"/>
        <v>1.2505621693121695E-3</v>
      </c>
      <c r="M47" s="25"/>
      <c r="N47" s="28"/>
      <c r="O47" s="25"/>
      <c r="P47" s="28"/>
      <c r="Q47" s="25"/>
      <c r="R47" s="25"/>
      <c r="S47" s="25"/>
      <c r="T47" s="28"/>
      <c r="U47" s="11"/>
      <c r="V47" s="36"/>
      <c r="W47" s="15"/>
      <c r="X47" s="52"/>
    </row>
    <row r="48" spans="1:24" ht="21" customHeight="1">
      <c r="A48" s="10" t="s">
        <v>73</v>
      </c>
      <c r="B48" s="11">
        <v>1.3888888888888888E-2</v>
      </c>
      <c r="C48" s="11">
        <v>4.3981481481481484E-3</v>
      </c>
      <c r="D48" s="11">
        <f t="shared" si="8"/>
        <v>8.0805555555555544E-3</v>
      </c>
      <c r="E48" s="12">
        <v>0.58179999999999998</v>
      </c>
      <c r="F48" s="11">
        <f t="shared" si="9"/>
        <v>1.0995370370370371E-3</v>
      </c>
      <c r="G48" s="11">
        <f t="shared" si="10"/>
        <v>1.0774074074074074E-3</v>
      </c>
      <c r="H48" s="11">
        <f t="shared" si="11"/>
        <v>1.1111111111111111E-3</v>
      </c>
      <c r="I48" s="11">
        <f t="shared" si="12"/>
        <v>1.1585025886101153E-3</v>
      </c>
      <c r="J48" s="11">
        <f t="shared" si="13"/>
        <v>1.1710950080515297E-3</v>
      </c>
      <c r="K48" s="11">
        <f t="shared" si="14"/>
        <v>1.2243265993265992E-3</v>
      </c>
      <c r="L48" s="11">
        <f t="shared" si="15"/>
        <v>1.2826278659611992E-3</v>
      </c>
      <c r="M48" s="25"/>
      <c r="N48" s="28"/>
      <c r="O48" s="25"/>
      <c r="P48" s="28"/>
      <c r="Q48" s="25"/>
      <c r="R48" s="25"/>
      <c r="S48" s="25"/>
      <c r="T48" s="28"/>
      <c r="U48" s="11"/>
      <c r="V48" s="36"/>
      <c r="W48" s="15"/>
      <c r="X48" s="52"/>
    </row>
    <row r="49" spans="1:24" ht="21" customHeight="1">
      <c r="A49" s="10" t="s">
        <v>74</v>
      </c>
      <c r="B49" s="11">
        <v>1.3020833333333334E-2</v>
      </c>
      <c r="C49" s="11">
        <v>3.7037037037037038E-3</v>
      </c>
      <c r="D49" s="11">
        <f t="shared" si="8"/>
        <v>7.5755208333333334E-3</v>
      </c>
      <c r="E49" s="12">
        <v>0.58179999999999998</v>
      </c>
      <c r="F49" s="11">
        <f t="shared" si="9"/>
        <v>9.2592592592592596E-4</v>
      </c>
      <c r="G49" s="11">
        <f t="shared" si="10"/>
        <v>1.0100694444444445E-3</v>
      </c>
      <c r="H49" s="11">
        <f t="shared" si="11"/>
        <v>1.0416666666666667E-3</v>
      </c>
      <c r="I49" s="11">
        <f t="shared" si="12"/>
        <v>1.0860961768219832E-3</v>
      </c>
      <c r="J49" s="11">
        <f t="shared" si="13"/>
        <v>1.0979015700483092E-3</v>
      </c>
      <c r="K49" s="11">
        <f t="shared" si="14"/>
        <v>1.1478061868686869E-3</v>
      </c>
      <c r="L49" s="11">
        <f t="shared" si="15"/>
        <v>1.2024636243386244E-3</v>
      </c>
      <c r="M49" s="25"/>
      <c r="N49" s="28"/>
      <c r="O49" s="25"/>
      <c r="P49" s="28"/>
      <c r="Q49" s="25"/>
      <c r="R49" s="25"/>
      <c r="S49" s="25"/>
      <c r="T49" s="28"/>
      <c r="U49" s="11"/>
      <c r="V49" s="36"/>
      <c r="W49" s="15"/>
      <c r="X49" s="52"/>
    </row>
    <row r="50" spans="1:24" ht="21" customHeight="1">
      <c r="A50" s="10" t="s">
        <v>75</v>
      </c>
      <c r="B50" s="11">
        <v>1.3541666666666667E-2</v>
      </c>
      <c r="C50" s="11">
        <v>3.8194444444444443E-3</v>
      </c>
      <c r="D50" s="11">
        <f t="shared" si="8"/>
        <v>7.8785416666666674E-3</v>
      </c>
      <c r="E50" s="12">
        <v>0.58179999999999998</v>
      </c>
      <c r="F50" s="11">
        <f t="shared" si="9"/>
        <v>9.5486111111111108E-4</v>
      </c>
      <c r="G50" s="11">
        <f t="shared" si="10"/>
        <v>1.0504722222222224E-3</v>
      </c>
      <c r="H50" s="11">
        <f t="shared" si="11"/>
        <v>1.0833333333333333E-3</v>
      </c>
      <c r="I50" s="11">
        <f t="shared" si="12"/>
        <v>1.1295400238948627E-3</v>
      </c>
      <c r="J50" s="11">
        <f t="shared" si="13"/>
        <v>1.1418176328502417E-3</v>
      </c>
      <c r="K50" s="11">
        <f t="shared" si="14"/>
        <v>1.1937184343434346E-3</v>
      </c>
      <c r="L50" s="11">
        <f t="shared" si="15"/>
        <v>1.2505621693121695E-3</v>
      </c>
      <c r="M50" s="25"/>
      <c r="N50" s="28"/>
      <c r="O50" s="25"/>
      <c r="P50" s="28"/>
      <c r="Q50" s="25"/>
      <c r="R50" s="25"/>
      <c r="S50" s="25"/>
      <c r="T50" s="28"/>
      <c r="U50" s="11"/>
      <c r="V50" s="36"/>
      <c r="W50" s="15"/>
      <c r="X50" s="52"/>
    </row>
    <row r="51" spans="1:24" ht="21" customHeight="1">
      <c r="A51" s="10" t="s">
        <v>76</v>
      </c>
      <c r="B51" s="11">
        <v>1.3541666666666667E-2</v>
      </c>
      <c r="C51" s="11">
        <v>4.0509259259259257E-3</v>
      </c>
      <c r="D51" s="11">
        <f t="shared" si="8"/>
        <v>7.8785416666666674E-3</v>
      </c>
      <c r="E51" s="12">
        <v>0.58179999999999998</v>
      </c>
      <c r="F51" s="11">
        <f t="shared" si="9"/>
        <v>1.0127314814814814E-3</v>
      </c>
      <c r="G51" s="11">
        <f t="shared" si="10"/>
        <v>1.0504722222222224E-3</v>
      </c>
      <c r="H51" s="11">
        <f t="shared" si="11"/>
        <v>1.0833333333333333E-3</v>
      </c>
      <c r="I51" s="11">
        <f t="shared" si="12"/>
        <v>1.1295400238948627E-3</v>
      </c>
      <c r="J51" s="11">
        <f t="shared" si="13"/>
        <v>1.1418176328502417E-3</v>
      </c>
      <c r="K51" s="11">
        <f t="shared" si="14"/>
        <v>1.1937184343434346E-3</v>
      </c>
      <c r="L51" s="11">
        <f t="shared" si="15"/>
        <v>1.2505621693121695E-3</v>
      </c>
      <c r="M51" s="25"/>
      <c r="N51" s="28"/>
      <c r="O51" s="25"/>
      <c r="P51" s="28"/>
      <c r="Q51" s="25"/>
      <c r="R51" s="25"/>
      <c r="S51" s="25"/>
      <c r="T51" s="28"/>
      <c r="U51" s="11"/>
      <c r="V51" s="36"/>
      <c r="W51" s="15"/>
      <c r="X51" s="52"/>
    </row>
    <row r="52" spans="1:24" ht="21" customHeight="1">
      <c r="A52" s="39"/>
      <c r="B52" s="40"/>
      <c r="C52" s="40"/>
      <c r="D52" s="40"/>
      <c r="E52" s="41"/>
      <c r="F52" s="40"/>
      <c r="G52" s="40"/>
      <c r="H52" s="40"/>
      <c r="I52" s="40"/>
      <c r="J52" s="40"/>
      <c r="K52" s="40"/>
      <c r="L52" s="40"/>
      <c r="M52" s="40"/>
      <c r="N52" s="40"/>
      <c r="O52" s="40"/>
      <c r="P52" s="40"/>
      <c r="Q52" s="40"/>
      <c r="R52" s="40"/>
      <c r="S52" s="40"/>
      <c r="T52" s="40"/>
      <c r="U52" s="40"/>
      <c r="V52" s="40"/>
      <c r="W52" s="42"/>
      <c r="X52" s="52"/>
    </row>
    <row r="53" spans="1:24" ht="21" customHeight="1">
      <c r="A53" s="39"/>
      <c r="B53" s="40"/>
      <c r="C53" s="40"/>
      <c r="D53" s="40"/>
      <c r="E53" s="41"/>
      <c r="F53" s="40"/>
      <c r="G53" s="40"/>
      <c r="H53" s="40"/>
      <c r="I53" s="40"/>
      <c r="J53" s="40"/>
      <c r="K53" s="40"/>
      <c r="L53" s="40"/>
      <c r="M53" s="40"/>
      <c r="N53" s="40"/>
      <c r="O53" s="40"/>
      <c r="P53" s="40"/>
      <c r="Q53" s="40"/>
      <c r="R53" s="40"/>
      <c r="S53" s="40"/>
      <c r="T53" s="40"/>
      <c r="U53" s="40"/>
      <c r="V53" s="40"/>
      <c r="W53" s="42"/>
      <c r="X53" s="52"/>
    </row>
    <row r="54" spans="1:24" ht="21" customHeight="1">
      <c r="A54" s="10"/>
      <c r="B54" s="11"/>
      <c r="C54" s="11"/>
      <c r="D54" s="11"/>
      <c r="E54" s="12"/>
      <c r="F54" s="11"/>
      <c r="G54" s="11"/>
      <c r="H54" s="11"/>
      <c r="I54" s="11"/>
      <c r="J54" s="11"/>
      <c r="K54" s="11"/>
      <c r="L54" s="11"/>
      <c r="M54" s="13"/>
      <c r="N54" s="11"/>
      <c r="O54" s="14"/>
      <c r="P54" s="11"/>
      <c r="Q54" s="14"/>
      <c r="R54" s="11"/>
      <c r="S54" s="14"/>
      <c r="T54" s="14"/>
      <c r="U54" s="14"/>
      <c r="V54" s="11"/>
      <c r="W54" s="18"/>
      <c r="X54" s="52"/>
    </row>
    <row r="55" spans="1:24" ht="21" customHeight="1">
      <c r="A55" s="10"/>
      <c r="B55" s="11"/>
      <c r="C55" s="11"/>
      <c r="D55" s="11"/>
      <c r="E55" s="12"/>
      <c r="F55" s="11"/>
      <c r="G55" s="11"/>
      <c r="H55" s="11"/>
      <c r="I55" s="11"/>
      <c r="J55" s="11"/>
      <c r="K55" s="11"/>
      <c r="L55" s="11"/>
      <c r="M55" s="14"/>
      <c r="N55" s="11"/>
      <c r="O55" s="11"/>
      <c r="P55" s="11"/>
      <c r="Q55" s="14"/>
      <c r="R55" s="11"/>
      <c r="S55" s="14"/>
      <c r="T55" s="14"/>
      <c r="U55" s="14"/>
      <c r="V55" s="11"/>
      <c r="W55" s="15"/>
      <c r="X55" s="52"/>
    </row>
    <row r="56" spans="1:24" ht="21" customHeight="1">
      <c r="A56" s="10"/>
      <c r="B56" s="11"/>
      <c r="C56" s="11"/>
      <c r="D56" s="11"/>
      <c r="E56" s="12"/>
      <c r="F56" s="11"/>
      <c r="G56" s="11"/>
      <c r="H56" s="11"/>
      <c r="I56" s="11"/>
      <c r="J56" s="11"/>
      <c r="K56" s="11"/>
      <c r="L56" s="11"/>
      <c r="M56" s="13"/>
      <c r="N56" s="11"/>
      <c r="O56" s="11"/>
      <c r="P56" s="11"/>
      <c r="Q56" s="14"/>
      <c r="R56" s="11"/>
      <c r="S56" s="14"/>
      <c r="T56" s="14"/>
      <c r="U56" s="14"/>
      <c r="V56" s="17"/>
      <c r="W56" s="18"/>
      <c r="X56" s="52"/>
    </row>
    <row r="57" spans="1:24" ht="21" customHeight="1" thickBot="1">
      <c r="A57" s="10"/>
      <c r="B57" s="11"/>
      <c r="C57" s="11"/>
      <c r="D57" s="11"/>
      <c r="E57" s="12"/>
      <c r="F57" s="11"/>
      <c r="G57" s="11"/>
      <c r="H57" s="11"/>
      <c r="I57" s="11"/>
      <c r="J57" s="11"/>
      <c r="K57" s="11"/>
      <c r="L57" s="11"/>
      <c r="M57" s="13"/>
      <c r="N57" s="11"/>
      <c r="O57" s="11"/>
      <c r="P57" s="11"/>
      <c r="Q57" s="14"/>
      <c r="R57" s="11"/>
      <c r="S57" s="14"/>
      <c r="T57" s="14"/>
      <c r="U57" s="14"/>
      <c r="V57" s="17"/>
      <c r="W57" s="18"/>
      <c r="X57" s="52"/>
    </row>
    <row r="58" spans="1:24" ht="20.45" customHeight="1">
      <c r="A58" s="1" t="s">
        <v>0</v>
      </c>
      <c r="B58" s="2" t="s">
        <v>1</v>
      </c>
      <c r="C58" s="2" t="s">
        <v>2</v>
      </c>
      <c r="D58" s="2" t="s">
        <v>3</v>
      </c>
      <c r="E58" s="3" t="s">
        <v>4</v>
      </c>
      <c r="F58" s="2" t="s">
        <v>5</v>
      </c>
      <c r="G58" s="2" t="s">
        <v>6</v>
      </c>
      <c r="H58" s="2" t="s">
        <v>7</v>
      </c>
      <c r="I58" s="4" t="s">
        <v>8</v>
      </c>
      <c r="J58" s="2" t="s">
        <v>9</v>
      </c>
      <c r="K58" s="2" t="s">
        <v>10</v>
      </c>
      <c r="L58" s="2" t="s">
        <v>11</v>
      </c>
      <c r="M58" s="6" t="s">
        <v>12</v>
      </c>
      <c r="N58" s="6" t="s">
        <v>13</v>
      </c>
      <c r="O58" s="7" t="s">
        <v>14</v>
      </c>
      <c r="P58" s="8" t="s">
        <v>15</v>
      </c>
      <c r="Q58" s="8" t="s">
        <v>16</v>
      </c>
      <c r="R58" s="7" t="s">
        <v>17</v>
      </c>
      <c r="S58" s="7" t="s">
        <v>18</v>
      </c>
      <c r="T58" s="7" t="s">
        <v>19</v>
      </c>
      <c r="U58" s="7" t="s">
        <v>77</v>
      </c>
      <c r="V58" s="8" t="s">
        <v>21</v>
      </c>
      <c r="W58" s="24" t="s">
        <v>22</v>
      </c>
      <c r="X58" s="52" t="s">
        <v>78</v>
      </c>
    </row>
    <row r="59" spans="1:24" ht="20.45" customHeight="1">
      <c r="A59" s="10" t="s">
        <v>79</v>
      </c>
      <c r="B59" s="11">
        <v>9.8379629629629633E-3</v>
      </c>
      <c r="C59" s="11">
        <v>2.9745370370370373E-3</v>
      </c>
      <c r="D59" s="11">
        <f t="shared" ref="D59:D70" si="16">B59*E59</f>
        <v>5.7237268518518522E-3</v>
      </c>
      <c r="E59" s="12">
        <v>0.58179999999999998</v>
      </c>
      <c r="F59" s="11">
        <f t="shared" ref="F59:F70" si="17">C59/4</f>
        <v>7.4363425925925931E-4</v>
      </c>
      <c r="G59" s="11">
        <f t="shared" ref="G59:G70" si="18">D59/7.5</f>
        <v>7.6316358024691364E-4</v>
      </c>
      <c r="H59" s="11">
        <f t="shared" ref="H59:H70" si="19">B59/12.5</f>
        <v>7.8703703703703705E-4</v>
      </c>
      <c r="I59" s="11">
        <f t="shared" ref="I59:I70" si="20">G59/0.93</f>
        <v>8.2060600026549854E-4</v>
      </c>
      <c r="J59" s="11">
        <f t="shared" ref="J59:J70" si="21">G59/0.92</f>
        <v>8.29525630703167E-4</v>
      </c>
      <c r="K59" s="11">
        <f t="shared" ref="K59:K70" si="22">G59/0.88</f>
        <v>8.6723134118967459E-4</v>
      </c>
      <c r="L59" s="11">
        <f t="shared" ref="L59:L70" si="23">G59/0.84</f>
        <v>9.085280717225163E-4</v>
      </c>
      <c r="M59" s="25">
        <f>WO2025Jan7men11915171923252931333539414345474955575963656769717375777913171921232729333539434547495153[[#This Row],[Thresh]]</f>
        <v>8.6723134118967459E-4</v>
      </c>
      <c r="N59" s="28">
        <f>WO2025Jan7men11915171923252931333539414345474955575963656769717375777913171921232729333539434547495153[[#This Row],[Thresh]]*2.5</f>
        <v>2.1680783529741867E-3</v>
      </c>
      <c r="O59" s="25">
        <f>WO2025Jan7men11915171923252931333539414345474955575963656769717375777913171921232729333539434547495153[[#This Row],[CV]]</f>
        <v>8.29525630703167E-4</v>
      </c>
      <c r="P59" s="28">
        <f>WO2025Jan7men11915171923252931333539414345474955575963656769717375777913171921232729333539434547495153[[#This Row],[CV]]*1.5</f>
        <v>1.2442884460547505E-3</v>
      </c>
      <c r="Q59" s="25">
        <f>WO2025Jan7men11915171923252931333539414345474955575963656769717375777913171921232729333539434547495153[[#This Row],[VO2]]/2</f>
        <v>3.8158179012345682E-4</v>
      </c>
      <c r="R59" s="25">
        <f>WO2025Jan7men11915171923252931333539414345474955575963656769717375777913171921232729333539434547495153[[#This Row],[I]]</f>
        <v>7.8703703703703705E-4</v>
      </c>
      <c r="S59" s="25">
        <f>WO2025Jan7men11915171923252931333539414345474955575963656769717375777913171921232729333539434547495153[[#This Row],[I]]*1.5</f>
        <v>1.1805555555555556E-3</v>
      </c>
      <c r="T59" s="25" t="s">
        <v>25</v>
      </c>
      <c r="U59" s="28"/>
      <c r="V59" s="25"/>
      <c r="W59" s="15" t="s">
        <v>26</v>
      </c>
      <c r="X59" s="52"/>
    </row>
    <row r="60" spans="1:24" ht="20.45" customHeight="1">
      <c r="A60" s="10" t="s">
        <v>80</v>
      </c>
      <c r="B60" s="11">
        <v>9.8379629629629633E-3</v>
      </c>
      <c r="C60" s="11">
        <v>2.8587962962962963E-3</v>
      </c>
      <c r="D60" s="11">
        <f t="shared" si="16"/>
        <v>5.7237268518518522E-3</v>
      </c>
      <c r="E60" s="12">
        <v>0.58179999999999998</v>
      </c>
      <c r="F60" s="11">
        <f t="shared" si="17"/>
        <v>7.1469907407407409E-4</v>
      </c>
      <c r="G60" s="11">
        <f t="shared" si="18"/>
        <v>7.6316358024691364E-4</v>
      </c>
      <c r="H60" s="11">
        <f t="shared" si="19"/>
        <v>7.8703703703703705E-4</v>
      </c>
      <c r="I60" s="11">
        <f t="shared" si="20"/>
        <v>8.2060600026549854E-4</v>
      </c>
      <c r="J60" s="11">
        <f t="shared" si="21"/>
        <v>8.29525630703167E-4</v>
      </c>
      <c r="K60" s="11">
        <f t="shared" si="22"/>
        <v>8.6723134118967459E-4</v>
      </c>
      <c r="L60" s="11">
        <f t="shared" si="23"/>
        <v>9.085280717225163E-4</v>
      </c>
      <c r="M60" s="25">
        <f>WO2025Jan7men11915171923252931333539414345474955575963656769717375777913171921232729333539434547495153[[#This Row],[Thresh]]</f>
        <v>8.6723134118967459E-4</v>
      </c>
      <c r="N60" s="28">
        <f>WO2025Jan7men11915171923252931333539414345474955575963656769717375777913171921232729333539434547495153[[#This Row],[Thresh]]*2.5</f>
        <v>2.1680783529741867E-3</v>
      </c>
      <c r="O60" s="25">
        <f>WO2025Jan7men11915171923252931333539414345474955575963656769717375777913171921232729333539434547495153[[#This Row],[CV]]</f>
        <v>8.29525630703167E-4</v>
      </c>
      <c r="P60" s="28">
        <f>WO2025Jan7men11915171923252931333539414345474955575963656769717375777913171921232729333539434547495153[[#This Row],[CV]]*1.5</f>
        <v>1.2442884460547505E-3</v>
      </c>
      <c r="Q60" s="25">
        <f>WO2025Jan7men11915171923252931333539414345474955575963656769717375777913171921232729333539434547495153[[#This Row],[VO2]]/2</f>
        <v>3.8158179012345682E-4</v>
      </c>
      <c r="R60" s="25">
        <f>WO2025Jan7men11915171923252931333539414345474955575963656769717375777913171921232729333539434547495153[[#This Row],[I]]</f>
        <v>7.8703703703703705E-4</v>
      </c>
      <c r="S60" s="25">
        <f>WO2025Jan7men11915171923252931333539414345474955575963656769717375777913171921232729333539434547495153[[#This Row],[I]]*1.5</f>
        <v>1.1805555555555556E-3</v>
      </c>
      <c r="T60" s="25" t="s">
        <v>25</v>
      </c>
      <c r="U60" s="28"/>
      <c r="V60" s="25"/>
      <c r="W60" s="15" t="s">
        <v>26</v>
      </c>
      <c r="X60" s="52"/>
    </row>
    <row r="61" spans="1:24" ht="20.45" customHeight="1">
      <c r="A61" s="10" t="s">
        <v>81</v>
      </c>
      <c r="B61" s="11">
        <v>9.9537037037037042E-3</v>
      </c>
      <c r="C61" s="11">
        <v>2.9745370370370373E-3</v>
      </c>
      <c r="D61" s="11">
        <f t="shared" si="16"/>
        <v>5.7910648148148149E-3</v>
      </c>
      <c r="E61" s="12">
        <v>0.58179999999999998</v>
      </c>
      <c r="F61" s="11">
        <f t="shared" si="17"/>
        <v>7.4363425925925931E-4</v>
      </c>
      <c r="G61" s="11">
        <f t="shared" si="18"/>
        <v>7.7214197530864196E-4</v>
      </c>
      <c r="H61" s="11">
        <f t="shared" si="19"/>
        <v>7.9629629629629636E-4</v>
      </c>
      <c r="I61" s="11">
        <f t="shared" si="20"/>
        <v>8.3026018850391602E-4</v>
      </c>
      <c r="J61" s="11">
        <f t="shared" si="21"/>
        <v>8.3928475577026292E-4</v>
      </c>
      <c r="K61" s="11">
        <f t="shared" si="22"/>
        <v>8.7743406285072947E-4</v>
      </c>
      <c r="L61" s="11">
        <f t="shared" si="23"/>
        <v>9.1921663727219285E-4</v>
      </c>
      <c r="M61" s="25">
        <f>WO2025Jan7men11915171923252931333539414345474955575963656769717375777913171921232729333539434547495153[[#This Row],[Thresh]]</f>
        <v>8.7743406285072947E-4</v>
      </c>
      <c r="N61" s="28">
        <f>WO2025Jan7men11915171923252931333539414345474955575963656769717375777913171921232729333539434547495153[[#This Row],[Thresh]]*2.5</f>
        <v>2.1935851571268238E-3</v>
      </c>
      <c r="O61" s="25">
        <f>WO2025Jan7men11915171923252931333539414345474955575963656769717375777913171921232729333539434547495153[[#This Row],[CV]]</f>
        <v>8.3928475577026292E-4</v>
      </c>
      <c r="P61" s="28">
        <f>WO2025Jan7men11915171923252931333539414345474955575963656769717375777913171921232729333539434547495153[[#This Row],[CV]]*1.5</f>
        <v>1.2589271336553944E-3</v>
      </c>
      <c r="Q61" s="25">
        <f>WO2025Jan7men11915171923252931333539414345474955575963656769717375777913171921232729333539434547495153[[#This Row],[VO2]]/2</f>
        <v>3.8607098765432098E-4</v>
      </c>
      <c r="R61" s="25">
        <f>WO2025Jan7men11915171923252931333539414345474955575963656769717375777913171921232729333539434547495153[[#This Row],[I]]</f>
        <v>7.9629629629629636E-4</v>
      </c>
      <c r="S61" s="25">
        <f>WO2025Jan7men11915171923252931333539414345474955575963656769717375777913171921232729333539434547495153[[#This Row],[I]]*1.5</f>
        <v>1.1944444444444446E-3</v>
      </c>
      <c r="T61" s="25" t="s">
        <v>25</v>
      </c>
      <c r="U61" s="28"/>
      <c r="V61" s="25"/>
      <c r="W61" s="15" t="s">
        <v>26</v>
      </c>
      <c r="X61" s="52"/>
    </row>
    <row r="62" spans="1:24" ht="20.45" customHeight="1">
      <c r="A62" s="10" t="s">
        <v>82</v>
      </c>
      <c r="B62" s="11">
        <v>9.9537037037037042E-3</v>
      </c>
      <c r="C62" s="11">
        <v>2.8935185185185188E-3</v>
      </c>
      <c r="D62" s="11">
        <f t="shared" si="16"/>
        <v>5.7910648148148149E-3</v>
      </c>
      <c r="E62" s="12">
        <v>0.58179999999999998</v>
      </c>
      <c r="F62" s="11">
        <f t="shared" si="17"/>
        <v>7.233796296296297E-4</v>
      </c>
      <c r="G62" s="11">
        <f t="shared" si="18"/>
        <v>7.7214197530864196E-4</v>
      </c>
      <c r="H62" s="11">
        <f t="shared" si="19"/>
        <v>7.9629629629629636E-4</v>
      </c>
      <c r="I62" s="11">
        <f t="shared" si="20"/>
        <v>8.3026018850391602E-4</v>
      </c>
      <c r="J62" s="11">
        <f t="shared" si="21"/>
        <v>8.3928475577026292E-4</v>
      </c>
      <c r="K62" s="11">
        <f t="shared" si="22"/>
        <v>8.7743406285072947E-4</v>
      </c>
      <c r="L62" s="11">
        <f t="shared" si="23"/>
        <v>9.1921663727219285E-4</v>
      </c>
      <c r="M62" s="25">
        <f>WO2025Jan7men11915171923252931333539414345474955575963656769717375777913171921232729333539434547495153[[#This Row],[Thresh]]</f>
        <v>8.7743406285072947E-4</v>
      </c>
      <c r="N62" s="28">
        <f>WO2025Jan7men11915171923252931333539414345474955575963656769717375777913171921232729333539434547495153[[#This Row],[Thresh]]*2.5</f>
        <v>2.1935851571268238E-3</v>
      </c>
      <c r="O62" s="25">
        <f>WO2025Jan7men11915171923252931333539414345474955575963656769717375777913171921232729333539434547495153[[#This Row],[CV]]</f>
        <v>8.3928475577026292E-4</v>
      </c>
      <c r="P62" s="28">
        <f>WO2025Jan7men11915171923252931333539414345474955575963656769717375777913171921232729333539434547495153[[#This Row],[CV]]*1.5</f>
        <v>1.2589271336553944E-3</v>
      </c>
      <c r="Q62" s="25">
        <f>WO2025Jan7men11915171923252931333539414345474955575963656769717375777913171921232729333539434547495153[[#This Row],[VO2]]/2</f>
        <v>3.8607098765432098E-4</v>
      </c>
      <c r="R62" s="25">
        <f>WO2025Jan7men11915171923252931333539414345474955575963656769717375777913171921232729333539434547495153[[#This Row],[I]]</f>
        <v>7.9629629629629636E-4</v>
      </c>
      <c r="S62" s="25">
        <f>WO2025Jan7men11915171923252931333539414345474955575963656769717375777913171921232729333539434547495153[[#This Row],[I]]*1.5</f>
        <v>1.1944444444444446E-3</v>
      </c>
      <c r="T62" s="25" t="s">
        <v>25</v>
      </c>
      <c r="U62" s="28"/>
      <c r="V62" s="25"/>
      <c r="W62" s="15" t="s">
        <v>26</v>
      </c>
      <c r="X62" s="52"/>
    </row>
    <row r="63" spans="1:24" ht="20.45" customHeight="1">
      <c r="A63" s="10" t="s">
        <v>83</v>
      </c>
      <c r="B63" s="11">
        <v>1.0069444444444445E-2</v>
      </c>
      <c r="C63" s="11">
        <v>3.0671296296296297E-3</v>
      </c>
      <c r="D63" s="11">
        <f t="shared" si="16"/>
        <v>5.8584027777777783E-3</v>
      </c>
      <c r="E63" s="12">
        <v>0.58179999999999998</v>
      </c>
      <c r="F63" s="11">
        <f t="shared" si="17"/>
        <v>7.6678240740740743E-4</v>
      </c>
      <c r="G63" s="11">
        <f t="shared" si="18"/>
        <v>7.811203703703705E-4</v>
      </c>
      <c r="H63" s="11">
        <f t="shared" si="19"/>
        <v>8.0555555555555556E-4</v>
      </c>
      <c r="I63" s="11">
        <f t="shared" si="20"/>
        <v>8.3991437674233382E-4</v>
      </c>
      <c r="J63" s="11">
        <f t="shared" si="21"/>
        <v>8.4904388083735917E-4</v>
      </c>
      <c r="K63" s="11">
        <f t="shared" si="22"/>
        <v>8.8763678451178466E-4</v>
      </c>
      <c r="L63" s="11">
        <f t="shared" si="23"/>
        <v>9.2990520282186973E-4</v>
      </c>
      <c r="M63" s="25">
        <f>WO2025Jan7men11915171923252931333539414345474955575963656769717375777913171921232729333539434547495153[[#This Row],[Thresh]]</f>
        <v>8.8763678451178466E-4</v>
      </c>
      <c r="N63" s="28">
        <f>WO2025Jan7men11915171923252931333539414345474955575963656769717375777913171921232729333539434547495153[[#This Row],[Thresh]]*2.5</f>
        <v>2.2190919612794617E-3</v>
      </c>
      <c r="O63" s="25">
        <f>WO2025Jan7men11915171923252931333539414345474955575963656769717375777913171921232729333539434547495153[[#This Row],[CV]]</f>
        <v>8.4904388083735917E-4</v>
      </c>
      <c r="P63" s="28">
        <f>WO2025Jan7men11915171923252931333539414345474955575963656769717375777913171921232729333539434547495153[[#This Row],[CV]]*1.5</f>
        <v>1.2735658212560388E-3</v>
      </c>
      <c r="Q63" s="25">
        <f>WO2025Jan7men11915171923252931333539414345474955575963656769717375777913171921232729333539434547495153[[#This Row],[VO2]]/2</f>
        <v>3.9056018518518525E-4</v>
      </c>
      <c r="R63" s="25">
        <f>WO2025Jan7men11915171923252931333539414345474955575963656769717375777913171921232729333539434547495153[[#This Row],[I]]</f>
        <v>8.0555555555555556E-4</v>
      </c>
      <c r="S63" s="25">
        <f>WO2025Jan7men11915171923252931333539414345474955575963656769717375777913171921232729333539434547495153[[#This Row],[I]]*1.5</f>
        <v>1.2083333333333334E-3</v>
      </c>
      <c r="T63" s="25" t="s">
        <v>25</v>
      </c>
      <c r="U63" s="28"/>
      <c r="V63" s="25"/>
      <c r="W63" s="15" t="s">
        <v>26</v>
      </c>
      <c r="X63" s="52"/>
    </row>
    <row r="64" spans="1:24" ht="20.45" customHeight="1">
      <c r="A64" s="10" t="s">
        <v>84</v>
      </c>
      <c r="B64" s="11">
        <v>1.0069444444444445E-2</v>
      </c>
      <c r="C64" s="11">
        <v>3.0092592592592593E-3</v>
      </c>
      <c r="D64" s="11">
        <f t="shared" si="16"/>
        <v>5.8584027777777783E-3</v>
      </c>
      <c r="E64" s="12">
        <v>0.58179999999999998</v>
      </c>
      <c r="F64" s="11">
        <f t="shared" si="17"/>
        <v>7.5231481481481482E-4</v>
      </c>
      <c r="G64" s="11">
        <f t="shared" si="18"/>
        <v>7.811203703703705E-4</v>
      </c>
      <c r="H64" s="11">
        <f t="shared" si="19"/>
        <v>8.0555555555555556E-4</v>
      </c>
      <c r="I64" s="11">
        <f t="shared" si="20"/>
        <v>8.3991437674233382E-4</v>
      </c>
      <c r="J64" s="11">
        <f t="shared" si="21"/>
        <v>8.4904388083735917E-4</v>
      </c>
      <c r="K64" s="11">
        <f t="shared" si="22"/>
        <v>8.8763678451178466E-4</v>
      </c>
      <c r="L64" s="11">
        <f t="shared" si="23"/>
        <v>9.2990520282186973E-4</v>
      </c>
      <c r="M64" s="25">
        <f>WO2025Jan7men11915171923252931333539414345474955575963656769717375777913171921232729333539434547495153[[#This Row],[Thresh]]</f>
        <v>8.8763678451178466E-4</v>
      </c>
      <c r="N64" s="28">
        <f>WO2025Jan7men11915171923252931333539414345474955575963656769717375777913171921232729333539434547495153[[#This Row],[Thresh]]*2.5</f>
        <v>2.2190919612794617E-3</v>
      </c>
      <c r="O64" s="25">
        <f>WO2025Jan7men11915171923252931333539414345474955575963656769717375777913171921232729333539434547495153[[#This Row],[CV]]</f>
        <v>8.4904388083735917E-4</v>
      </c>
      <c r="P64" s="28">
        <f>WO2025Jan7men11915171923252931333539414345474955575963656769717375777913171921232729333539434547495153[[#This Row],[CV]]*1.5</f>
        <v>1.2735658212560388E-3</v>
      </c>
      <c r="Q64" s="25">
        <f>WO2025Jan7men11915171923252931333539414345474955575963656769717375777913171921232729333539434547495153[[#This Row],[VO2]]/2</f>
        <v>3.9056018518518525E-4</v>
      </c>
      <c r="R64" s="25">
        <f>WO2025Jan7men11915171923252931333539414345474955575963656769717375777913171921232729333539434547495153[[#This Row],[I]]</f>
        <v>8.0555555555555556E-4</v>
      </c>
      <c r="S64" s="25">
        <f>WO2025Jan7men11915171923252931333539414345474955575963656769717375777913171921232729333539434547495153[[#This Row],[I]]*1.5</f>
        <v>1.2083333333333334E-3</v>
      </c>
      <c r="T64" s="25" t="s">
        <v>25</v>
      </c>
      <c r="U64" s="28"/>
      <c r="V64" s="25"/>
      <c r="W64" s="15" t="s">
        <v>26</v>
      </c>
      <c r="X64" s="52"/>
    </row>
    <row r="65" spans="1:24" ht="20.45" customHeight="1">
      <c r="A65" s="10" t="s">
        <v>85</v>
      </c>
      <c r="B65" s="11">
        <v>1.0300925925925925E-2</v>
      </c>
      <c r="C65" s="11">
        <v>3.0671296296296297E-3</v>
      </c>
      <c r="D65" s="11">
        <f t="shared" si="16"/>
        <v>5.9930787037037027E-3</v>
      </c>
      <c r="E65" s="12">
        <v>0.58179999999999998</v>
      </c>
      <c r="F65" s="11">
        <f t="shared" si="17"/>
        <v>7.6678240740740743E-4</v>
      </c>
      <c r="G65" s="11">
        <f t="shared" si="18"/>
        <v>7.9907716049382703E-4</v>
      </c>
      <c r="H65" s="11">
        <f t="shared" si="19"/>
        <v>8.2407407407407397E-4</v>
      </c>
      <c r="I65" s="11">
        <f t="shared" si="20"/>
        <v>8.5922275321916877E-4</v>
      </c>
      <c r="J65" s="11">
        <f t="shared" si="21"/>
        <v>8.6856213097155112E-4</v>
      </c>
      <c r="K65" s="11">
        <f t="shared" si="22"/>
        <v>9.080422278338944E-4</v>
      </c>
      <c r="L65" s="11">
        <f t="shared" si="23"/>
        <v>9.5128233392122272E-4</v>
      </c>
      <c r="M65" s="25">
        <f>WO2025Jan7men11915171923252931333539414345474955575963656769717375777913171921232729333539434547495153[[#This Row],[Thresh]]</f>
        <v>9.080422278338944E-4</v>
      </c>
      <c r="N65" s="28">
        <f>WO2025Jan7men11915171923252931333539414345474955575963656769717375777913171921232729333539434547495153[[#This Row],[Thresh]]*2.5</f>
        <v>2.2701055695847358E-3</v>
      </c>
      <c r="O65" s="25">
        <f>WO2025Jan7men11915171923252931333539414345474955575963656769717375777913171921232729333539434547495153[[#This Row],[CV]]</f>
        <v>8.6856213097155112E-4</v>
      </c>
      <c r="P65" s="28">
        <f>WO2025Jan7men11915171923252931333539414345474955575963656769717375777913171921232729333539434547495153[[#This Row],[CV]]*1.5</f>
        <v>1.3028431964573267E-3</v>
      </c>
      <c r="Q65" s="25">
        <f>WO2025Jan7men11915171923252931333539414345474955575963656769717375777913171921232729333539434547495153[[#This Row],[VO2]]/2</f>
        <v>3.9953858024691351E-4</v>
      </c>
      <c r="R65" s="25">
        <f>WO2025Jan7men11915171923252931333539414345474955575963656769717375777913171921232729333539434547495153[[#This Row],[I]]</f>
        <v>8.2407407407407397E-4</v>
      </c>
      <c r="S65" s="25">
        <f>WO2025Jan7men11915171923252931333539414345474955575963656769717375777913171921232729333539434547495153[[#This Row],[I]]*1.5</f>
        <v>1.236111111111111E-3</v>
      </c>
      <c r="T65" s="25" t="s">
        <v>25</v>
      </c>
      <c r="U65" s="28"/>
      <c r="V65" s="25"/>
      <c r="W65" s="15" t="s">
        <v>26</v>
      </c>
      <c r="X65" s="52"/>
    </row>
    <row r="66" spans="1:24" ht="20.45" customHeight="1">
      <c r="A66" s="10" t="s">
        <v>86</v>
      </c>
      <c r="B66" s="11">
        <v>1.0416666666666666E-2</v>
      </c>
      <c r="C66" s="11">
        <v>3.0671296296296297E-3</v>
      </c>
      <c r="D66" s="11">
        <f t="shared" si="16"/>
        <v>6.0604166666666662E-3</v>
      </c>
      <c r="E66" s="12">
        <v>0.58179999999999998</v>
      </c>
      <c r="F66" s="11">
        <f t="shared" si="17"/>
        <v>7.6678240740740743E-4</v>
      </c>
      <c r="G66" s="11">
        <f t="shared" si="18"/>
        <v>8.0805555555555546E-4</v>
      </c>
      <c r="H66" s="11">
        <f t="shared" si="19"/>
        <v>8.3333333333333328E-4</v>
      </c>
      <c r="I66" s="11">
        <f t="shared" si="20"/>
        <v>8.6887694145758646E-4</v>
      </c>
      <c r="J66" s="11">
        <f t="shared" si="21"/>
        <v>8.7832125603864715E-4</v>
      </c>
      <c r="K66" s="11">
        <f t="shared" si="22"/>
        <v>9.1824494949494938E-4</v>
      </c>
      <c r="L66" s="11">
        <f t="shared" si="23"/>
        <v>9.6197089947089938E-4</v>
      </c>
      <c r="M66" s="25">
        <f>WO2025Jan7men11915171923252931333539414345474955575963656769717375777913171921232729333539434547495153[[#This Row],[Thresh]]</f>
        <v>9.1824494949494938E-4</v>
      </c>
      <c r="N66" s="28">
        <f>WO2025Jan7men11915171923252931333539414345474955575963656769717375777913171921232729333539434547495153[[#This Row],[Thresh]]*2.5</f>
        <v>2.2956123737373733E-3</v>
      </c>
      <c r="O66" s="25">
        <f>WO2025Jan7men11915171923252931333539414345474955575963656769717375777913171921232729333539434547495153[[#This Row],[CV]]</f>
        <v>8.7832125603864715E-4</v>
      </c>
      <c r="P66" s="28">
        <f>WO2025Jan7men11915171923252931333539414345474955575963656769717375777913171921232729333539434547495153[[#This Row],[CV]]*1.5</f>
        <v>1.3174818840579706E-3</v>
      </c>
      <c r="Q66" s="25">
        <f>WO2025Jan7men11915171923252931333539414345474955575963656769717375777913171921232729333539434547495153[[#This Row],[VO2]]/2</f>
        <v>4.0402777777777773E-4</v>
      </c>
      <c r="R66" s="25">
        <f>WO2025Jan7men11915171923252931333539414345474955575963656769717375777913171921232729333539434547495153[[#This Row],[I]]</f>
        <v>8.3333333333333328E-4</v>
      </c>
      <c r="S66" s="25">
        <f>WO2025Jan7men11915171923252931333539414345474955575963656769717375777913171921232729333539434547495153[[#This Row],[I]]*1.5</f>
        <v>1.2499999999999998E-3</v>
      </c>
      <c r="T66" s="25" t="s">
        <v>25</v>
      </c>
      <c r="U66" s="28"/>
      <c r="V66" s="25"/>
      <c r="W66" s="15" t="s">
        <v>26</v>
      </c>
      <c r="X66" s="52"/>
    </row>
    <row r="67" spans="1:24" ht="20.45" customHeight="1">
      <c r="A67" s="10" t="s">
        <v>87</v>
      </c>
      <c r="B67" s="11">
        <v>1.0532407407407407E-2</v>
      </c>
      <c r="C67" s="11">
        <v>2.9745370370370373E-3</v>
      </c>
      <c r="D67" s="11">
        <f t="shared" si="16"/>
        <v>6.1277546296296288E-3</v>
      </c>
      <c r="E67" s="12">
        <v>0.58179999999999998</v>
      </c>
      <c r="F67" s="11">
        <f t="shared" si="17"/>
        <v>7.4363425925925931E-4</v>
      </c>
      <c r="G67" s="11">
        <f t="shared" si="18"/>
        <v>8.1703395061728389E-4</v>
      </c>
      <c r="H67" s="11">
        <f t="shared" si="19"/>
        <v>8.4259259259259259E-4</v>
      </c>
      <c r="I67" s="11">
        <f t="shared" si="20"/>
        <v>8.7853112969600415E-4</v>
      </c>
      <c r="J67" s="11">
        <f t="shared" si="21"/>
        <v>8.8808038110574329E-4</v>
      </c>
      <c r="K67" s="11">
        <f t="shared" si="22"/>
        <v>9.2844767115600447E-4</v>
      </c>
      <c r="L67" s="11">
        <f t="shared" si="23"/>
        <v>9.7265946502057604E-4</v>
      </c>
      <c r="M67" s="25">
        <f>WO2025Jan7men11915171923252931333539414345474955575963656769717375777913171921232729333539434547495153[[#This Row],[Thresh]]</f>
        <v>9.2844767115600447E-4</v>
      </c>
      <c r="N67" s="28">
        <f>WO2025Jan7men11915171923252931333539414345474955575963656769717375777913171921232729333539434547495153[[#This Row],[Thresh]]*2.5</f>
        <v>2.3211191778900113E-3</v>
      </c>
      <c r="O67" s="25">
        <f>WO2025Jan7men11915171923252931333539414345474955575963656769717375777913171921232729333539434547495153[[#This Row],[CV]]</f>
        <v>8.8808038110574329E-4</v>
      </c>
      <c r="P67" s="28">
        <f>WO2025Jan7men11915171923252931333539414345474955575963656769717375777913171921232729333539434547495153[[#This Row],[CV]]*1.5</f>
        <v>1.332120571658615E-3</v>
      </c>
      <c r="Q67" s="25">
        <f>WO2025Jan7men11915171923252931333539414345474955575963656769717375777913171921232729333539434547495153[[#This Row],[VO2]]/2</f>
        <v>4.0851697530864194E-4</v>
      </c>
      <c r="R67" s="25">
        <f>WO2025Jan7men11915171923252931333539414345474955575963656769717375777913171921232729333539434547495153[[#This Row],[I]]</f>
        <v>8.4259259259259259E-4</v>
      </c>
      <c r="S67" s="25">
        <f>WO2025Jan7men11915171923252931333539414345474955575963656769717375777913171921232729333539434547495153[[#This Row],[I]]*1.5</f>
        <v>1.2638888888888888E-3</v>
      </c>
      <c r="T67" s="25" t="s">
        <v>25</v>
      </c>
      <c r="U67" s="28"/>
      <c r="V67" s="25"/>
      <c r="W67" s="15" t="s">
        <v>26</v>
      </c>
      <c r="X67" s="52"/>
    </row>
    <row r="68" spans="1:24" ht="20.45" customHeight="1">
      <c r="A68" s="10" t="s">
        <v>88</v>
      </c>
      <c r="B68" s="11">
        <v>1.0532407407407407E-2</v>
      </c>
      <c r="C68" s="11">
        <v>3.0671296296296297E-3</v>
      </c>
      <c r="D68" s="11">
        <f t="shared" si="16"/>
        <v>6.1277546296296288E-3</v>
      </c>
      <c r="E68" s="12">
        <v>0.58179999999999998</v>
      </c>
      <c r="F68" s="11">
        <f t="shared" si="17"/>
        <v>7.6678240740740743E-4</v>
      </c>
      <c r="G68" s="11">
        <f t="shared" si="18"/>
        <v>8.1703395061728389E-4</v>
      </c>
      <c r="H68" s="11">
        <f t="shared" si="19"/>
        <v>8.4259259259259259E-4</v>
      </c>
      <c r="I68" s="11">
        <f t="shared" si="20"/>
        <v>8.7853112969600415E-4</v>
      </c>
      <c r="J68" s="11">
        <f t="shared" si="21"/>
        <v>8.8808038110574329E-4</v>
      </c>
      <c r="K68" s="11">
        <f t="shared" si="22"/>
        <v>9.2844767115600447E-4</v>
      </c>
      <c r="L68" s="11">
        <f t="shared" si="23"/>
        <v>9.7265946502057604E-4</v>
      </c>
      <c r="M68" s="25">
        <f>WO2025Jan7men11915171923252931333539414345474955575963656769717375777913171921232729333539434547495153[[#This Row],[Thresh]]</f>
        <v>9.2844767115600447E-4</v>
      </c>
      <c r="N68" s="28">
        <f>WO2025Jan7men11915171923252931333539414345474955575963656769717375777913171921232729333539434547495153[[#This Row],[Thresh]]*2.5</f>
        <v>2.3211191778900113E-3</v>
      </c>
      <c r="O68" s="25">
        <f>WO2025Jan7men11915171923252931333539414345474955575963656769717375777913171921232729333539434547495153[[#This Row],[CV]]</f>
        <v>8.8808038110574329E-4</v>
      </c>
      <c r="P68" s="28">
        <f>WO2025Jan7men11915171923252931333539414345474955575963656769717375777913171921232729333539434547495153[[#This Row],[CV]]*1.5</f>
        <v>1.332120571658615E-3</v>
      </c>
      <c r="Q68" s="25">
        <f>WO2025Jan7men11915171923252931333539414345474955575963656769717375777913171921232729333539434547495153[[#This Row],[VO2]]/2</f>
        <v>4.0851697530864194E-4</v>
      </c>
      <c r="R68" s="25">
        <f>WO2025Jan7men11915171923252931333539414345474955575963656769717375777913171921232729333539434547495153[[#This Row],[I]]</f>
        <v>8.4259259259259259E-4</v>
      </c>
      <c r="S68" s="25">
        <f>WO2025Jan7men11915171923252931333539414345474955575963656769717375777913171921232729333539434547495153[[#This Row],[I]]*1.5</f>
        <v>1.2638888888888888E-3</v>
      </c>
      <c r="T68" s="25" t="s">
        <v>25</v>
      </c>
      <c r="U68" s="28"/>
      <c r="V68" s="25"/>
      <c r="W68" s="15" t="s">
        <v>26</v>
      </c>
      <c r="X68" s="52" t="s">
        <v>89</v>
      </c>
    </row>
    <row r="69" spans="1:24" ht="20.45" customHeight="1">
      <c r="A69" s="10" t="s">
        <v>90</v>
      </c>
      <c r="B69" s="11">
        <v>1.0532407407407407E-2</v>
      </c>
      <c r="C69" s="11">
        <v>3.0671296296296297E-3</v>
      </c>
      <c r="D69" s="11">
        <f t="shared" si="16"/>
        <v>6.1277546296296288E-3</v>
      </c>
      <c r="E69" s="12">
        <v>0.58179999999999998</v>
      </c>
      <c r="F69" s="11">
        <f t="shared" si="17"/>
        <v>7.6678240740740743E-4</v>
      </c>
      <c r="G69" s="11">
        <f t="shared" si="18"/>
        <v>8.1703395061728389E-4</v>
      </c>
      <c r="H69" s="11">
        <f t="shared" si="19"/>
        <v>8.4259259259259259E-4</v>
      </c>
      <c r="I69" s="11">
        <f t="shared" si="20"/>
        <v>8.7853112969600415E-4</v>
      </c>
      <c r="J69" s="11">
        <f t="shared" si="21"/>
        <v>8.8808038110574329E-4</v>
      </c>
      <c r="K69" s="11">
        <f t="shared" si="22"/>
        <v>9.2844767115600447E-4</v>
      </c>
      <c r="L69" s="11">
        <f t="shared" si="23"/>
        <v>9.7265946502057604E-4</v>
      </c>
      <c r="M69" s="25">
        <f>WO2025Jan7men11915171923252931333539414345474955575963656769717375777913171921232729333539434547495153[[#This Row],[Thresh]]</f>
        <v>9.2844767115600447E-4</v>
      </c>
      <c r="N69" s="28">
        <f>WO2025Jan7men11915171923252931333539414345474955575963656769717375777913171921232729333539434547495153[[#This Row],[Thresh]]*2.5</f>
        <v>2.3211191778900113E-3</v>
      </c>
      <c r="O69" s="25">
        <f>WO2025Jan7men11915171923252931333539414345474955575963656769717375777913171921232729333539434547495153[[#This Row],[CV]]</f>
        <v>8.8808038110574329E-4</v>
      </c>
      <c r="P69" s="28">
        <f>WO2025Jan7men11915171923252931333539414345474955575963656769717375777913171921232729333539434547495153[[#This Row],[CV]]*1.5</f>
        <v>1.332120571658615E-3</v>
      </c>
      <c r="Q69" s="25">
        <f>WO2025Jan7men11915171923252931333539414345474955575963656769717375777913171921232729333539434547495153[[#This Row],[VO2]]/2</f>
        <v>4.0851697530864194E-4</v>
      </c>
      <c r="R69" s="25">
        <f>WO2025Jan7men11915171923252931333539414345474955575963656769717375777913171921232729333539434547495153[[#This Row],[I]]</f>
        <v>8.4259259259259259E-4</v>
      </c>
      <c r="S69" s="25">
        <f>WO2025Jan7men11915171923252931333539414345474955575963656769717375777913171921232729333539434547495153[[#This Row],[I]]*1.5</f>
        <v>1.2638888888888888E-3</v>
      </c>
      <c r="T69" s="25" t="s">
        <v>25</v>
      </c>
      <c r="U69" s="28"/>
      <c r="V69" s="25"/>
      <c r="W69" s="15" t="s">
        <v>26</v>
      </c>
      <c r="X69" s="52"/>
    </row>
    <row r="70" spans="1:24" ht="20.45" customHeight="1">
      <c r="A70" s="10" t="s">
        <v>91</v>
      </c>
      <c r="B70" s="11">
        <v>1.0590277777777778E-2</v>
      </c>
      <c r="C70" s="11">
        <v>3.1249999999999997E-3</v>
      </c>
      <c r="D70" s="11">
        <f t="shared" si="16"/>
        <v>6.1614236111111114E-3</v>
      </c>
      <c r="E70" s="12">
        <v>0.58179999999999998</v>
      </c>
      <c r="F70" s="11">
        <f t="shared" si="17"/>
        <v>7.8124999999999993E-4</v>
      </c>
      <c r="G70" s="11">
        <f t="shared" si="18"/>
        <v>8.2152314814814816E-4</v>
      </c>
      <c r="H70" s="11">
        <f t="shared" si="19"/>
        <v>8.472222222222223E-4</v>
      </c>
      <c r="I70" s="11">
        <f t="shared" si="20"/>
        <v>8.8335822381521299E-4</v>
      </c>
      <c r="J70" s="11">
        <f t="shared" si="21"/>
        <v>8.9295994363929141E-4</v>
      </c>
      <c r="K70" s="11">
        <f t="shared" si="22"/>
        <v>9.3354903198653201E-4</v>
      </c>
      <c r="L70" s="11">
        <f t="shared" si="23"/>
        <v>9.7800374779541442E-4</v>
      </c>
      <c r="M70" s="25">
        <f>WO2025Jan7men11915171923252931333539414345474955575963656769717375777913171921232729333539434547495153[[#This Row],[Thresh]]</f>
        <v>9.3354903198653201E-4</v>
      </c>
      <c r="N70" s="28">
        <f>WO2025Jan7men11915171923252931333539414345474955575963656769717375777913171921232729333539434547495153[[#This Row],[Thresh]]*2.5</f>
        <v>2.33387257996633E-3</v>
      </c>
      <c r="O70" s="25">
        <f>WO2025Jan7men11915171923252931333539414345474955575963656769717375777913171921232729333539434547495153[[#This Row],[CV]]</f>
        <v>8.9295994363929141E-4</v>
      </c>
      <c r="P70" s="28">
        <f>WO2025Jan7men11915171923252931333539414345474955575963656769717375777913171921232729333539434547495153[[#This Row],[CV]]*1.5</f>
        <v>1.3394399154589372E-3</v>
      </c>
      <c r="Q70" s="25">
        <f>WO2025Jan7men11915171923252931333539414345474955575963656769717375777913171921232729333539434547495153[[#This Row],[VO2]]/2</f>
        <v>4.1076157407407408E-4</v>
      </c>
      <c r="R70" s="25">
        <f>WO2025Jan7men11915171923252931333539414345474955575963656769717375777913171921232729333539434547495153[[#This Row],[I]]</f>
        <v>8.472222222222223E-4</v>
      </c>
      <c r="S70" s="25">
        <f>WO2025Jan7men11915171923252931333539414345474955575963656769717375777913171921232729333539434547495153[[#This Row],[I]]*1.5</f>
        <v>1.2708333333333335E-3</v>
      </c>
      <c r="T70" s="25" t="s">
        <v>25</v>
      </c>
      <c r="U70" s="28"/>
      <c r="V70" s="25"/>
      <c r="W70" s="15" t="s">
        <v>26</v>
      </c>
      <c r="X70" s="52"/>
    </row>
    <row r="71" spans="1:24" ht="20.45" customHeight="1">
      <c r="A71" s="10"/>
      <c r="B71" s="11"/>
      <c r="C71" s="11"/>
      <c r="D71" s="11"/>
      <c r="E71" s="12"/>
      <c r="F71" s="11"/>
      <c r="G71" s="11"/>
      <c r="H71" s="11"/>
      <c r="I71" s="11"/>
      <c r="J71" s="11"/>
      <c r="K71" s="11"/>
      <c r="L71" s="17"/>
      <c r="M71" s="25"/>
      <c r="N71" s="28"/>
      <c r="O71" s="25"/>
      <c r="P71" s="25"/>
      <c r="Q71" s="25"/>
      <c r="R71" s="28"/>
      <c r="S71" s="25"/>
      <c r="T71" s="25"/>
      <c r="U71" s="28"/>
      <c r="V71" s="25"/>
      <c r="W71" s="15"/>
      <c r="X71" s="52"/>
    </row>
    <row r="72" spans="1:24" ht="20.45" customHeight="1">
      <c r="A72" s="19"/>
      <c r="B72" s="6"/>
      <c r="C72" s="6"/>
      <c r="D72" s="6"/>
      <c r="E72" s="20"/>
      <c r="F72" s="6"/>
      <c r="G72" s="6"/>
      <c r="H72" s="6"/>
      <c r="I72" s="6"/>
      <c r="J72" s="6"/>
      <c r="K72" s="6"/>
      <c r="L72" s="6"/>
      <c r="M72" s="6" t="s">
        <v>12</v>
      </c>
      <c r="N72" s="6" t="s">
        <v>13</v>
      </c>
      <c r="O72" s="6" t="s">
        <v>14</v>
      </c>
      <c r="P72" s="6" t="s">
        <v>15</v>
      </c>
      <c r="Q72" s="6" t="s">
        <v>32</v>
      </c>
      <c r="R72" s="6" t="s">
        <v>33</v>
      </c>
      <c r="S72" s="6"/>
      <c r="T72" s="6"/>
      <c r="U72" s="6"/>
      <c r="V72" s="23"/>
      <c r="W72" s="35"/>
      <c r="X72" s="52"/>
    </row>
    <row r="73" spans="1:24" ht="20.45" customHeight="1">
      <c r="A73" s="10" t="s">
        <v>92</v>
      </c>
      <c r="B73" s="11">
        <v>1.0300925925925925E-2</v>
      </c>
      <c r="C73" s="11">
        <v>2.8703703703703703E-3</v>
      </c>
      <c r="D73" s="11">
        <f>B73*E73</f>
        <v>5.9930787037037027E-3</v>
      </c>
      <c r="E73" s="12">
        <v>0.58179999999999998</v>
      </c>
      <c r="F73" s="11">
        <f>C73/4</f>
        <v>7.1759259259259259E-4</v>
      </c>
      <c r="G73" s="11">
        <f>D73/7.5</f>
        <v>7.9907716049382703E-4</v>
      </c>
      <c r="H73" s="11">
        <f>B73/12.5</f>
        <v>8.2407407407407397E-4</v>
      </c>
      <c r="I73" s="11">
        <f>G73/0.93</f>
        <v>8.5922275321916877E-4</v>
      </c>
      <c r="J73" s="11">
        <f>G73/0.92</f>
        <v>8.6856213097155112E-4</v>
      </c>
      <c r="K73" s="11">
        <f>G73/0.88</f>
        <v>9.080422278338944E-4</v>
      </c>
      <c r="L73" s="11">
        <f>G73/0.84</f>
        <v>9.5128233392122272E-4</v>
      </c>
      <c r="M73" s="25">
        <f>WO2025Jan7men11915171923252931333539414345474955575963656769717375777913171921232729333539434547495153[[#This Row],[Thresh]]</f>
        <v>9.080422278338944E-4</v>
      </c>
      <c r="N73" s="28">
        <f>WO2025Jan7men11915171923252931333539414345474955575963656769717375777913171921232729333539434547495153[[#This Row],[Thresh]]*2.5</f>
        <v>2.2701055695847358E-3</v>
      </c>
      <c r="O73" s="25">
        <f>WO2025Jan7men11915171923252931333539414345474955575963656769717375777913171921232729333539434547495153[[#This Row],[CV]]</f>
        <v>8.6856213097155112E-4</v>
      </c>
      <c r="P73" s="28">
        <f>WO2025Jan7men11915171923252931333539414345474955575963656769717375777913171921232729333539434547495153[[#This Row],[CV]]*1.5</f>
        <v>1.3028431964573267E-3</v>
      </c>
      <c r="Q73" s="25">
        <f>WO2025Jan7men11915171923252931333539414345474955575963656769717375777913171921232729333539434547495153[[#This Row],[R]]</f>
        <v>7.1759259259259259E-4</v>
      </c>
      <c r="R73" s="28">
        <f>(WO2025Jan7men11915171923252931333539414345474955575963656769717375777913171921232729333539434547495153[[#This Row],[R]]/2)-0.0000115740740740741</f>
        <v>3.4722222222222218E-4</v>
      </c>
      <c r="S73" s="25"/>
      <c r="T73" s="25"/>
      <c r="U73" s="28"/>
      <c r="V73" s="25"/>
      <c r="W73" s="15" t="s">
        <v>35</v>
      </c>
      <c r="X73" s="52"/>
    </row>
    <row r="74" spans="1:24" ht="20.45" customHeight="1">
      <c r="A74" s="10" t="s">
        <v>93</v>
      </c>
      <c r="B74" s="11">
        <v>1.0300925925925925E-2</v>
      </c>
      <c r="C74" s="11">
        <v>2.8935185185185184E-3</v>
      </c>
      <c r="D74" s="11">
        <f>B74*E74</f>
        <v>5.9930787037037027E-3</v>
      </c>
      <c r="E74" s="12">
        <v>0.58179999999999998</v>
      </c>
      <c r="F74" s="11">
        <f>C74/4</f>
        <v>7.2337962962962959E-4</v>
      </c>
      <c r="G74" s="11">
        <f>D74/7.5</f>
        <v>7.9907716049382703E-4</v>
      </c>
      <c r="H74" s="11">
        <f>B74/12.5</f>
        <v>8.2407407407407397E-4</v>
      </c>
      <c r="I74" s="11">
        <f>G74/0.93</f>
        <v>8.5922275321916877E-4</v>
      </c>
      <c r="J74" s="11">
        <f>G74/0.92</f>
        <v>8.6856213097155112E-4</v>
      </c>
      <c r="K74" s="11">
        <f>G74/0.88</f>
        <v>9.080422278338944E-4</v>
      </c>
      <c r="L74" s="11">
        <f>G74/0.84</f>
        <v>9.5128233392122272E-4</v>
      </c>
      <c r="M74" s="25">
        <f>WO2025Jan7men11915171923252931333539414345474955575963656769717375777913171921232729333539434547495153[[#This Row],[Thresh]]</f>
        <v>9.080422278338944E-4</v>
      </c>
      <c r="N74" s="28">
        <f>WO2025Jan7men11915171923252931333539414345474955575963656769717375777913171921232729333539434547495153[[#This Row],[Thresh]]*2.5</f>
        <v>2.2701055695847358E-3</v>
      </c>
      <c r="O74" s="25">
        <f>WO2025Jan7men11915171923252931333539414345474955575963656769717375777913171921232729333539434547495153[[#This Row],[CV]]</f>
        <v>8.6856213097155112E-4</v>
      </c>
      <c r="P74" s="28">
        <f>WO2025Jan7men11915171923252931333539414345474955575963656769717375777913171921232729333539434547495153[[#This Row],[CV]]*1.5</f>
        <v>1.3028431964573267E-3</v>
      </c>
      <c r="Q74" s="25">
        <f>WO2025Jan7men11915171923252931333539414345474955575963656769717375777913171921232729333539434547495153[[#This Row],[R]]</f>
        <v>7.2337962962962959E-4</v>
      </c>
      <c r="R74" s="28">
        <f>(WO2025Jan7men11915171923252931333539414345474955575963656769717375777913171921232729333539434547495153[[#This Row],[R]]/2)-0.0000115740740740741</f>
        <v>3.5011574074074068E-4</v>
      </c>
      <c r="S74" s="25"/>
      <c r="T74" s="25"/>
      <c r="U74" s="28"/>
      <c r="V74" s="25"/>
      <c r="W74" s="15" t="s">
        <v>35</v>
      </c>
      <c r="X74" s="52"/>
    </row>
    <row r="75" spans="1:24" ht="20.45" customHeight="1">
      <c r="A75" s="10" t="s">
        <v>94</v>
      </c>
      <c r="B75" s="11">
        <v>1.0416666666666666E-2</v>
      </c>
      <c r="C75" s="11">
        <v>2.8935185185185188E-3</v>
      </c>
      <c r="D75" s="11">
        <f>B75*E75</f>
        <v>6.0604166666666662E-3</v>
      </c>
      <c r="E75" s="12">
        <v>0.58179999999999998</v>
      </c>
      <c r="F75" s="11">
        <f>C75/4</f>
        <v>7.233796296296297E-4</v>
      </c>
      <c r="G75" s="11">
        <f>D75/7.5</f>
        <v>8.0805555555555546E-4</v>
      </c>
      <c r="H75" s="11">
        <f>B75/12.5</f>
        <v>8.3333333333333328E-4</v>
      </c>
      <c r="I75" s="11">
        <f>G75/0.93</f>
        <v>8.6887694145758646E-4</v>
      </c>
      <c r="J75" s="11">
        <f>G75/0.92</f>
        <v>8.7832125603864715E-4</v>
      </c>
      <c r="K75" s="11">
        <f>G75/0.88</f>
        <v>9.1824494949494938E-4</v>
      </c>
      <c r="L75" s="11">
        <f>G75/0.84</f>
        <v>9.6197089947089938E-4</v>
      </c>
      <c r="M75" s="25">
        <f>WO2025Jan7men11915171923252931333539414345474955575963656769717375777913171921232729333539434547495153[[#This Row],[Thresh]]</f>
        <v>9.1824494949494938E-4</v>
      </c>
      <c r="N75" s="28">
        <f>WO2025Jan7men11915171923252931333539414345474955575963656769717375777913171921232729333539434547495153[[#This Row],[Thresh]]*2.5</f>
        <v>2.2956123737373733E-3</v>
      </c>
      <c r="O75" s="25">
        <f>WO2025Jan7men11915171923252931333539414345474955575963656769717375777913171921232729333539434547495153[[#This Row],[CV]]</f>
        <v>8.7832125603864715E-4</v>
      </c>
      <c r="P75" s="28">
        <f>WO2025Jan7men11915171923252931333539414345474955575963656769717375777913171921232729333539434547495153[[#This Row],[CV]]*1.5</f>
        <v>1.3174818840579706E-3</v>
      </c>
      <c r="Q75" s="25">
        <f>WO2025Jan7men11915171923252931333539414345474955575963656769717375777913171921232729333539434547495153[[#This Row],[R]]</f>
        <v>7.233796296296297E-4</v>
      </c>
      <c r="R75" s="28">
        <f>(WO2025Jan7men11915171923252931333539414345474955575963656769717375777913171921232729333539434547495153[[#This Row],[R]]/2)-0.0000115740740740741</f>
        <v>3.5011574074074074E-4</v>
      </c>
      <c r="S75" s="25"/>
      <c r="T75" s="25"/>
      <c r="U75" s="28"/>
      <c r="V75" s="25"/>
      <c r="W75" s="15" t="s">
        <v>35</v>
      </c>
      <c r="X75" s="52"/>
    </row>
    <row r="76" spans="1:24" ht="20.45" customHeight="1">
      <c r="A76" s="10" t="s">
        <v>95</v>
      </c>
      <c r="B76" s="11">
        <v>1.0243055555555556E-2</v>
      </c>
      <c r="C76" s="11">
        <v>2.9513888888888888E-3</v>
      </c>
      <c r="D76" s="11">
        <f>B76*E76</f>
        <v>5.9594097222222218E-3</v>
      </c>
      <c r="E76" s="12">
        <v>0.58179999999999998</v>
      </c>
      <c r="F76" s="11">
        <f>C76/4</f>
        <v>7.378472222222222E-4</v>
      </c>
      <c r="G76" s="11">
        <f>D76/7.5</f>
        <v>7.9458796296296287E-4</v>
      </c>
      <c r="H76" s="11">
        <f>B76/12.5</f>
        <v>8.1944444444444447E-4</v>
      </c>
      <c r="I76" s="11">
        <f>G76/0.93</f>
        <v>8.5439565909996003E-4</v>
      </c>
      <c r="J76" s="11">
        <f>G76/0.92</f>
        <v>8.636825684380031E-4</v>
      </c>
      <c r="K76" s="11">
        <f>G76/0.88</f>
        <v>9.0294086700336686E-4</v>
      </c>
      <c r="L76" s="11">
        <f>G76/0.84</f>
        <v>9.4593805114638445E-4</v>
      </c>
      <c r="M76" s="25">
        <f>WO2025Jan7men11915171923252931333539414345474955575963656769717375777913171921232729333539434547495153[[#This Row],[Thresh]]</f>
        <v>9.0294086700336686E-4</v>
      </c>
      <c r="N76" s="28">
        <f>WO2025Jan7men11915171923252931333539414345474955575963656769717375777913171921232729333539434547495153[[#This Row],[Thresh]]*2.5</f>
        <v>2.2573521675084171E-3</v>
      </c>
      <c r="O76" s="25">
        <f>WO2025Jan7men11915171923252931333539414345474955575963656769717375777913171921232729333539434547495153[[#This Row],[CV]]</f>
        <v>8.636825684380031E-4</v>
      </c>
      <c r="P76" s="28">
        <f>WO2025Jan7men11915171923252931333539414345474955575963656769717375777913171921232729333539434547495153[[#This Row],[CV]]*1.5</f>
        <v>1.2955238526570047E-3</v>
      </c>
      <c r="Q76" s="25">
        <f>WO2025Jan7men11915171923252931333539414345474955575963656769717375777913171921232729333539434547495153[[#This Row],[R]]</f>
        <v>7.378472222222222E-4</v>
      </c>
      <c r="R76" s="28">
        <f>(WO2025Jan7men11915171923252931333539414345474955575963656769717375777913171921232729333539434547495153[[#This Row],[R]]/2)-0.0000115740740740741</f>
        <v>3.5734953703703699E-4</v>
      </c>
      <c r="S76" s="25"/>
      <c r="T76" s="25"/>
      <c r="U76" s="28"/>
      <c r="V76" s="25"/>
      <c r="W76" s="15" t="s">
        <v>35</v>
      </c>
      <c r="X76" s="52"/>
    </row>
    <row r="77" spans="1:24" ht="20.45" customHeight="1">
      <c r="A77" s="19"/>
      <c r="B77" s="6"/>
      <c r="C77" s="6"/>
      <c r="D77" s="6"/>
      <c r="E77" s="20"/>
      <c r="F77" s="6"/>
      <c r="G77" s="6"/>
      <c r="H77" s="6"/>
      <c r="I77" s="6"/>
      <c r="J77" s="6"/>
      <c r="K77" s="6"/>
      <c r="L77" s="6"/>
      <c r="M77" s="6" t="s">
        <v>12</v>
      </c>
      <c r="N77" s="6" t="s">
        <v>13</v>
      </c>
      <c r="O77" s="6" t="s">
        <v>40</v>
      </c>
      <c r="P77" s="6" t="s">
        <v>41</v>
      </c>
      <c r="Q77" s="6" t="s">
        <v>42</v>
      </c>
      <c r="R77" s="6" t="s">
        <v>43</v>
      </c>
      <c r="S77" s="6" t="s">
        <v>44</v>
      </c>
      <c r="T77" s="6" t="s">
        <v>45</v>
      </c>
      <c r="U77" s="6" t="s">
        <v>46</v>
      </c>
      <c r="V77" s="23"/>
      <c r="W77" s="35"/>
      <c r="X77" s="52"/>
    </row>
    <row r="78" spans="1:24" ht="20.45" customHeight="1">
      <c r="A78" s="10" t="s">
        <v>96</v>
      </c>
      <c r="B78" s="11">
        <v>1.0648148148148148E-2</v>
      </c>
      <c r="C78" s="11">
        <v>2.9513888888888888E-3</v>
      </c>
      <c r="D78" s="11">
        <f t="shared" ref="D78:D86" si="24">B78*E78</f>
        <v>6.1950925925925923E-3</v>
      </c>
      <c r="E78" s="12">
        <v>0.58179999999999998</v>
      </c>
      <c r="F78" s="11">
        <f t="shared" ref="F78:F86" si="25">C78/4</f>
        <v>7.378472222222222E-4</v>
      </c>
      <c r="G78" s="11">
        <f t="shared" ref="G78:G86" si="26">D78/7.5</f>
        <v>8.2601234567901232E-4</v>
      </c>
      <c r="H78" s="11">
        <f t="shared" ref="H78:H86" si="27">B78/12.5</f>
        <v>8.5185185185185179E-4</v>
      </c>
      <c r="I78" s="11">
        <f t="shared" ref="I78:I86" si="28">G78/0.93</f>
        <v>8.8818531793442184E-4</v>
      </c>
      <c r="J78" s="11">
        <f t="shared" ref="J78:J86" si="29">G78/0.92</f>
        <v>8.9783950617283942E-4</v>
      </c>
      <c r="K78" s="11">
        <f t="shared" ref="K78:K86" si="30">G78/0.88</f>
        <v>9.3865039281705945E-4</v>
      </c>
      <c r="L78" s="11">
        <f t="shared" ref="L78:L86" si="31">G78/0.84</f>
        <v>9.833480305702527E-4</v>
      </c>
      <c r="M78" s="25">
        <f>WO2025Jan7men11915171923252931333539414345474955575963656769717375777913171921232729333539434547495153[[#This Row],[Thresh]]</f>
        <v>9.3865039281705945E-4</v>
      </c>
      <c r="N78" s="28">
        <f>WO2025Jan7men11915171923252931333539414345474955575963656769717375777913171921232729333539434547495153[[#This Row],[Thresh]]*2.5</f>
        <v>2.3466259820426488E-3</v>
      </c>
      <c r="O78" s="25">
        <f>WO2025Jan7men11915171923252931333539414345474955575963656769717375777913171921232729333539434547495153[[#This Row],[R]]/2</f>
        <v>3.689236111111111E-4</v>
      </c>
      <c r="P78" s="28">
        <f>(WO2025Jan7men11915171923252931333539414345474955575963656769717375777913171921232729333539434547495153[[#This Row],[R]]/2)-0.0000115740740740741</f>
        <v>3.5734953703703699E-4</v>
      </c>
      <c r="Q78" s="28">
        <f>(WO2025Jan7men11915171923252931333539414345474955575963656769717375777913171921232729333539434547495153[[#This Row],[R]]/2)-(0.0000115740740740741*2)</f>
        <v>3.4577546296296288E-4</v>
      </c>
      <c r="R78" s="28">
        <f>(WO2025Jan7men11915171923252931333539414345474955575963656769717375777913171921232729333539434547495153[[#This Row],[R]]/2)-(0.0000115740740740741*3)</f>
        <v>3.3420138888888882E-4</v>
      </c>
      <c r="S78" s="28">
        <f>(WO2025Jan7men11915171923252931333539414345474955575963656769717375777913171921232729333539434547495153[[#This Row],[R]]/2)-(0.0000115740740740741*4)</f>
        <v>3.2262731481481471E-4</v>
      </c>
      <c r="T78" s="28">
        <f>(WO2025Jan7men11915171923252931333539414345474955575963656769717375777913171921232729333539434547495153[[#This Row],[R]]/2)-(0.0000115740740740741*5)</f>
        <v>3.1105324074074059E-4</v>
      </c>
      <c r="U78" s="28" t="s">
        <v>25</v>
      </c>
      <c r="V78" s="25"/>
      <c r="W78" s="15" t="s">
        <v>48</v>
      </c>
      <c r="X78" s="52" t="s">
        <v>54</v>
      </c>
    </row>
    <row r="79" spans="1:24" ht="20.45" customHeight="1">
      <c r="A79" s="10" t="s">
        <v>97</v>
      </c>
      <c r="B79" s="11">
        <v>1.0763888888888889E-2</v>
      </c>
      <c r="C79" s="11">
        <v>2.9513888888888888E-3</v>
      </c>
      <c r="D79" s="11">
        <f t="shared" si="24"/>
        <v>6.2624305555555549E-3</v>
      </c>
      <c r="E79" s="12">
        <v>0.58179999999999998</v>
      </c>
      <c r="F79" s="11">
        <f t="shared" si="25"/>
        <v>7.378472222222222E-4</v>
      </c>
      <c r="G79" s="11">
        <f t="shared" si="26"/>
        <v>8.3499074074074064E-4</v>
      </c>
      <c r="H79" s="11">
        <f t="shared" si="27"/>
        <v>8.611111111111111E-4</v>
      </c>
      <c r="I79" s="11">
        <f t="shared" si="28"/>
        <v>8.9783950617283931E-4</v>
      </c>
      <c r="J79" s="11">
        <f t="shared" si="29"/>
        <v>9.0759863123993545E-4</v>
      </c>
      <c r="K79" s="11">
        <f t="shared" si="30"/>
        <v>9.4885311447811432E-4</v>
      </c>
      <c r="L79" s="17">
        <f t="shared" si="31"/>
        <v>9.9403659611992947E-4</v>
      </c>
      <c r="M79" s="25">
        <f>WO2025Jan7men11915171923252931333539414345474955575963656769717375777913171921232729333539434547495153[[#This Row],[Thresh]]</f>
        <v>9.4885311447811432E-4</v>
      </c>
      <c r="N79" s="28">
        <f>WO2025Jan7men11915171923252931333539414345474955575963656769717375777913171921232729333539434547495153[[#This Row],[Thresh]]*2.5</f>
        <v>2.3721327861952858E-3</v>
      </c>
      <c r="O79" s="25">
        <f>WO2025Jan7men11915171923252931333539414345474955575963656769717375777913171921232729333539434547495153[[#This Row],[R]]/2</f>
        <v>3.689236111111111E-4</v>
      </c>
      <c r="P79" s="28">
        <f>(WO2025Jan7men11915171923252931333539414345474955575963656769717375777913171921232729333539434547495153[[#This Row],[R]]/2)-0.0000115740740740741</f>
        <v>3.5734953703703699E-4</v>
      </c>
      <c r="Q79" s="28">
        <f>(WO2025Jan7men11915171923252931333539414345474955575963656769717375777913171921232729333539434547495153[[#This Row],[R]]/2)-(0.0000115740740740741*2)</f>
        <v>3.4577546296296288E-4</v>
      </c>
      <c r="R79" s="28">
        <f>(WO2025Jan7men11915171923252931333539414345474955575963656769717375777913171921232729333539434547495153[[#This Row],[R]]/2)-(0.0000115740740740741*3)</f>
        <v>3.3420138888888882E-4</v>
      </c>
      <c r="S79" s="28">
        <f>(WO2025Jan7men11915171923252931333539414345474955575963656769717375777913171921232729333539434547495153[[#This Row],[R]]/2)-(0.0000115740740740741*4)</f>
        <v>3.2262731481481471E-4</v>
      </c>
      <c r="T79" s="28">
        <f>(WO2025Jan7men11915171923252931333539414345474955575963656769717375777913171921232729333539434547495153[[#This Row],[R]]/2)-(0.0000115740740740741*5)</f>
        <v>3.1105324074074059E-4</v>
      </c>
      <c r="U79" s="28" t="s">
        <v>25</v>
      </c>
      <c r="V79" s="25"/>
      <c r="W79" s="15" t="s">
        <v>48</v>
      </c>
      <c r="X79" s="52"/>
    </row>
    <row r="80" spans="1:24" ht="20.45" customHeight="1">
      <c r="A80" s="10" t="s">
        <v>98</v>
      </c>
      <c r="B80" s="11">
        <v>1.1111111111111112E-2</v>
      </c>
      <c r="C80" s="11">
        <v>3.0671296296296297E-3</v>
      </c>
      <c r="D80" s="11">
        <f t="shared" si="24"/>
        <v>6.4644444444444445E-3</v>
      </c>
      <c r="E80" s="12">
        <v>0.58179999999999998</v>
      </c>
      <c r="F80" s="11">
        <f t="shared" si="25"/>
        <v>7.6678240740740743E-4</v>
      </c>
      <c r="G80" s="11">
        <f t="shared" si="26"/>
        <v>8.6192592592592592E-4</v>
      </c>
      <c r="H80" s="11">
        <f t="shared" si="27"/>
        <v>8.8888888888888893E-4</v>
      </c>
      <c r="I80" s="11">
        <f t="shared" si="28"/>
        <v>9.2680207088809239E-4</v>
      </c>
      <c r="J80" s="11">
        <f t="shared" si="29"/>
        <v>9.3687600644122375E-4</v>
      </c>
      <c r="K80" s="11">
        <f t="shared" si="30"/>
        <v>9.7946127946127947E-4</v>
      </c>
      <c r="L80" s="11">
        <f t="shared" si="31"/>
        <v>1.0261022927689596E-3</v>
      </c>
      <c r="M80" s="25">
        <f>WO2025Jan7men11915171923252931333539414345474955575963656769717375777913171921232729333539434547495153[[#This Row],[Thresh]]</f>
        <v>9.7946127946127947E-4</v>
      </c>
      <c r="N80" s="28">
        <f>WO2025Jan7men11915171923252931333539414345474955575963656769717375777913171921232729333539434547495153[[#This Row],[Thresh]]*2.5</f>
        <v>2.4486531986531988E-3</v>
      </c>
      <c r="O80" s="25">
        <f>WO2025Jan7men11915171923252931333539414345474955575963656769717375777913171921232729333539434547495153[[#This Row],[R]]/2</f>
        <v>3.8339120370370371E-4</v>
      </c>
      <c r="P80" s="28">
        <f>(WO2025Jan7men11915171923252931333539414345474955575963656769717375777913171921232729333539434547495153[[#This Row],[R]]/2)-0.0000115740740740741</f>
        <v>3.718171296296296E-4</v>
      </c>
      <c r="Q80" s="28">
        <f>(WO2025Jan7men11915171923252931333539414345474955575963656769717375777913171921232729333539434547495153[[#This Row],[R]]/2)-(0.0000115740740740741*2)</f>
        <v>3.6024305555555549E-4</v>
      </c>
      <c r="R80" s="28">
        <f>(WO2025Jan7men11915171923252931333539414345474955575963656769717375777913171921232729333539434547495153[[#This Row],[R]]/2)-(0.0000115740740740741*3)</f>
        <v>3.4866898148148143E-4</v>
      </c>
      <c r="S80" s="28">
        <f>(WO2025Jan7men11915171923252931333539414345474955575963656769717375777913171921232729333539434547495153[[#This Row],[R]]/2)-(0.0000115740740740741*4)</f>
        <v>3.3709490740740732E-4</v>
      </c>
      <c r="T80" s="28">
        <f>(WO2025Jan7men11915171923252931333539414345474955575963656769717375777913171921232729333539434547495153[[#This Row],[R]]/2)-(0.0000115740740740741*5)</f>
        <v>3.2552083333333321E-4</v>
      </c>
      <c r="U80" s="28" t="s">
        <v>25</v>
      </c>
      <c r="V80" s="25"/>
      <c r="W80" s="15" t="s">
        <v>48</v>
      </c>
      <c r="X80" s="52"/>
    </row>
    <row r="81" spans="1:24" ht="20.45" customHeight="1">
      <c r="A81" s="10" t="s">
        <v>99</v>
      </c>
      <c r="B81" s="11">
        <v>1.1458333333333333E-2</v>
      </c>
      <c r="C81" s="11">
        <v>3.0092592592592593E-3</v>
      </c>
      <c r="D81" s="11">
        <f t="shared" si="24"/>
        <v>6.6664583333333324E-3</v>
      </c>
      <c r="E81" s="12">
        <v>0.58179999999999998</v>
      </c>
      <c r="F81" s="11">
        <f t="shared" si="25"/>
        <v>7.5231481481481482E-4</v>
      </c>
      <c r="G81" s="11">
        <f t="shared" si="26"/>
        <v>8.8886111111111099E-4</v>
      </c>
      <c r="H81" s="11">
        <f t="shared" si="27"/>
        <v>9.1666666666666665E-4</v>
      </c>
      <c r="I81" s="11">
        <f t="shared" si="28"/>
        <v>9.5576463560334514E-4</v>
      </c>
      <c r="J81" s="11">
        <f t="shared" si="29"/>
        <v>9.6615338164251195E-4</v>
      </c>
      <c r="K81" s="11">
        <f t="shared" si="30"/>
        <v>1.0100694444444443E-3</v>
      </c>
      <c r="L81" s="11">
        <f t="shared" si="31"/>
        <v>1.0581679894179892E-3</v>
      </c>
      <c r="M81" s="25">
        <f>WO2025Jan7men11915171923252931333539414345474955575963656769717375777913171921232729333539434547495153[[#This Row],[Thresh]]</f>
        <v>1.0100694444444443E-3</v>
      </c>
      <c r="N81" s="28">
        <f>WO2025Jan7men11915171923252931333539414345474955575963656769717375777913171921232729333539434547495153[[#This Row],[Thresh]]*2.5</f>
        <v>2.5251736111111108E-3</v>
      </c>
      <c r="O81" s="25">
        <f>WO2025Jan7men11915171923252931333539414345474955575963656769717375777913171921232729333539434547495153[[#This Row],[R]]/2</f>
        <v>3.7615740740740741E-4</v>
      </c>
      <c r="P81" s="28">
        <f>(WO2025Jan7men11915171923252931333539414345474955575963656769717375777913171921232729333539434547495153[[#This Row],[R]]/2)-0.0000115740740740741</f>
        <v>3.645833333333333E-4</v>
      </c>
      <c r="Q81" s="28">
        <f>(WO2025Jan7men11915171923252931333539414345474955575963656769717375777913171921232729333539434547495153[[#This Row],[R]]/2)-(0.0000115740740740741*2)</f>
        <v>3.5300925925925918E-4</v>
      </c>
      <c r="R81" s="28">
        <f>(WO2025Jan7men11915171923252931333539414345474955575963656769717375777913171921232729333539434547495153[[#This Row],[R]]/2)-(0.0000115740740740741*3)</f>
        <v>3.4143518518518513E-4</v>
      </c>
      <c r="S81" s="28">
        <f>(WO2025Jan7men11915171923252931333539414345474955575963656769717375777913171921232729333539434547495153[[#This Row],[R]]/2)-(0.0000115740740740741*4)</f>
        <v>3.2986111111111101E-4</v>
      </c>
      <c r="T81" s="28">
        <f>(WO2025Jan7men11915171923252931333539414345474955575963656769717375777913171921232729333539434547495153[[#This Row],[R]]/2)-(0.0000115740740740741*5)</f>
        <v>3.182870370370369E-4</v>
      </c>
      <c r="U81" s="28" t="s">
        <v>25</v>
      </c>
      <c r="V81" s="25"/>
      <c r="W81" s="15" t="s">
        <v>48</v>
      </c>
      <c r="X81" s="52"/>
    </row>
    <row r="82" spans="1:24" ht="20.45" customHeight="1">
      <c r="A82" s="10" t="s">
        <v>100</v>
      </c>
      <c r="B82" s="11">
        <v>1.0763888888888889E-2</v>
      </c>
      <c r="C82" s="11">
        <v>3.0671296296296297E-3</v>
      </c>
      <c r="D82" s="11">
        <f t="shared" si="24"/>
        <v>6.2624305555555549E-3</v>
      </c>
      <c r="E82" s="12">
        <v>0.58179999999999998</v>
      </c>
      <c r="F82" s="11">
        <f t="shared" si="25"/>
        <v>7.6678240740740743E-4</v>
      </c>
      <c r="G82" s="11">
        <f t="shared" si="26"/>
        <v>8.3499074074074064E-4</v>
      </c>
      <c r="H82" s="11">
        <f t="shared" si="27"/>
        <v>8.611111111111111E-4</v>
      </c>
      <c r="I82" s="11">
        <f t="shared" si="28"/>
        <v>8.9783950617283931E-4</v>
      </c>
      <c r="J82" s="11">
        <f t="shared" si="29"/>
        <v>9.0759863123993545E-4</v>
      </c>
      <c r="K82" s="11">
        <f t="shared" si="30"/>
        <v>9.4885311447811432E-4</v>
      </c>
      <c r="L82" s="11">
        <f t="shared" si="31"/>
        <v>9.9403659611992947E-4</v>
      </c>
      <c r="M82" s="25">
        <f>WO2025Jan7men11915171923252931333539414345474955575963656769717375777913171921232729333539434547495153[[#This Row],[Thresh]]</f>
        <v>9.4885311447811432E-4</v>
      </c>
      <c r="N82" s="28">
        <f>WO2025Jan7men11915171923252931333539414345474955575963656769717375777913171921232729333539434547495153[[#This Row],[Thresh]]*2.5</f>
        <v>2.3721327861952858E-3</v>
      </c>
      <c r="O82" s="25">
        <f>WO2025Jan7men11915171923252931333539414345474955575963656769717375777913171921232729333539434547495153[[#This Row],[R]]/2</f>
        <v>3.8339120370370371E-4</v>
      </c>
      <c r="P82" s="28">
        <f>(WO2025Jan7men11915171923252931333539414345474955575963656769717375777913171921232729333539434547495153[[#This Row],[R]]/2)-0.0000115740740740741</f>
        <v>3.718171296296296E-4</v>
      </c>
      <c r="Q82" s="28">
        <f>(WO2025Jan7men11915171923252931333539414345474955575963656769717375777913171921232729333539434547495153[[#This Row],[R]]/2)-(0.0000115740740740741*2)</f>
        <v>3.6024305555555549E-4</v>
      </c>
      <c r="R82" s="28">
        <f>(WO2025Jan7men11915171923252931333539414345474955575963656769717375777913171921232729333539434547495153[[#This Row],[R]]/2)-(0.0000115740740740741*3)</f>
        <v>3.4866898148148143E-4</v>
      </c>
      <c r="S82" s="28">
        <f>(WO2025Jan7men11915171923252931333539414345474955575963656769717375777913171921232729333539434547495153[[#This Row],[R]]/2)-(0.0000115740740740741*4)</f>
        <v>3.3709490740740732E-4</v>
      </c>
      <c r="T82" s="28">
        <f>(WO2025Jan7men11915171923252931333539414345474955575963656769717375777913171921232729333539434547495153[[#This Row],[R]]/2)-(0.0000115740740740741*5)</f>
        <v>3.2552083333333321E-4</v>
      </c>
      <c r="U82" s="28" t="s">
        <v>25</v>
      </c>
      <c r="V82" s="25"/>
      <c r="W82" s="15" t="s">
        <v>48</v>
      </c>
      <c r="X82" s="52"/>
    </row>
    <row r="83" spans="1:24" ht="20.45" customHeight="1">
      <c r="A83" s="10" t="s">
        <v>101</v>
      </c>
      <c r="B83" s="11">
        <v>1.1111111111111112E-2</v>
      </c>
      <c r="C83" s="11">
        <v>3.0671296296296297E-3</v>
      </c>
      <c r="D83" s="11">
        <f t="shared" si="24"/>
        <v>6.4644444444444445E-3</v>
      </c>
      <c r="E83" s="12">
        <v>0.58179999999999998</v>
      </c>
      <c r="F83" s="11">
        <f t="shared" si="25"/>
        <v>7.6678240740740743E-4</v>
      </c>
      <c r="G83" s="11">
        <f t="shared" si="26"/>
        <v>8.6192592592592592E-4</v>
      </c>
      <c r="H83" s="11">
        <f t="shared" si="27"/>
        <v>8.8888888888888893E-4</v>
      </c>
      <c r="I83" s="11">
        <f t="shared" si="28"/>
        <v>9.2680207088809239E-4</v>
      </c>
      <c r="J83" s="11">
        <f t="shared" si="29"/>
        <v>9.3687600644122375E-4</v>
      </c>
      <c r="K83" s="11">
        <f t="shared" si="30"/>
        <v>9.7946127946127947E-4</v>
      </c>
      <c r="L83" s="11">
        <f t="shared" si="31"/>
        <v>1.0261022927689596E-3</v>
      </c>
      <c r="M83" s="25">
        <f>WO2025Jan7men11915171923252931333539414345474955575963656769717375777913171921232729333539434547495153[[#This Row],[Thresh]]</f>
        <v>9.7946127946127947E-4</v>
      </c>
      <c r="N83" s="28">
        <f>WO2025Jan7men11915171923252931333539414345474955575963656769717375777913171921232729333539434547495153[[#This Row],[Thresh]]*2.5</f>
        <v>2.4486531986531988E-3</v>
      </c>
      <c r="O83" s="25">
        <f>WO2025Jan7men11915171923252931333539414345474955575963656769717375777913171921232729333539434547495153[[#This Row],[R]]/2</f>
        <v>3.8339120370370371E-4</v>
      </c>
      <c r="P83" s="28">
        <f>(WO2025Jan7men11915171923252931333539414345474955575963656769717375777913171921232729333539434547495153[[#This Row],[R]]/2)-0.0000115740740740741</f>
        <v>3.718171296296296E-4</v>
      </c>
      <c r="Q83" s="28">
        <f>(WO2025Jan7men11915171923252931333539414345474955575963656769717375777913171921232729333539434547495153[[#This Row],[R]]/2)-(0.0000115740740740741*2)</f>
        <v>3.6024305555555549E-4</v>
      </c>
      <c r="R83" s="28">
        <f>(WO2025Jan7men11915171923252931333539414345474955575963656769717375777913171921232729333539434547495153[[#This Row],[R]]/2)-(0.0000115740740740741*3)</f>
        <v>3.4866898148148143E-4</v>
      </c>
      <c r="S83" s="28">
        <f>(WO2025Jan7men11915171923252931333539414345474955575963656769717375777913171921232729333539434547495153[[#This Row],[R]]/2)-(0.0000115740740740741*4)</f>
        <v>3.3709490740740732E-4</v>
      </c>
      <c r="T83" s="28">
        <f>(WO2025Jan7men11915171923252931333539414345474955575963656769717375777913171921232729333539434547495153[[#This Row],[R]]/2)-(0.0000115740740740741*5)</f>
        <v>3.2552083333333321E-4</v>
      </c>
      <c r="U83" s="28" t="s">
        <v>25</v>
      </c>
      <c r="V83" s="25"/>
      <c r="W83" s="15" t="s">
        <v>48</v>
      </c>
      <c r="X83" s="52"/>
    </row>
    <row r="84" spans="1:24" ht="20.45" customHeight="1">
      <c r="A84" s="10" t="s">
        <v>102</v>
      </c>
      <c r="B84" s="11">
        <v>1.1458333333333333E-2</v>
      </c>
      <c r="C84" s="11">
        <v>3.0671296296296297E-3</v>
      </c>
      <c r="D84" s="11">
        <f t="shared" si="24"/>
        <v>6.6664583333333324E-3</v>
      </c>
      <c r="E84" s="12">
        <v>0.58179999999999998</v>
      </c>
      <c r="F84" s="11">
        <f t="shared" si="25"/>
        <v>7.6678240740740743E-4</v>
      </c>
      <c r="G84" s="11">
        <f t="shared" si="26"/>
        <v>8.8886111111111099E-4</v>
      </c>
      <c r="H84" s="11">
        <f t="shared" si="27"/>
        <v>9.1666666666666665E-4</v>
      </c>
      <c r="I84" s="11">
        <f t="shared" si="28"/>
        <v>9.5576463560334514E-4</v>
      </c>
      <c r="J84" s="11">
        <f t="shared" si="29"/>
        <v>9.6615338164251195E-4</v>
      </c>
      <c r="K84" s="11">
        <f t="shared" si="30"/>
        <v>1.0100694444444443E-3</v>
      </c>
      <c r="L84" s="17">
        <f t="shared" si="31"/>
        <v>1.0581679894179892E-3</v>
      </c>
      <c r="M84" s="25">
        <f>WO2025Jan7men11915171923252931333539414345474955575963656769717375777913171921232729333539434547495153[[#This Row],[Thresh]]</f>
        <v>1.0100694444444443E-3</v>
      </c>
      <c r="N84" s="28">
        <f>WO2025Jan7men11915171923252931333539414345474955575963656769717375777913171921232729333539434547495153[[#This Row],[Thresh]]*2.5</f>
        <v>2.5251736111111108E-3</v>
      </c>
      <c r="O84" s="25">
        <f>WO2025Jan7men11915171923252931333539414345474955575963656769717375777913171921232729333539434547495153[[#This Row],[R]]/2</f>
        <v>3.8339120370370371E-4</v>
      </c>
      <c r="P84" s="28">
        <f>(WO2025Jan7men11915171923252931333539414345474955575963656769717375777913171921232729333539434547495153[[#This Row],[R]]/2)-0.0000115740740740741</f>
        <v>3.718171296296296E-4</v>
      </c>
      <c r="Q84" s="28">
        <f>(WO2025Jan7men11915171923252931333539414345474955575963656769717375777913171921232729333539434547495153[[#This Row],[R]]/2)-(0.0000115740740740741*2)</f>
        <v>3.6024305555555549E-4</v>
      </c>
      <c r="R84" s="28">
        <f>(WO2025Jan7men11915171923252931333539414345474955575963656769717375777913171921232729333539434547495153[[#This Row],[R]]/2)-(0.0000115740740740741*3)</f>
        <v>3.4866898148148143E-4</v>
      </c>
      <c r="S84" s="28">
        <f>(WO2025Jan7men11915171923252931333539414345474955575963656769717375777913171921232729333539434547495153[[#This Row],[R]]/2)-(0.0000115740740740741*4)</f>
        <v>3.3709490740740732E-4</v>
      </c>
      <c r="T84" s="28">
        <f>(WO2025Jan7men11915171923252931333539414345474955575963656769717375777913171921232729333539434547495153[[#This Row],[R]]/2)-(0.0000115740740740741*5)</f>
        <v>3.2552083333333321E-4</v>
      </c>
      <c r="U84" s="28" t="s">
        <v>25</v>
      </c>
      <c r="V84" s="25"/>
      <c r="W84" s="15" t="s">
        <v>48</v>
      </c>
      <c r="X84" s="52"/>
    </row>
    <row r="85" spans="1:24" ht="20.45" customHeight="1">
      <c r="A85" s="10" t="s">
        <v>103</v>
      </c>
      <c r="B85" s="11">
        <v>1.1111111111111112E-2</v>
      </c>
      <c r="C85" s="11">
        <v>3.0671296296296297E-3</v>
      </c>
      <c r="D85" s="11">
        <f t="shared" si="24"/>
        <v>6.4644444444444445E-3</v>
      </c>
      <c r="E85" s="12">
        <v>0.58179999999999998</v>
      </c>
      <c r="F85" s="11">
        <f t="shared" si="25"/>
        <v>7.6678240740740743E-4</v>
      </c>
      <c r="G85" s="11">
        <f t="shared" si="26"/>
        <v>8.6192592592592592E-4</v>
      </c>
      <c r="H85" s="11">
        <f t="shared" si="27"/>
        <v>8.8888888888888893E-4</v>
      </c>
      <c r="I85" s="11">
        <f t="shared" si="28"/>
        <v>9.2680207088809239E-4</v>
      </c>
      <c r="J85" s="11">
        <f t="shared" si="29"/>
        <v>9.3687600644122375E-4</v>
      </c>
      <c r="K85" s="11">
        <f t="shared" si="30"/>
        <v>9.7946127946127947E-4</v>
      </c>
      <c r="L85" s="11">
        <f t="shared" si="31"/>
        <v>1.0261022927689596E-3</v>
      </c>
      <c r="M85" s="25">
        <f>WO2025Jan7men11915171923252931333539414345474955575963656769717375777913171921232729333539434547495153[[#This Row],[Thresh]]</f>
        <v>9.7946127946127947E-4</v>
      </c>
      <c r="N85" s="28">
        <f>WO2025Jan7men11915171923252931333539414345474955575963656769717375777913171921232729333539434547495153[[#This Row],[Thresh]]*2.5</f>
        <v>2.4486531986531988E-3</v>
      </c>
      <c r="O85" s="25">
        <f>WO2025Jan7men11915171923252931333539414345474955575963656769717375777913171921232729333539434547495153[[#This Row],[R]]/2</f>
        <v>3.8339120370370371E-4</v>
      </c>
      <c r="P85" s="28">
        <f>(WO2025Jan7men11915171923252931333539414345474955575963656769717375777913171921232729333539434547495153[[#This Row],[R]]/2)-0.0000115740740740741</f>
        <v>3.718171296296296E-4</v>
      </c>
      <c r="Q85" s="28">
        <f>(WO2025Jan7men11915171923252931333539414345474955575963656769717375777913171921232729333539434547495153[[#This Row],[R]]/2)-(0.0000115740740740741*2)</f>
        <v>3.6024305555555549E-4</v>
      </c>
      <c r="R85" s="28">
        <f>(WO2025Jan7men11915171923252931333539414345474955575963656769717375777913171921232729333539434547495153[[#This Row],[R]]/2)-(0.0000115740740740741*3)</f>
        <v>3.4866898148148143E-4</v>
      </c>
      <c r="S85" s="28">
        <f>(WO2025Jan7men11915171923252931333539414345474955575963656769717375777913171921232729333539434547495153[[#This Row],[R]]/2)-(0.0000115740740740741*4)</f>
        <v>3.3709490740740732E-4</v>
      </c>
      <c r="T85" s="28">
        <f>(WO2025Jan7men11915171923252931333539414345474955575963656769717375777913171921232729333539434547495153[[#This Row],[R]]/2)-(0.0000115740740740741*5)</f>
        <v>3.2552083333333321E-4</v>
      </c>
      <c r="U85" s="28" t="s">
        <v>25</v>
      </c>
      <c r="V85" s="25"/>
      <c r="W85" s="15" t="s">
        <v>48</v>
      </c>
      <c r="X85" s="52"/>
    </row>
    <row r="86" spans="1:24" ht="20.45" customHeight="1">
      <c r="A86" s="10" t="s">
        <v>104</v>
      </c>
      <c r="B86" s="11">
        <v>1.1458333333333333E-2</v>
      </c>
      <c r="C86" s="11">
        <v>3.2986111111111111E-3</v>
      </c>
      <c r="D86" s="11">
        <f t="shared" si="24"/>
        <v>6.6664583333333324E-3</v>
      </c>
      <c r="E86" s="12">
        <v>0.58179999999999998</v>
      </c>
      <c r="F86" s="11">
        <f t="shared" si="25"/>
        <v>8.2465277777777778E-4</v>
      </c>
      <c r="G86" s="11">
        <f t="shared" si="26"/>
        <v>8.8886111111111099E-4</v>
      </c>
      <c r="H86" s="11">
        <f t="shared" si="27"/>
        <v>9.1666666666666665E-4</v>
      </c>
      <c r="I86" s="11">
        <f t="shared" si="28"/>
        <v>9.5576463560334514E-4</v>
      </c>
      <c r="J86" s="11">
        <f t="shared" si="29"/>
        <v>9.6615338164251195E-4</v>
      </c>
      <c r="K86" s="11">
        <f t="shared" si="30"/>
        <v>1.0100694444444443E-3</v>
      </c>
      <c r="L86" s="11">
        <f t="shared" si="31"/>
        <v>1.0581679894179892E-3</v>
      </c>
      <c r="M86" s="25">
        <f>WO2025Jan7men11915171923252931333539414345474955575963656769717375777913171921232729333539434547495153[[#This Row],[Thresh]]</f>
        <v>1.0100694444444443E-3</v>
      </c>
      <c r="N86" s="28">
        <f>WO2025Jan7men11915171923252931333539414345474955575963656769717375777913171921232729333539434547495153[[#This Row],[Thresh]]*2.5</f>
        <v>2.5251736111111108E-3</v>
      </c>
      <c r="O86" s="25">
        <f>WO2025Jan7men11915171923252931333539414345474955575963656769717375777913171921232729333539434547495153[[#This Row],[R]]/2</f>
        <v>4.1232638888888889E-4</v>
      </c>
      <c r="P86" s="28">
        <f>(WO2025Jan7men11915171923252931333539414345474955575963656769717375777913171921232729333539434547495153[[#This Row],[R]]/2)-0.0000115740740740741</f>
        <v>4.0075231481481478E-4</v>
      </c>
      <c r="Q86" s="28">
        <f>(WO2025Jan7men11915171923252931333539414345474955575963656769717375777913171921232729333539434547495153[[#This Row],[R]]/2)-(0.0000115740740740741*2)</f>
        <v>3.8917824074074066E-4</v>
      </c>
      <c r="R86" s="28">
        <f>(WO2025Jan7men11915171923252931333539414345474955575963656769717375777913171921232729333539434547495153[[#This Row],[R]]/2)-(0.0000115740740740741*3)</f>
        <v>3.776041666666666E-4</v>
      </c>
      <c r="S86" s="28">
        <f>(WO2025Jan7men11915171923252931333539414345474955575963656769717375777913171921232729333539434547495153[[#This Row],[R]]/2)-(0.0000115740740740741*4)</f>
        <v>3.6603009259259249E-4</v>
      </c>
      <c r="T86" s="28">
        <f>(WO2025Jan7men11915171923252931333539414345474955575963656769717375777913171921232729333539434547495153[[#This Row],[R]]/2)-(0.0000115740740740741*5)</f>
        <v>3.5445601851851838E-4</v>
      </c>
      <c r="U86" s="28" t="s">
        <v>25</v>
      </c>
      <c r="V86" s="25"/>
      <c r="W86" s="15" t="s">
        <v>48</v>
      </c>
      <c r="X86" s="52"/>
    </row>
    <row r="87" spans="1:24" ht="20.45" customHeight="1">
      <c r="A87" s="19" t="s">
        <v>0</v>
      </c>
      <c r="B87" s="6"/>
      <c r="C87" s="6"/>
      <c r="D87" s="6"/>
      <c r="E87" s="20"/>
      <c r="F87" s="6"/>
      <c r="G87" s="6"/>
      <c r="H87" s="6"/>
      <c r="I87" s="6"/>
      <c r="J87" s="6"/>
      <c r="K87" s="6"/>
      <c r="L87" s="6"/>
      <c r="M87" s="6"/>
      <c r="N87" s="6"/>
      <c r="O87" s="6"/>
      <c r="P87" s="6"/>
      <c r="Q87" s="6"/>
      <c r="R87" s="6"/>
      <c r="S87" s="6"/>
      <c r="T87" s="6"/>
      <c r="U87" s="6"/>
      <c r="V87" s="23"/>
      <c r="W87" s="35"/>
      <c r="X87" s="52"/>
    </row>
    <row r="88" spans="1:24" ht="20.45" customHeight="1">
      <c r="A88" s="10" t="s">
        <v>105</v>
      </c>
      <c r="B88" s="11">
        <v>1.0648148148148148E-2</v>
      </c>
      <c r="C88" s="11">
        <v>2.9745370370370373E-3</v>
      </c>
      <c r="D88" s="11">
        <f>B88*E88</f>
        <v>6.1950925925925923E-3</v>
      </c>
      <c r="E88" s="12">
        <v>0.58179999999999998</v>
      </c>
      <c r="F88" s="11">
        <f>C88/4</f>
        <v>7.4363425925925931E-4</v>
      </c>
      <c r="G88" s="11">
        <f>D88/7.5</f>
        <v>8.2601234567901232E-4</v>
      </c>
      <c r="H88" s="11">
        <f>B88/12.5</f>
        <v>8.5185185185185179E-4</v>
      </c>
      <c r="I88" s="11">
        <f>G88/0.93</f>
        <v>8.8818531793442184E-4</v>
      </c>
      <c r="J88" s="11">
        <f>G88/0.92</f>
        <v>8.9783950617283942E-4</v>
      </c>
      <c r="K88" s="11">
        <f>G88/0.88</f>
        <v>9.3865039281705945E-4</v>
      </c>
      <c r="L88" s="11">
        <f>G88/0.84</f>
        <v>9.833480305702527E-4</v>
      </c>
      <c r="M88" s="25"/>
      <c r="N88" s="28"/>
      <c r="O88" s="25"/>
      <c r="P88" s="25"/>
      <c r="Q88" s="25"/>
      <c r="R88" s="25"/>
      <c r="S88" s="25"/>
      <c r="T88" s="25"/>
      <c r="U88" s="28"/>
      <c r="V88" s="25"/>
      <c r="W88" s="15" t="s">
        <v>52</v>
      </c>
      <c r="X88" s="52" t="s">
        <v>56</v>
      </c>
    </row>
    <row r="89" spans="1:24" ht="20.45" customHeight="1">
      <c r="A89" s="10" t="s">
        <v>106</v>
      </c>
      <c r="B89" s="11">
        <v>1.0590277777777778E-2</v>
      </c>
      <c r="C89" s="11">
        <v>2.9745370370370373E-3</v>
      </c>
      <c r="D89" s="11">
        <f>B89*E89</f>
        <v>6.1614236111111114E-3</v>
      </c>
      <c r="E89" s="12">
        <v>0.58179999999999998</v>
      </c>
      <c r="F89" s="11">
        <f>C89/4</f>
        <v>7.4363425925925931E-4</v>
      </c>
      <c r="G89" s="11">
        <f>D89/7.5</f>
        <v>8.2152314814814816E-4</v>
      </c>
      <c r="H89" s="11">
        <f>B89/12.5</f>
        <v>8.472222222222223E-4</v>
      </c>
      <c r="I89" s="11">
        <f>G89/0.93</f>
        <v>8.8335822381521299E-4</v>
      </c>
      <c r="J89" s="11">
        <f>G89/0.92</f>
        <v>8.9295994363929141E-4</v>
      </c>
      <c r="K89" s="11">
        <f>G89/0.88</f>
        <v>9.3354903198653201E-4</v>
      </c>
      <c r="L89" s="17">
        <f>G89/0.84</f>
        <v>9.7800374779541442E-4</v>
      </c>
      <c r="M89" s="25"/>
      <c r="N89" s="28"/>
      <c r="O89" s="25"/>
      <c r="P89" s="28"/>
      <c r="Q89" s="25"/>
      <c r="R89" s="28"/>
      <c r="S89" s="25"/>
      <c r="T89" s="25"/>
      <c r="U89" s="28"/>
      <c r="V89" s="44"/>
      <c r="W89" s="28" t="s">
        <v>52</v>
      </c>
      <c r="X89" s="52"/>
    </row>
    <row r="90" spans="1:24" ht="20.45" customHeight="1">
      <c r="A90" s="10" t="s">
        <v>107</v>
      </c>
      <c r="B90" s="11">
        <v>1.1111111111111112E-2</v>
      </c>
      <c r="C90" s="11">
        <v>3.2407407407407406E-3</v>
      </c>
      <c r="D90" s="11">
        <f>B90*E90</f>
        <v>6.4644444444444445E-3</v>
      </c>
      <c r="E90" s="12">
        <v>0.58179999999999998</v>
      </c>
      <c r="F90" s="11">
        <f>C90/4</f>
        <v>8.1018518518518516E-4</v>
      </c>
      <c r="G90" s="11">
        <f>D90/7.5</f>
        <v>8.6192592592592592E-4</v>
      </c>
      <c r="H90" s="11">
        <f>B90/12.5</f>
        <v>8.8888888888888893E-4</v>
      </c>
      <c r="I90" s="11">
        <f>G90/0.93</f>
        <v>9.2680207088809239E-4</v>
      </c>
      <c r="J90" s="11">
        <f>G90/0.92</f>
        <v>9.3687600644122375E-4</v>
      </c>
      <c r="K90" s="11">
        <f>G90/0.88</f>
        <v>9.7946127946127947E-4</v>
      </c>
      <c r="L90" s="11">
        <f>G90/0.84</f>
        <v>1.0261022927689596E-3</v>
      </c>
      <c r="M90" s="25"/>
      <c r="N90" s="28"/>
      <c r="O90" s="25"/>
      <c r="P90" s="25"/>
      <c r="Q90" s="25"/>
      <c r="R90" s="28"/>
      <c r="S90" s="25"/>
      <c r="T90" s="25"/>
      <c r="U90" s="28"/>
      <c r="V90" s="28"/>
      <c r="W90" s="15" t="s">
        <v>52</v>
      </c>
      <c r="X90" s="52"/>
    </row>
    <row r="91" spans="1:24" ht="20.45" customHeight="1">
      <c r="A91" s="10" t="s">
        <v>108</v>
      </c>
      <c r="B91" s="11">
        <v>1.0763888888888891E-2</v>
      </c>
      <c r="C91" s="11">
        <v>3.0671296296296297E-3</v>
      </c>
      <c r="D91" s="11">
        <f>B91*E91</f>
        <v>6.2624305555555567E-3</v>
      </c>
      <c r="E91" s="12">
        <v>0.58179999999999998</v>
      </c>
      <c r="F91" s="11">
        <f>C91/4</f>
        <v>7.6678240740740743E-4</v>
      </c>
      <c r="G91" s="11">
        <f>D91/7.5</f>
        <v>8.3499074074074085E-4</v>
      </c>
      <c r="H91" s="11">
        <f>B91/12.5</f>
        <v>8.6111111111111121E-4</v>
      </c>
      <c r="I91" s="11">
        <f>G91/0.93</f>
        <v>8.9783950617283953E-4</v>
      </c>
      <c r="J91" s="11">
        <f>G91/0.92</f>
        <v>9.0759863123993567E-4</v>
      </c>
      <c r="K91" s="11">
        <f>G91/0.88</f>
        <v>9.4885311447811464E-4</v>
      </c>
      <c r="L91" s="17">
        <f>G91/0.84</f>
        <v>9.9403659611992969E-4</v>
      </c>
      <c r="M91" s="25"/>
      <c r="N91" s="28"/>
      <c r="O91" s="25"/>
      <c r="P91" s="28"/>
      <c r="Q91" s="25"/>
      <c r="R91" s="28"/>
      <c r="S91" s="25"/>
      <c r="T91" s="25"/>
      <c r="U91" s="28"/>
      <c r="V91" s="28"/>
      <c r="W91" s="15" t="s">
        <v>52</v>
      </c>
      <c r="X91" s="52"/>
    </row>
    <row r="92" spans="1:24" ht="20.45" customHeight="1">
      <c r="A92" s="10"/>
      <c r="B92" s="11"/>
      <c r="C92" s="11"/>
      <c r="D92" s="11"/>
      <c r="E92" s="12"/>
      <c r="F92" s="11"/>
      <c r="G92" s="11"/>
      <c r="H92" s="11"/>
      <c r="I92" s="11"/>
      <c r="J92" s="11"/>
      <c r="K92" s="11"/>
      <c r="L92" s="11"/>
      <c r="M92" s="25"/>
      <c r="N92" s="28"/>
      <c r="O92" s="25"/>
      <c r="P92" s="28"/>
      <c r="Q92" s="25"/>
      <c r="R92" s="28"/>
      <c r="S92" s="25"/>
      <c r="T92" s="28"/>
      <c r="U92" s="28"/>
      <c r="V92" s="25"/>
      <c r="W92" s="15"/>
      <c r="X92" s="52"/>
    </row>
    <row r="93" spans="1:24" ht="20.45" customHeight="1">
      <c r="A93" s="10"/>
      <c r="B93" s="11"/>
      <c r="C93" s="11"/>
      <c r="D93" s="11"/>
      <c r="E93" s="12"/>
      <c r="F93" s="11"/>
      <c r="G93" s="11"/>
      <c r="H93" s="11"/>
      <c r="I93" s="11"/>
      <c r="J93" s="11"/>
      <c r="K93" s="11"/>
      <c r="L93" s="11"/>
      <c r="M93" s="25"/>
      <c r="N93" s="28"/>
      <c r="O93" s="25"/>
      <c r="P93" s="28"/>
      <c r="Q93" s="28"/>
      <c r="R93" s="11"/>
      <c r="S93" s="14"/>
      <c r="T93" s="14"/>
      <c r="U93" s="26"/>
      <c r="V93" s="28"/>
      <c r="W93" s="27"/>
      <c r="X93" s="52"/>
    </row>
    <row r="94" spans="1:24" ht="20.45" customHeight="1">
      <c r="A94" s="10" t="s">
        <v>109</v>
      </c>
      <c r="B94" s="11">
        <v>9.8379629629629633E-3</v>
      </c>
      <c r="C94" s="11">
        <v>2.9745370370370373E-3</v>
      </c>
      <c r="D94" s="11">
        <f t="shared" ref="D94:D115" si="32">B94*E94</f>
        <v>5.7237268518518522E-3</v>
      </c>
      <c r="E94" s="12">
        <v>0.58179999999999998</v>
      </c>
      <c r="F94" s="11">
        <f t="shared" ref="F94:F115" si="33">C94/4</f>
        <v>7.4363425925925931E-4</v>
      </c>
      <c r="G94" s="11">
        <f t="shared" ref="G94:G115" si="34">D94/7.5</f>
        <v>7.6316358024691364E-4</v>
      </c>
      <c r="H94" s="11">
        <f t="shared" ref="H94:H115" si="35">B94/12.5</f>
        <v>7.8703703703703705E-4</v>
      </c>
      <c r="I94" s="11">
        <f t="shared" ref="I94:I115" si="36">G94/0.93</f>
        <v>8.2060600026549854E-4</v>
      </c>
      <c r="J94" s="11">
        <f t="shared" ref="J94:J115" si="37">G94/0.92</f>
        <v>8.29525630703167E-4</v>
      </c>
      <c r="K94" s="11">
        <f t="shared" ref="K94:K115" si="38">G94/0.88</f>
        <v>8.6723134118967459E-4</v>
      </c>
      <c r="L94" s="17">
        <f t="shared" ref="L94:L115" si="39">G94/0.84</f>
        <v>9.085280717225163E-4</v>
      </c>
      <c r="M94" s="25"/>
      <c r="N94" s="28"/>
      <c r="O94" s="25"/>
      <c r="P94" s="28"/>
      <c r="Q94" s="25"/>
      <c r="R94" s="25"/>
      <c r="S94" s="25"/>
      <c r="T94" s="25"/>
      <c r="U94" s="28"/>
      <c r="V94" s="25"/>
      <c r="W94" s="15"/>
      <c r="X94" s="52"/>
    </row>
    <row r="95" spans="1:24" ht="20.45" customHeight="1">
      <c r="A95" s="10" t="s">
        <v>110</v>
      </c>
      <c r="B95" s="11">
        <v>1.0069444444444445E-2</v>
      </c>
      <c r="C95" s="11">
        <v>2.8935185185185184E-3</v>
      </c>
      <c r="D95" s="11">
        <f t="shared" si="32"/>
        <v>5.8584027777777783E-3</v>
      </c>
      <c r="E95" s="12">
        <v>0.58179999999999998</v>
      </c>
      <c r="F95" s="11">
        <f t="shared" si="33"/>
        <v>7.2337962962962959E-4</v>
      </c>
      <c r="G95" s="11">
        <f t="shared" si="34"/>
        <v>7.811203703703705E-4</v>
      </c>
      <c r="H95" s="11">
        <f t="shared" si="35"/>
        <v>8.0555555555555556E-4</v>
      </c>
      <c r="I95" s="11">
        <f t="shared" si="36"/>
        <v>8.3991437674233382E-4</v>
      </c>
      <c r="J95" s="11">
        <f t="shared" si="37"/>
        <v>8.4904388083735917E-4</v>
      </c>
      <c r="K95" s="11">
        <f t="shared" si="38"/>
        <v>8.8763678451178466E-4</v>
      </c>
      <c r="L95" s="17">
        <f t="shared" si="39"/>
        <v>9.2990520282186973E-4</v>
      </c>
      <c r="M95" s="25"/>
      <c r="N95" s="28"/>
      <c r="O95" s="25"/>
      <c r="P95" s="28"/>
      <c r="Q95" s="25"/>
      <c r="R95" s="25"/>
      <c r="S95" s="25"/>
      <c r="T95" s="25"/>
      <c r="U95" s="28"/>
      <c r="V95" s="25"/>
      <c r="W95" s="15"/>
      <c r="X95" s="52"/>
    </row>
    <row r="96" spans="1:24" ht="20.45" customHeight="1">
      <c r="A96" s="10" t="s">
        <v>111</v>
      </c>
      <c r="B96" s="11">
        <v>1.0069444444444445E-2</v>
      </c>
      <c r="C96" s="11">
        <v>3.0092592592592588E-3</v>
      </c>
      <c r="D96" s="11">
        <f t="shared" si="32"/>
        <v>5.8584027777777783E-3</v>
      </c>
      <c r="E96" s="12">
        <v>0.58179999999999998</v>
      </c>
      <c r="F96" s="11">
        <f t="shared" si="33"/>
        <v>7.5231481481481471E-4</v>
      </c>
      <c r="G96" s="11">
        <f t="shared" si="34"/>
        <v>7.811203703703705E-4</v>
      </c>
      <c r="H96" s="11">
        <f t="shared" si="35"/>
        <v>8.0555555555555556E-4</v>
      </c>
      <c r="I96" s="11">
        <f t="shared" si="36"/>
        <v>8.3991437674233382E-4</v>
      </c>
      <c r="J96" s="11">
        <f t="shared" si="37"/>
        <v>8.4904388083735917E-4</v>
      </c>
      <c r="K96" s="11">
        <f t="shared" si="38"/>
        <v>8.8763678451178466E-4</v>
      </c>
      <c r="L96" s="11">
        <f t="shared" si="39"/>
        <v>9.2990520282186973E-4</v>
      </c>
      <c r="M96" s="25"/>
      <c r="N96" s="28"/>
      <c r="O96" s="25"/>
      <c r="P96" s="28"/>
      <c r="Q96" s="25"/>
      <c r="R96" s="25"/>
      <c r="S96" s="25"/>
      <c r="T96" s="25"/>
      <c r="U96" s="28"/>
      <c r="V96" s="25"/>
      <c r="W96" s="15"/>
      <c r="X96" s="52"/>
    </row>
    <row r="97" spans="1:24" ht="20.45" customHeight="1">
      <c r="A97" s="10" t="s">
        <v>112</v>
      </c>
      <c r="B97" s="11">
        <v>1.0243055555555556E-2</v>
      </c>
      <c r="C97" s="11">
        <v>2.8587962962962963E-3</v>
      </c>
      <c r="D97" s="11">
        <f t="shared" si="32"/>
        <v>5.9594097222222218E-3</v>
      </c>
      <c r="E97" s="12">
        <v>0.58179999999999998</v>
      </c>
      <c r="F97" s="11">
        <f t="shared" si="33"/>
        <v>7.1469907407407409E-4</v>
      </c>
      <c r="G97" s="11">
        <f t="shared" si="34"/>
        <v>7.9458796296296287E-4</v>
      </c>
      <c r="H97" s="11">
        <f t="shared" si="35"/>
        <v>8.1944444444444447E-4</v>
      </c>
      <c r="I97" s="11">
        <f t="shared" si="36"/>
        <v>8.5439565909996003E-4</v>
      </c>
      <c r="J97" s="11">
        <f t="shared" si="37"/>
        <v>8.636825684380031E-4</v>
      </c>
      <c r="K97" s="11">
        <f t="shared" si="38"/>
        <v>9.0294086700336686E-4</v>
      </c>
      <c r="L97" s="11">
        <f t="shared" si="39"/>
        <v>9.4593805114638445E-4</v>
      </c>
      <c r="M97" s="25"/>
      <c r="N97" s="28"/>
      <c r="O97" s="25"/>
      <c r="P97" s="28"/>
      <c r="Q97" s="25"/>
      <c r="R97" s="28"/>
      <c r="S97" s="25"/>
      <c r="T97" s="25"/>
      <c r="U97" s="28"/>
      <c r="V97" s="25"/>
      <c r="W97" s="15"/>
      <c r="X97" s="52"/>
    </row>
    <row r="98" spans="1:24" ht="20.45" customHeight="1">
      <c r="A98" s="10" t="s">
        <v>113</v>
      </c>
      <c r="B98" s="11">
        <v>1.0763888888888891E-2</v>
      </c>
      <c r="C98" s="11">
        <v>3.2986111111111111E-3</v>
      </c>
      <c r="D98" s="11">
        <f t="shared" si="32"/>
        <v>6.2624305555555567E-3</v>
      </c>
      <c r="E98" s="12">
        <v>0.58179999999999998</v>
      </c>
      <c r="F98" s="11">
        <f t="shared" si="33"/>
        <v>8.2465277777777778E-4</v>
      </c>
      <c r="G98" s="11">
        <f t="shared" si="34"/>
        <v>8.3499074074074085E-4</v>
      </c>
      <c r="H98" s="11">
        <f t="shared" si="35"/>
        <v>8.6111111111111121E-4</v>
      </c>
      <c r="I98" s="11">
        <f t="shared" si="36"/>
        <v>8.9783950617283953E-4</v>
      </c>
      <c r="J98" s="11">
        <f t="shared" si="37"/>
        <v>9.0759863123993567E-4</v>
      </c>
      <c r="K98" s="11">
        <f t="shared" si="38"/>
        <v>9.4885311447811464E-4</v>
      </c>
      <c r="L98" s="11">
        <f t="shared" si="39"/>
        <v>9.9403659611992969E-4</v>
      </c>
      <c r="M98" s="25"/>
      <c r="N98" s="28"/>
      <c r="O98" s="25"/>
      <c r="P98" s="28"/>
      <c r="Q98" s="25"/>
      <c r="R98" s="28"/>
      <c r="S98" s="25"/>
      <c r="T98" s="25"/>
      <c r="U98" s="28"/>
      <c r="V98" s="25"/>
      <c r="W98" s="15"/>
      <c r="X98" s="52"/>
    </row>
    <row r="99" spans="1:24" ht="20.45" customHeight="1">
      <c r="A99" s="10" t="s">
        <v>114</v>
      </c>
      <c r="B99" s="11">
        <v>1.0763888888888891E-2</v>
      </c>
      <c r="C99" s="11">
        <v>3.0671296296296297E-3</v>
      </c>
      <c r="D99" s="11">
        <f t="shared" si="32"/>
        <v>6.2624305555555567E-3</v>
      </c>
      <c r="E99" s="12">
        <v>0.58179999999999998</v>
      </c>
      <c r="F99" s="11">
        <f t="shared" si="33"/>
        <v>7.6678240740740743E-4</v>
      </c>
      <c r="G99" s="11">
        <f t="shared" si="34"/>
        <v>8.3499074074074085E-4</v>
      </c>
      <c r="H99" s="11">
        <f t="shared" si="35"/>
        <v>8.6111111111111121E-4</v>
      </c>
      <c r="I99" s="11">
        <f t="shared" si="36"/>
        <v>8.9783950617283953E-4</v>
      </c>
      <c r="J99" s="11">
        <f t="shared" si="37"/>
        <v>9.0759863123993567E-4</v>
      </c>
      <c r="K99" s="11">
        <f t="shared" si="38"/>
        <v>9.4885311447811464E-4</v>
      </c>
      <c r="L99" s="11">
        <f t="shared" si="39"/>
        <v>9.9403659611992969E-4</v>
      </c>
      <c r="M99" s="25"/>
      <c r="N99" s="28"/>
      <c r="O99" s="25"/>
      <c r="P99" s="28"/>
      <c r="Q99" s="25"/>
      <c r="R99" s="28"/>
      <c r="S99" s="25"/>
      <c r="T99" s="25"/>
      <c r="U99" s="28"/>
      <c r="V99" s="25"/>
      <c r="W99" s="15"/>
      <c r="X99" s="52"/>
    </row>
    <row r="100" spans="1:24" ht="20.45" customHeight="1">
      <c r="A100" s="10" t="s">
        <v>115</v>
      </c>
      <c r="B100" s="11">
        <v>1.0532407407407407E-2</v>
      </c>
      <c r="C100" s="11">
        <v>2.9513888888888888E-3</v>
      </c>
      <c r="D100" s="11">
        <f t="shared" si="32"/>
        <v>6.1277546296296288E-3</v>
      </c>
      <c r="E100" s="12">
        <v>0.58179999999999998</v>
      </c>
      <c r="F100" s="11">
        <f t="shared" si="33"/>
        <v>7.378472222222222E-4</v>
      </c>
      <c r="G100" s="11">
        <f t="shared" si="34"/>
        <v>8.1703395061728389E-4</v>
      </c>
      <c r="H100" s="11">
        <f t="shared" si="35"/>
        <v>8.4259259259259259E-4</v>
      </c>
      <c r="I100" s="11">
        <f t="shared" si="36"/>
        <v>8.7853112969600415E-4</v>
      </c>
      <c r="J100" s="11">
        <f t="shared" si="37"/>
        <v>8.8808038110574329E-4</v>
      </c>
      <c r="K100" s="11">
        <f t="shared" si="38"/>
        <v>9.2844767115600447E-4</v>
      </c>
      <c r="L100" s="11">
        <f t="shared" si="39"/>
        <v>9.7265946502057604E-4</v>
      </c>
      <c r="M100" s="25"/>
      <c r="N100" s="28"/>
      <c r="O100" s="25"/>
      <c r="P100" s="28"/>
      <c r="Q100" s="25"/>
      <c r="R100" s="28"/>
      <c r="S100" s="25"/>
      <c r="T100" s="25"/>
      <c r="U100" s="28"/>
      <c r="V100" s="25"/>
      <c r="W100" s="15"/>
      <c r="X100" s="52"/>
    </row>
    <row r="101" spans="1:24" ht="20.45" customHeight="1">
      <c r="A101" s="10" t="s">
        <v>116</v>
      </c>
      <c r="B101" s="11">
        <v>1.0243055555555556E-2</v>
      </c>
      <c r="C101" s="11">
        <v>2.9513888888888888E-3</v>
      </c>
      <c r="D101" s="11">
        <f t="shared" si="32"/>
        <v>5.9594097222222218E-3</v>
      </c>
      <c r="E101" s="12">
        <v>0.58179999999999998</v>
      </c>
      <c r="F101" s="11">
        <f t="shared" si="33"/>
        <v>7.378472222222222E-4</v>
      </c>
      <c r="G101" s="11">
        <f t="shared" si="34"/>
        <v>7.9458796296296287E-4</v>
      </c>
      <c r="H101" s="11">
        <f t="shared" si="35"/>
        <v>8.1944444444444447E-4</v>
      </c>
      <c r="I101" s="11">
        <f t="shared" si="36"/>
        <v>8.5439565909996003E-4</v>
      </c>
      <c r="J101" s="11">
        <f t="shared" si="37"/>
        <v>8.636825684380031E-4</v>
      </c>
      <c r="K101" s="11">
        <f t="shared" si="38"/>
        <v>9.0294086700336686E-4</v>
      </c>
      <c r="L101" s="11">
        <f t="shared" si="39"/>
        <v>9.4593805114638445E-4</v>
      </c>
      <c r="M101" s="25"/>
      <c r="N101" s="28"/>
      <c r="O101" s="25"/>
      <c r="P101" s="28"/>
      <c r="Q101" s="25"/>
      <c r="R101" s="28"/>
      <c r="S101" s="25"/>
      <c r="T101" s="25"/>
      <c r="U101" s="28"/>
      <c r="V101" s="25"/>
      <c r="W101" s="15"/>
      <c r="X101" s="52"/>
    </row>
    <row r="102" spans="1:24" ht="20.45" customHeight="1">
      <c r="A102" s="10" t="s">
        <v>117</v>
      </c>
      <c r="B102" s="11">
        <v>1.0300925925925925E-2</v>
      </c>
      <c r="C102" s="11">
        <v>3.0671296296296297E-3</v>
      </c>
      <c r="D102" s="11">
        <f t="shared" si="32"/>
        <v>5.9930787037037027E-3</v>
      </c>
      <c r="E102" s="12">
        <v>0.58179999999999998</v>
      </c>
      <c r="F102" s="11">
        <f t="shared" si="33"/>
        <v>7.6678240740740743E-4</v>
      </c>
      <c r="G102" s="11">
        <f t="shared" si="34"/>
        <v>7.9907716049382703E-4</v>
      </c>
      <c r="H102" s="11">
        <f t="shared" si="35"/>
        <v>8.2407407407407397E-4</v>
      </c>
      <c r="I102" s="11">
        <f t="shared" si="36"/>
        <v>8.5922275321916877E-4</v>
      </c>
      <c r="J102" s="11">
        <f t="shared" si="37"/>
        <v>8.6856213097155112E-4</v>
      </c>
      <c r="K102" s="11">
        <f t="shared" si="38"/>
        <v>9.080422278338944E-4</v>
      </c>
      <c r="L102" s="11">
        <f t="shared" si="39"/>
        <v>9.5128233392122272E-4</v>
      </c>
      <c r="M102" s="25"/>
      <c r="N102" s="28"/>
      <c r="O102" s="25"/>
      <c r="P102" s="28"/>
      <c r="Q102" s="25"/>
      <c r="R102" s="28"/>
      <c r="S102" s="25"/>
      <c r="T102" s="25"/>
      <c r="U102" s="28"/>
      <c r="V102" s="25"/>
      <c r="W102" s="15"/>
      <c r="X102" s="52"/>
    </row>
    <row r="103" spans="1:24" ht="20.45" customHeight="1">
      <c r="A103" s="10" t="s">
        <v>118</v>
      </c>
      <c r="B103" s="11">
        <v>1.0300925925925925E-2</v>
      </c>
      <c r="C103" s="11">
        <v>3.0671296296296297E-3</v>
      </c>
      <c r="D103" s="11">
        <f t="shared" si="32"/>
        <v>5.9930787037037027E-3</v>
      </c>
      <c r="E103" s="12">
        <v>0.58179999999999998</v>
      </c>
      <c r="F103" s="11">
        <f t="shared" si="33"/>
        <v>7.6678240740740743E-4</v>
      </c>
      <c r="G103" s="11">
        <f t="shared" si="34"/>
        <v>7.9907716049382703E-4</v>
      </c>
      <c r="H103" s="11">
        <f t="shared" si="35"/>
        <v>8.2407407407407397E-4</v>
      </c>
      <c r="I103" s="11">
        <f t="shared" si="36"/>
        <v>8.5922275321916877E-4</v>
      </c>
      <c r="J103" s="11">
        <f t="shared" si="37"/>
        <v>8.6856213097155112E-4</v>
      </c>
      <c r="K103" s="11">
        <f t="shared" si="38"/>
        <v>9.080422278338944E-4</v>
      </c>
      <c r="L103" s="11">
        <f t="shared" si="39"/>
        <v>9.5128233392122272E-4</v>
      </c>
      <c r="M103" s="25"/>
      <c r="N103" s="28"/>
      <c r="O103" s="25"/>
      <c r="P103" s="28"/>
      <c r="Q103" s="25"/>
      <c r="R103" s="28"/>
      <c r="S103" s="25"/>
      <c r="T103" s="25"/>
      <c r="U103" s="28"/>
      <c r="V103" s="25"/>
      <c r="W103" s="15"/>
      <c r="X103" s="52"/>
    </row>
    <row r="104" spans="1:24" ht="20.45" customHeight="1">
      <c r="A104" s="10" t="s">
        <v>119</v>
      </c>
      <c r="B104" s="11">
        <v>1.0416666666666666E-2</v>
      </c>
      <c r="C104" s="11"/>
      <c r="D104" s="11">
        <f t="shared" si="32"/>
        <v>6.0604166666666662E-3</v>
      </c>
      <c r="E104" s="12">
        <v>0.58179999999999998</v>
      </c>
      <c r="F104" s="11">
        <f t="shared" si="33"/>
        <v>0</v>
      </c>
      <c r="G104" s="11">
        <f t="shared" si="34"/>
        <v>8.0805555555555546E-4</v>
      </c>
      <c r="H104" s="11">
        <f t="shared" si="35"/>
        <v>8.3333333333333328E-4</v>
      </c>
      <c r="I104" s="11">
        <f t="shared" si="36"/>
        <v>8.6887694145758646E-4</v>
      </c>
      <c r="J104" s="11">
        <f t="shared" si="37"/>
        <v>8.7832125603864715E-4</v>
      </c>
      <c r="K104" s="11">
        <f t="shared" si="38"/>
        <v>9.1824494949494938E-4</v>
      </c>
      <c r="L104" s="17">
        <f t="shared" si="39"/>
        <v>9.6197089947089938E-4</v>
      </c>
      <c r="M104" s="25"/>
      <c r="N104" s="28"/>
      <c r="O104" s="25"/>
      <c r="P104" s="28"/>
      <c r="Q104" s="25"/>
      <c r="R104" s="28"/>
      <c r="S104" s="25"/>
      <c r="T104" s="25"/>
      <c r="U104" s="28"/>
      <c r="V104" s="25"/>
      <c r="W104" s="15"/>
      <c r="X104" s="52"/>
    </row>
    <row r="105" spans="1:24" ht="20.45" customHeight="1">
      <c r="A105" s="10" t="s">
        <v>120</v>
      </c>
      <c r="B105" s="11">
        <v>1.0416666666666666E-2</v>
      </c>
      <c r="C105" s="11">
        <v>3.1250000000000002E-3</v>
      </c>
      <c r="D105" s="11">
        <f t="shared" si="32"/>
        <v>6.0604166666666662E-3</v>
      </c>
      <c r="E105" s="12">
        <v>0.58179999999999998</v>
      </c>
      <c r="F105" s="11">
        <f t="shared" si="33"/>
        <v>7.8125000000000004E-4</v>
      </c>
      <c r="G105" s="11">
        <f t="shared" si="34"/>
        <v>8.0805555555555546E-4</v>
      </c>
      <c r="H105" s="11">
        <f t="shared" si="35"/>
        <v>8.3333333333333328E-4</v>
      </c>
      <c r="I105" s="11">
        <f t="shared" si="36"/>
        <v>8.6887694145758646E-4</v>
      </c>
      <c r="J105" s="11">
        <f t="shared" si="37"/>
        <v>8.7832125603864715E-4</v>
      </c>
      <c r="K105" s="11">
        <f t="shared" si="38"/>
        <v>9.1824494949494938E-4</v>
      </c>
      <c r="L105" s="11">
        <f t="shared" si="39"/>
        <v>9.6197089947089938E-4</v>
      </c>
      <c r="M105" s="25"/>
      <c r="N105" s="28"/>
      <c r="O105" s="25"/>
      <c r="P105" s="28"/>
      <c r="Q105" s="25"/>
      <c r="R105" s="28"/>
      <c r="S105" s="25"/>
      <c r="T105" s="25"/>
      <c r="U105" s="28"/>
      <c r="V105" s="25"/>
      <c r="W105" s="15"/>
      <c r="X105" s="52"/>
    </row>
    <row r="106" spans="1:24" ht="20.45" customHeight="1">
      <c r="A106" s="10" t="s">
        <v>121</v>
      </c>
      <c r="B106" s="11">
        <v>1.0416666666666666E-2</v>
      </c>
      <c r="C106" s="11"/>
      <c r="D106" s="11">
        <f t="shared" si="32"/>
        <v>6.0604166666666662E-3</v>
      </c>
      <c r="E106" s="12">
        <v>0.58179999999999998</v>
      </c>
      <c r="F106" s="11">
        <f t="shared" si="33"/>
        <v>0</v>
      </c>
      <c r="G106" s="11">
        <f t="shared" si="34"/>
        <v>8.0805555555555546E-4</v>
      </c>
      <c r="H106" s="11">
        <f t="shared" si="35"/>
        <v>8.3333333333333328E-4</v>
      </c>
      <c r="I106" s="11">
        <f t="shared" si="36"/>
        <v>8.6887694145758646E-4</v>
      </c>
      <c r="J106" s="11">
        <f t="shared" si="37"/>
        <v>8.7832125603864715E-4</v>
      </c>
      <c r="K106" s="11">
        <f t="shared" si="38"/>
        <v>9.1824494949494938E-4</v>
      </c>
      <c r="L106" s="17">
        <f t="shared" si="39"/>
        <v>9.6197089947089938E-4</v>
      </c>
      <c r="M106" s="25"/>
      <c r="N106" s="28"/>
      <c r="O106" s="25"/>
      <c r="P106" s="28"/>
      <c r="Q106" s="25"/>
      <c r="R106" s="28"/>
      <c r="S106" s="25"/>
      <c r="T106" s="25"/>
      <c r="U106" s="28"/>
      <c r="V106" s="25"/>
      <c r="W106" s="15"/>
      <c r="X106" s="52"/>
    </row>
    <row r="107" spans="1:24" ht="20.45" customHeight="1">
      <c r="A107" s="10" t="s">
        <v>122</v>
      </c>
      <c r="B107" s="11">
        <v>1.0590277777777778E-2</v>
      </c>
      <c r="C107" s="11">
        <v>3.0671296296296297E-3</v>
      </c>
      <c r="D107" s="11">
        <f t="shared" si="32"/>
        <v>6.1614236111111114E-3</v>
      </c>
      <c r="E107" s="12">
        <v>0.58179999999999998</v>
      </c>
      <c r="F107" s="11">
        <f t="shared" si="33"/>
        <v>7.6678240740740743E-4</v>
      </c>
      <c r="G107" s="11">
        <f t="shared" si="34"/>
        <v>8.2152314814814816E-4</v>
      </c>
      <c r="H107" s="11">
        <f t="shared" si="35"/>
        <v>8.472222222222223E-4</v>
      </c>
      <c r="I107" s="11">
        <f t="shared" si="36"/>
        <v>8.8335822381521299E-4</v>
      </c>
      <c r="J107" s="11">
        <f t="shared" si="37"/>
        <v>8.9295994363929141E-4</v>
      </c>
      <c r="K107" s="11">
        <f t="shared" si="38"/>
        <v>9.3354903198653201E-4</v>
      </c>
      <c r="L107" s="11">
        <f t="shared" si="39"/>
        <v>9.7800374779541442E-4</v>
      </c>
      <c r="M107" s="25"/>
      <c r="N107" s="28"/>
      <c r="O107" s="25"/>
      <c r="P107" s="28"/>
      <c r="Q107" s="25"/>
      <c r="R107" s="28"/>
      <c r="S107" s="25"/>
      <c r="T107" s="25"/>
      <c r="U107" s="28"/>
      <c r="V107" s="25"/>
      <c r="W107" s="15"/>
      <c r="X107" s="52"/>
    </row>
    <row r="108" spans="1:24" ht="20.45" customHeight="1">
      <c r="A108" s="10" t="s">
        <v>123</v>
      </c>
      <c r="B108" s="11">
        <v>1.0590277777777778E-2</v>
      </c>
      <c r="C108" s="11">
        <v>3.1828703703703702E-3</v>
      </c>
      <c r="D108" s="11">
        <f t="shared" si="32"/>
        <v>6.1614236111111114E-3</v>
      </c>
      <c r="E108" s="12">
        <v>0.58179999999999998</v>
      </c>
      <c r="F108" s="11">
        <f t="shared" si="33"/>
        <v>7.9571759259259255E-4</v>
      </c>
      <c r="G108" s="11">
        <f t="shared" si="34"/>
        <v>8.2152314814814816E-4</v>
      </c>
      <c r="H108" s="11">
        <f t="shared" si="35"/>
        <v>8.472222222222223E-4</v>
      </c>
      <c r="I108" s="11">
        <f t="shared" si="36"/>
        <v>8.8335822381521299E-4</v>
      </c>
      <c r="J108" s="11">
        <f t="shared" si="37"/>
        <v>8.9295994363929141E-4</v>
      </c>
      <c r="K108" s="11">
        <f t="shared" si="38"/>
        <v>9.3354903198653201E-4</v>
      </c>
      <c r="L108" s="11">
        <f t="shared" si="39"/>
        <v>9.7800374779541442E-4</v>
      </c>
      <c r="M108" s="25"/>
      <c r="N108" s="28"/>
      <c r="O108" s="25"/>
      <c r="P108" s="28"/>
      <c r="Q108" s="25"/>
      <c r="R108" s="28"/>
      <c r="S108" s="25"/>
      <c r="T108" s="25"/>
      <c r="U108" s="28"/>
      <c r="V108" s="25"/>
      <c r="W108" s="15"/>
      <c r="X108" s="52"/>
    </row>
    <row r="109" spans="1:24" ht="20.45" customHeight="1">
      <c r="A109" s="10" t="s">
        <v>124</v>
      </c>
      <c r="B109" s="11">
        <v>1.0590277777777778E-2</v>
      </c>
      <c r="C109" s="11"/>
      <c r="D109" s="11">
        <f t="shared" si="32"/>
        <v>6.1614236111111114E-3</v>
      </c>
      <c r="E109" s="12">
        <v>0.58179999999999998</v>
      </c>
      <c r="F109" s="11">
        <f t="shared" si="33"/>
        <v>0</v>
      </c>
      <c r="G109" s="11">
        <f t="shared" si="34"/>
        <v>8.2152314814814816E-4</v>
      </c>
      <c r="H109" s="11">
        <f t="shared" si="35"/>
        <v>8.472222222222223E-4</v>
      </c>
      <c r="I109" s="11">
        <f t="shared" si="36"/>
        <v>8.8335822381521299E-4</v>
      </c>
      <c r="J109" s="11">
        <f t="shared" si="37"/>
        <v>8.9295994363929141E-4</v>
      </c>
      <c r="K109" s="11">
        <f t="shared" si="38"/>
        <v>9.3354903198653201E-4</v>
      </c>
      <c r="L109" s="11">
        <f t="shared" si="39"/>
        <v>9.7800374779541442E-4</v>
      </c>
      <c r="M109" s="25"/>
      <c r="N109" s="28"/>
      <c r="O109" s="25"/>
      <c r="P109" s="28"/>
      <c r="Q109" s="25"/>
      <c r="R109" s="28"/>
      <c r="S109" s="25"/>
      <c r="T109" s="25"/>
      <c r="U109" s="28"/>
      <c r="V109" s="25"/>
      <c r="W109" s="15"/>
      <c r="X109" s="52"/>
    </row>
    <row r="110" spans="1:24" ht="20.45" customHeight="1">
      <c r="A110" s="10" t="s">
        <v>125</v>
      </c>
      <c r="B110" s="11">
        <v>1.0648148148148148E-2</v>
      </c>
      <c r="C110" s="11"/>
      <c r="D110" s="11">
        <f t="shared" si="32"/>
        <v>6.1950925925925923E-3</v>
      </c>
      <c r="E110" s="12">
        <v>0.58179999999999998</v>
      </c>
      <c r="F110" s="11">
        <f t="shared" si="33"/>
        <v>0</v>
      </c>
      <c r="G110" s="11">
        <f t="shared" si="34"/>
        <v>8.2601234567901232E-4</v>
      </c>
      <c r="H110" s="11">
        <f t="shared" si="35"/>
        <v>8.5185185185185179E-4</v>
      </c>
      <c r="I110" s="11">
        <f t="shared" si="36"/>
        <v>8.8818531793442184E-4</v>
      </c>
      <c r="J110" s="11">
        <f t="shared" si="37"/>
        <v>8.9783950617283942E-4</v>
      </c>
      <c r="K110" s="11">
        <f t="shared" si="38"/>
        <v>9.3865039281705945E-4</v>
      </c>
      <c r="L110" s="11">
        <f t="shared" si="39"/>
        <v>9.833480305702527E-4</v>
      </c>
      <c r="M110" s="25"/>
      <c r="N110" s="28"/>
      <c r="O110" s="25"/>
      <c r="P110" s="28"/>
      <c r="Q110" s="25"/>
      <c r="R110" s="28"/>
      <c r="S110" s="25"/>
      <c r="T110" s="25"/>
      <c r="U110" s="28"/>
      <c r="V110" s="25"/>
      <c r="W110" s="15"/>
      <c r="X110" s="52"/>
    </row>
    <row r="111" spans="1:24" ht="20.45" customHeight="1">
      <c r="A111" s="10" t="s">
        <v>126</v>
      </c>
      <c r="B111" s="11">
        <v>1.0648148148148148E-2</v>
      </c>
      <c r="C111" s="11"/>
      <c r="D111" s="11">
        <f t="shared" si="32"/>
        <v>6.1950925925925923E-3</v>
      </c>
      <c r="E111" s="12">
        <v>0.58179999999999998</v>
      </c>
      <c r="F111" s="11">
        <f t="shared" si="33"/>
        <v>0</v>
      </c>
      <c r="G111" s="11">
        <f t="shared" si="34"/>
        <v>8.2601234567901232E-4</v>
      </c>
      <c r="H111" s="11">
        <f t="shared" si="35"/>
        <v>8.5185185185185179E-4</v>
      </c>
      <c r="I111" s="11">
        <f t="shared" si="36"/>
        <v>8.8818531793442184E-4</v>
      </c>
      <c r="J111" s="11">
        <f t="shared" si="37"/>
        <v>8.9783950617283942E-4</v>
      </c>
      <c r="K111" s="11">
        <f t="shared" si="38"/>
        <v>9.3865039281705945E-4</v>
      </c>
      <c r="L111" s="11">
        <f t="shared" si="39"/>
        <v>9.833480305702527E-4</v>
      </c>
      <c r="M111" s="25"/>
      <c r="N111" s="28"/>
      <c r="O111" s="25"/>
      <c r="P111" s="28"/>
      <c r="Q111" s="25"/>
      <c r="R111" s="28"/>
      <c r="S111" s="25"/>
      <c r="T111" s="25"/>
      <c r="U111" s="28"/>
      <c r="V111" s="25"/>
      <c r="W111" s="15"/>
      <c r="X111" s="52"/>
    </row>
    <row r="112" spans="1:24" ht="20.45" customHeight="1">
      <c r="A112" s="10" t="s">
        <v>127</v>
      </c>
      <c r="B112" s="11">
        <v>1.0648148148148148E-2</v>
      </c>
      <c r="C112" s="11">
        <v>2.9513888888888888E-3</v>
      </c>
      <c r="D112" s="11">
        <f t="shared" si="32"/>
        <v>6.1950925925925923E-3</v>
      </c>
      <c r="E112" s="12">
        <v>0.58179999999999998</v>
      </c>
      <c r="F112" s="11">
        <f t="shared" si="33"/>
        <v>7.378472222222222E-4</v>
      </c>
      <c r="G112" s="11">
        <f t="shared" si="34"/>
        <v>8.2601234567901232E-4</v>
      </c>
      <c r="H112" s="11">
        <f t="shared" si="35"/>
        <v>8.5185185185185179E-4</v>
      </c>
      <c r="I112" s="11">
        <f t="shared" si="36"/>
        <v>8.8818531793442184E-4</v>
      </c>
      <c r="J112" s="11">
        <f t="shared" si="37"/>
        <v>8.9783950617283942E-4</v>
      </c>
      <c r="K112" s="11">
        <f t="shared" si="38"/>
        <v>9.3865039281705945E-4</v>
      </c>
      <c r="L112" s="11">
        <f t="shared" si="39"/>
        <v>9.833480305702527E-4</v>
      </c>
      <c r="M112" s="25"/>
      <c r="N112" s="28"/>
      <c r="O112" s="25"/>
      <c r="P112" s="28"/>
      <c r="Q112" s="25"/>
      <c r="R112" s="28"/>
      <c r="S112" s="25"/>
      <c r="T112" s="25"/>
      <c r="U112" s="28"/>
      <c r="V112" s="25"/>
      <c r="W112" s="15"/>
      <c r="X112" s="52"/>
    </row>
    <row r="113" spans="1:24" ht="20.45" customHeight="1">
      <c r="A113" s="10" t="s">
        <v>128</v>
      </c>
      <c r="B113" s="11">
        <v>1.0648148148148148E-2</v>
      </c>
      <c r="C113" s="11"/>
      <c r="D113" s="11">
        <f t="shared" si="32"/>
        <v>6.1950925925925923E-3</v>
      </c>
      <c r="E113" s="12">
        <v>0.58179999999999998</v>
      </c>
      <c r="F113" s="11">
        <f t="shared" si="33"/>
        <v>0</v>
      </c>
      <c r="G113" s="11">
        <f t="shared" si="34"/>
        <v>8.2601234567901232E-4</v>
      </c>
      <c r="H113" s="11">
        <f t="shared" si="35"/>
        <v>8.5185185185185179E-4</v>
      </c>
      <c r="I113" s="11">
        <f t="shared" si="36"/>
        <v>8.8818531793442184E-4</v>
      </c>
      <c r="J113" s="11">
        <f t="shared" si="37"/>
        <v>8.9783950617283942E-4</v>
      </c>
      <c r="K113" s="11">
        <f t="shared" si="38"/>
        <v>9.3865039281705945E-4</v>
      </c>
      <c r="L113" s="11">
        <f t="shared" si="39"/>
        <v>9.833480305702527E-4</v>
      </c>
      <c r="M113" s="25"/>
      <c r="N113" s="28"/>
      <c r="O113" s="25"/>
      <c r="P113" s="28"/>
      <c r="Q113" s="25"/>
      <c r="R113" s="28"/>
      <c r="S113" s="25"/>
      <c r="T113" s="25"/>
      <c r="U113" s="28"/>
      <c r="V113" s="25"/>
      <c r="W113" s="15"/>
      <c r="X113" s="52"/>
    </row>
    <row r="114" spans="1:24" ht="20.45" customHeight="1">
      <c r="A114" s="10" t="s">
        <v>129</v>
      </c>
      <c r="B114" s="11">
        <v>1.0763888888888891E-2</v>
      </c>
      <c r="C114" s="11">
        <v>3.0092592592592593E-3</v>
      </c>
      <c r="D114" s="11">
        <f t="shared" si="32"/>
        <v>6.2624305555555567E-3</v>
      </c>
      <c r="E114" s="12">
        <v>0.58179999999999998</v>
      </c>
      <c r="F114" s="11">
        <f t="shared" si="33"/>
        <v>7.5231481481481482E-4</v>
      </c>
      <c r="G114" s="11">
        <f t="shared" si="34"/>
        <v>8.3499074074074085E-4</v>
      </c>
      <c r="H114" s="11">
        <f t="shared" si="35"/>
        <v>8.6111111111111121E-4</v>
      </c>
      <c r="I114" s="11">
        <f t="shared" si="36"/>
        <v>8.9783950617283953E-4</v>
      </c>
      <c r="J114" s="11">
        <f t="shared" si="37"/>
        <v>9.0759863123993567E-4</v>
      </c>
      <c r="K114" s="11">
        <f t="shared" si="38"/>
        <v>9.4885311447811464E-4</v>
      </c>
      <c r="L114" s="11">
        <f t="shared" si="39"/>
        <v>9.9403659611992969E-4</v>
      </c>
      <c r="M114" s="25"/>
      <c r="N114" s="28"/>
      <c r="O114" s="25"/>
      <c r="P114" s="28"/>
      <c r="Q114" s="25"/>
      <c r="R114" s="28"/>
      <c r="S114" s="25"/>
      <c r="T114" s="25"/>
      <c r="U114" s="28"/>
      <c r="V114" s="25"/>
      <c r="W114" s="15"/>
      <c r="X114" s="52"/>
    </row>
    <row r="115" spans="1:24" ht="20.45" customHeight="1">
      <c r="A115" s="10" t="s">
        <v>130</v>
      </c>
      <c r="B115" s="11">
        <v>1.0763888888888891E-2</v>
      </c>
      <c r="C115" s="11">
        <v>3.1828703703703702E-3</v>
      </c>
      <c r="D115" s="11">
        <f t="shared" si="32"/>
        <v>6.2624305555555567E-3</v>
      </c>
      <c r="E115" s="12">
        <v>0.58179999999999998</v>
      </c>
      <c r="F115" s="11">
        <f t="shared" si="33"/>
        <v>7.9571759259259255E-4</v>
      </c>
      <c r="G115" s="11">
        <f t="shared" si="34"/>
        <v>8.3499074074074085E-4</v>
      </c>
      <c r="H115" s="11">
        <f t="shared" si="35"/>
        <v>8.6111111111111121E-4</v>
      </c>
      <c r="I115" s="11">
        <f t="shared" si="36"/>
        <v>8.9783950617283953E-4</v>
      </c>
      <c r="J115" s="11">
        <f t="shared" si="37"/>
        <v>9.0759863123993567E-4</v>
      </c>
      <c r="K115" s="11">
        <f t="shared" si="38"/>
        <v>9.4885311447811464E-4</v>
      </c>
      <c r="L115" s="11">
        <f t="shared" si="39"/>
        <v>9.9403659611992969E-4</v>
      </c>
      <c r="M115" s="25"/>
      <c r="N115" s="28"/>
      <c r="O115" s="25"/>
      <c r="P115" s="28"/>
      <c r="Q115" s="25"/>
      <c r="R115" s="28"/>
      <c r="S115" s="25"/>
      <c r="T115" s="25"/>
      <c r="U115" s="28"/>
      <c r="V115" s="25"/>
      <c r="W115" s="15"/>
      <c r="X115" s="52"/>
    </row>
    <row r="116" spans="1:24" ht="20.45" customHeight="1">
      <c r="A116" s="19" t="s">
        <v>0</v>
      </c>
      <c r="B116" s="6"/>
      <c r="C116" s="6"/>
      <c r="D116" s="6"/>
      <c r="E116" s="20"/>
      <c r="F116" s="6"/>
      <c r="G116" s="6"/>
      <c r="H116" s="6"/>
      <c r="I116" s="6"/>
      <c r="J116" s="6"/>
      <c r="K116" s="6"/>
      <c r="L116" s="6"/>
      <c r="M116" s="6"/>
      <c r="N116" s="6"/>
      <c r="O116" s="6"/>
      <c r="P116" s="6"/>
      <c r="Q116" s="6"/>
      <c r="R116" s="6"/>
      <c r="S116" s="6"/>
      <c r="T116" s="6"/>
      <c r="U116" s="6"/>
      <c r="V116" s="23"/>
      <c r="W116" s="35"/>
      <c r="X116" s="52"/>
    </row>
    <row r="117" spans="1:24" ht="20.45" customHeight="1">
      <c r="A117" s="10" t="s">
        <v>131</v>
      </c>
      <c r="B117" s="11">
        <v>1.0763888888888891E-2</v>
      </c>
      <c r="C117" s="11">
        <v>3.1828703703703702E-3</v>
      </c>
      <c r="D117" s="11">
        <f t="shared" ref="D117:D123" si="40">B117*E117</f>
        <v>6.2624305555555567E-3</v>
      </c>
      <c r="E117" s="12">
        <v>0.58179999999999998</v>
      </c>
      <c r="F117" s="11">
        <f t="shared" ref="F117:F123" si="41">C117/4</f>
        <v>7.9571759259259255E-4</v>
      </c>
      <c r="G117" s="11">
        <f t="shared" ref="G117:G123" si="42">D117/7.5</f>
        <v>8.3499074074074085E-4</v>
      </c>
      <c r="H117" s="11">
        <f t="shared" ref="H117:H123" si="43">B117/12.5</f>
        <v>8.6111111111111121E-4</v>
      </c>
      <c r="I117" s="11">
        <f t="shared" ref="I117:I123" si="44">G117/0.93</f>
        <v>8.9783950617283953E-4</v>
      </c>
      <c r="J117" s="11">
        <f t="shared" ref="J117:J123" si="45">G117/0.92</f>
        <v>9.0759863123993567E-4</v>
      </c>
      <c r="K117" s="11">
        <f t="shared" ref="K117:K123" si="46">G117/0.88</f>
        <v>9.4885311447811464E-4</v>
      </c>
      <c r="L117" s="11">
        <f t="shared" ref="L117:L123" si="47">G117/0.84</f>
        <v>9.9403659611992969E-4</v>
      </c>
      <c r="M117" s="25"/>
      <c r="N117" s="28"/>
      <c r="O117" s="25"/>
      <c r="P117" s="28"/>
      <c r="Q117" s="25"/>
      <c r="R117" s="28"/>
      <c r="S117" s="25"/>
      <c r="T117" s="25"/>
      <c r="U117" s="28"/>
      <c r="V117" s="25"/>
      <c r="W117" s="15"/>
      <c r="X117" s="52"/>
    </row>
    <row r="118" spans="1:24" ht="20.45" customHeight="1">
      <c r="A118" s="10" t="s">
        <v>132</v>
      </c>
      <c r="B118" s="11">
        <v>1.0763888888888891E-2</v>
      </c>
      <c r="C118" s="11"/>
      <c r="D118" s="11">
        <f t="shared" si="40"/>
        <v>6.2624305555555567E-3</v>
      </c>
      <c r="E118" s="12">
        <v>0.58179999999999998</v>
      </c>
      <c r="F118" s="11">
        <f t="shared" si="41"/>
        <v>0</v>
      </c>
      <c r="G118" s="11">
        <f t="shared" si="42"/>
        <v>8.3499074074074085E-4</v>
      </c>
      <c r="H118" s="11">
        <f t="shared" si="43"/>
        <v>8.6111111111111121E-4</v>
      </c>
      <c r="I118" s="11">
        <f t="shared" si="44"/>
        <v>8.9783950617283953E-4</v>
      </c>
      <c r="J118" s="11">
        <f t="shared" si="45"/>
        <v>9.0759863123993567E-4</v>
      </c>
      <c r="K118" s="11">
        <f t="shared" si="46"/>
        <v>9.4885311447811464E-4</v>
      </c>
      <c r="L118" s="11">
        <f t="shared" si="47"/>
        <v>9.9403659611992969E-4</v>
      </c>
      <c r="M118" s="25"/>
      <c r="N118" s="28"/>
      <c r="O118" s="25"/>
      <c r="P118" s="28"/>
      <c r="Q118" s="25"/>
      <c r="R118" s="28"/>
      <c r="S118" s="25"/>
      <c r="T118" s="25"/>
      <c r="U118" s="28"/>
      <c r="V118" s="25"/>
      <c r="W118" s="15"/>
      <c r="X118" s="50"/>
    </row>
    <row r="119" spans="1:24" ht="20.45" customHeight="1">
      <c r="A119" s="10" t="s">
        <v>133</v>
      </c>
      <c r="B119" s="11">
        <v>1.0763888888888891E-2</v>
      </c>
      <c r="C119" s="11">
        <v>3.1250000000000002E-3</v>
      </c>
      <c r="D119" s="11">
        <f t="shared" si="40"/>
        <v>6.2624305555555567E-3</v>
      </c>
      <c r="E119" s="12">
        <v>0.58179999999999998</v>
      </c>
      <c r="F119" s="11">
        <f t="shared" si="41"/>
        <v>7.8125000000000004E-4</v>
      </c>
      <c r="G119" s="11">
        <f t="shared" si="42"/>
        <v>8.3499074074074085E-4</v>
      </c>
      <c r="H119" s="11">
        <f t="shared" si="43"/>
        <v>8.6111111111111121E-4</v>
      </c>
      <c r="I119" s="11">
        <f t="shared" si="44"/>
        <v>8.9783950617283953E-4</v>
      </c>
      <c r="J119" s="11">
        <f t="shared" si="45"/>
        <v>9.0759863123993567E-4</v>
      </c>
      <c r="K119" s="11">
        <f t="shared" si="46"/>
        <v>9.4885311447811464E-4</v>
      </c>
      <c r="L119" s="11">
        <f t="shared" si="47"/>
        <v>9.9403659611992969E-4</v>
      </c>
      <c r="M119" s="25"/>
      <c r="N119" s="28"/>
      <c r="O119" s="25"/>
      <c r="P119" s="28"/>
      <c r="Q119" s="25"/>
      <c r="R119" s="28"/>
      <c r="S119" s="25"/>
      <c r="T119" s="25"/>
      <c r="U119" s="28"/>
      <c r="V119" s="25"/>
      <c r="W119" s="15"/>
      <c r="X119" s="50"/>
    </row>
    <row r="120" spans="1:24" ht="20.45" customHeight="1">
      <c r="A120" s="10" t="s">
        <v>134</v>
      </c>
      <c r="B120" s="11">
        <v>1.1631944444444445E-2</v>
      </c>
      <c r="C120" s="11"/>
      <c r="D120" s="11">
        <f t="shared" si="40"/>
        <v>6.7674652777777776E-3</v>
      </c>
      <c r="E120" s="12">
        <v>0.58179999999999998</v>
      </c>
      <c r="F120" s="11">
        <f t="shared" si="41"/>
        <v>0</v>
      </c>
      <c r="G120" s="11">
        <f t="shared" si="42"/>
        <v>9.0232870370370369E-4</v>
      </c>
      <c r="H120" s="11">
        <f t="shared" si="43"/>
        <v>9.3055555555555556E-4</v>
      </c>
      <c r="I120" s="11">
        <f t="shared" si="44"/>
        <v>9.7024591796097167E-4</v>
      </c>
      <c r="J120" s="11">
        <f t="shared" si="45"/>
        <v>9.8079206924315621E-4</v>
      </c>
      <c r="K120" s="11">
        <f t="shared" si="46"/>
        <v>1.0253735269360269E-3</v>
      </c>
      <c r="L120" s="17">
        <f t="shared" si="47"/>
        <v>1.0742008377425045E-3</v>
      </c>
      <c r="M120" s="25"/>
      <c r="N120" s="28"/>
      <c r="O120" s="25"/>
      <c r="P120" s="28"/>
      <c r="Q120" s="25"/>
      <c r="R120" s="28"/>
      <c r="S120" s="25"/>
      <c r="T120" s="25"/>
      <c r="U120" s="28"/>
      <c r="V120" s="25"/>
      <c r="W120" s="15"/>
      <c r="X120" s="50"/>
    </row>
    <row r="121" spans="1:24" ht="20.45" customHeight="1">
      <c r="A121" s="10" t="s">
        <v>135</v>
      </c>
      <c r="B121" s="11">
        <v>1.1631944444444445E-2</v>
      </c>
      <c r="C121" s="11">
        <v>3.414351851851852E-3</v>
      </c>
      <c r="D121" s="11">
        <f t="shared" si="40"/>
        <v>6.7674652777777776E-3</v>
      </c>
      <c r="E121" s="12">
        <v>0.58179999999999998</v>
      </c>
      <c r="F121" s="11">
        <f t="shared" si="41"/>
        <v>8.53587962962963E-4</v>
      </c>
      <c r="G121" s="11">
        <f t="shared" si="42"/>
        <v>9.0232870370370369E-4</v>
      </c>
      <c r="H121" s="11">
        <f t="shared" si="43"/>
        <v>9.3055555555555556E-4</v>
      </c>
      <c r="I121" s="11">
        <f t="shared" si="44"/>
        <v>9.7024591796097167E-4</v>
      </c>
      <c r="J121" s="11">
        <f t="shared" si="45"/>
        <v>9.8079206924315621E-4</v>
      </c>
      <c r="K121" s="11">
        <f t="shared" si="46"/>
        <v>1.0253735269360269E-3</v>
      </c>
      <c r="L121" s="11">
        <f t="shared" si="47"/>
        <v>1.0742008377425045E-3</v>
      </c>
      <c r="M121" s="25"/>
      <c r="N121" s="28"/>
      <c r="O121" s="25"/>
      <c r="P121" s="28"/>
      <c r="Q121" s="25"/>
      <c r="R121" s="28"/>
      <c r="S121" s="25"/>
      <c r="T121" s="25"/>
      <c r="U121" s="28"/>
      <c r="V121" s="25"/>
      <c r="W121" s="15"/>
      <c r="X121" s="50"/>
    </row>
    <row r="122" spans="1:24" ht="20.45" customHeight="1">
      <c r="A122" s="10" t="s">
        <v>136</v>
      </c>
      <c r="B122" s="11">
        <v>1.1111111111111112E-2</v>
      </c>
      <c r="C122" s="11">
        <v>3.1828703703703702E-3</v>
      </c>
      <c r="D122" s="11">
        <f t="shared" si="40"/>
        <v>6.4644444444444445E-3</v>
      </c>
      <c r="E122" s="12">
        <v>0.58179999999999998</v>
      </c>
      <c r="F122" s="11">
        <f t="shared" si="41"/>
        <v>7.9571759259259255E-4</v>
      </c>
      <c r="G122" s="11">
        <f t="shared" si="42"/>
        <v>8.6192592592592592E-4</v>
      </c>
      <c r="H122" s="11">
        <f t="shared" si="43"/>
        <v>8.8888888888888893E-4</v>
      </c>
      <c r="I122" s="11">
        <f t="shared" si="44"/>
        <v>9.2680207088809239E-4</v>
      </c>
      <c r="J122" s="11">
        <f t="shared" si="45"/>
        <v>9.3687600644122375E-4</v>
      </c>
      <c r="K122" s="11">
        <f t="shared" si="46"/>
        <v>9.7946127946127947E-4</v>
      </c>
      <c r="L122" s="11">
        <f t="shared" si="47"/>
        <v>1.0261022927689596E-3</v>
      </c>
      <c r="M122" s="25"/>
      <c r="N122" s="28"/>
      <c r="O122" s="25"/>
      <c r="P122" s="28"/>
      <c r="Q122" s="25"/>
      <c r="R122" s="28"/>
      <c r="S122" s="25"/>
      <c r="T122" s="25"/>
      <c r="U122" s="28"/>
      <c r="V122" s="25"/>
      <c r="W122" s="15"/>
      <c r="X122" s="50"/>
    </row>
    <row r="123" spans="1:24" ht="20.45" customHeight="1">
      <c r="A123" s="10" t="s">
        <v>137</v>
      </c>
      <c r="B123" s="11">
        <v>1.0763888888888891E-2</v>
      </c>
      <c r="C123" s="11">
        <v>3.0092592592592593E-3</v>
      </c>
      <c r="D123" s="11">
        <f t="shared" si="40"/>
        <v>6.2624305555555567E-3</v>
      </c>
      <c r="E123" s="12">
        <v>0.58179999999999998</v>
      </c>
      <c r="F123" s="11">
        <f t="shared" si="41"/>
        <v>7.5231481481481482E-4</v>
      </c>
      <c r="G123" s="11">
        <f t="shared" si="42"/>
        <v>8.3499074074074085E-4</v>
      </c>
      <c r="H123" s="11">
        <f t="shared" si="43"/>
        <v>8.6111111111111121E-4</v>
      </c>
      <c r="I123" s="11">
        <f t="shared" si="44"/>
        <v>8.9783950617283953E-4</v>
      </c>
      <c r="J123" s="11">
        <f t="shared" si="45"/>
        <v>9.0759863123993567E-4</v>
      </c>
      <c r="K123" s="11">
        <f t="shared" si="46"/>
        <v>9.4885311447811464E-4</v>
      </c>
      <c r="L123" s="11">
        <f t="shared" si="47"/>
        <v>9.9403659611992969E-4</v>
      </c>
      <c r="M123" s="25"/>
      <c r="N123" s="28"/>
      <c r="O123" s="25"/>
      <c r="P123" s="28"/>
      <c r="Q123" s="25"/>
      <c r="R123" s="28"/>
      <c r="S123" s="25"/>
      <c r="T123" s="25"/>
      <c r="U123" s="28"/>
      <c r="V123" s="25"/>
      <c r="W123" s="15"/>
      <c r="X123" s="50"/>
    </row>
    <row r="124" spans="1:24" ht="20.45" customHeight="1">
      <c r="A124" s="10"/>
      <c r="B124" s="11"/>
      <c r="C124" s="11"/>
      <c r="D124" s="11"/>
      <c r="E124" s="12"/>
      <c r="F124" s="11"/>
      <c r="G124" s="11"/>
      <c r="H124" s="11"/>
      <c r="I124" s="11"/>
      <c r="J124" s="11"/>
      <c r="K124" s="11"/>
      <c r="L124" s="11"/>
      <c r="M124" s="25"/>
      <c r="N124" s="28"/>
      <c r="O124" s="25"/>
      <c r="P124" s="25"/>
      <c r="Q124" s="25"/>
      <c r="R124" s="25"/>
      <c r="S124" s="25"/>
      <c r="T124" s="25"/>
      <c r="U124" s="28"/>
      <c r="V124" s="25"/>
      <c r="W124" s="15"/>
      <c r="X124" s="50"/>
    </row>
    <row r="125" spans="1:24" ht="20.45" customHeight="1">
      <c r="A125" s="10"/>
      <c r="B125" s="11"/>
      <c r="C125" s="11"/>
      <c r="D125" s="11"/>
      <c r="E125" s="12"/>
      <c r="F125" s="11"/>
      <c r="G125" s="11"/>
      <c r="H125" s="11"/>
      <c r="I125" s="11"/>
      <c r="J125" s="11"/>
      <c r="K125" s="11"/>
      <c r="L125" s="17"/>
      <c r="M125" s="25"/>
      <c r="N125" s="28"/>
      <c r="O125" s="25"/>
      <c r="P125" s="25"/>
      <c r="Q125" s="25"/>
      <c r="R125" s="28"/>
      <c r="S125" s="25"/>
      <c r="T125" s="25"/>
      <c r="U125" s="28"/>
      <c r="V125" s="25"/>
      <c r="W125" s="15"/>
      <c r="X125" s="50"/>
    </row>
    <row r="126" spans="1:24" ht="20.45" customHeight="1">
      <c r="A126" s="10"/>
      <c r="B126" s="11"/>
      <c r="C126" s="11"/>
      <c r="D126" s="11"/>
      <c r="E126" s="12"/>
      <c r="F126" s="11"/>
      <c r="G126" s="11"/>
      <c r="H126" s="11"/>
      <c r="I126" s="11"/>
      <c r="J126" s="11"/>
      <c r="K126" s="11"/>
      <c r="L126" s="11"/>
      <c r="M126" s="25"/>
      <c r="N126" s="28"/>
      <c r="O126" s="25"/>
      <c r="P126" s="25"/>
      <c r="Q126" s="25"/>
      <c r="R126" s="28"/>
      <c r="S126" s="25"/>
      <c r="T126" s="25"/>
      <c r="U126" s="28"/>
      <c r="V126" s="25"/>
      <c r="W126" s="15"/>
      <c r="X126" s="50"/>
    </row>
    <row r="127" spans="1:24" ht="20.45" customHeight="1">
      <c r="A127" s="10"/>
      <c r="B127" s="11"/>
      <c r="C127" s="11"/>
      <c r="D127" s="11"/>
      <c r="E127" s="12"/>
      <c r="F127" s="11"/>
      <c r="G127" s="11"/>
      <c r="H127" s="11"/>
      <c r="I127" s="11"/>
      <c r="J127" s="11"/>
      <c r="K127" s="11"/>
      <c r="L127" s="11"/>
      <c r="M127" s="25"/>
      <c r="N127" s="28"/>
      <c r="O127" s="25"/>
      <c r="P127" s="28"/>
      <c r="Q127" s="25"/>
      <c r="R127" s="28"/>
      <c r="S127" s="25"/>
      <c r="T127" s="25"/>
      <c r="U127" s="28"/>
      <c r="V127" s="28"/>
      <c r="W127" s="27"/>
      <c r="X127" s="50"/>
    </row>
    <row r="128" spans="1:24" ht="20.45" customHeight="1">
      <c r="A128" s="10"/>
      <c r="B128" s="11"/>
      <c r="C128" s="11"/>
      <c r="D128" s="11"/>
      <c r="E128" s="12"/>
      <c r="F128" s="11"/>
      <c r="G128" s="11"/>
      <c r="H128" s="11"/>
      <c r="I128" s="11"/>
      <c r="J128" s="11"/>
      <c r="K128" s="11"/>
      <c r="L128" s="11"/>
      <c r="M128" s="25"/>
      <c r="N128" s="28"/>
      <c r="O128" s="25"/>
      <c r="P128" s="25"/>
      <c r="Q128" s="25"/>
      <c r="R128" s="25"/>
      <c r="S128" s="25"/>
      <c r="T128" s="25"/>
      <c r="U128" s="28"/>
      <c r="V128" s="25"/>
      <c r="W128" s="15"/>
      <c r="X128" s="50"/>
    </row>
    <row r="129" spans="1:24" ht="20.45" customHeight="1">
      <c r="A129" s="10"/>
      <c r="B129" s="11"/>
      <c r="C129" s="11"/>
      <c r="D129" s="11"/>
      <c r="E129" s="12"/>
      <c r="F129" s="11"/>
      <c r="G129" s="11"/>
      <c r="H129" s="11"/>
      <c r="I129" s="11"/>
      <c r="J129" s="11"/>
      <c r="K129" s="11"/>
      <c r="L129" s="11"/>
      <c r="M129" s="25"/>
      <c r="N129" s="28"/>
      <c r="O129" s="25"/>
      <c r="P129" s="25"/>
      <c r="Q129" s="25"/>
      <c r="R129" s="25"/>
      <c r="S129" s="25"/>
      <c r="T129" s="25"/>
      <c r="U129" s="28"/>
      <c r="V129" s="25"/>
      <c r="W129" s="15"/>
      <c r="X129" s="50"/>
    </row>
    <row r="130" spans="1:24" ht="20.45" customHeight="1">
      <c r="A130" s="10"/>
      <c r="B130" s="11"/>
      <c r="C130" s="11"/>
      <c r="D130" s="11"/>
      <c r="E130" s="12"/>
      <c r="F130" s="11"/>
      <c r="G130" s="11"/>
      <c r="H130" s="11"/>
      <c r="I130" s="11"/>
      <c r="J130" s="11"/>
      <c r="K130" s="11"/>
      <c r="L130" s="17"/>
      <c r="M130" s="25"/>
      <c r="N130" s="28"/>
      <c r="O130" s="25"/>
      <c r="P130" s="25"/>
      <c r="Q130" s="28"/>
      <c r="R130" s="28"/>
      <c r="S130" s="25"/>
      <c r="T130" s="25"/>
      <c r="U130" s="28"/>
      <c r="V130" s="25"/>
      <c r="W130" s="15"/>
      <c r="X130" s="50"/>
    </row>
    <row r="131" spans="1:24" ht="20.45" customHeight="1">
      <c r="A131" s="10"/>
      <c r="B131" s="11"/>
      <c r="C131" s="11"/>
      <c r="D131" s="11"/>
      <c r="E131" s="12"/>
      <c r="F131" s="11"/>
      <c r="G131" s="11"/>
      <c r="H131" s="11"/>
      <c r="I131" s="11"/>
      <c r="J131" s="11"/>
      <c r="K131" s="11"/>
      <c r="L131" s="11"/>
      <c r="M131" s="25"/>
      <c r="N131" s="28"/>
      <c r="O131" s="25"/>
      <c r="P131" s="25"/>
      <c r="Q131" s="25"/>
      <c r="R131" s="25"/>
      <c r="S131" s="25"/>
      <c r="T131" s="25"/>
      <c r="U131" s="28"/>
      <c r="V131" s="25"/>
      <c r="W131" s="15"/>
      <c r="X131" s="50"/>
    </row>
    <row r="132" spans="1:24" ht="20.45" customHeight="1">
      <c r="A132" s="10"/>
      <c r="B132" s="11"/>
      <c r="C132" s="11"/>
      <c r="D132" s="11"/>
      <c r="E132" s="12"/>
      <c r="F132" s="11"/>
      <c r="G132" s="11"/>
      <c r="H132" s="11"/>
      <c r="I132" s="11"/>
      <c r="J132" s="11"/>
      <c r="K132" s="11"/>
      <c r="L132" s="11"/>
      <c r="M132" s="25"/>
      <c r="N132" s="28"/>
      <c r="O132" s="25"/>
      <c r="P132" s="25"/>
      <c r="Q132" s="25"/>
      <c r="R132" s="28"/>
      <c r="S132" s="25"/>
      <c r="T132" s="25"/>
      <c r="U132" s="28"/>
      <c r="V132" s="25"/>
      <c r="W132" s="15"/>
      <c r="X132" s="50"/>
    </row>
    <row r="133" spans="1:24" ht="20.45" customHeight="1">
      <c r="A133" s="10"/>
      <c r="B133" s="11"/>
      <c r="C133" s="11"/>
      <c r="D133" s="11"/>
      <c r="E133" s="12"/>
      <c r="F133" s="11"/>
      <c r="G133" s="11"/>
      <c r="H133" s="11"/>
      <c r="I133" s="11"/>
      <c r="J133" s="11"/>
      <c r="K133" s="11"/>
      <c r="L133" s="17"/>
      <c r="M133" s="11"/>
      <c r="N133" s="26"/>
      <c r="P133" s="26"/>
      <c r="Q133" s="26"/>
      <c r="R133" s="26"/>
      <c r="S133" s="14"/>
      <c r="T133" s="14"/>
      <c r="U133" s="26"/>
      <c r="V133" s="28"/>
      <c r="W133" s="27"/>
      <c r="X133" s="50"/>
    </row>
    <row r="134" spans="1:24" ht="20.45" customHeight="1">
      <c r="A134" s="10"/>
      <c r="B134" s="11"/>
      <c r="C134" s="11"/>
      <c r="D134" s="11"/>
      <c r="E134" s="12"/>
      <c r="F134" s="11"/>
      <c r="G134" s="11"/>
      <c r="H134" s="11"/>
      <c r="I134" s="11"/>
      <c r="J134" s="11"/>
      <c r="K134" s="11"/>
      <c r="L134" s="11"/>
      <c r="M134" s="25"/>
      <c r="N134" s="28"/>
      <c r="O134" s="25"/>
      <c r="P134" s="25"/>
      <c r="Q134" s="25"/>
      <c r="R134" s="25"/>
      <c r="S134" s="25"/>
      <c r="T134" s="25"/>
      <c r="U134" s="28"/>
      <c r="V134" s="25"/>
      <c r="W134" s="15"/>
      <c r="X134" s="50"/>
    </row>
    <row r="135" spans="1:24" ht="20.45" customHeight="1">
      <c r="A135" s="10"/>
      <c r="B135" s="11"/>
      <c r="C135" s="11"/>
      <c r="D135" s="11"/>
      <c r="E135" s="12"/>
      <c r="F135" s="11"/>
      <c r="G135" s="11"/>
      <c r="H135" s="11"/>
      <c r="I135" s="11"/>
      <c r="J135" s="11"/>
      <c r="K135" s="11"/>
      <c r="L135" s="17"/>
      <c r="M135" s="25"/>
      <c r="N135" s="28"/>
      <c r="O135" s="25"/>
      <c r="P135" s="25"/>
      <c r="Q135" s="25"/>
      <c r="R135" s="28"/>
      <c r="S135" s="25"/>
      <c r="T135" s="25"/>
      <c r="U135" s="28"/>
      <c r="V135" s="25"/>
      <c r="W135" s="15"/>
      <c r="X135" s="50"/>
    </row>
    <row r="136" spans="1:24" ht="20.45" customHeight="1">
      <c r="A136" s="10"/>
      <c r="B136" s="11"/>
      <c r="C136" s="11"/>
      <c r="D136" s="11"/>
      <c r="E136" s="12"/>
      <c r="F136" s="11"/>
      <c r="G136" s="11"/>
      <c r="H136" s="11"/>
      <c r="I136" s="11"/>
      <c r="J136" s="11"/>
      <c r="K136" s="11"/>
      <c r="L136" s="11"/>
      <c r="M136" s="25"/>
      <c r="N136" s="28"/>
      <c r="O136" s="25"/>
      <c r="P136" s="25"/>
      <c r="Q136" s="25"/>
      <c r="R136" s="25"/>
      <c r="S136" s="25"/>
      <c r="T136" s="25"/>
      <c r="U136" s="25"/>
      <c r="V136" s="25"/>
      <c r="W136" s="27"/>
      <c r="X136" s="50"/>
    </row>
    <row r="137" spans="1:24" ht="20.45" customHeight="1">
      <c r="A137" s="10"/>
      <c r="B137" s="11"/>
      <c r="C137" s="11"/>
      <c r="D137" s="11"/>
      <c r="E137" s="12"/>
      <c r="F137" s="11"/>
      <c r="G137" s="11"/>
      <c r="H137" s="11"/>
      <c r="I137" s="11"/>
      <c r="J137" s="11"/>
      <c r="K137" s="11"/>
      <c r="L137" s="11"/>
      <c r="M137" s="25"/>
      <c r="N137" s="28"/>
      <c r="O137" s="25"/>
      <c r="P137" s="25"/>
      <c r="Q137" s="28"/>
      <c r="R137" s="28"/>
      <c r="S137" s="25"/>
      <c r="T137" s="25"/>
      <c r="U137" s="28"/>
      <c r="V137" s="25"/>
      <c r="W137" s="15"/>
      <c r="X137" s="50"/>
    </row>
    <row r="138" spans="1:24" ht="20.45" customHeight="1">
      <c r="A138" s="10"/>
      <c r="B138" s="11"/>
      <c r="C138" s="11"/>
      <c r="D138" s="11"/>
      <c r="E138" s="12"/>
      <c r="F138" s="11"/>
      <c r="G138" s="11"/>
      <c r="H138" s="11"/>
      <c r="I138" s="11"/>
      <c r="J138" s="11"/>
      <c r="K138" s="11"/>
      <c r="L138" s="11"/>
      <c r="M138" s="25"/>
      <c r="N138" s="28"/>
      <c r="O138" s="25"/>
      <c r="P138" s="28"/>
      <c r="Q138" s="25"/>
      <c r="R138" s="28"/>
      <c r="S138" s="25"/>
      <c r="T138" s="28"/>
      <c r="U138" s="28"/>
      <c r="V138" s="25"/>
      <c r="W138" s="15"/>
      <c r="X138" s="51"/>
    </row>
    <row r="139" spans="1:24" ht="20.45" customHeight="1">
      <c r="A139" s="10"/>
      <c r="B139" s="11"/>
      <c r="C139" s="11"/>
      <c r="D139" s="11"/>
      <c r="E139" s="12"/>
      <c r="F139" s="11"/>
      <c r="G139" s="11"/>
      <c r="H139" s="11"/>
      <c r="I139" s="11"/>
      <c r="J139" s="11"/>
      <c r="K139" s="11"/>
      <c r="L139" s="11"/>
      <c r="M139" s="25"/>
      <c r="N139" s="28"/>
      <c r="O139" s="25"/>
      <c r="P139" s="25"/>
      <c r="Q139" s="25"/>
      <c r="R139" s="25"/>
      <c r="S139" s="25"/>
      <c r="T139" s="25"/>
      <c r="U139" s="28"/>
      <c r="V139" s="25"/>
      <c r="W139" s="15"/>
      <c r="X139" s="51"/>
    </row>
    <row r="140" spans="1:24" ht="20.45" customHeight="1">
      <c r="A140" s="10"/>
      <c r="B140" s="11"/>
      <c r="C140" s="11"/>
      <c r="D140" s="11"/>
      <c r="E140" s="12"/>
      <c r="F140" s="11"/>
      <c r="G140" s="11"/>
      <c r="H140" s="11"/>
      <c r="I140" s="11"/>
      <c r="J140" s="11"/>
      <c r="K140" s="11"/>
      <c r="L140" s="17"/>
      <c r="M140" s="25"/>
      <c r="N140" s="28"/>
      <c r="O140" s="25"/>
      <c r="P140" s="28"/>
      <c r="Q140" s="25"/>
      <c r="R140" s="28"/>
      <c r="S140" s="25"/>
      <c r="T140" s="25"/>
      <c r="U140" s="28"/>
      <c r="V140" s="28"/>
      <c r="W140" s="27"/>
      <c r="X140" s="51"/>
    </row>
    <row r="141" spans="1:24" ht="20.45" customHeight="1">
      <c r="A141" s="10"/>
      <c r="B141" s="11"/>
      <c r="C141" s="11"/>
      <c r="D141" s="11"/>
      <c r="E141" s="12"/>
      <c r="F141" s="11"/>
      <c r="G141" s="11"/>
      <c r="H141" s="11"/>
      <c r="I141" s="11"/>
      <c r="J141" s="11"/>
      <c r="K141" s="11"/>
      <c r="L141" s="11"/>
      <c r="M141" s="11"/>
      <c r="N141" s="26"/>
      <c r="P141" s="26"/>
      <c r="Q141" s="26"/>
      <c r="R141" s="26"/>
      <c r="S141" s="14"/>
      <c r="T141" s="14"/>
      <c r="U141" s="26"/>
      <c r="V141" s="28"/>
      <c r="W141" s="27"/>
      <c r="X141" s="51"/>
    </row>
    <row r="142" spans="1:24" ht="20.100000000000001" customHeight="1">
      <c r="A142" s="10"/>
      <c r="B142" s="11"/>
      <c r="C142" s="11"/>
      <c r="D142" s="11"/>
      <c r="E142" s="12"/>
      <c r="F142" s="11"/>
      <c r="G142" s="11"/>
      <c r="H142" s="11"/>
      <c r="I142" s="11"/>
      <c r="J142" s="11"/>
      <c r="K142" s="11"/>
      <c r="L142" s="17"/>
      <c r="M142" s="11"/>
      <c r="N142" s="26"/>
      <c r="P142" s="26"/>
      <c r="Q142" s="26"/>
      <c r="R142" s="26"/>
      <c r="S142" s="14"/>
      <c r="T142" s="14"/>
      <c r="U142" s="26"/>
      <c r="V142" s="38"/>
      <c r="W142" s="31"/>
      <c r="X142" s="51"/>
    </row>
    <row r="143" spans="1:24" ht="20.100000000000001" customHeight="1">
      <c r="A143" s="10"/>
      <c r="B143" s="11"/>
      <c r="C143" s="11"/>
      <c r="D143" s="11"/>
      <c r="E143" s="12"/>
      <c r="F143" s="11"/>
      <c r="G143" s="11"/>
      <c r="H143" s="11"/>
      <c r="I143" s="11"/>
      <c r="J143" s="11"/>
      <c r="K143" s="11"/>
      <c r="L143" s="17"/>
      <c r="M143" s="11"/>
      <c r="N143" s="26"/>
      <c r="P143" s="26"/>
      <c r="Q143" s="26"/>
      <c r="R143" s="26"/>
      <c r="S143" s="14"/>
      <c r="T143" s="14"/>
      <c r="U143" s="26"/>
      <c r="V143" s="38"/>
      <c r="W143" s="31"/>
      <c r="X143" s="51"/>
    </row>
    <row r="144" spans="1:24" ht="20.100000000000001" customHeight="1">
      <c r="A144" s="10"/>
      <c r="B144" s="11"/>
      <c r="C144" s="11"/>
      <c r="D144" s="11"/>
      <c r="E144" s="12"/>
      <c r="F144" s="11"/>
      <c r="G144" s="11"/>
      <c r="H144" s="11"/>
      <c r="I144" s="11"/>
      <c r="J144" s="11"/>
      <c r="K144" s="11"/>
      <c r="L144" s="17"/>
      <c r="M144" s="11"/>
      <c r="N144" s="26"/>
      <c r="P144" s="26"/>
      <c r="Q144" s="26"/>
      <c r="R144" s="26"/>
      <c r="S144" s="14"/>
      <c r="T144" s="14"/>
      <c r="U144" s="26"/>
      <c r="V144" s="38"/>
      <c r="W144" s="31"/>
      <c r="X144" s="51"/>
    </row>
  </sheetData>
  <mergeCells count="15">
    <mergeCell ref="X118:X127"/>
    <mergeCell ref="X128:X137"/>
    <mergeCell ref="X138:X144"/>
    <mergeCell ref="X58:X67"/>
    <mergeCell ref="X68:X77"/>
    <mergeCell ref="X78:X87"/>
    <mergeCell ref="X88:X97"/>
    <mergeCell ref="X98:X107"/>
    <mergeCell ref="X108:X117"/>
    <mergeCell ref="X51:X57"/>
    <mergeCell ref="X1:X10"/>
    <mergeCell ref="X11:X20"/>
    <mergeCell ref="X21:X30"/>
    <mergeCell ref="X31:X40"/>
    <mergeCell ref="X41:X50"/>
  </mergeCells>
  <pageMargins left="0.25" right="0.25" top="0.25" bottom="0.25" header="0" footer="0"/>
  <pageSetup scale="95" fitToHeight="0" orientation="landscape"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CDBA3-247D-4BC5-ACD3-8DBFE4C4626F}">
  <sheetPr>
    <pageSetUpPr fitToPage="1"/>
  </sheetPr>
  <dimension ref="A1:Z144"/>
  <sheetViews>
    <sheetView topLeftCell="A108" zoomScale="70" zoomScaleNormal="70" workbookViewId="0">
      <selection activeCell="N123" sqref="N123"/>
    </sheetView>
  </sheetViews>
  <sheetFormatPr defaultColWidth="8.7109375" defaultRowHeight="14.45"/>
  <cols>
    <col min="1" max="1" width="19.5703125" customWidth="1"/>
    <col min="2" max="2" width="8.7109375" style="29" customWidth="1"/>
    <col min="3" max="3" width="10.140625" customWidth="1"/>
    <col min="4" max="4" width="8.7109375" style="29" customWidth="1"/>
    <col min="5" max="5" width="9.28515625" customWidth="1"/>
    <col min="6" max="6" width="8.7109375" customWidth="1"/>
    <col min="7" max="7" width="9.28515625" customWidth="1"/>
    <col min="8" max="9" width="8.7109375" customWidth="1"/>
    <col min="10" max="10" width="10.7109375" customWidth="1"/>
    <col min="11" max="11" width="11.42578125" customWidth="1"/>
    <col min="12" max="12" width="6.140625" customWidth="1"/>
    <col min="13" max="13" width="8.7109375" customWidth="1"/>
    <col min="14" max="19" width="10.140625" customWidth="1"/>
    <col min="20" max="22" width="8.7109375" customWidth="1"/>
    <col min="23" max="23" width="3.42578125" customWidth="1"/>
    <col min="24" max="24" width="20.42578125" customWidth="1"/>
    <col min="25" max="25" width="12.28515625" bestFit="1" customWidth="1"/>
    <col min="26" max="27" width="12.85546875" bestFit="1" customWidth="1"/>
  </cols>
  <sheetData>
    <row r="1" spans="1:26" ht="14.45" customHeight="1">
      <c r="A1" s="1" t="s">
        <v>0</v>
      </c>
      <c r="B1" s="2" t="s">
        <v>1</v>
      </c>
      <c r="C1" s="2" t="s">
        <v>2</v>
      </c>
      <c r="D1" s="2" t="s">
        <v>3</v>
      </c>
      <c r="E1" s="3" t="s">
        <v>4</v>
      </c>
      <c r="F1" s="2" t="s">
        <v>5</v>
      </c>
      <c r="G1" s="2" t="s">
        <v>6</v>
      </c>
      <c r="H1" s="2" t="s">
        <v>7</v>
      </c>
      <c r="I1" s="4" t="s">
        <v>8</v>
      </c>
      <c r="J1" s="2" t="s">
        <v>9</v>
      </c>
      <c r="K1" s="2" t="s">
        <v>10</v>
      </c>
      <c r="L1" s="2" t="s">
        <v>11</v>
      </c>
      <c r="M1" s="6" t="s">
        <v>12</v>
      </c>
      <c r="N1" s="6" t="s">
        <v>13</v>
      </c>
      <c r="O1" s="7" t="s">
        <v>14</v>
      </c>
      <c r="P1" s="8" t="s">
        <v>15</v>
      </c>
      <c r="Q1" s="8" t="s">
        <v>16</v>
      </c>
      <c r="R1" s="7" t="s">
        <v>17</v>
      </c>
      <c r="S1" s="7" t="s">
        <v>18</v>
      </c>
      <c r="T1" s="7" t="s">
        <v>19</v>
      </c>
      <c r="U1" s="7" t="s">
        <v>20</v>
      </c>
      <c r="V1" s="7" t="s">
        <v>21</v>
      </c>
      <c r="W1" s="9" t="s">
        <v>22</v>
      </c>
      <c r="X1" s="52" t="s">
        <v>23</v>
      </c>
    </row>
    <row r="2" spans="1:26" ht="21" customHeight="1">
      <c r="A2" s="10" t="s">
        <v>24</v>
      </c>
      <c r="B2" s="11">
        <v>1.1979166666666667E-2</v>
      </c>
      <c r="C2" s="11">
        <v>3.5300925925925925E-3</v>
      </c>
      <c r="D2" s="11">
        <f t="shared" ref="D2:D7" si="0">B2*E2</f>
        <v>6.9694791666666672E-3</v>
      </c>
      <c r="E2" s="12">
        <v>0.58179999999999998</v>
      </c>
      <c r="F2" s="11">
        <f t="shared" ref="F2:F7" si="1">C2/4</f>
        <v>8.8252314814814812E-4</v>
      </c>
      <c r="G2" s="11">
        <f t="shared" ref="G2:G7" si="2">D2/7.5</f>
        <v>9.2926388888888898E-4</v>
      </c>
      <c r="H2" s="11">
        <f t="shared" ref="H2:H7" si="3">B2/12.5</f>
        <v>9.5833333333333339E-4</v>
      </c>
      <c r="I2" s="11">
        <f t="shared" ref="I2:I7" si="4">G2/0.93</f>
        <v>9.9920848267622464E-4</v>
      </c>
      <c r="J2" s="11">
        <f t="shared" ref="J2:J7" si="5">G2/0.92</f>
        <v>1.0100694444444445E-3</v>
      </c>
      <c r="K2" s="11">
        <f t="shared" ref="K2:K7" si="6">G2/0.88</f>
        <v>1.055981691919192E-3</v>
      </c>
      <c r="L2" s="11">
        <f t="shared" ref="L2:L7" si="7">G2/0.84</f>
        <v>1.1062665343915346E-3</v>
      </c>
      <c r="M2" s="25">
        <f>WO2025Jan7108141618222428303234384042444648545658626466687072747668121618202226283234384244464850[[#This Row],[Thresh]]</f>
        <v>1.055981691919192E-3</v>
      </c>
      <c r="N2" s="28">
        <f>WO2025Jan7108141618222428303234384042444648545658626466687072747668121618202226283234384244464850[[#This Row],[Thresh]]*2.5</f>
        <v>2.63995422979798E-3</v>
      </c>
      <c r="O2" s="25">
        <f>WO2025Jan7108141618222428303234384042444648545658626466687072747668121618202226283234384244464850[[#This Row],[CV]]</f>
        <v>1.0100694444444445E-3</v>
      </c>
      <c r="P2" s="28">
        <f>WO2025Jan7108141618222428303234384042444648545658626466687072747668121618202226283234384244464850[[#This Row],[CV]]*1.5</f>
        <v>1.5151041666666668E-3</v>
      </c>
      <c r="Q2" s="25">
        <f>WO2025Jan7108141618222428303234384042444648545658626466687072747668121618202226283234384244464850[[#This Row],[VO2]]/2</f>
        <v>4.6463194444444449E-4</v>
      </c>
      <c r="R2" s="25">
        <f>WO2025Jan7108141618222428303234384042444648545658626466687072747668121618202226283234384244464850[[#This Row],[I]]</f>
        <v>9.5833333333333339E-4</v>
      </c>
      <c r="S2" s="25">
        <f>WO2025Jan7108141618222428303234384042444648545658626466687072747668121618202226283234384244464850[[#This Row],[I]]*1.5</f>
        <v>1.4375E-3</v>
      </c>
      <c r="T2" s="28" t="s">
        <v>25</v>
      </c>
      <c r="U2" s="11"/>
      <c r="V2" s="36"/>
      <c r="W2" s="15" t="s">
        <v>26</v>
      </c>
      <c r="X2" s="52"/>
    </row>
    <row r="3" spans="1:26" ht="21" customHeight="1">
      <c r="A3" s="10" t="s">
        <v>27</v>
      </c>
      <c r="B3" s="11">
        <v>1.2268518518518519E-2</v>
      </c>
      <c r="C3" s="11">
        <v>3.6458333333333334E-3</v>
      </c>
      <c r="D3" s="11">
        <f t="shared" si="0"/>
        <v>7.1378240740740742E-3</v>
      </c>
      <c r="E3" s="12">
        <v>0.58179999999999998</v>
      </c>
      <c r="F3" s="11">
        <f t="shared" si="1"/>
        <v>9.1145833333333335E-4</v>
      </c>
      <c r="G3" s="11">
        <f t="shared" si="2"/>
        <v>9.5170987654320989E-4</v>
      </c>
      <c r="H3" s="11">
        <f t="shared" si="3"/>
        <v>9.8148148148148161E-4</v>
      </c>
      <c r="I3" s="11">
        <f t="shared" si="4"/>
        <v>1.0233439532722685E-3</v>
      </c>
      <c r="J3" s="11">
        <f t="shared" si="5"/>
        <v>1.0344672571121847E-3</v>
      </c>
      <c r="K3" s="11">
        <f t="shared" si="6"/>
        <v>1.0814884960718295E-3</v>
      </c>
      <c r="L3" s="11">
        <f t="shared" si="7"/>
        <v>1.1329879482657262E-3</v>
      </c>
      <c r="M3" s="25">
        <f>WO2025Jan7108141618222428303234384042444648545658626466687072747668121618202226283234384244464850[[#This Row],[Thresh]]</f>
        <v>1.0814884960718295E-3</v>
      </c>
      <c r="N3" s="28">
        <f>WO2025Jan7108141618222428303234384042444648545658626466687072747668121618202226283234384244464850[[#This Row],[Thresh]]*2.5</f>
        <v>2.7037212401795738E-3</v>
      </c>
      <c r="O3" s="25">
        <f>WO2025Jan7108141618222428303234384042444648545658626466687072747668121618202226283234384244464850[[#This Row],[CV]]</f>
        <v>1.0344672571121847E-3</v>
      </c>
      <c r="P3" s="28">
        <f>WO2025Jan7108141618222428303234384042444648545658626466687072747668121618202226283234384244464850[[#This Row],[CV]]*1.5</f>
        <v>1.551700885668277E-3</v>
      </c>
      <c r="Q3" s="25">
        <f>WO2025Jan7108141618222428303234384042444648545658626466687072747668121618202226283234384244464850[[#This Row],[VO2]]/2</f>
        <v>4.7585493827160494E-4</v>
      </c>
      <c r="R3" s="25">
        <f>WO2025Jan7108141618222428303234384042444648545658626466687072747668121618202226283234384244464850[[#This Row],[I]]</f>
        <v>9.8148148148148161E-4</v>
      </c>
      <c r="S3" s="25">
        <f>WO2025Jan7108141618222428303234384042444648545658626466687072747668121618202226283234384244464850[[#This Row],[I]]*1.5</f>
        <v>1.4722222222222224E-3</v>
      </c>
      <c r="T3" s="28" t="s">
        <v>25</v>
      </c>
      <c r="U3" s="11"/>
      <c r="V3" s="36"/>
      <c r="W3" s="15" t="s">
        <v>26</v>
      </c>
      <c r="X3" s="52"/>
      <c r="Z3" s="16"/>
    </row>
    <row r="4" spans="1:26" ht="21" customHeight="1">
      <c r="A4" s="10" t="s">
        <v>28</v>
      </c>
      <c r="B4" s="11">
        <v>1.238425925925926E-2</v>
      </c>
      <c r="C4" s="11">
        <v>3.7037037037037038E-3</v>
      </c>
      <c r="D4" s="11">
        <f t="shared" si="0"/>
        <v>7.2051620370370368E-3</v>
      </c>
      <c r="E4" s="12">
        <v>0.58179999999999998</v>
      </c>
      <c r="F4" s="11">
        <f t="shared" si="1"/>
        <v>9.2592592592592596E-4</v>
      </c>
      <c r="G4" s="11">
        <f t="shared" si="2"/>
        <v>9.6068827160493821E-4</v>
      </c>
      <c r="H4" s="11">
        <f t="shared" si="3"/>
        <v>9.9074074074074082E-4</v>
      </c>
      <c r="I4" s="11">
        <f t="shared" si="4"/>
        <v>1.0329981415106862E-3</v>
      </c>
      <c r="J4" s="11">
        <f t="shared" si="5"/>
        <v>1.0442263821792807E-3</v>
      </c>
      <c r="K4" s="11">
        <f t="shared" si="6"/>
        <v>1.0916912177328843E-3</v>
      </c>
      <c r="L4" s="11">
        <f t="shared" si="7"/>
        <v>1.1436765138154027E-3</v>
      </c>
      <c r="M4" s="25">
        <f>WO2025Jan7108141618222428303234384042444648545658626466687072747668121618202226283234384244464850[[#This Row],[Thresh]]</f>
        <v>1.0916912177328843E-3</v>
      </c>
      <c r="N4" s="28">
        <f>WO2025Jan7108141618222428303234384042444648545658626466687072747668121618202226283234384244464850[[#This Row],[Thresh]]*2.5</f>
        <v>2.7292280443322109E-3</v>
      </c>
      <c r="O4" s="25">
        <f>WO2025Jan7108141618222428303234384042444648545658626466687072747668121618202226283234384244464850[[#This Row],[CV]]</f>
        <v>1.0442263821792807E-3</v>
      </c>
      <c r="P4" s="28">
        <f>WO2025Jan7108141618222428303234384042444648545658626466687072747668121618202226283234384244464850[[#This Row],[CV]]*1.5</f>
        <v>1.566339573268921E-3</v>
      </c>
      <c r="Q4" s="25">
        <f>WO2025Jan7108141618222428303234384042444648545658626466687072747668121618202226283234384244464850[[#This Row],[VO2]]/2</f>
        <v>4.803441358024691E-4</v>
      </c>
      <c r="R4" s="25">
        <f>WO2025Jan7108141618222428303234384042444648545658626466687072747668121618202226283234384244464850[[#This Row],[I]]</f>
        <v>9.9074074074074082E-4</v>
      </c>
      <c r="S4" s="25">
        <f>WO2025Jan7108141618222428303234384042444648545658626466687072747668121618202226283234384244464850[[#This Row],[I]]*1.5</f>
        <v>1.4861111111111112E-3</v>
      </c>
      <c r="T4" s="28" t="s">
        <v>25</v>
      </c>
      <c r="U4" s="11"/>
      <c r="V4" s="36"/>
      <c r="W4" s="15" t="s">
        <v>26</v>
      </c>
      <c r="X4" s="52"/>
    </row>
    <row r="5" spans="1:26" ht="21" customHeight="1">
      <c r="A5" s="10" t="s">
        <v>29</v>
      </c>
      <c r="B5" s="11">
        <v>1.238425925925926E-2</v>
      </c>
      <c r="C5" s="11">
        <v>3.8194444444444443E-3</v>
      </c>
      <c r="D5" s="11">
        <f t="shared" si="0"/>
        <v>7.2051620370370368E-3</v>
      </c>
      <c r="E5" s="12">
        <v>0.58179999999999998</v>
      </c>
      <c r="F5" s="11">
        <f t="shared" si="1"/>
        <v>9.5486111111111108E-4</v>
      </c>
      <c r="G5" s="11">
        <f t="shared" si="2"/>
        <v>9.6068827160493821E-4</v>
      </c>
      <c r="H5" s="11">
        <f t="shared" si="3"/>
        <v>9.9074074074074082E-4</v>
      </c>
      <c r="I5" s="11">
        <f t="shared" si="4"/>
        <v>1.0329981415106862E-3</v>
      </c>
      <c r="J5" s="11">
        <f t="shared" si="5"/>
        <v>1.0442263821792807E-3</v>
      </c>
      <c r="K5" s="11">
        <f t="shared" si="6"/>
        <v>1.0916912177328843E-3</v>
      </c>
      <c r="L5" s="11">
        <f t="shared" si="7"/>
        <v>1.1436765138154027E-3</v>
      </c>
      <c r="M5" s="25">
        <f>WO2025Jan7108141618222428303234384042444648545658626466687072747668121618202226283234384244464850[[#This Row],[Thresh]]</f>
        <v>1.0916912177328843E-3</v>
      </c>
      <c r="N5" s="28">
        <f>WO2025Jan7108141618222428303234384042444648545658626466687072747668121618202226283234384244464850[[#This Row],[Thresh]]*2.5</f>
        <v>2.7292280443322109E-3</v>
      </c>
      <c r="O5" s="25">
        <f>WO2025Jan7108141618222428303234384042444648545658626466687072747668121618202226283234384244464850[[#This Row],[CV]]</f>
        <v>1.0442263821792807E-3</v>
      </c>
      <c r="P5" s="28">
        <f>WO2025Jan7108141618222428303234384042444648545658626466687072747668121618202226283234384244464850[[#This Row],[CV]]*1.5</f>
        <v>1.566339573268921E-3</v>
      </c>
      <c r="Q5" s="25">
        <f>WO2025Jan7108141618222428303234384042444648545658626466687072747668121618202226283234384244464850[[#This Row],[VO2]]/2</f>
        <v>4.803441358024691E-4</v>
      </c>
      <c r="R5" s="25">
        <f>WO2025Jan7108141618222428303234384042444648545658626466687072747668121618202226283234384244464850[[#This Row],[I]]</f>
        <v>9.9074074074074082E-4</v>
      </c>
      <c r="S5" s="25">
        <f>WO2025Jan7108141618222428303234384042444648545658626466687072747668121618202226283234384244464850[[#This Row],[I]]*1.5</f>
        <v>1.4861111111111112E-3</v>
      </c>
      <c r="T5" s="28" t="s">
        <v>25</v>
      </c>
      <c r="U5" s="11"/>
      <c r="V5" s="36"/>
      <c r="W5" s="15" t="s">
        <v>26</v>
      </c>
      <c r="X5" s="52"/>
    </row>
    <row r="6" spans="1:26" ht="21" customHeight="1">
      <c r="A6" s="10" t="s">
        <v>30</v>
      </c>
      <c r="B6" s="11">
        <v>1.238425925925926E-2</v>
      </c>
      <c r="C6" s="11">
        <v>3.6458333333333334E-3</v>
      </c>
      <c r="D6" s="11">
        <f t="shared" si="0"/>
        <v>7.2051620370370368E-3</v>
      </c>
      <c r="E6" s="12">
        <v>0.58179999999999998</v>
      </c>
      <c r="F6" s="11">
        <f t="shared" si="1"/>
        <v>9.1145833333333335E-4</v>
      </c>
      <c r="G6" s="11">
        <f t="shared" si="2"/>
        <v>9.6068827160493821E-4</v>
      </c>
      <c r="H6" s="11">
        <f t="shared" si="3"/>
        <v>9.9074074074074082E-4</v>
      </c>
      <c r="I6" s="11">
        <f t="shared" si="4"/>
        <v>1.0329981415106862E-3</v>
      </c>
      <c r="J6" s="11">
        <f t="shared" si="5"/>
        <v>1.0442263821792807E-3</v>
      </c>
      <c r="K6" s="11">
        <f t="shared" si="6"/>
        <v>1.0916912177328843E-3</v>
      </c>
      <c r="L6" s="11">
        <f t="shared" si="7"/>
        <v>1.1436765138154027E-3</v>
      </c>
      <c r="M6" s="25">
        <f>WO2025Jan7108141618222428303234384042444648545658626466687072747668121618202226283234384244464850[[#This Row],[Thresh]]</f>
        <v>1.0916912177328843E-3</v>
      </c>
      <c r="N6" s="28">
        <f>WO2025Jan7108141618222428303234384042444648545658626466687072747668121618202226283234384244464850[[#This Row],[Thresh]]*2.5</f>
        <v>2.7292280443322109E-3</v>
      </c>
      <c r="O6" s="25">
        <f>WO2025Jan7108141618222428303234384042444648545658626466687072747668121618202226283234384244464850[[#This Row],[CV]]</f>
        <v>1.0442263821792807E-3</v>
      </c>
      <c r="P6" s="28">
        <f>WO2025Jan7108141618222428303234384042444648545658626466687072747668121618202226283234384244464850[[#This Row],[CV]]*1.5</f>
        <v>1.566339573268921E-3</v>
      </c>
      <c r="Q6" s="25">
        <f>WO2025Jan7108141618222428303234384042444648545658626466687072747668121618202226283234384244464850[[#This Row],[VO2]]/2</f>
        <v>4.803441358024691E-4</v>
      </c>
      <c r="R6" s="25">
        <f>WO2025Jan7108141618222428303234384042444648545658626466687072747668121618202226283234384244464850[[#This Row],[I]]</f>
        <v>9.9074074074074082E-4</v>
      </c>
      <c r="S6" s="25">
        <f>WO2025Jan7108141618222428303234384042444648545658626466687072747668121618202226283234384244464850[[#This Row],[I]]*1.5</f>
        <v>1.4861111111111112E-3</v>
      </c>
      <c r="T6" s="28" t="s">
        <v>25</v>
      </c>
      <c r="U6" s="11"/>
      <c r="V6" s="36"/>
      <c r="W6" s="15" t="s">
        <v>26</v>
      </c>
      <c r="X6" s="52"/>
    </row>
    <row r="7" spans="1:26" ht="21" customHeight="1">
      <c r="A7" s="10" t="s">
        <v>31</v>
      </c>
      <c r="B7" s="11">
        <v>1.238425925925926E-2</v>
      </c>
      <c r="C7" s="11">
        <v>3.7037037037037038E-3</v>
      </c>
      <c r="D7" s="11">
        <f t="shared" si="0"/>
        <v>7.2051620370370368E-3</v>
      </c>
      <c r="E7" s="12">
        <v>0.58179999999999998</v>
      </c>
      <c r="F7" s="11">
        <f t="shared" si="1"/>
        <v>9.2592592592592596E-4</v>
      </c>
      <c r="G7" s="11">
        <f t="shared" si="2"/>
        <v>9.6068827160493821E-4</v>
      </c>
      <c r="H7" s="11">
        <f t="shared" si="3"/>
        <v>9.9074074074074082E-4</v>
      </c>
      <c r="I7" s="11">
        <f t="shared" si="4"/>
        <v>1.0329981415106862E-3</v>
      </c>
      <c r="J7" s="11">
        <f t="shared" si="5"/>
        <v>1.0442263821792807E-3</v>
      </c>
      <c r="K7" s="11">
        <f t="shared" si="6"/>
        <v>1.0916912177328843E-3</v>
      </c>
      <c r="L7" s="11">
        <f t="shared" si="7"/>
        <v>1.1436765138154027E-3</v>
      </c>
      <c r="M7" s="25">
        <f>WO2025Jan7108141618222428303234384042444648545658626466687072747668121618202226283234384244464850[[#This Row],[Thresh]]</f>
        <v>1.0916912177328843E-3</v>
      </c>
      <c r="N7" s="28">
        <f>WO2025Jan7108141618222428303234384042444648545658626466687072747668121618202226283234384244464850[[#This Row],[Thresh]]*2.5</f>
        <v>2.7292280443322109E-3</v>
      </c>
      <c r="O7" s="25">
        <f>WO2025Jan7108141618222428303234384042444648545658626466687072747668121618202226283234384244464850[[#This Row],[CV]]</f>
        <v>1.0442263821792807E-3</v>
      </c>
      <c r="P7" s="28">
        <f>WO2025Jan7108141618222428303234384042444648545658626466687072747668121618202226283234384244464850[[#This Row],[CV]]*1.5</f>
        <v>1.566339573268921E-3</v>
      </c>
      <c r="Q7" s="25">
        <f>WO2025Jan7108141618222428303234384042444648545658626466687072747668121618202226283234384244464850[[#This Row],[VO2]]/2</f>
        <v>4.803441358024691E-4</v>
      </c>
      <c r="R7" s="25">
        <f>WO2025Jan7108141618222428303234384042444648545658626466687072747668121618202226283234384244464850[[#This Row],[I]]</f>
        <v>9.9074074074074082E-4</v>
      </c>
      <c r="S7" s="25">
        <f>WO2025Jan7108141618222428303234384042444648545658626466687072747668121618202226283234384244464850[[#This Row],[I]]*1.5</f>
        <v>1.4861111111111112E-3</v>
      </c>
      <c r="T7" s="28" t="s">
        <v>25</v>
      </c>
      <c r="U7" s="11"/>
      <c r="V7" s="36"/>
      <c r="W7" s="18" t="s">
        <v>26</v>
      </c>
      <c r="X7" s="52"/>
    </row>
    <row r="8" spans="1:26" ht="21" customHeight="1">
      <c r="A8" s="10"/>
      <c r="B8" s="11"/>
      <c r="C8" s="11"/>
      <c r="D8" s="11"/>
      <c r="E8" s="12"/>
      <c r="F8" s="11"/>
      <c r="G8" s="11"/>
      <c r="H8" s="11"/>
      <c r="I8" s="11"/>
      <c r="J8" s="11"/>
      <c r="K8" s="11"/>
      <c r="L8" s="11"/>
      <c r="M8" s="14"/>
      <c r="N8" s="11"/>
      <c r="O8" s="11"/>
      <c r="P8" s="11"/>
      <c r="Q8" s="14"/>
      <c r="R8" s="11"/>
      <c r="S8" s="14"/>
      <c r="T8" s="14"/>
      <c r="U8" s="14"/>
      <c r="V8" s="17"/>
      <c r="W8" s="18"/>
      <c r="X8" s="52"/>
    </row>
    <row r="9" spans="1:26" ht="21" customHeight="1">
      <c r="A9" s="19"/>
      <c r="B9" s="6"/>
      <c r="C9" s="6"/>
      <c r="D9" s="6"/>
      <c r="E9" s="20"/>
      <c r="F9" s="6"/>
      <c r="G9" s="6"/>
      <c r="H9" s="6"/>
      <c r="I9" s="6"/>
      <c r="J9" s="6"/>
      <c r="K9" s="6"/>
      <c r="L9" s="6"/>
      <c r="M9" s="6" t="s">
        <v>12</v>
      </c>
      <c r="N9" s="6" t="s">
        <v>13</v>
      </c>
      <c r="O9" s="6" t="s">
        <v>14</v>
      </c>
      <c r="P9" s="6" t="s">
        <v>15</v>
      </c>
      <c r="Q9" s="6" t="s">
        <v>32</v>
      </c>
      <c r="R9" s="6" t="s">
        <v>33</v>
      </c>
      <c r="S9" s="6"/>
      <c r="T9" s="6"/>
      <c r="U9" s="6"/>
      <c r="V9" s="6"/>
      <c r="W9" s="35"/>
      <c r="X9" s="52"/>
    </row>
    <row r="10" spans="1:26" ht="21" customHeight="1">
      <c r="A10" s="10" t="s">
        <v>34</v>
      </c>
      <c r="B10" s="11">
        <v>1.1979166666666667E-2</v>
      </c>
      <c r="C10" s="11">
        <v>3.472222222222222E-3</v>
      </c>
      <c r="D10" s="11">
        <f>B10*E10</f>
        <v>6.9694791666666672E-3</v>
      </c>
      <c r="E10" s="12">
        <v>0.58179999999999998</v>
      </c>
      <c r="F10" s="11">
        <f>C10/4</f>
        <v>8.6805555555555551E-4</v>
      </c>
      <c r="G10" s="11">
        <f>D10/7.5</f>
        <v>9.2926388888888898E-4</v>
      </c>
      <c r="H10" s="11">
        <f>B10/12.5</f>
        <v>9.5833333333333339E-4</v>
      </c>
      <c r="I10" s="11">
        <f>G10/0.93</f>
        <v>9.9920848267622464E-4</v>
      </c>
      <c r="J10" s="11">
        <f>G10/0.92</f>
        <v>1.0100694444444445E-3</v>
      </c>
      <c r="K10" s="11">
        <f>G10/0.88</f>
        <v>1.055981691919192E-3</v>
      </c>
      <c r="L10" s="11">
        <f>G10/0.84</f>
        <v>1.1062665343915346E-3</v>
      </c>
      <c r="M10" s="25">
        <f>WO2025Jan7108141618222428303234384042444648545658626466687072747668121618202226283234384244464850[[#This Row],[Thresh]]</f>
        <v>1.055981691919192E-3</v>
      </c>
      <c r="N10" s="28">
        <f>WO2025Jan7108141618222428303234384042444648545658626466687072747668121618202226283234384244464850[[#This Row],[Thresh]]*2.5</f>
        <v>2.63995422979798E-3</v>
      </c>
      <c r="O10" s="25">
        <f>WO2025Jan7108141618222428303234384042444648545658626466687072747668121618202226283234384244464850[[#This Row],[CV]]</f>
        <v>1.0100694444444445E-3</v>
      </c>
      <c r="P10" s="28">
        <f>WO2025Jan7108141618222428303234384042444648545658626466687072747668121618202226283234384244464850[[#This Row],[CV]]*1.5</f>
        <v>1.5151041666666668E-3</v>
      </c>
      <c r="Q10" s="25">
        <f>WO2025Jan7108141618222428303234384042444648545658626466687072747668121618202226283234384244464850[[#This Row],[R]]</f>
        <v>8.6805555555555551E-4</v>
      </c>
      <c r="R10" s="25">
        <f>(WO2025Jan7108141618222428303234384042444648545658626466687072747668121618202226283234384244464850[[#This Row],[R]]/2)-0.0000115740740740741</f>
        <v>4.2245370370370364E-4</v>
      </c>
      <c r="S10" s="25"/>
      <c r="T10" s="28"/>
      <c r="U10" s="11"/>
      <c r="V10" s="36"/>
      <c r="W10" s="18" t="s">
        <v>35</v>
      </c>
      <c r="X10" s="52"/>
    </row>
    <row r="11" spans="1:26" ht="21" customHeight="1">
      <c r="A11" s="10" t="s">
        <v>36</v>
      </c>
      <c r="B11" s="11">
        <v>1.2615740740740742E-2</v>
      </c>
      <c r="C11" s="11">
        <v>3.6458333333333334E-3</v>
      </c>
      <c r="D11" s="11">
        <f>B11*E11</f>
        <v>7.3398379629629629E-3</v>
      </c>
      <c r="E11" s="12">
        <v>0.58179999999999998</v>
      </c>
      <c r="F11" s="11">
        <f>C11/4</f>
        <v>9.1145833333333335E-4</v>
      </c>
      <c r="G11" s="11">
        <f>D11/7.5</f>
        <v>9.7864506172839496E-4</v>
      </c>
      <c r="H11" s="11">
        <f>B11/12.5</f>
        <v>1.0092592592592592E-3</v>
      </c>
      <c r="I11" s="11">
        <f>G11/0.93</f>
        <v>1.0523065179875214E-3</v>
      </c>
      <c r="J11" s="11">
        <f>G11/0.92</f>
        <v>1.0637446323134728E-3</v>
      </c>
      <c r="K11" s="11">
        <f>G11/0.88</f>
        <v>1.1120966610549943E-3</v>
      </c>
      <c r="L11" s="11">
        <f>G11/0.84</f>
        <v>1.165053644914756E-3</v>
      </c>
      <c r="M11" s="25">
        <f>WO2025Jan7108141618222428303234384042444648545658626466687072747668121618202226283234384244464850[[#This Row],[Thresh]]</f>
        <v>1.1120966610549943E-3</v>
      </c>
      <c r="N11" s="28">
        <f>WO2025Jan7108141618222428303234384042444648545658626466687072747668121618202226283234384244464850[[#This Row],[Thresh]]*2.5</f>
        <v>2.7802416526374859E-3</v>
      </c>
      <c r="O11" s="25">
        <f>WO2025Jan7108141618222428303234384042444648545658626466687072747668121618202226283234384244464850[[#This Row],[CV]]</f>
        <v>1.0637446323134728E-3</v>
      </c>
      <c r="P11" s="28">
        <f>WO2025Jan7108141618222428303234384042444648545658626466687072747668121618202226283234384244464850[[#This Row],[CV]]*1.5</f>
        <v>1.5956169484702093E-3</v>
      </c>
      <c r="Q11" s="25">
        <f>WO2025Jan7108141618222428303234384042444648545658626466687072747668121618202226283234384244464850[[#This Row],[R]]</f>
        <v>9.1145833333333335E-4</v>
      </c>
      <c r="R11" s="25">
        <f>(WO2025Jan7108141618222428303234384042444648545658626466687072747668121618202226283234384244464850[[#This Row],[R]]/2)-0.0000115740740740741</f>
        <v>4.4415509259259256E-4</v>
      </c>
      <c r="S11" s="25"/>
      <c r="T11" s="28"/>
      <c r="U11" s="11"/>
      <c r="V11" s="36"/>
      <c r="W11" s="15" t="s">
        <v>35</v>
      </c>
      <c r="X11" s="52" t="s">
        <v>37</v>
      </c>
    </row>
    <row r="12" spans="1:26" ht="21" customHeight="1">
      <c r="A12" s="10" t="s">
        <v>38</v>
      </c>
      <c r="B12" s="11">
        <v>1.238425925925926E-2</v>
      </c>
      <c r="C12" s="11">
        <v>3.5300925925925925E-3</v>
      </c>
      <c r="D12" s="11">
        <f>B12*E12</f>
        <v>7.2051620370370368E-3</v>
      </c>
      <c r="E12" s="12">
        <v>0.58179999999999998</v>
      </c>
      <c r="F12" s="11">
        <f>C12/4</f>
        <v>8.8252314814814812E-4</v>
      </c>
      <c r="G12" s="11">
        <f>D12/7.5</f>
        <v>9.6068827160493821E-4</v>
      </c>
      <c r="H12" s="11">
        <f>B12/12.5</f>
        <v>9.9074074074074082E-4</v>
      </c>
      <c r="I12" s="11">
        <f>G12/0.93</f>
        <v>1.0329981415106862E-3</v>
      </c>
      <c r="J12" s="11">
        <f>G12/0.92</f>
        <v>1.0442263821792807E-3</v>
      </c>
      <c r="K12" s="11">
        <f>G12/0.88</f>
        <v>1.0916912177328843E-3</v>
      </c>
      <c r="L12" s="11">
        <f>G12/0.84</f>
        <v>1.1436765138154027E-3</v>
      </c>
      <c r="M12" s="25">
        <f>WO2025Jan7108141618222428303234384042444648545658626466687072747668121618202226283234384244464850[[#This Row],[Thresh]]</f>
        <v>1.0916912177328843E-3</v>
      </c>
      <c r="N12" s="28">
        <f>WO2025Jan7108141618222428303234384042444648545658626466687072747668121618202226283234384244464850[[#This Row],[Thresh]]*2.5</f>
        <v>2.7292280443322109E-3</v>
      </c>
      <c r="O12" s="25">
        <f>WO2025Jan7108141618222428303234384042444648545658626466687072747668121618202226283234384244464850[[#This Row],[CV]]</f>
        <v>1.0442263821792807E-3</v>
      </c>
      <c r="P12" s="28">
        <f>WO2025Jan7108141618222428303234384042444648545658626466687072747668121618202226283234384244464850[[#This Row],[CV]]*1.5</f>
        <v>1.566339573268921E-3</v>
      </c>
      <c r="Q12" s="25">
        <f>WO2025Jan7108141618222428303234384042444648545658626466687072747668121618202226283234384244464850[[#This Row],[R]]</f>
        <v>8.8252314814814812E-4</v>
      </c>
      <c r="R12" s="25">
        <f>(WO2025Jan7108141618222428303234384042444648545658626466687072747668121618202226283234384244464850[[#This Row],[R]]/2)-0.0000115740740740741</f>
        <v>4.2968749999999995E-4</v>
      </c>
      <c r="S12" s="25"/>
      <c r="T12" s="28"/>
      <c r="U12" s="11"/>
      <c r="V12" s="47"/>
      <c r="W12" s="18" t="s">
        <v>35</v>
      </c>
      <c r="X12" s="52"/>
    </row>
    <row r="13" spans="1:26" ht="21" customHeight="1">
      <c r="A13" s="39"/>
      <c r="B13" s="40"/>
      <c r="C13" s="40"/>
      <c r="D13" s="40"/>
      <c r="E13" s="41"/>
      <c r="F13" s="40"/>
      <c r="G13" s="40"/>
      <c r="H13" s="40"/>
      <c r="I13" s="40"/>
      <c r="J13" s="40"/>
      <c r="K13" s="40"/>
      <c r="L13" s="49"/>
      <c r="M13" s="40" t="s">
        <v>39</v>
      </c>
      <c r="N13" s="40"/>
      <c r="O13" s="40"/>
      <c r="P13" s="40"/>
      <c r="Q13" s="40"/>
      <c r="R13" s="40"/>
      <c r="S13" s="40"/>
      <c r="T13" s="40"/>
      <c r="U13" s="40"/>
      <c r="V13" s="40"/>
      <c r="W13" s="42"/>
      <c r="X13" s="52"/>
    </row>
    <row r="14" spans="1:26" ht="21" customHeight="1">
      <c r="A14" s="19"/>
      <c r="B14" s="6"/>
      <c r="C14" s="6"/>
      <c r="D14" s="6"/>
      <c r="E14" s="20"/>
      <c r="F14" s="6"/>
      <c r="G14" s="6"/>
      <c r="H14" s="6"/>
      <c r="I14" s="6"/>
      <c r="J14" s="6"/>
      <c r="K14" s="6"/>
      <c r="L14" s="6"/>
      <c r="M14" s="6" t="s">
        <v>12</v>
      </c>
      <c r="N14" s="6" t="s">
        <v>13</v>
      </c>
      <c r="O14" s="6" t="s">
        <v>40</v>
      </c>
      <c r="P14" s="6" t="s">
        <v>41</v>
      </c>
      <c r="Q14" s="6" t="s">
        <v>42</v>
      </c>
      <c r="R14" s="6" t="s">
        <v>43</v>
      </c>
      <c r="S14" s="6" t="s">
        <v>44</v>
      </c>
      <c r="T14" s="6" t="s">
        <v>45</v>
      </c>
      <c r="U14" s="6" t="s">
        <v>46</v>
      </c>
      <c r="V14" s="6"/>
      <c r="W14" s="35"/>
      <c r="X14" s="52"/>
    </row>
    <row r="15" spans="1:26" ht="21" customHeight="1">
      <c r="A15" s="10" t="s">
        <v>47</v>
      </c>
      <c r="B15" s="11">
        <v>1.3020833333333334E-2</v>
      </c>
      <c r="C15" s="11">
        <v>3.6458333333333334E-3</v>
      </c>
      <c r="D15" s="11">
        <f>B15*E15</f>
        <v>7.5755208333333334E-3</v>
      </c>
      <c r="E15" s="12">
        <v>0.58179999999999998</v>
      </c>
      <c r="F15" s="11">
        <f>C15/4</f>
        <v>9.1145833333333335E-4</v>
      </c>
      <c r="G15" s="11">
        <f>D15/7.5</f>
        <v>1.0100694444444445E-3</v>
      </c>
      <c r="H15" s="11">
        <f>B15/12.5</f>
        <v>1.0416666666666667E-3</v>
      </c>
      <c r="I15" s="11">
        <f>G15/0.93</f>
        <v>1.0860961768219832E-3</v>
      </c>
      <c r="J15" s="11">
        <f>G15/0.92</f>
        <v>1.0979015700483092E-3</v>
      </c>
      <c r="K15" s="11">
        <f>G15/0.88</f>
        <v>1.1478061868686869E-3</v>
      </c>
      <c r="L15" s="11">
        <f>G15/0.84</f>
        <v>1.2024636243386244E-3</v>
      </c>
      <c r="M15" s="25">
        <f>WO2025Jan7108141618222428303234384042444648545658626466687072747668121618202226283234384244464850[[#This Row],[Thresh]]</f>
        <v>1.1478061868686869E-3</v>
      </c>
      <c r="N15" s="28">
        <f>WO2025Jan7108141618222428303234384042444648545658626466687072747668121618202226283234384244464850[[#This Row],[Thresh]]*2.5</f>
        <v>2.8695154671717171E-3</v>
      </c>
      <c r="O15" s="25">
        <f>WO2025Jan7108141618222428303234384042444648545658626466687072747668121618202226283234384244464850[[#This Row],[R]]/2</f>
        <v>4.5572916666666667E-4</v>
      </c>
      <c r="P15" s="25">
        <f>(WO2025Jan7108141618222428303234384042444648545658626466687072747668121618202226283234384244464850[[#This Row],[R]]/2)-0.0000115740740740741</f>
        <v>4.4415509259259256E-4</v>
      </c>
      <c r="Q15" s="25">
        <f>(WO2025Jan7108141618222428303234384042444648545658626466687072747668121618202226283234384244464850[[#This Row],[R]]/2)-(0.0000115740740740741*2)</f>
        <v>4.3258101851851845E-4</v>
      </c>
      <c r="R15" s="25">
        <f>(WO2025Jan7108141618222428303234384042444648545658626466687072747668121618202226283234384244464850[[#This Row],[R]]/2)-(0.0000115740740740741*3)</f>
        <v>4.2100694444444439E-4</v>
      </c>
      <c r="S15" s="25">
        <f>(WO2025Jan7108141618222428303234384042444648545658626466687072747668121618202226283234384244464850[[#This Row],[R]]/2)-(0.0000115740740740741*4)</f>
        <v>4.0943287037037028E-4</v>
      </c>
      <c r="T15" s="25">
        <f>(WO2025Jan7108141618222428303234384042444648545658626466687072747668121618202226283234384244464850[[#This Row],[R]]/2)-(0.0000115740740740741*5)</f>
        <v>3.9785879629629617E-4</v>
      </c>
      <c r="U15" s="28" t="s">
        <v>25</v>
      </c>
      <c r="V15" s="36"/>
      <c r="W15" s="15" t="s">
        <v>48</v>
      </c>
      <c r="X15" s="52"/>
    </row>
    <row r="16" spans="1:26" ht="21" customHeight="1">
      <c r="A16" s="10" t="s">
        <v>49</v>
      </c>
      <c r="B16" s="11">
        <v>1.2731481481481481E-2</v>
      </c>
      <c r="C16" s="11">
        <v>3.5879629629629629E-3</v>
      </c>
      <c r="D16" s="11">
        <f>B16*E16</f>
        <v>7.4071759259259256E-3</v>
      </c>
      <c r="E16" s="12">
        <v>0.58179999999999998</v>
      </c>
      <c r="F16" s="11">
        <f>C16/4</f>
        <v>8.9699074074074073E-4</v>
      </c>
      <c r="G16" s="11">
        <f>D16/7.5</f>
        <v>9.8762345679012349E-4</v>
      </c>
      <c r="H16" s="11">
        <f>B16/12.5</f>
        <v>1.0185185185185184E-3</v>
      </c>
      <c r="I16" s="11">
        <f>G16/0.93</f>
        <v>1.0619607062259391E-3</v>
      </c>
      <c r="J16" s="11">
        <f>G16/0.92</f>
        <v>1.073503757380569E-3</v>
      </c>
      <c r="K16" s="11">
        <f>G16/0.88</f>
        <v>1.1222993827160494E-3</v>
      </c>
      <c r="L16" s="11">
        <f>G16/0.84</f>
        <v>1.1757422104644328E-3</v>
      </c>
      <c r="M16" s="25">
        <f>WO2025Jan7108141618222428303234384042444648545658626466687072747668121618202226283234384244464850[[#This Row],[Thresh]]</f>
        <v>1.1222993827160494E-3</v>
      </c>
      <c r="N16" s="28">
        <f>WO2025Jan7108141618222428303234384042444648545658626466687072747668121618202226283234384244464850[[#This Row],[Thresh]]*2.5</f>
        <v>2.8057484567901234E-3</v>
      </c>
      <c r="O16" s="25">
        <f>WO2025Jan7108141618222428303234384042444648545658626466687072747668121618202226283234384244464850[[#This Row],[R]]/2</f>
        <v>4.4849537037037037E-4</v>
      </c>
      <c r="P16" s="25">
        <f>(WO2025Jan7108141618222428303234384042444648545658626466687072747668121618202226283234384244464850[[#This Row],[R]]/2)-0.0000115740740740741</f>
        <v>4.3692129629629625E-4</v>
      </c>
      <c r="Q16" s="25">
        <f>(WO2025Jan7108141618222428303234384042444648545658626466687072747668121618202226283234384244464850[[#This Row],[R]]/2)-(0.0000115740740740741*2)</f>
        <v>4.2534722222222214E-4</v>
      </c>
      <c r="R16" s="25">
        <f>(WO2025Jan7108141618222428303234384042444648545658626466687072747668121618202226283234384244464850[[#This Row],[R]]/2)-(0.0000115740740740741*3)</f>
        <v>4.1377314814814808E-4</v>
      </c>
      <c r="S16" s="25">
        <f>(WO2025Jan7108141618222428303234384042444648545658626466687072747668121618202226283234384244464850[[#This Row],[R]]/2)-(0.0000115740740740741*4)</f>
        <v>4.0219907407407397E-4</v>
      </c>
      <c r="T16" s="25">
        <f>(WO2025Jan7108141618222428303234384042444648545658626466687072747668121618202226283234384244464850[[#This Row],[R]]/2)-(0.0000115740740740741*5)</f>
        <v>3.9062499999999986E-4</v>
      </c>
      <c r="U16" s="28" t="s">
        <v>25</v>
      </c>
      <c r="V16" s="36"/>
      <c r="W16" s="15" t="s">
        <v>48</v>
      </c>
      <c r="X16" s="52"/>
    </row>
    <row r="17" spans="1:24" ht="21" customHeight="1">
      <c r="A17" s="10" t="s">
        <v>50</v>
      </c>
      <c r="B17" s="11">
        <v>1.3020833333333334E-2</v>
      </c>
      <c r="C17" s="11">
        <v>3.7037037037037038E-3</v>
      </c>
      <c r="D17" s="11">
        <f>B17*E17</f>
        <v>7.5755208333333334E-3</v>
      </c>
      <c r="E17" s="12">
        <v>0.58179999999999998</v>
      </c>
      <c r="F17" s="11">
        <f>C17/4</f>
        <v>9.2592592592592596E-4</v>
      </c>
      <c r="G17" s="11">
        <f>D17/7.5</f>
        <v>1.0100694444444445E-3</v>
      </c>
      <c r="H17" s="11">
        <f>B17/12.5</f>
        <v>1.0416666666666667E-3</v>
      </c>
      <c r="I17" s="11">
        <f>G17/0.93</f>
        <v>1.0860961768219832E-3</v>
      </c>
      <c r="J17" s="11">
        <f>G17/0.92</f>
        <v>1.0979015700483092E-3</v>
      </c>
      <c r="K17" s="11">
        <f>G17/0.88</f>
        <v>1.1478061868686869E-3</v>
      </c>
      <c r="L17" s="11">
        <f>G17/0.84</f>
        <v>1.2024636243386244E-3</v>
      </c>
      <c r="M17" s="25">
        <f>WO2025Jan7108141618222428303234384042444648545658626466687072747668121618202226283234384244464850[[#This Row],[Thresh]]</f>
        <v>1.1478061868686869E-3</v>
      </c>
      <c r="N17" s="28">
        <f>WO2025Jan7108141618222428303234384042444648545658626466687072747668121618202226283234384244464850[[#This Row],[Thresh]]*2.5</f>
        <v>2.8695154671717171E-3</v>
      </c>
      <c r="O17" s="25">
        <f>WO2025Jan7108141618222428303234384042444648545658626466687072747668121618202226283234384244464850[[#This Row],[R]]/2</f>
        <v>4.6296296296296298E-4</v>
      </c>
      <c r="P17" s="25">
        <f>(WO2025Jan7108141618222428303234384042444648545658626466687072747668121618202226283234384244464850[[#This Row],[R]]/2)-0.0000115740740740741</f>
        <v>4.5138888888888887E-4</v>
      </c>
      <c r="Q17" s="25">
        <f>(WO2025Jan7108141618222428303234384042444648545658626466687072747668121618202226283234384244464850[[#This Row],[R]]/2)-(0.0000115740740740741*2)</f>
        <v>4.3981481481481476E-4</v>
      </c>
      <c r="R17" s="25">
        <f>(WO2025Jan7108141618222428303234384042444648545658626466687072747668121618202226283234384244464850[[#This Row],[R]]/2)-(0.0000115740740740741*3)</f>
        <v>4.282407407407407E-4</v>
      </c>
      <c r="S17" s="25">
        <f>(WO2025Jan7108141618222428303234384042444648545658626466687072747668121618202226283234384244464850[[#This Row],[R]]/2)-(0.0000115740740740741*4)</f>
        <v>4.1666666666666658E-4</v>
      </c>
      <c r="T17" s="25">
        <f>(WO2025Jan7108141618222428303234384042444648545658626466687072747668121618202226283234384244464850[[#This Row],[R]]/2)-(0.0000115740740740741*5)</f>
        <v>4.0509259259259247E-4</v>
      </c>
      <c r="U17" s="28" t="s">
        <v>25</v>
      </c>
      <c r="V17" s="36"/>
      <c r="W17" s="15" t="s">
        <v>48</v>
      </c>
      <c r="X17" s="52"/>
    </row>
    <row r="18" spans="1:24" ht="21" customHeight="1">
      <c r="A18" s="10"/>
      <c r="B18" s="11"/>
      <c r="C18" s="11"/>
      <c r="D18" s="11"/>
      <c r="E18" s="12"/>
      <c r="F18" s="11"/>
      <c r="G18" s="11"/>
      <c r="H18" s="11"/>
      <c r="I18" s="11"/>
      <c r="J18" s="11"/>
      <c r="K18" s="11"/>
      <c r="L18" s="11"/>
      <c r="M18" s="14"/>
      <c r="O18" s="14"/>
      <c r="P18" s="11"/>
      <c r="Q18" s="14"/>
      <c r="R18" s="11"/>
      <c r="S18" s="14"/>
      <c r="T18" s="14"/>
      <c r="U18" s="14"/>
      <c r="V18" s="11"/>
      <c r="W18" s="15"/>
      <c r="X18" s="52"/>
    </row>
    <row r="19" spans="1:24" ht="21" customHeight="1">
      <c r="A19" s="19"/>
      <c r="B19" s="6"/>
      <c r="C19" s="6"/>
      <c r="D19" s="6"/>
      <c r="E19" s="20"/>
      <c r="F19" s="6"/>
      <c r="G19" s="6"/>
      <c r="H19" s="6"/>
      <c r="I19" s="6"/>
      <c r="J19" s="6"/>
      <c r="K19" s="6"/>
      <c r="L19" s="6"/>
      <c r="M19" s="6"/>
      <c r="N19" s="6"/>
      <c r="O19" s="6"/>
      <c r="P19" s="6"/>
      <c r="Q19" s="6"/>
      <c r="R19" s="6"/>
      <c r="S19" s="6"/>
      <c r="T19" s="6"/>
      <c r="U19" s="6"/>
      <c r="V19" s="6"/>
      <c r="W19" s="35"/>
      <c r="X19" s="52"/>
    </row>
    <row r="20" spans="1:24" ht="21" customHeight="1">
      <c r="A20" s="10" t="s">
        <v>51</v>
      </c>
      <c r="B20" s="11">
        <v>1.2615740740740742E-2</v>
      </c>
      <c r="C20" s="11">
        <v>3.5879629629629629E-3</v>
      </c>
      <c r="D20" s="11">
        <f>B20*E20</f>
        <v>7.3398379629629629E-3</v>
      </c>
      <c r="E20" s="12">
        <v>0.58179999999999998</v>
      </c>
      <c r="F20" s="11">
        <f>C20/4</f>
        <v>8.9699074074074073E-4</v>
      </c>
      <c r="G20" s="11">
        <f>D20/7.5</f>
        <v>9.7864506172839496E-4</v>
      </c>
      <c r="H20" s="11">
        <f>B20/12.5</f>
        <v>1.0092592592592592E-3</v>
      </c>
      <c r="I20" s="11">
        <f>G20/0.93</f>
        <v>1.0523065179875214E-3</v>
      </c>
      <c r="J20" s="11">
        <f>G20/0.92</f>
        <v>1.0637446323134728E-3</v>
      </c>
      <c r="K20" s="11">
        <f>G20/0.88</f>
        <v>1.1120966610549943E-3</v>
      </c>
      <c r="L20" s="11">
        <f>G20/0.84</f>
        <v>1.165053644914756E-3</v>
      </c>
      <c r="M20" s="25"/>
      <c r="N20" s="28"/>
      <c r="O20" s="25"/>
      <c r="P20" s="28"/>
      <c r="Q20" s="25"/>
      <c r="R20" s="25"/>
      <c r="S20" s="25"/>
      <c r="T20" s="28"/>
      <c r="U20" s="11"/>
      <c r="V20" s="36"/>
      <c r="W20" s="15" t="s">
        <v>52</v>
      </c>
      <c r="X20" s="52"/>
    </row>
    <row r="21" spans="1:24" ht="21" customHeight="1">
      <c r="A21" s="10" t="s">
        <v>53</v>
      </c>
      <c r="B21" s="11">
        <v>1.2731481481481481E-2</v>
      </c>
      <c r="C21" s="11">
        <v>3.7615740740740739E-3</v>
      </c>
      <c r="D21" s="11">
        <f>B21*E21</f>
        <v>7.4071759259259256E-3</v>
      </c>
      <c r="E21" s="12">
        <v>0.58179999999999998</v>
      </c>
      <c r="F21" s="11">
        <f>C21/4</f>
        <v>9.4039351851851847E-4</v>
      </c>
      <c r="G21" s="11">
        <f>D21/7.5</f>
        <v>9.8762345679012349E-4</v>
      </c>
      <c r="H21" s="11">
        <f>B21/12.5</f>
        <v>1.0185185185185184E-3</v>
      </c>
      <c r="I21" s="11">
        <f>G21/0.93</f>
        <v>1.0619607062259391E-3</v>
      </c>
      <c r="J21" s="11">
        <f>G21/0.92</f>
        <v>1.073503757380569E-3</v>
      </c>
      <c r="K21" s="11">
        <f>G21/0.88</f>
        <v>1.1222993827160494E-3</v>
      </c>
      <c r="L21" s="11">
        <f>G21/0.84</f>
        <v>1.1757422104644328E-3</v>
      </c>
      <c r="M21" s="25"/>
      <c r="N21" s="28"/>
      <c r="O21" s="25"/>
      <c r="P21" s="28"/>
      <c r="Q21" s="25"/>
      <c r="R21" s="25"/>
      <c r="S21" s="25"/>
      <c r="T21" s="28"/>
      <c r="U21" s="25"/>
      <c r="V21" s="25"/>
      <c r="W21" s="15" t="s">
        <v>52</v>
      </c>
      <c r="X21" s="52" t="s">
        <v>54</v>
      </c>
    </row>
    <row r="22" spans="1:24" ht="21" customHeight="1">
      <c r="A22" s="10"/>
      <c r="B22" s="11"/>
      <c r="C22" s="11"/>
      <c r="D22" s="11"/>
      <c r="E22" s="12"/>
      <c r="F22" s="11"/>
      <c r="G22" s="11"/>
      <c r="H22" s="11"/>
      <c r="I22" s="11"/>
      <c r="J22" s="11"/>
      <c r="K22" s="11"/>
      <c r="L22" s="11"/>
      <c r="M22" s="14"/>
      <c r="N22" s="11"/>
      <c r="O22" s="11"/>
      <c r="P22" s="11"/>
      <c r="Q22" s="14"/>
      <c r="R22" s="11"/>
      <c r="S22" s="14"/>
      <c r="T22" s="11"/>
      <c r="U22" s="11"/>
      <c r="V22" s="17"/>
      <c r="W22" s="15"/>
      <c r="X22" s="52"/>
    </row>
    <row r="23" spans="1:24" ht="21" customHeight="1">
      <c r="A23" s="10"/>
      <c r="B23" s="11"/>
      <c r="C23" s="11"/>
      <c r="D23" s="11"/>
      <c r="E23" s="12"/>
      <c r="F23" s="11"/>
      <c r="G23" s="11"/>
      <c r="H23" s="11"/>
      <c r="I23" s="11"/>
      <c r="J23" s="11"/>
      <c r="K23" s="11"/>
      <c r="L23" s="11"/>
      <c r="M23" s="14"/>
      <c r="N23" s="11"/>
      <c r="O23" s="11"/>
      <c r="P23" s="11"/>
      <c r="Q23" s="14"/>
      <c r="R23" s="11"/>
      <c r="S23" s="14"/>
      <c r="T23" s="14"/>
      <c r="U23" s="14"/>
      <c r="V23" s="11"/>
      <c r="W23" s="15"/>
      <c r="X23" s="52"/>
    </row>
    <row r="24" spans="1:24" ht="21" customHeight="1">
      <c r="A24" s="10"/>
      <c r="B24" s="11"/>
      <c r="C24" s="11"/>
      <c r="D24" s="11"/>
      <c r="E24" s="12"/>
      <c r="F24" s="11"/>
      <c r="G24" s="11"/>
      <c r="H24" s="11"/>
      <c r="I24" s="11"/>
      <c r="J24" s="11"/>
      <c r="K24" s="11"/>
      <c r="L24" s="11"/>
      <c r="M24" s="14"/>
      <c r="N24" s="11"/>
      <c r="O24" s="11"/>
      <c r="P24" s="11"/>
      <c r="Q24" s="14"/>
      <c r="R24" s="11"/>
      <c r="S24" s="14"/>
      <c r="T24" s="14"/>
      <c r="U24" s="14"/>
      <c r="V24" s="11"/>
      <c r="W24" s="15"/>
      <c r="X24" s="52"/>
    </row>
    <row r="25" spans="1:24" ht="21" customHeight="1">
      <c r="A25" s="10"/>
      <c r="B25" s="11"/>
      <c r="C25" s="11"/>
      <c r="D25" s="11"/>
      <c r="E25" s="12"/>
      <c r="F25" s="11"/>
      <c r="G25" s="11"/>
      <c r="H25" s="11"/>
      <c r="I25" s="11"/>
      <c r="J25" s="11"/>
      <c r="K25" s="11"/>
      <c r="L25" s="11"/>
      <c r="M25" s="37"/>
      <c r="N25" s="28"/>
      <c r="O25" s="25"/>
      <c r="P25" s="28"/>
      <c r="Q25" s="25"/>
      <c r="R25" s="25"/>
      <c r="S25" s="25"/>
      <c r="T25" s="28"/>
      <c r="U25" s="11"/>
      <c r="V25" s="47"/>
      <c r="W25" s="18"/>
      <c r="X25" s="52"/>
    </row>
    <row r="26" spans="1:24" ht="21" customHeight="1">
      <c r="A26" s="10"/>
      <c r="B26" s="11"/>
      <c r="C26" s="11"/>
      <c r="D26" s="11"/>
      <c r="E26" s="12"/>
      <c r="F26" s="11"/>
      <c r="G26" s="11"/>
      <c r="H26" s="11"/>
      <c r="I26" s="11"/>
      <c r="J26" s="11"/>
      <c r="K26" s="11"/>
      <c r="L26" s="11"/>
      <c r="M26" s="37"/>
      <c r="N26" s="28"/>
      <c r="O26" s="25"/>
      <c r="P26" s="28"/>
      <c r="Q26" s="25"/>
      <c r="R26" s="25"/>
      <c r="S26" s="25"/>
      <c r="T26" s="28"/>
      <c r="U26" s="11"/>
      <c r="V26" s="47"/>
      <c r="W26" s="18"/>
      <c r="X26" s="52"/>
    </row>
    <row r="27" spans="1:24" ht="21" customHeight="1">
      <c r="A27" s="10"/>
      <c r="B27" s="11"/>
      <c r="C27" s="11"/>
      <c r="D27" s="11"/>
      <c r="E27" s="12"/>
      <c r="F27" s="11"/>
      <c r="G27" s="11"/>
      <c r="H27" s="11"/>
      <c r="I27" s="11"/>
      <c r="J27" s="11"/>
      <c r="K27" s="11"/>
      <c r="L27" s="11"/>
      <c r="M27" s="14"/>
      <c r="N27" s="11"/>
      <c r="O27" s="14"/>
      <c r="P27" s="11"/>
      <c r="Q27" s="14"/>
      <c r="R27" s="11"/>
      <c r="S27" s="14"/>
      <c r="T27" s="14"/>
      <c r="U27" s="14"/>
      <c r="V27" s="11"/>
      <c r="W27" s="15"/>
      <c r="X27" s="52"/>
    </row>
    <row r="28" spans="1:24" ht="21" customHeight="1">
      <c r="A28" s="10"/>
      <c r="B28" s="11"/>
      <c r="C28" s="11"/>
      <c r="D28" s="11"/>
      <c r="E28" s="12"/>
      <c r="F28" s="11"/>
      <c r="G28" s="11"/>
      <c r="H28" s="11"/>
      <c r="I28" s="11"/>
      <c r="J28" s="11"/>
      <c r="K28" s="11"/>
      <c r="L28" s="11"/>
      <c r="M28" s="45"/>
      <c r="N28" s="11"/>
      <c r="O28" s="11"/>
      <c r="P28" s="11"/>
      <c r="Q28" s="14"/>
      <c r="R28" s="11"/>
      <c r="S28" s="14"/>
      <c r="T28" s="11"/>
      <c r="U28" s="14"/>
      <c r="V28" s="17"/>
      <c r="W28" s="18"/>
      <c r="X28" s="52"/>
    </row>
    <row r="29" spans="1:24" ht="21" customHeight="1">
      <c r="A29" s="10"/>
      <c r="B29" s="11"/>
      <c r="C29" s="11"/>
      <c r="D29" s="11"/>
      <c r="E29" s="12"/>
      <c r="F29" s="11"/>
      <c r="G29" s="11"/>
      <c r="H29" s="11"/>
      <c r="I29" s="11"/>
      <c r="J29" s="11"/>
      <c r="K29" s="11"/>
      <c r="L29" s="11"/>
      <c r="M29" s="11"/>
      <c r="N29" s="11"/>
      <c r="O29" s="11"/>
      <c r="P29" s="11"/>
      <c r="Q29" s="14"/>
      <c r="R29" s="11"/>
      <c r="S29" s="14"/>
      <c r="T29" s="11"/>
      <c r="U29" s="14"/>
      <c r="V29" s="11"/>
      <c r="W29" s="15"/>
      <c r="X29" s="52"/>
    </row>
    <row r="30" spans="1:24" ht="21" customHeight="1">
      <c r="A30" s="19" t="s">
        <v>0</v>
      </c>
      <c r="B30" s="6"/>
      <c r="C30" s="6"/>
      <c r="D30" s="6"/>
      <c r="E30" s="20"/>
      <c r="F30" s="6"/>
      <c r="G30" s="6"/>
      <c r="H30" s="6"/>
      <c r="I30" s="6"/>
      <c r="J30" s="6"/>
      <c r="K30" s="6"/>
      <c r="L30" s="6"/>
      <c r="M30" s="6"/>
      <c r="N30" s="6"/>
      <c r="O30" s="6"/>
      <c r="P30" s="6"/>
      <c r="Q30" s="6"/>
      <c r="R30" s="6"/>
      <c r="S30" s="6"/>
      <c r="T30" s="6"/>
      <c r="U30" s="6"/>
      <c r="V30" s="6"/>
      <c r="W30" s="35"/>
      <c r="X30" s="52"/>
    </row>
    <row r="31" spans="1:24" ht="21" customHeight="1">
      <c r="A31" s="10" t="s">
        <v>55</v>
      </c>
      <c r="B31" s="11">
        <v>1.238425925925926E-2</v>
      </c>
      <c r="C31" s="11">
        <v>3.5879629629629629E-3</v>
      </c>
      <c r="D31" s="11">
        <f>B31*E31</f>
        <v>7.2051620370370368E-3</v>
      </c>
      <c r="E31" s="12">
        <v>0.58179999999999998</v>
      </c>
      <c r="F31" s="11">
        <f>C31/4</f>
        <v>8.9699074074074073E-4</v>
      </c>
      <c r="G31" s="11">
        <f>D31/7.5</f>
        <v>9.6068827160493821E-4</v>
      </c>
      <c r="H31" s="11">
        <f>B31/12.5</f>
        <v>9.9074074074074082E-4</v>
      </c>
      <c r="I31" s="11">
        <f>G31/0.93</f>
        <v>1.0329981415106862E-3</v>
      </c>
      <c r="J31" s="11">
        <f>G31/0.92</f>
        <v>1.0442263821792807E-3</v>
      </c>
      <c r="K31" s="11">
        <f>G31/0.88</f>
        <v>1.0916912177328843E-3</v>
      </c>
      <c r="L31" s="11">
        <f>G31/0.84</f>
        <v>1.1436765138154027E-3</v>
      </c>
      <c r="M31" s="25"/>
      <c r="N31" s="28"/>
      <c r="O31" s="25"/>
      <c r="P31" s="28"/>
      <c r="Q31" s="25"/>
      <c r="R31" s="25"/>
      <c r="S31" s="25"/>
      <c r="T31" s="28"/>
      <c r="U31" s="11"/>
      <c r="V31" s="36"/>
      <c r="W31" s="18"/>
      <c r="X31" s="52" t="s">
        <v>56</v>
      </c>
    </row>
    <row r="32" spans="1:24" ht="21" customHeight="1">
      <c r="A32" s="10" t="s">
        <v>57</v>
      </c>
      <c r="B32" s="11"/>
      <c r="C32" s="11"/>
      <c r="D32" s="11"/>
      <c r="E32" s="12"/>
      <c r="F32" s="11"/>
      <c r="G32" s="11"/>
      <c r="H32" s="11"/>
      <c r="I32" s="11"/>
      <c r="J32" s="11"/>
      <c r="K32" s="11"/>
      <c r="L32" s="17"/>
      <c r="M32" s="25"/>
      <c r="N32" s="28"/>
      <c r="O32" s="25"/>
      <c r="P32" s="28"/>
      <c r="Q32" s="25"/>
      <c r="R32" s="28"/>
      <c r="S32" s="28"/>
      <c r="T32" s="11"/>
      <c r="U32" s="11"/>
      <c r="V32" s="11"/>
      <c r="W32" s="15"/>
      <c r="X32" s="52"/>
    </row>
    <row r="33" spans="1:24" ht="21" customHeight="1">
      <c r="A33" s="10" t="s">
        <v>58</v>
      </c>
      <c r="B33" s="11">
        <v>1.3020833333333334E-2</v>
      </c>
      <c r="C33" s="11">
        <v>4.1087962962962962E-3</v>
      </c>
      <c r="D33" s="11">
        <f t="shared" ref="D33:D51" si="8">B33*E33</f>
        <v>7.5755208333333334E-3</v>
      </c>
      <c r="E33" s="12">
        <v>0.58179999999999998</v>
      </c>
      <c r="F33" s="11">
        <f t="shared" ref="F33:F51" si="9">C33/4</f>
        <v>1.027199074074074E-3</v>
      </c>
      <c r="G33" s="11">
        <f t="shared" ref="G33:G51" si="10">D33/7.5</f>
        <v>1.0100694444444445E-3</v>
      </c>
      <c r="H33" s="11">
        <f t="shared" ref="H33:H51" si="11">B33/12.5</f>
        <v>1.0416666666666667E-3</v>
      </c>
      <c r="I33" s="11">
        <f t="shared" ref="I33:I51" si="12">G33/0.93</f>
        <v>1.0860961768219832E-3</v>
      </c>
      <c r="J33" s="11">
        <f t="shared" ref="J33:J51" si="13">G33/0.92</f>
        <v>1.0979015700483092E-3</v>
      </c>
      <c r="K33" s="11">
        <f t="shared" ref="K33:K51" si="14">G33/0.88</f>
        <v>1.1478061868686869E-3</v>
      </c>
      <c r="L33" s="11">
        <f t="shared" ref="L33:L51" si="15">G33/0.84</f>
        <v>1.2024636243386244E-3</v>
      </c>
      <c r="M33" s="25"/>
      <c r="N33" s="28"/>
      <c r="O33" s="25"/>
      <c r="P33" s="28"/>
      <c r="Q33" s="25"/>
      <c r="R33" s="25"/>
      <c r="S33" s="25"/>
      <c r="T33" s="28"/>
      <c r="U33" s="11"/>
      <c r="V33" s="36"/>
      <c r="W33" s="15"/>
      <c r="X33" s="52"/>
    </row>
    <row r="34" spans="1:24" ht="21" customHeight="1">
      <c r="A34" s="10" t="s">
        <v>59</v>
      </c>
      <c r="B34" s="11">
        <v>1.2500000000000001E-2</v>
      </c>
      <c r="C34" s="11">
        <v>3.7037037037037038E-3</v>
      </c>
      <c r="D34" s="11">
        <f t="shared" si="8"/>
        <v>7.2725000000000003E-3</v>
      </c>
      <c r="E34" s="12">
        <v>0.58179999999999998</v>
      </c>
      <c r="F34" s="11">
        <f t="shared" si="9"/>
        <v>9.2592592592592596E-4</v>
      </c>
      <c r="G34" s="11">
        <f t="shared" si="10"/>
        <v>9.6966666666666675E-4</v>
      </c>
      <c r="H34" s="11">
        <f t="shared" si="11"/>
        <v>1E-3</v>
      </c>
      <c r="I34" s="11">
        <f t="shared" si="12"/>
        <v>1.0426523297491039E-3</v>
      </c>
      <c r="J34" s="11">
        <f t="shared" si="13"/>
        <v>1.0539855072463768E-3</v>
      </c>
      <c r="K34" s="11">
        <f t="shared" si="14"/>
        <v>1.1018939393939394E-3</v>
      </c>
      <c r="L34" s="11">
        <f t="shared" si="15"/>
        <v>1.1543650793650795E-3</v>
      </c>
      <c r="M34" s="25"/>
      <c r="N34" s="28"/>
      <c r="O34" s="25"/>
      <c r="P34" s="28"/>
      <c r="Q34" s="25"/>
      <c r="R34" s="25"/>
      <c r="S34" s="25"/>
      <c r="T34" s="28"/>
      <c r="U34" s="11"/>
      <c r="V34" s="36"/>
      <c r="W34" s="15"/>
      <c r="X34" s="52"/>
    </row>
    <row r="35" spans="1:24" ht="21" customHeight="1">
      <c r="A35" s="10" t="s">
        <v>60</v>
      </c>
      <c r="B35" s="11">
        <v>1.2268518518518519E-2</v>
      </c>
      <c r="C35" s="11">
        <v>3.6458333333333334E-3</v>
      </c>
      <c r="D35" s="11">
        <f t="shared" si="8"/>
        <v>7.1378240740740742E-3</v>
      </c>
      <c r="E35" s="12">
        <v>0.58179999999999998</v>
      </c>
      <c r="F35" s="11">
        <f t="shared" si="9"/>
        <v>9.1145833333333335E-4</v>
      </c>
      <c r="G35" s="11">
        <f t="shared" si="10"/>
        <v>9.5170987654320989E-4</v>
      </c>
      <c r="H35" s="11">
        <f t="shared" si="11"/>
        <v>9.8148148148148161E-4</v>
      </c>
      <c r="I35" s="11">
        <f t="shared" si="12"/>
        <v>1.0233439532722685E-3</v>
      </c>
      <c r="J35" s="11">
        <f t="shared" si="13"/>
        <v>1.0344672571121847E-3</v>
      </c>
      <c r="K35" s="11">
        <f t="shared" si="14"/>
        <v>1.0814884960718295E-3</v>
      </c>
      <c r="L35" s="11">
        <f t="shared" si="15"/>
        <v>1.1329879482657262E-3</v>
      </c>
      <c r="M35" s="25"/>
      <c r="N35" s="28"/>
      <c r="O35" s="25"/>
      <c r="P35" s="28"/>
      <c r="Q35" s="25"/>
      <c r="R35" s="25"/>
      <c r="S35" s="25"/>
      <c r="T35" s="28"/>
      <c r="U35" s="11"/>
      <c r="V35" s="36"/>
      <c r="W35" s="15"/>
      <c r="X35" s="52"/>
    </row>
    <row r="36" spans="1:24" ht="21" customHeight="1">
      <c r="A36" s="10" t="s">
        <v>61</v>
      </c>
      <c r="B36" s="11">
        <v>1.4583333333333334E-2</v>
      </c>
      <c r="C36" s="11">
        <v>4.3981481481481484E-3</v>
      </c>
      <c r="D36" s="11">
        <f t="shared" si="8"/>
        <v>8.4845833333333336E-3</v>
      </c>
      <c r="E36" s="12">
        <v>0.58179999999999998</v>
      </c>
      <c r="F36" s="11">
        <f t="shared" si="9"/>
        <v>1.0995370370370371E-3</v>
      </c>
      <c r="G36" s="11">
        <f t="shared" si="10"/>
        <v>1.1312777777777777E-3</v>
      </c>
      <c r="H36" s="11">
        <f t="shared" si="11"/>
        <v>1.1666666666666668E-3</v>
      </c>
      <c r="I36" s="11">
        <f t="shared" si="12"/>
        <v>1.2164277180406211E-3</v>
      </c>
      <c r="J36" s="11">
        <f t="shared" si="13"/>
        <v>1.2296497584541061E-3</v>
      </c>
      <c r="K36" s="11">
        <f t="shared" si="14"/>
        <v>1.2855429292929293E-3</v>
      </c>
      <c r="L36" s="11">
        <f t="shared" si="15"/>
        <v>1.3467592592592591E-3</v>
      </c>
      <c r="M36" s="25"/>
      <c r="N36" s="28"/>
      <c r="O36" s="25"/>
      <c r="P36" s="25"/>
      <c r="Q36" s="25"/>
      <c r="R36" s="25"/>
      <c r="S36" s="28"/>
      <c r="T36" s="28"/>
      <c r="U36" s="28"/>
      <c r="V36" s="28"/>
      <c r="W36" s="15"/>
      <c r="X36" s="52"/>
    </row>
    <row r="37" spans="1:24" ht="21" customHeight="1">
      <c r="A37" s="10" t="s">
        <v>62</v>
      </c>
      <c r="B37" s="11">
        <v>1.238425925925926E-2</v>
      </c>
      <c r="C37" s="11">
        <v>3.6458333333333334E-3</v>
      </c>
      <c r="D37" s="11">
        <f t="shared" si="8"/>
        <v>7.2051620370370368E-3</v>
      </c>
      <c r="E37" s="12">
        <v>0.58179999999999998</v>
      </c>
      <c r="F37" s="11">
        <f t="shared" si="9"/>
        <v>9.1145833333333335E-4</v>
      </c>
      <c r="G37" s="11">
        <f t="shared" si="10"/>
        <v>9.6068827160493821E-4</v>
      </c>
      <c r="H37" s="11">
        <f t="shared" si="11"/>
        <v>9.9074074074074082E-4</v>
      </c>
      <c r="I37" s="11">
        <f t="shared" si="12"/>
        <v>1.0329981415106862E-3</v>
      </c>
      <c r="J37" s="11">
        <f t="shared" si="13"/>
        <v>1.0442263821792807E-3</v>
      </c>
      <c r="K37" s="11">
        <f t="shared" si="14"/>
        <v>1.0916912177328843E-3</v>
      </c>
      <c r="L37" s="11">
        <f t="shared" si="15"/>
        <v>1.1436765138154027E-3</v>
      </c>
      <c r="M37" s="25"/>
      <c r="N37" s="28"/>
      <c r="O37" s="25"/>
      <c r="P37" s="28"/>
      <c r="Q37" s="25"/>
      <c r="R37" s="25"/>
      <c r="S37" s="25"/>
      <c r="T37" s="28"/>
      <c r="U37" s="11"/>
      <c r="V37" s="36"/>
      <c r="W37" s="15"/>
      <c r="X37" s="52"/>
    </row>
    <row r="38" spans="1:24" ht="21" customHeight="1">
      <c r="A38" s="10" t="s">
        <v>63</v>
      </c>
      <c r="B38" s="11">
        <v>1.2615740740740742E-2</v>
      </c>
      <c r="C38" s="11">
        <v>3.7037037037037038E-3</v>
      </c>
      <c r="D38" s="11">
        <f t="shared" si="8"/>
        <v>7.3398379629629629E-3</v>
      </c>
      <c r="E38" s="12">
        <v>0.58179999999999998</v>
      </c>
      <c r="F38" s="11">
        <f t="shared" si="9"/>
        <v>9.2592592592592596E-4</v>
      </c>
      <c r="G38" s="11">
        <f t="shared" si="10"/>
        <v>9.7864506172839496E-4</v>
      </c>
      <c r="H38" s="11">
        <f t="shared" si="11"/>
        <v>1.0092592592592592E-3</v>
      </c>
      <c r="I38" s="11">
        <f t="shared" si="12"/>
        <v>1.0523065179875214E-3</v>
      </c>
      <c r="J38" s="11">
        <f t="shared" si="13"/>
        <v>1.0637446323134728E-3</v>
      </c>
      <c r="K38" s="11">
        <f t="shared" si="14"/>
        <v>1.1120966610549943E-3</v>
      </c>
      <c r="L38" s="11">
        <f t="shared" si="15"/>
        <v>1.165053644914756E-3</v>
      </c>
      <c r="M38" s="25"/>
      <c r="N38" s="28"/>
      <c r="O38" s="25"/>
      <c r="P38" s="28"/>
      <c r="Q38" s="25"/>
      <c r="R38" s="25"/>
      <c r="S38" s="25"/>
      <c r="T38" s="28"/>
      <c r="U38" s="11"/>
      <c r="V38" s="36"/>
      <c r="W38" s="15"/>
      <c r="X38" s="52"/>
    </row>
    <row r="39" spans="1:24" ht="21" customHeight="1">
      <c r="A39" s="10" t="s">
        <v>64</v>
      </c>
      <c r="B39" s="11">
        <v>1.2615740740740742E-2</v>
      </c>
      <c r="C39" s="11">
        <v>3.5879629629629629E-3</v>
      </c>
      <c r="D39" s="11">
        <f t="shared" si="8"/>
        <v>7.3398379629629629E-3</v>
      </c>
      <c r="E39" s="12">
        <v>0.58179999999999998</v>
      </c>
      <c r="F39" s="11">
        <f t="shared" si="9"/>
        <v>8.9699074074074073E-4</v>
      </c>
      <c r="G39" s="11">
        <f t="shared" si="10"/>
        <v>9.7864506172839496E-4</v>
      </c>
      <c r="H39" s="11">
        <f t="shared" si="11"/>
        <v>1.0092592592592592E-3</v>
      </c>
      <c r="I39" s="11">
        <f t="shared" si="12"/>
        <v>1.0523065179875214E-3</v>
      </c>
      <c r="J39" s="11">
        <f t="shared" si="13"/>
        <v>1.0637446323134728E-3</v>
      </c>
      <c r="K39" s="11">
        <f t="shared" si="14"/>
        <v>1.1120966610549943E-3</v>
      </c>
      <c r="L39" s="11">
        <f t="shared" si="15"/>
        <v>1.165053644914756E-3</v>
      </c>
      <c r="M39" s="25"/>
      <c r="N39" s="28"/>
      <c r="O39" s="25"/>
      <c r="P39" s="28"/>
      <c r="Q39" s="25"/>
      <c r="R39" s="25"/>
      <c r="S39" s="25"/>
      <c r="T39" s="28"/>
      <c r="U39" s="11"/>
      <c r="V39" s="36"/>
      <c r="W39" s="15"/>
      <c r="X39" s="52"/>
    </row>
    <row r="40" spans="1:24" ht="21" customHeight="1">
      <c r="A40" s="10" t="s">
        <v>65</v>
      </c>
      <c r="B40" s="11">
        <v>1.2731481481481481E-2</v>
      </c>
      <c r="C40" s="11">
        <v>3.8194444444444443E-3</v>
      </c>
      <c r="D40" s="11">
        <f t="shared" si="8"/>
        <v>7.4071759259259256E-3</v>
      </c>
      <c r="E40" s="12">
        <v>0.58179999999999998</v>
      </c>
      <c r="F40" s="11">
        <f t="shared" si="9"/>
        <v>9.5486111111111108E-4</v>
      </c>
      <c r="G40" s="11">
        <f t="shared" si="10"/>
        <v>9.8762345679012349E-4</v>
      </c>
      <c r="H40" s="11">
        <f t="shared" si="11"/>
        <v>1.0185185185185184E-3</v>
      </c>
      <c r="I40" s="11">
        <f t="shared" si="12"/>
        <v>1.0619607062259391E-3</v>
      </c>
      <c r="J40" s="11">
        <f t="shared" si="13"/>
        <v>1.073503757380569E-3</v>
      </c>
      <c r="K40" s="11">
        <f t="shared" si="14"/>
        <v>1.1222993827160494E-3</v>
      </c>
      <c r="L40" s="11">
        <f t="shared" si="15"/>
        <v>1.1757422104644328E-3</v>
      </c>
      <c r="M40" s="25"/>
      <c r="N40" s="28"/>
      <c r="O40" s="25"/>
      <c r="P40" s="28"/>
      <c r="Q40" s="25"/>
      <c r="R40" s="25"/>
      <c r="S40" s="25"/>
      <c r="T40" s="28"/>
      <c r="U40" s="11"/>
      <c r="V40" s="36"/>
      <c r="W40" s="15"/>
      <c r="X40" s="52"/>
    </row>
    <row r="41" spans="1:24" ht="21" customHeight="1">
      <c r="A41" s="10" t="s">
        <v>66</v>
      </c>
      <c r="B41" s="11">
        <v>1.2731481481481481E-2</v>
      </c>
      <c r="C41" s="11">
        <v>3.6458333333333334E-3</v>
      </c>
      <c r="D41" s="11">
        <f t="shared" si="8"/>
        <v>7.4071759259259256E-3</v>
      </c>
      <c r="E41" s="12">
        <v>0.58179999999999998</v>
      </c>
      <c r="F41" s="11">
        <f t="shared" si="9"/>
        <v>9.1145833333333335E-4</v>
      </c>
      <c r="G41" s="11">
        <f t="shared" si="10"/>
        <v>9.8762345679012349E-4</v>
      </c>
      <c r="H41" s="11">
        <f t="shared" si="11"/>
        <v>1.0185185185185184E-3</v>
      </c>
      <c r="I41" s="11">
        <f t="shared" si="12"/>
        <v>1.0619607062259391E-3</v>
      </c>
      <c r="J41" s="11">
        <f t="shared" si="13"/>
        <v>1.073503757380569E-3</v>
      </c>
      <c r="K41" s="11">
        <f t="shared" si="14"/>
        <v>1.1222993827160494E-3</v>
      </c>
      <c r="L41" s="17">
        <f t="shared" si="15"/>
        <v>1.1757422104644328E-3</v>
      </c>
      <c r="M41" s="25"/>
      <c r="N41" s="28"/>
      <c r="O41" s="25"/>
      <c r="P41" s="28"/>
      <c r="Q41" s="25"/>
      <c r="R41" s="25"/>
      <c r="S41" s="25"/>
      <c r="T41" s="28"/>
      <c r="U41" s="11"/>
      <c r="V41" s="36"/>
      <c r="W41" s="15"/>
      <c r="X41" s="52"/>
    </row>
    <row r="42" spans="1:24" ht="21" customHeight="1">
      <c r="A42" s="10" t="s">
        <v>67</v>
      </c>
      <c r="B42" s="11">
        <v>1.3020833333333334E-2</v>
      </c>
      <c r="C42" s="11">
        <v>3.8194444444444443E-3</v>
      </c>
      <c r="D42" s="11">
        <f t="shared" si="8"/>
        <v>7.5755208333333334E-3</v>
      </c>
      <c r="E42" s="12">
        <v>0.58179999999999998</v>
      </c>
      <c r="F42" s="11">
        <f t="shared" si="9"/>
        <v>9.5486111111111108E-4</v>
      </c>
      <c r="G42" s="11">
        <f t="shared" si="10"/>
        <v>1.0100694444444445E-3</v>
      </c>
      <c r="H42" s="11">
        <f t="shared" si="11"/>
        <v>1.0416666666666667E-3</v>
      </c>
      <c r="I42" s="11">
        <f t="shared" si="12"/>
        <v>1.0860961768219832E-3</v>
      </c>
      <c r="J42" s="11">
        <f t="shared" si="13"/>
        <v>1.0979015700483092E-3</v>
      </c>
      <c r="K42" s="11">
        <f t="shared" si="14"/>
        <v>1.1478061868686869E-3</v>
      </c>
      <c r="L42" s="11">
        <f t="shared" si="15"/>
        <v>1.2024636243386244E-3</v>
      </c>
      <c r="M42" s="25"/>
      <c r="N42" s="28"/>
      <c r="O42" s="25"/>
      <c r="P42" s="28"/>
      <c r="Q42" s="25"/>
      <c r="R42" s="25"/>
      <c r="S42" s="25"/>
      <c r="T42" s="28"/>
      <c r="U42" s="11"/>
      <c r="V42" s="36"/>
      <c r="W42" s="15"/>
      <c r="X42" s="52"/>
    </row>
    <row r="43" spans="1:24" ht="21" customHeight="1">
      <c r="A43" s="10" t="s">
        <v>68</v>
      </c>
      <c r="B43" s="11">
        <v>1.3020833333333334E-2</v>
      </c>
      <c r="C43" s="11">
        <v>3.9351851851851848E-3</v>
      </c>
      <c r="D43" s="11">
        <f t="shared" si="8"/>
        <v>7.5755208333333334E-3</v>
      </c>
      <c r="E43" s="12">
        <v>0.58179999999999998</v>
      </c>
      <c r="F43" s="11">
        <f t="shared" si="9"/>
        <v>9.837962962962962E-4</v>
      </c>
      <c r="G43" s="11">
        <f t="shared" si="10"/>
        <v>1.0100694444444445E-3</v>
      </c>
      <c r="H43" s="11">
        <f t="shared" si="11"/>
        <v>1.0416666666666667E-3</v>
      </c>
      <c r="I43" s="11">
        <f t="shared" si="12"/>
        <v>1.0860961768219832E-3</v>
      </c>
      <c r="J43" s="11">
        <f t="shared" si="13"/>
        <v>1.0979015700483092E-3</v>
      </c>
      <c r="K43" s="11">
        <f t="shared" si="14"/>
        <v>1.1478061868686869E-3</v>
      </c>
      <c r="L43" s="11">
        <f t="shared" si="15"/>
        <v>1.2024636243386244E-3</v>
      </c>
      <c r="M43" s="25"/>
      <c r="N43" s="28"/>
      <c r="O43" s="25"/>
      <c r="P43" s="28"/>
      <c r="Q43" s="25"/>
      <c r="R43" s="25"/>
      <c r="S43" s="25"/>
      <c r="T43" s="28"/>
      <c r="U43" s="11"/>
      <c r="V43" s="36"/>
      <c r="W43" s="15"/>
      <c r="X43" s="52"/>
    </row>
    <row r="44" spans="1:24" ht="21" customHeight="1">
      <c r="A44" s="10" t="s">
        <v>69</v>
      </c>
      <c r="B44" s="11">
        <v>1.3541666666666667E-2</v>
      </c>
      <c r="C44" s="11">
        <v>4.0509259259259257E-3</v>
      </c>
      <c r="D44" s="11">
        <f t="shared" si="8"/>
        <v>7.8785416666666674E-3</v>
      </c>
      <c r="E44" s="12">
        <v>0.58179999999999998</v>
      </c>
      <c r="F44" s="11">
        <f t="shared" si="9"/>
        <v>1.0127314814814814E-3</v>
      </c>
      <c r="G44" s="11">
        <f t="shared" si="10"/>
        <v>1.0504722222222224E-3</v>
      </c>
      <c r="H44" s="11">
        <f t="shared" si="11"/>
        <v>1.0833333333333333E-3</v>
      </c>
      <c r="I44" s="11">
        <f t="shared" si="12"/>
        <v>1.1295400238948627E-3</v>
      </c>
      <c r="J44" s="11">
        <f t="shared" si="13"/>
        <v>1.1418176328502417E-3</v>
      </c>
      <c r="K44" s="11">
        <f t="shared" si="14"/>
        <v>1.1937184343434346E-3</v>
      </c>
      <c r="L44" s="11">
        <f t="shared" si="15"/>
        <v>1.2505621693121695E-3</v>
      </c>
      <c r="M44" s="25"/>
      <c r="N44" s="28"/>
      <c r="O44" s="25"/>
      <c r="P44" s="28"/>
      <c r="Q44" s="25"/>
      <c r="R44" s="25"/>
      <c r="S44" s="25"/>
      <c r="T44" s="28"/>
      <c r="U44" s="11"/>
      <c r="V44" s="36"/>
      <c r="W44" s="15"/>
      <c r="X44" s="52"/>
    </row>
    <row r="45" spans="1:24" ht="21" customHeight="1">
      <c r="A45" s="10" t="s">
        <v>70</v>
      </c>
      <c r="B45" s="11">
        <v>1.3541666666666667E-2</v>
      </c>
      <c r="C45" s="11">
        <v>4.0509259259259257E-3</v>
      </c>
      <c r="D45" s="11">
        <f t="shared" si="8"/>
        <v>7.8785416666666674E-3</v>
      </c>
      <c r="E45" s="12">
        <v>0.58179999999999998</v>
      </c>
      <c r="F45" s="11">
        <f t="shared" si="9"/>
        <v>1.0127314814814814E-3</v>
      </c>
      <c r="G45" s="11">
        <f t="shared" si="10"/>
        <v>1.0504722222222224E-3</v>
      </c>
      <c r="H45" s="11">
        <f t="shared" si="11"/>
        <v>1.0833333333333333E-3</v>
      </c>
      <c r="I45" s="11">
        <f t="shared" si="12"/>
        <v>1.1295400238948627E-3</v>
      </c>
      <c r="J45" s="11">
        <f t="shared" si="13"/>
        <v>1.1418176328502417E-3</v>
      </c>
      <c r="K45" s="11">
        <f t="shared" si="14"/>
        <v>1.1937184343434346E-3</v>
      </c>
      <c r="L45" s="11">
        <f t="shared" si="15"/>
        <v>1.2505621693121695E-3</v>
      </c>
      <c r="M45" s="25"/>
      <c r="N45" s="28"/>
      <c r="O45" s="25"/>
      <c r="P45" s="28"/>
      <c r="Q45" s="25"/>
      <c r="R45" s="25"/>
      <c r="S45" s="25"/>
      <c r="T45" s="28"/>
      <c r="U45" s="11"/>
      <c r="V45" s="36"/>
      <c r="W45" s="15"/>
      <c r="X45" s="52"/>
    </row>
    <row r="46" spans="1:24" ht="21" customHeight="1">
      <c r="A46" s="10" t="s">
        <v>71</v>
      </c>
      <c r="B46" s="11">
        <v>1.3541666666666667E-2</v>
      </c>
      <c r="C46" s="11">
        <v>4.0509259259259257E-3</v>
      </c>
      <c r="D46" s="11">
        <f t="shared" si="8"/>
        <v>7.8785416666666674E-3</v>
      </c>
      <c r="E46" s="12">
        <v>0.58179999999999998</v>
      </c>
      <c r="F46" s="11">
        <f t="shared" si="9"/>
        <v>1.0127314814814814E-3</v>
      </c>
      <c r="G46" s="11">
        <f t="shared" si="10"/>
        <v>1.0504722222222224E-3</v>
      </c>
      <c r="H46" s="11">
        <f t="shared" si="11"/>
        <v>1.0833333333333333E-3</v>
      </c>
      <c r="I46" s="11">
        <f t="shared" si="12"/>
        <v>1.1295400238948627E-3</v>
      </c>
      <c r="J46" s="11">
        <f t="shared" si="13"/>
        <v>1.1418176328502417E-3</v>
      </c>
      <c r="K46" s="11">
        <f t="shared" si="14"/>
        <v>1.1937184343434346E-3</v>
      </c>
      <c r="L46" s="11">
        <f t="shared" si="15"/>
        <v>1.2505621693121695E-3</v>
      </c>
      <c r="M46" s="25"/>
      <c r="N46" s="28"/>
      <c r="O46" s="25"/>
      <c r="P46" s="28"/>
      <c r="Q46" s="25"/>
      <c r="R46" s="25"/>
      <c r="S46" s="25"/>
      <c r="T46" s="28"/>
      <c r="U46" s="11"/>
      <c r="V46" s="36"/>
      <c r="W46" s="15"/>
      <c r="X46" s="52"/>
    </row>
    <row r="47" spans="1:24" ht="21" customHeight="1">
      <c r="A47" s="10" t="s">
        <v>72</v>
      </c>
      <c r="B47" s="11">
        <v>1.3541666666666667E-2</v>
      </c>
      <c r="C47" s="11">
        <v>4.0509259259259257E-3</v>
      </c>
      <c r="D47" s="11">
        <f t="shared" si="8"/>
        <v>7.8785416666666674E-3</v>
      </c>
      <c r="E47" s="12">
        <v>0.58179999999999998</v>
      </c>
      <c r="F47" s="11">
        <f t="shared" si="9"/>
        <v>1.0127314814814814E-3</v>
      </c>
      <c r="G47" s="11">
        <f t="shared" si="10"/>
        <v>1.0504722222222224E-3</v>
      </c>
      <c r="H47" s="11">
        <f t="shared" si="11"/>
        <v>1.0833333333333333E-3</v>
      </c>
      <c r="I47" s="11">
        <f t="shared" si="12"/>
        <v>1.1295400238948627E-3</v>
      </c>
      <c r="J47" s="11">
        <f t="shared" si="13"/>
        <v>1.1418176328502417E-3</v>
      </c>
      <c r="K47" s="11">
        <f t="shared" si="14"/>
        <v>1.1937184343434346E-3</v>
      </c>
      <c r="L47" s="11">
        <f t="shared" si="15"/>
        <v>1.2505621693121695E-3</v>
      </c>
      <c r="M47" s="25"/>
      <c r="N47" s="28"/>
      <c r="O47" s="25"/>
      <c r="P47" s="28"/>
      <c r="Q47" s="25"/>
      <c r="R47" s="25"/>
      <c r="S47" s="25"/>
      <c r="T47" s="28"/>
      <c r="U47" s="11"/>
      <c r="V47" s="36"/>
      <c r="W47" s="15"/>
      <c r="X47" s="52"/>
    </row>
    <row r="48" spans="1:24" ht="21" customHeight="1">
      <c r="A48" s="10" t="s">
        <v>73</v>
      </c>
      <c r="B48" s="11">
        <v>1.3888888888888888E-2</v>
      </c>
      <c r="C48" s="11">
        <v>4.3981481481481484E-3</v>
      </c>
      <c r="D48" s="11">
        <f t="shared" si="8"/>
        <v>8.0805555555555544E-3</v>
      </c>
      <c r="E48" s="12">
        <v>0.58179999999999998</v>
      </c>
      <c r="F48" s="11">
        <f t="shared" si="9"/>
        <v>1.0995370370370371E-3</v>
      </c>
      <c r="G48" s="11">
        <f t="shared" si="10"/>
        <v>1.0774074074074074E-3</v>
      </c>
      <c r="H48" s="11">
        <f t="shared" si="11"/>
        <v>1.1111111111111111E-3</v>
      </c>
      <c r="I48" s="11">
        <f t="shared" si="12"/>
        <v>1.1585025886101153E-3</v>
      </c>
      <c r="J48" s="11">
        <f t="shared" si="13"/>
        <v>1.1710950080515297E-3</v>
      </c>
      <c r="K48" s="11">
        <f t="shared" si="14"/>
        <v>1.2243265993265992E-3</v>
      </c>
      <c r="L48" s="11">
        <f t="shared" si="15"/>
        <v>1.2826278659611992E-3</v>
      </c>
      <c r="M48" s="25"/>
      <c r="N48" s="28"/>
      <c r="O48" s="25"/>
      <c r="P48" s="28"/>
      <c r="Q48" s="25"/>
      <c r="R48" s="25"/>
      <c r="S48" s="25"/>
      <c r="T48" s="28"/>
      <c r="U48" s="11"/>
      <c r="V48" s="36"/>
      <c r="W48" s="15"/>
      <c r="X48" s="52"/>
    </row>
    <row r="49" spans="1:24" ht="21" customHeight="1">
      <c r="A49" s="10" t="s">
        <v>74</v>
      </c>
      <c r="B49" s="11">
        <v>1.3020833333333334E-2</v>
      </c>
      <c r="C49" s="11">
        <v>3.7037037037037038E-3</v>
      </c>
      <c r="D49" s="11">
        <f t="shared" si="8"/>
        <v>7.5755208333333334E-3</v>
      </c>
      <c r="E49" s="12">
        <v>0.58179999999999998</v>
      </c>
      <c r="F49" s="11">
        <f t="shared" si="9"/>
        <v>9.2592592592592596E-4</v>
      </c>
      <c r="G49" s="11">
        <f t="shared" si="10"/>
        <v>1.0100694444444445E-3</v>
      </c>
      <c r="H49" s="11">
        <f t="shared" si="11"/>
        <v>1.0416666666666667E-3</v>
      </c>
      <c r="I49" s="11">
        <f t="shared" si="12"/>
        <v>1.0860961768219832E-3</v>
      </c>
      <c r="J49" s="11">
        <f t="shared" si="13"/>
        <v>1.0979015700483092E-3</v>
      </c>
      <c r="K49" s="11">
        <f t="shared" si="14"/>
        <v>1.1478061868686869E-3</v>
      </c>
      <c r="L49" s="11">
        <f t="shared" si="15"/>
        <v>1.2024636243386244E-3</v>
      </c>
      <c r="M49" s="25"/>
      <c r="N49" s="28"/>
      <c r="O49" s="25"/>
      <c r="P49" s="28"/>
      <c r="Q49" s="25"/>
      <c r="R49" s="25"/>
      <c r="S49" s="25"/>
      <c r="T49" s="28"/>
      <c r="U49" s="11"/>
      <c r="V49" s="36"/>
      <c r="W49" s="15"/>
      <c r="X49" s="52"/>
    </row>
    <row r="50" spans="1:24" ht="21" customHeight="1">
      <c r="A50" s="10" t="s">
        <v>75</v>
      </c>
      <c r="B50" s="11">
        <v>1.3541666666666667E-2</v>
      </c>
      <c r="C50" s="11">
        <v>3.8194444444444443E-3</v>
      </c>
      <c r="D50" s="11">
        <f t="shared" si="8"/>
        <v>7.8785416666666674E-3</v>
      </c>
      <c r="E50" s="12">
        <v>0.58179999999999998</v>
      </c>
      <c r="F50" s="11">
        <f t="shared" si="9"/>
        <v>9.5486111111111108E-4</v>
      </c>
      <c r="G50" s="11">
        <f t="shared" si="10"/>
        <v>1.0504722222222224E-3</v>
      </c>
      <c r="H50" s="11">
        <f t="shared" si="11"/>
        <v>1.0833333333333333E-3</v>
      </c>
      <c r="I50" s="11">
        <f t="shared" si="12"/>
        <v>1.1295400238948627E-3</v>
      </c>
      <c r="J50" s="11">
        <f t="shared" si="13"/>
        <v>1.1418176328502417E-3</v>
      </c>
      <c r="K50" s="11">
        <f t="shared" si="14"/>
        <v>1.1937184343434346E-3</v>
      </c>
      <c r="L50" s="11">
        <f t="shared" si="15"/>
        <v>1.2505621693121695E-3</v>
      </c>
      <c r="M50" s="25"/>
      <c r="N50" s="28"/>
      <c r="O50" s="25"/>
      <c r="P50" s="28"/>
      <c r="Q50" s="25"/>
      <c r="R50" s="25"/>
      <c r="S50" s="25"/>
      <c r="T50" s="28"/>
      <c r="U50" s="11"/>
      <c r="V50" s="36"/>
      <c r="W50" s="15"/>
      <c r="X50" s="52"/>
    </row>
    <row r="51" spans="1:24" ht="21" customHeight="1">
      <c r="A51" s="10" t="s">
        <v>76</v>
      </c>
      <c r="B51" s="11">
        <v>1.3541666666666667E-2</v>
      </c>
      <c r="C51" s="11">
        <v>4.0509259259259257E-3</v>
      </c>
      <c r="D51" s="11">
        <f t="shared" si="8"/>
        <v>7.8785416666666674E-3</v>
      </c>
      <c r="E51" s="12">
        <v>0.58179999999999998</v>
      </c>
      <c r="F51" s="11">
        <f t="shared" si="9"/>
        <v>1.0127314814814814E-3</v>
      </c>
      <c r="G51" s="11">
        <f t="shared" si="10"/>
        <v>1.0504722222222224E-3</v>
      </c>
      <c r="H51" s="11">
        <f t="shared" si="11"/>
        <v>1.0833333333333333E-3</v>
      </c>
      <c r="I51" s="11">
        <f t="shared" si="12"/>
        <v>1.1295400238948627E-3</v>
      </c>
      <c r="J51" s="11">
        <f t="shared" si="13"/>
        <v>1.1418176328502417E-3</v>
      </c>
      <c r="K51" s="11">
        <f t="shared" si="14"/>
        <v>1.1937184343434346E-3</v>
      </c>
      <c r="L51" s="11">
        <f t="shared" si="15"/>
        <v>1.2505621693121695E-3</v>
      </c>
      <c r="M51" s="25"/>
      <c r="N51" s="28"/>
      <c r="O51" s="25"/>
      <c r="P51" s="28"/>
      <c r="Q51" s="25"/>
      <c r="R51" s="25"/>
      <c r="S51" s="25"/>
      <c r="T51" s="28"/>
      <c r="U51" s="11"/>
      <c r="V51" s="36"/>
      <c r="W51" s="15"/>
      <c r="X51" s="52"/>
    </row>
    <row r="52" spans="1:24" ht="21" customHeight="1">
      <c r="A52" s="39"/>
      <c r="B52" s="40"/>
      <c r="C52" s="40"/>
      <c r="D52" s="40"/>
      <c r="E52" s="41"/>
      <c r="F52" s="40"/>
      <c r="G52" s="40"/>
      <c r="H52" s="40"/>
      <c r="I52" s="40"/>
      <c r="J52" s="40"/>
      <c r="K52" s="40"/>
      <c r="L52" s="40"/>
      <c r="M52" s="40"/>
      <c r="N52" s="40"/>
      <c r="O52" s="40"/>
      <c r="P52" s="40"/>
      <c r="Q52" s="40"/>
      <c r="R52" s="40"/>
      <c r="S52" s="40"/>
      <c r="T52" s="40"/>
      <c r="U52" s="40"/>
      <c r="V52" s="40"/>
      <c r="W52" s="42"/>
      <c r="X52" s="52"/>
    </row>
    <row r="53" spans="1:24" ht="21" customHeight="1">
      <c r="A53" s="39"/>
      <c r="B53" s="40"/>
      <c r="C53" s="40"/>
      <c r="D53" s="40"/>
      <c r="E53" s="41"/>
      <c r="F53" s="40"/>
      <c r="G53" s="40"/>
      <c r="H53" s="40"/>
      <c r="I53" s="40"/>
      <c r="J53" s="40"/>
      <c r="K53" s="40"/>
      <c r="L53" s="40"/>
      <c r="M53" s="40"/>
      <c r="N53" s="40"/>
      <c r="O53" s="40"/>
      <c r="P53" s="40"/>
      <c r="Q53" s="40"/>
      <c r="R53" s="40"/>
      <c r="S53" s="40"/>
      <c r="T53" s="40"/>
      <c r="U53" s="40"/>
      <c r="V53" s="40"/>
      <c r="W53" s="42"/>
      <c r="X53" s="52"/>
    </row>
    <row r="54" spans="1:24" ht="21" customHeight="1">
      <c r="A54" s="10"/>
      <c r="B54" s="11"/>
      <c r="C54" s="11"/>
      <c r="D54" s="11"/>
      <c r="E54" s="12"/>
      <c r="F54" s="11"/>
      <c r="G54" s="11"/>
      <c r="H54" s="11"/>
      <c r="I54" s="11"/>
      <c r="J54" s="11"/>
      <c r="K54" s="11"/>
      <c r="L54" s="11"/>
      <c r="M54" s="13"/>
      <c r="N54" s="11"/>
      <c r="O54" s="14"/>
      <c r="P54" s="11"/>
      <c r="Q54" s="14"/>
      <c r="R54" s="11"/>
      <c r="S54" s="14"/>
      <c r="T54" s="14"/>
      <c r="U54" s="14"/>
      <c r="V54" s="11"/>
      <c r="W54" s="18"/>
      <c r="X54" s="52"/>
    </row>
    <row r="55" spans="1:24" ht="21" customHeight="1">
      <c r="A55" s="10"/>
      <c r="B55" s="11"/>
      <c r="C55" s="11"/>
      <c r="D55" s="11"/>
      <c r="E55" s="12"/>
      <c r="F55" s="11"/>
      <c r="G55" s="11"/>
      <c r="H55" s="11"/>
      <c r="I55" s="11"/>
      <c r="J55" s="11"/>
      <c r="K55" s="11"/>
      <c r="L55" s="11"/>
      <c r="M55" s="14"/>
      <c r="N55" s="11"/>
      <c r="O55" s="11"/>
      <c r="P55" s="11"/>
      <c r="Q55" s="14"/>
      <c r="R55" s="11"/>
      <c r="S55" s="14"/>
      <c r="T55" s="14"/>
      <c r="U55" s="14"/>
      <c r="V55" s="11"/>
      <c r="W55" s="15"/>
      <c r="X55" s="52"/>
    </row>
    <row r="56" spans="1:24" ht="21" customHeight="1">
      <c r="A56" s="10"/>
      <c r="B56" s="11"/>
      <c r="C56" s="11"/>
      <c r="D56" s="11"/>
      <c r="E56" s="12"/>
      <c r="F56" s="11"/>
      <c r="G56" s="11"/>
      <c r="H56" s="11"/>
      <c r="I56" s="11"/>
      <c r="J56" s="11"/>
      <c r="K56" s="11"/>
      <c r="L56" s="11"/>
      <c r="M56" s="13"/>
      <c r="N56" s="11"/>
      <c r="O56" s="11"/>
      <c r="P56" s="11"/>
      <c r="Q56" s="14"/>
      <c r="R56" s="11"/>
      <c r="S56" s="14"/>
      <c r="T56" s="14"/>
      <c r="U56" s="14"/>
      <c r="V56" s="17"/>
      <c r="W56" s="18"/>
      <c r="X56" s="52"/>
    </row>
    <row r="57" spans="1:24" ht="21" customHeight="1" thickBot="1">
      <c r="A57" s="10"/>
      <c r="B57" s="11"/>
      <c r="C57" s="11"/>
      <c r="D57" s="11"/>
      <c r="E57" s="12"/>
      <c r="F57" s="11"/>
      <c r="G57" s="11"/>
      <c r="H57" s="11"/>
      <c r="I57" s="11"/>
      <c r="J57" s="11"/>
      <c r="K57" s="11"/>
      <c r="L57" s="11"/>
      <c r="M57" s="13"/>
      <c r="N57" s="11"/>
      <c r="O57" s="11"/>
      <c r="P57" s="11"/>
      <c r="Q57" s="14"/>
      <c r="R57" s="11"/>
      <c r="S57" s="14"/>
      <c r="T57" s="14"/>
      <c r="U57" s="14"/>
      <c r="V57" s="17"/>
      <c r="W57" s="18"/>
      <c r="X57" s="52"/>
    </row>
    <row r="58" spans="1:24" ht="20.45" customHeight="1">
      <c r="A58" s="1" t="s">
        <v>0</v>
      </c>
      <c r="B58" s="2" t="s">
        <v>1</v>
      </c>
      <c r="C58" s="2" t="s">
        <v>2</v>
      </c>
      <c r="D58" s="2" t="s">
        <v>3</v>
      </c>
      <c r="E58" s="3" t="s">
        <v>4</v>
      </c>
      <c r="F58" s="2" t="s">
        <v>5</v>
      </c>
      <c r="G58" s="2" t="s">
        <v>6</v>
      </c>
      <c r="H58" s="2" t="s">
        <v>7</v>
      </c>
      <c r="I58" s="4" t="s">
        <v>8</v>
      </c>
      <c r="J58" s="2" t="s">
        <v>9</v>
      </c>
      <c r="K58" s="2" t="s">
        <v>10</v>
      </c>
      <c r="L58" s="2" t="s">
        <v>11</v>
      </c>
      <c r="M58" s="6" t="s">
        <v>12</v>
      </c>
      <c r="N58" s="6" t="s">
        <v>13</v>
      </c>
      <c r="O58" s="7" t="s">
        <v>14</v>
      </c>
      <c r="P58" s="8" t="s">
        <v>15</v>
      </c>
      <c r="Q58" s="8" t="s">
        <v>16</v>
      </c>
      <c r="R58" s="7" t="s">
        <v>17</v>
      </c>
      <c r="S58" s="7" t="s">
        <v>18</v>
      </c>
      <c r="T58" s="7" t="s">
        <v>19</v>
      </c>
      <c r="U58" s="7" t="s">
        <v>77</v>
      </c>
      <c r="V58" s="8" t="s">
        <v>21</v>
      </c>
      <c r="W58" s="24" t="s">
        <v>22</v>
      </c>
      <c r="X58" s="52" t="s">
        <v>78</v>
      </c>
    </row>
    <row r="59" spans="1:24" ht="20.45" customHeight="1">
      <c r="A59" s="10" t="s">
        <v>79</v>
      </c>
      <c r="B59" s="11">
        <v>9.8379629629629633E-3</v>
      </c>
      <c r="C59" s="11">
        <v>2.9745370370370373E-3</v>
      </c>
      <c r="D59" s="11">
        <f t="shared" ref="D59:D70" si="16">B59*E59</f>
        <v>5.7237268518518522E-3</v>
      </c>
      <c r="E59" s="12">
        <v>0.58179999999999998</v>
      </c>
      <c r="F59" s="11">
        <f t="shared" ref="F59:F70" si="17">C59/4</f>
        <v>7.4363425925925931E-4</v>
      </c>
      <c r="G59" s="11">
        <f t="shared" ref="G59:G70" si="18">D59/7.5</f>
        <v>7.6316358024691364E-4</v>
      </c>
      <c r="H59" s="11">
        <f t="shared" ref="H59:H70" si="19">B59/12.5</f>
        <v>7.8703703703703705E-4</v>
      </c>
      <c r="I59" s="11">
        <f t="shared" ref="I59:I70" si="20">G59/0.93</f>
        <v>8.2060600026549854E-4</v>
      </c>
      <c r="J59" s="11">
        <f t="shared" ref="J59:J70" si="21">G59/0.92</f>
        <v>8.29525630703167E-4</v>
      </c>
      <c r="K59" s="11">
        <f t="shared" ref="K59:K70" si="22">G59/0.88</f>
        <v>8.6723134118967459E-4</v>
      </c>
      <c r="L59" s="11">
        <f t="shared" ref="L59:L70" si="23">G59/0.84</f>
        <v>9.085280717225163E-4</v>
      </c>
      <c r="M59" s="25">
        <f>WO2025Jan7men119151719232529313335394143454749555759636567697173757779131719212327293335394345474951[[#This Row],[Thresh]]</f>
        <v>8.6723134118967459E-4</v>
      </c>
      <c r="N59" s="28">
        <f>WO2025Jan7men119151719232529313335394143454749555759636567697173757779131719212327293335394345474951[[#This Row],[Thresh]]*2.5</f>
        <v>2.1680783529741867E-3</v>
      </c>
      <c r="O59" s="25">
        <f>WO2025Jan7men119151719232529313335394143454749555759636567697173757779131719212327293335394345474951[[#This Row],[CV]]</f>
        <v>8.29525630703167E-4</v>
      </c>
      <c r="P59" s="28">
        <f>WO2025Jan7men119151719232529313335394143454749555759636567697173757779131719212327293335394345474951[[#This Row],[CV]]*1.5</f>
        <v>1.2442884460547505E-3</v>
      </c>
      <c r="Q59" s="25">
        <f>WO2025Jan7men119151719232529313335394143454749555759636567697173757779131719212327293335394345474951[[#This Row],[VO2]]/2</f>
        <v>3.8158179012345682E-4</v>
      </c>
      <c r="R59" s="25">
        <f>WO2025Jan7men119151719232529313335394143454749555759636567697173757779131719212327293335394345474951[[#This Row],[I]]</f>
        <v>7.8703703703703705E-4</v>
      </c>
      <c r="S59" s="25">
        <f>WO2025Jan7men119151719232529313335394143454749555759636567697173757779131719212327293335394345474951[[#This Row],[I]]*1.5</f>
        <v>1.1805555555555556E-3</v>
      </c>
      <c r="T59" s="25" t="s">
        <v>25</v>
      </c>
      <c r="U59" s="28"/>
      <c r="V59" s="25"/>
      <c r="W59" s="15" t="s">
        <v>26</v>
      </c>
      <c r="X59" s="52"/>
    </row>
    <row r="60" spans="1:24" ht="20.45" customHeight="1">
      <c r="A60" s="10" t="s">
        <v>80</v>
      </c>
      <c r="B60" s="11">
        <v>9.8379629629629633E-3</v>
      </c>
      <c r="C60" s="11">
        <v>2.8587962962962963E-3</v>
      </c>
      <c r="D60" s="11">
        <f t="shared" si="16"/>
        <v>5.7237268518518522E-3</v>
      </c>
      <c r="E60" s="12">
        <v>0.58179999999999998</v>
      </c>
      <c r="F60" s="11">
        <f t="shared" si="17"/>
        <v>7.1469907407407409E-4</v>
      </c>
      <c r="G60" s="11">
        <f t="shared" si="18"/>
        <v>7.6316358024691364E-4</v>
      </c>
      <c r="H60" s="11">
        <f t="shared" si="19"/>
        <v>7.8703703703703705E-4</v>
      </c>
      <c r="I60" s="11">
        <f t="shared" si="20"/>
        <v>8.2060600026549854E-4</v>
      </c>
      <c r="J60" s="11">
        <f t="shared" si="21"/>
        <v>8.29525630703167E-4</v>
      </c>
      <c r="K60" s="11">
        <f t="shared" si="22"/>
        <v>8.6723134118967459E-4</v>
      </c>
      <c r="L60" s="11">
        <f t="shared" si="23"/>
        <v>9.085280717225163E-4</v>
      </c>
      <c r="M60" s="25">
        <f>WO2025Jan7men119151719232529313335394143454749555759636567697173757779131719212327293335394345474951[[#This Row],[Thresh]]</f>
        <v>8.6723134118967459E-4</v>
      </c>
      <c r="N60" s="28">
        <f>WO2025Jan7men119151719232529313335394143454749555759636567697173757779131719212327293335394345474951[[#This Row],[Thresh]]*2.5</f>
        <v>2.1680783529741867E-3</v>
      </c>
      <c r="O60" s="25">
        <f>WO2025Jan7men119151719232529313335394143454749555759636567697173757779131719212327293335394345474951[[#This Row],[CV]]</f>
        <v>8.29525630703167E-4</v>
      </c>
      <c r="P60" s="28">
        <f>WO2025Jan7men119151719232529313335394143454749555759636567697173757779131719212327293335394345474951[[#This Row],[CV]]*1.5</f>
        <v>1.2442884460547505E-3</v>
      </c>
      <c r="Q60" s="25">
        <f>WO2025Jan7men119151719232529313335394143454749555759636567697173757779131719212327293335394345474951[[#This Row],[VO2]]/2</f>
        <v>3.8158179012345682E-4</v>
      </c>
      <c r="R60" s="25">
        <f>WO2025Jan7men119151719232529313335394143454749555759636567697173757779131719212327293335394345474951[[#This Row],[I]]</f>
        <v>7.8703703703703705E-4</v>
      </c>
      <c r="S60" s="25">
        <f>WO2025Jan7men119151719232529313335394143454749555759636567697173757779131719212327293335394345474951[[#This Row],[I]]*1.5</f>
        <v>1.1805555555555556E-3</v>
      </c>
      <c r="T60" s="25" t="s">
        <v>25</v>
      </c>
      <c r="U60" s="28"/>
      <c r="V60" s="25"/>
      <c r="W60" s="15" t="s">
        <v>26</v>
      </c>
      <c r="X60" s="52"/>
    </row>
    <row r="61" spans="1:24" ht="20.45" customHeight="1">
      <c r="A61" s="10" t="s">
        <v>81</v>
      </c>
      <c r="B61" s="11">
        <v>9.9537037037037042E-3</v>
      </c>
      <c r="C61" s="11">
        <v>2.9745370370370373E-3</v>
      </c>
      <c r="D61" s="11">
        <f t="shared" si="16"/>
        <v>5.7910648148148149E-3</v>
      </c>
      <c r="E61" s="12">
        <v>0.58179999999999998</v>
      </c>
      <c r="F61" s="11">
        <f t="shared" si="17"/>
        <v>7.4363425925925931E-4</v>
      </c>
      <c r="G61" s="11">
        <f t="shared" si="18"/>
        <v>7.7214197530864196E-4</v>
      </c>
      <c r="H61" s="11">
        <f t="shared" si="19"/>
        <v>7.9629629629629636E-4</v>
      </c>
      <c r="I61" s="11">
        <f t="shared" si="20"/>
        <v>8.3026018850391602E-4</v>
      </c>
      <c r="J61" s="11">
        <f t="shared" si="21"/>
        <v>8.3928475577026292E-4</v>
      </c>
      <c r="K61" s="11">
        <f t="shared" si="22"/>
        <v>8.7743406285072947E-4</v>
      </c>
      <c r="L61" s="11">
        <f t="shared" si="23"/>
        <v>9.1921663727219285E-4</v>
      </c>
      <c r="M61" s="25">
        <f>WO2025Jan7men119151719232529313335394143454749555759636567697173757779131719212327293335394345474951[[#This Row],[Thresh]]</f>
        <v>8.7743406285072947E-4</v>
      </c>
      <c r="N61" s="28">
        <f>WO2025Jan7men119151719232529313335394143454749555759636567697173757779131719212327293335394345474951[[#This Row],[Thresh]]*2.5</f>
        <v>2.1935851571268238E-3</v>
      </c>
      <c r="O61" s="25">
        <f>WO2025Jan7men119151719232529313335394143454749555759636567697173757779131719212327293335394345474951[[#This Row],[CV]]</f>
        <v>8.3928475577026292E-4</v>
      </c>
      <c r="P61" s="28">
        <f>WO2025Jan7men119151719232529313335394143454749555759636567697173757779131719212327293335394345474951[[#This Row],[CV]]*1.5</f>
        <v>1.2589271336553944E-3</v>
      </c>
      <c r="Q61" s="25">
        <f>WO2025Jan7men119151719232529313335394143454749555759636567697173757779131719212327293335394345474951[[#This Row],[VO2]]/2</f>
        <v>3.8607098765432098E-4</v>
      </c>
      <c r="R61" s="25">
        <f>WO2025Jan7men119151719232529313335394143454749555759636567697173757779131719212327293335394345474951[[#This Row],[I]]</f>
        <v>7.9629629629629636E-4</v>
      </c>
      <c r="S61" s="25">
        <f>WO2025Jan7men119151719232529313335394143454749555759636567697173757779131719212327293335394345474951[[#This Row],[I]]*1.5</f>
        <v>1.1944444444444446E-3</v>
      </c>
      <c r="T61" s="25" t="s">
        <v>25</v>
      </c>
      <c r="U61" s="28"/>
      <c r="V61" s="25"/>
      <c r="W61" s="15" t="s">
        <v>26</v>
      </c>
      <c r="X61" s="52"/>
    </row>
    <row r="62" spans="1:24" ht="20.45" customHeight="1">
      <c r="A62" s="10" t="s">
        <v>82</v>
      </c>
      <c r="B62" s="11">
        <v>9.9537037037037042E-3</v>
      </c>
      <c r="C62" s="11">
        <v>2.8935185185185188E-3</v>
      </c>
      <c r="D62" s="11">
        <f t="shared" si="16"/>
        <v>5.7910648148148149E-3</v>
      </c>
      <c r="E62" s="12">
        <v>0.58179999999999998</v>
      </c>
      <c r="F62" s="11">
        <f t="shared" si="17"/>
        <v>7.233796296296297E-4</v>
      </c>
      <c r="G62" s="11">
        <f t="shared" si="18"/>
        <v>7.7214197530864196E-4</v>
      </c>
      <c r="H62" s="11">
        <f t="shared" si="19"/>
        <v>7.9629629629629636E-4</v>
      </c>
      <c r="I62" s="11">
        <f t="shared" si="20"/>
        <v>8.3026018850391602E-4</v>
      </c>
      <c r="J62" s="11">
        <f t="shared" si="21"/>
        <v>8.3928475577026292E-4</v>
      </c>
      <c r="K62" s="11">
        <f t="shared" si="22"/>
        <v>8.7743406285072947E-4</v>
      </c>
      <c r="L62" s="11">
        <f t="shared" si="23"/>
        <v>9.1921663727219285E-4</v>
      </c>
      <c r="M62" s="25">
        <f>WO2025Jan7men119151719232529313335394143454749555759636567697173757779131719212327293335394345474951[[#This Row],[Thresh]]</f>
        <v>8.7743406285072947E-4</v>
      </c>
      <c r="N62" s="28">
        <f>WO2025Jan7men119151719232529313335394143454749555759636567697173757779131719212327293335394345474951[[#This Row],[Thresh]]*2.5</f>
        <v>2.1935851571268238E-3</v>
      </c>
      <c r="O62" s="25">
        <f>WO2025Jan7men119151719232529313335394143454749555759636567697173757779131719212327293335394345474951[[#This Row],[CV]]</f>
        <v>8.3928475577026292E-4</v>
      </c>
      <c r="P62" s="28">
        <f>WO2025Jan7men119151719232529313335394143454749555759636567697173757779131719212327293335394345474951[[#This Row],[CV]]*1.5</f>
        <v>1.2589271336553944E-3</v>
      </c>
      <c r="Q62" s="25">
        <f>WO2025Jan7men119151719232529313335394143454749555759636567697173757779131719212327293335394345474951[[#This Row],[VO2]]/2</f>
        <v>3.8607098765432098E-4</v>
      </c>
      <c r="R62" s="25">
        <f>WO2025Jan7men119151719232529313335394143454749555759636567697173757779131719212327293335394345474951[[#This Row],[I]]</f>
        <v>7.9629629629629636E-4</v>
      </c>
      <c r="S62" s="25">
        <f>WO2025Jan7men119151719232529313335394143454749555759636567697173757779131719212327293335394345474951[[#This Row],[I]]*1.5</f>
        <v>1.1944444444444446E-3</v>
      </c>
      <c r="T62" s="25" t="s">
        <v>25</v>
      </c>
      <c r="U62" s="28"/>
      <c r="V62" s="25"/>
      <c r="W62" s="15" t="s">
        <v>26</v>
      </c>
      <c r="X62" s="52"/>
    </row>
    <row r="63" spans="1:24" ht="20.45" customHeight="1">
      <c r="A63" s="10" t="s">
        <v>83</v>
      </c>
      <c r="B63" s="11">
        <v>1.0069444444444445E-2</v>
      </c>
      <c r="C63" s="11">
        <v>3.0671296296296297E-3</v>
      </c>
      <c r="D63" s="11">
        <f t="shared" si="16"/>
        <v>5.8584027777777783E-3</v>
      </c>
      <c r="E63" s="12">
        <v>0.58179999999999998</v>
      </c>
      <c r="F63" s="11">
        <f t="shared" si="17"/>
        <v>7.6678240740740743E-4</v>
      </c>
      <c r="G63" s="11">
        <f t="shared" si="18"/>
        <v>7.811203703703705E-4</v>
      </c>
      <c r="H63" s="11">
        <f t="shared" si="19"/>
        <v>8.0555555555555556E-4</v>
      </c>
      <c r="I63" s="11">
        <f t="shared" si="20"/>
        <v>8.3991437674233382E-4</v>
      </c>
      <c r="J63" s="11">
        <f t="shared" si="21"/>
        <v>8.4904388083735917E-4</v>
      </c>
      <c r="K63" s="11">
        <f t="shared" si="22"/>
        <v>8.8763678451178466E-4</v>
      </c>
      <c r="L63" s="11">
        <f t="shared" si="23"/>
        <v>9.2990520282186973E-4</v>
      </c>
      <c r="M63" s="25">
        <f>WO2025Jan7men119151719232529313335394143454749555759636567697173757779131719212327293335394345474951[[#This Row],[Thresh]]</f>
        <v>8.8763678451178466E-4</v>
      </c>
      <c r="N63" s="28">
        <f>WO2025Jan7men119151719232529313335394143454749555759636567697173757779131719212327293335394345474951[[#This Row],[Thresh]]*2.5</f>
        <v>2.2190919612794617E-3</v>
      </c>
      <c r="O63" s="25">
        <f>WO2025Jan7men119151719232529313335394143454749555759636567697173757779131719212327293335394345474951[[#This Row],[CV]]</f>
        <v>8.4904388083735917E-4</v>
      </c>
      <c r="P63" s="28">
        <f>WO2025Jan7men119151719232529313335394143454749555759636567697173757779131719212327293335394345474951[[#This Row],[CV]]*1.5</f>
        <v>1.2735658212560388E-3</v>
      </c>
      <c r="Q63" s="25">
        <f>WO2025Jan7men119151719232529313335394143454749555759636567697173757779131719212327293335394345474951[[#This Row],[VO2]]/2</f>
        <v>3.9056018518518525E-4</v>
      </c>
      <c r="R63" s="25">
        <f>WO2025Jan7men119151719232529313335394143454749555759636567697173757779131719212327293335394345474951[[#This Row],[I]]</f>
        <v>8.0555555555555556E-4</v>
      </c>
      <c r="S63" s="25">
        <f>WO2025Jan7men119151719232529313335394143454749555759636567697173757779131719212327293335394345474951[[#This Row],[I]]*1.5</f>
        <v>1.2083333333333334E-3</v>
      </c>
      <c r="T63" s="25" t="s">
        <v>25</v>
      </c>
      <c r="U63" s="28"/>
      <c r="V63" s="25"/>
      <c r="W63" s="15" t="s">
        <v>26</v>
      </c>
      <c r="X63" s="52"/>
    </row>
    <row r="64" spans="1:24" ht="20.45" customHeight="1">
      <c r="A64" s="10" t="s">
        <v>84</v>
      </c>
      <c r="B64" s="11">
        <v>1.0069444444444445E-2</v>
      </c>
      <c r="C64" s="11">
        <v>3.0092592592592593E-3</v>
      </c>
      <c r="D64" s="11">
        <f t="shared" si="16"/>
        <v>5.8584027777777783E-3</v>
      </c>
      <c r="E64" s="12">
        <v>0.58179999999999998</v>
      </c>
      <c r="F64" s="11">
        <f t="shared" si="17"/>
        <v>7.5231481481481482E-4</v>
      </c>
      <c r="G64" s="11">
        <f t="shared" si="18"/>
        <v>7.811203703703705E-4</v>
      </c>
      <c r="H64" s="11">
        <f t="shared" si="19"/>
        <v>8.0555555555555556E-4</v>
      </c>
      <c r="I64" s="11">
        <f t="shared" si="20"/>
        <v>8.3991437674233382E-4</v>
      </c>
      <c r="J64" s="11">
        <f t="shared" si="21"/>
        <v>8.4904388083735917E-4</v>
      </c>
      <c r="K64" s="11">
        <f t="shared" si="22"/>
        <v>8.8763678451178466E-4</v>
      </c>
      <c r="L64" s="11">
        <f t="shared" si="23"/>
        <v>9.2990520282186973E-4</v>
      </c>
      <c r="M64" s="25">
        <f>WO2025Jan7men119151719232529313335394143454749555759636567697173757779131719212327293335394345474951[[#This Row],[Thresh]]</f>
        <v>8.8763678451178466E-4</v>
      </c>
      <c r="N64" s="28">
        <f>WO2025Jan7men119151719232529313335394143454749555759636567697173757779131719212327293335394345474951[[#This Row],[Thresh]]*2.5</f>
        <v>2.2190919612794617E-3</v>
      </c>
      <c r="O64" s="25">
        <f>WO2025Jan7men119151719232529313335394143454749555759636567697173757779131719212327293335394345474951[[#This Row],[CV]]</f>
        <v>8.4904388083735917E-4</v>
      </c>
      <c r="P64" s="28">
        <f>WO2025Jan7men119151719232529313335394143454749555759636567697173757779131719212327293335394345474951[[#This Row],[CV]]*1.5</f>
        <v>1.2735658212560388E-3</v>
      </c>
      <c r="Q64" s="25">
        <f>WO2025Jan7men119151719232529313335394143454749555759636567697173757779131719212327293335394345474951[[#This Row],[VO2]]/2</f>
        <v>3.9056018518518525E-4</v>
      </c>
      <c r="R64" s="25">
        <f>WO2025Jan7men119151719232529313335394143454749555759636567697173757779131719212327293335394345474951[[#This Row],[I]]</f>
        <v>8.0555555555555556E-4</v>
      </c>
      <c r="S64" s="25">
        <f>WO2025Jan7men119151719232529313335394143454749555759636567697173757779131719212327293335394345474951[[#This Row],[I]]*1.5</f>
        <v>1.2083333333333334E-3</v>
      </c>
      <c r="T64" s="25" t="s">
        <v>25</v>
      </c>
      <c r="U64" s="28"/>
      <c r="V64" s="25"/>
      <c r="W64" s="15" t="s">
        <v>26</v>
      </c>
      <c r="X64" s="52"/>
    </row>
    <row r="65" spans="1:24" ht="20.45" customHeight="1">
      <c r="A65" s="10" t="s">
        <v>85</v>
      </c>
      <c r="B65" s="11">
        <v>1.0300925925925925E-2</v>
      </c>
      <c r="C65" s="11">
        <v>3.0671296296296297E-3</v>
      </c>
      <c r="D65" s="11">
        <f t="shared" si="16"/>
        <v>5.9930787037037027E-3</v>
      </c>
      <c r="E65" s="12">
        <v>0.58179999999999998</v>
      </c>
      <c r="F65" s="11">
        <f t="shared" si="17"/>
        <v>7.6678240740740743E-4</v>
      </c>
      <c r="G65" s="11">
        <f t="shared" si="18"/>
        <v>7.9907716049382703E-4</v>
      </c>
      <c r="H65" s="11">
        <f t="shared" si="19"/>
        <v>8.2407407407407397E-4</v>
      </c>
      <c r="I65" s="11">
        <f t="shared" si="20"/>
        <v>8.5922275321916877E-4</v>
      </c>
      <c r="J65" s="11">
        <f t="shared" si="21"/>
        <v>8.6856213097155112E-4</v>
      </c>
      <c r="K65" s="11">
        <f t="shared" si="22"/>
        <v>9.080422278338944E-4</v>
      </c>
      <c r="L65" s="11">
        <f t="shared" si="23"/>
        <v>9.5128233392122272E-4</v>
      </c>
      <c r="M65" s="25">
        <f>WO2025Jan7men119151719232529313335394143454749555759636567697173757779131719212327293335394345474951[[#This Row],[Thresh]]</f>
        <v>9.080422278338944E-4</v>
      </c>
      <c r="N65" s="28">
        <f>WO2025Jan7men119151719232529313335394143454749555759636567697173757779131719212327293335394345474951[[#This Row],[Thresh]]*2.5</f>
        <v>2.2701055695847358E-3</v>
      </c>
      <c r="O65" s="25">
        <f>WO2025Jan7men119151719232529313335394143454749555759636567697173757779131719212327293335394345474951[[#This Row],[CV]]</f>
        <v>8.6856213097155112E-4</v>
      </c>
      <c r="P65" s="28">
        <f>WO2025Jan7men119151719232529313335394143454749555759636567697173757779131719212327293335394345474951[[#This Row],[CV]]*1.5</f>
        <v>1.3028431964573267E-3</v>
      </c>
      <c r="Q65" s="25">
        <f>WO2025Jan7men119151719232529313335394143454749555759636567697173757779131719212327293335394345474951[[#This Row],[VO2]]/2</f>
        <v>3.9953858024691351E-4</v>
      </c>
      <c r="R65" s="25">
        <f>WO2025Jan7men119151719232529313335394143454749555759636567697173757779131719212327293335394345474951[[#This Row],[I]]</f>
        <v>8.2407407407407397E-4</v>
      </c>
      <c r="S65" s="25">
        <f>WO2025Jan7men119151719232529313335394143454749555759636567697173757779131719212327293335394345474951[[#This Row],[I]]*1.5</f>
        <v>1.236111111111111E-3</v>
      </c>
      <c r="T65" s="25" t="s">
        <v>25</v>
      </c>
      <c r="U65" s="28"/>
      <c r="V65" s="25"/>
      <c r="W65" s="15" t="s">
        <v>26</v>
      </c>
      <c r="X65" s="52"/>
    </row>
    <row r="66" spans="1:24" ht="20.45" customHeight="1">
      <c r="A66" s="10" t="s">
        <v>86</v>
      </c>
      <c r="B66" s="11">
        <v>1.0416666666666666E-2</v>
      </c>
      <c r="C66" s="11">
        <v>3.0671296296296297E-3</v>
      </c>
      <c r="D66" s="11">
        <f t="shared" si="16"/>
        <v>6.0604166666666662E-3</v>
      </c>
      <c r="E66" s="12">
        <v>0.58179999999999998</v>
      </c>
      <c r="F66" s="11">
        <f t="shared" si="17"/>
        <v>7.6678240740740743E-4</v>
      </c>
      <c r="G66" s="11">
        <f t="shared" si="18"/>
        <v>8.0805555555555546E-4</v>
      </c>
      <c r="H66" s="11">
        <f t="shared" si="19"/>
        <v>8.3333333333333328E-4</v>
      </c>
      <c r="I66" s="11">
        <f t="shared" si="20"/>
        <v>8.6887694145758646E-4</v>
      </c>
      <c r="J66" s="11">
        <f t="shared" si="21"/>
        <v>8.7832125603864715E-4</v>
      </c>
      <c r="K66" s="11">
        <f t="shared" si="22"/>
        <v>9.1824494949494938E-4</v>
      </c>
      <c r="L66" s="11">
        <f t="shared" si="23"/>
        <v>9.6197089947089938E-4</v>
      </c>
      <c r="M66" s="25">
        <f>WO2025Jan7men119151719232529313335394143454749555759636567697173757779131719212327293335394345474951[[#This Row],[Thresh]]</f>
        <v>9.1824494949494938E-4</v>
      </c>
      <c r="N66" s="28">
        <f>WO2025Jan7men119151719232529313335394143454749555759636567697173757779131719212327293335394345474951[[#This Row],[Thresh]]*2.5</f>
        <v>2.2956123737373733E-3</v>
      </c>
      <c r="O66" s="25">
        <f>WO2025Jan7men119151719232529313335394143454749555759636567697173757779131719212327293335394345474951[[#This Row],[CV]]</f>
        <v>8.7832125603864715E-4</v>
      </c>
      <c r="P66" s="28">
        <f>WO2025Jan7men119151719232529313335394143454749555759636567697173757779131719212327293335394345474951[[#This Row],[CV]]*1.5</f>
        <v>1.3174818840579706E-3</v>
      </c>
      <c r="Q66" s="25">
        <f>WO2025Jan7men119151719232529313335394143454749555759636567697173757779131719212327293335394345474951[[#This Row],[VO2]]/2</f>
        <v>4.0402777777777773E-4</v>
      </c>
      <c r="R66" s="25">
        <f>WO2025Jan7men119151719232529313335394143454749555759636567697173757779131719212327293335394345474951[[#This Row],[I]]</f>
        <v>8.3333333333333328E-4</v>
      </c>
      <c r="S66" s="25">
        <f>WO2025Jan7men119151719232529313335394143454749555759636567697173757779131719212327293335394345474951[[#This Row],[I]]*1.5</f>
        <v>1.2499999999999998E-3</v>
      </c>
      <c r="T66" s="25" t="s">
        <v>25</v>
      </c>
      <c r="U66" s="28"/>
      <c r="V66" s="25"/>
      <c r="W66" s="15" t="s">
        <v>26</v>
      </c>
      <c r="X66" s="52"/>
    </row>
    <row r="67" spans="1:24" ht="20.45" customHeight="1">
      <c r="A67" s="10" t="s">
        <v>87</v>
      </c>
      <c r="B67" s="11">
        <v>1.0532407407407407E-2</v>
      </c>
      <c r="C67" s="11">
        <v>2.9745370370370373E-3</v>
      </c>
      <c r="D67" s="11">
        <f t="shared" si="16"/>
        <v>6.1277546296296288E-3</v>
      </c>
      <c r="E67" s="12">
        <v>0.58179999999999998</v>
      </c>
      <c r="F67" s="11">
        <f t="shared" si="17"/>
        <v>7.4363425925925931E-4</v>
      </c>
      <c r="G67" s="11">
        <f t="shared" si="18"/>
        <v>8.1703395061728389E-4</v>
      </c>
      <c r="H67" s="11">
        <f t="shared" si="19"/>
        <v>8.4259259259259259E-4</v>
      </c>
      <c r="I67" s="11">
        <f t="shared" si="20"/>
        <v>8.7853112969600415E-4</v>
      </c>
      <c r="J67" s="11">
        <f t="shared" si="21"/>
        <v>8.8808038110574329E-4</v>
      </c>
      <c r="K67" s="11">
        <f t="shared" si="22"/>
        <v>9.2844767115600447E-4</v>
      </c>
      <c r="L67" s="11">
        <f t="shared" si="23"/>
        <v>9.7265946502057604E-4</v>
      </c>
      <c r="M67" s="25">
        <f>WO2025Jan7men119151719232529313335394143454749555759636567697173757779131719212327293335394345474951[[#This Row],[Thresh]]</f>
        <v>9.2844767115600447E-4</v>
      </c>
      <c r="N67" s="28">
        <f>WO2025Jan7men119151719232529313335394143454749555759636567697173757779131719212327293335394345474951[[#This Row],[Thresh]]*2.5</f>
        <v>2.3211191778900113E-3</v>
      </c>
      <c r="O67" s="25">
        <f>WO2025Jan7men119151719232529313335394143454749555759636567697173757779131719212327293335394345474951[[#This Row],[CV]]</f>
        <v>8.8808038110574329E-4</v>
      </c>
      <c r="P67" s="28">
        <f>WO2025Jan7men119151719232529313335394143454749555759636567697173757779131719212327293335394345474951[[#This Row],[CV]]*1.5</f>
        <v>1.332120571658615E-3</v>
      </c>
      <c r="Q67" s="25">
        <f>WO2025Jan7men119151719232529313335394143454749555759636567697173757779131719212327293335394345474951[[#This Row],[VO2]]/2</f>
        <v>4.0851697530864194E-4</v>
      </c>
      <c r="R67" s="25">
        <f>WO2025Jan7men119151719232529313335394143454749555759636567697173757779131719212327293335394345474951[[#This Row],[I]]</f>
        <v>8.4259259259259259E-4</v>
      </c>
      <c r="S67" s="25">
        <f>WO2025Jan7men119151719232529313335394143454749555759636567697173757779131719212327293335394345474951[[#This Row],[I]]*1.5</f>
        <v>1.2638888888888888E-3</v>
      </c>
      <c r="T67" s="25" t="s">
        <v>25</v>
      </c>
      <c r="U67" s="28"/>
      <c r="V67" s="25"/>
      <c r="W67" s="15" t="s">
        <v>26</v>
      </c>
      <c r="X67" s="52"/>
    </row>
    <row r="68" spans="1:24" ht="20.45" customHeight="1">
      <c r="A68" s="10" t="s">
        <v>88</v>
      </c>
      <c r="B68" s="11">
        <v>1.0532407407407407E-2</v>
      </c>
      <c r="C68" s="11">
        <v>3.0671296296296297E-3</v>
      </c>
      <c r="D68" s="11">
        <f t="shared" si="16"/>
        <v>6.1277546296296288E-3</v>
      </c>
      <c r="E68" s="12">
        <v>0.58179999999999998</v>
      </c>
      <c r="F68" s="11">
        <f t="shared" si="17"/>
        <v>7.6678240740740743E-4</v>
      </c>
      <c r="G68" s="11">
        <f t="shared" si="18"/>
        <v>8.1703395061728389E-4</v>
      </c>
      <c r="H68" s="11">
        <f t="shared" si="19"/>
        <v>8.4259259259259259E-4</v>
      </c>
      <c r="I68" s="11">
        <f t="shared" si="20"/>
        <v>8.7853112969600415E-4</v>
      </c>
      <c r="J68" s="11">
        <f t="shared" si="21"/>
        <v>8.8808038110574329E-4</v>
      </c>
      <c r="K68" s="11">
        <f t="shared" si="22"/>
        <v>9.2844767115600447E-4</v>
      </c>
      <c r="L68" s="11">
        <f t="shared" si="23"/>
        <v>9.7265946502057604E-4</v>
      </c>
      <c r="M68" s="25">
        <f>WO2025Jan7men119151719232529313335394143454749555759636567697173757779131719212327293335394345474951[[#This Row],[Thresh]]</f>
        <v>9.2844767115600447E-4</v>
      </c>
      <c r="N68" s="28">
        <f>WO2025Jan7men119151719232529313335394143454749555759636567697173757779131719212327293335394345474951[[#This Row],[Thresh]]*2.5</f>
        <v>2.3211191778900113E-3</v>
      </c>
      <c r="O68" s="25">
        <f>WO2025Jan7men119151719232529313335394143454749555759636567697173757779131719212327293335394345474951[[#This Row],[CV]]</f>
        <v>8.8808038110574329E-4</v>
      </c>
      <c r="P68" s="28">
        <f>WO2025Jan7men119151719232529313335394143454749555759636567697173757779131719212327293335394345474951[[#This Row],[CV]]*1.5</f>
        <v>1.332120571658615E-3</v>
      </c>
      <c r="Q68" s="25">
        <f>WO2025Jan7men119151719232529313335394143454749555759636567697173757779131719212327293335394345474951[[#This Row],[VO2]]/2</f>
        <v>4.0851697530864194E-4</v>
      </c>
      <c r="R68" s="25">
        <f>WO2025Jan7men119151719232529313335394143454749555759636567697173757779131719212327293335394345474951[[#This Row],[I]]</f>
        <v>8.4259259259259259E-4</v>
      </c>
      <c r="S68" s="25">
        <f>WO2025Jan7men119151719232529313335394143454749555759636567697173757779131719212327293335394345474951[[#This Row],[I]]*1.5</f>
        <v>1.2638888888888888E-3</v>
      </c>
      <c r="T68" s="25" t="s">
        <v>25</v>
      </c>
      <c r="U68" s="28"/>
      <c r="V68" s="25"/>
      <c r="W68" s="15" t="s">
        <v>26</v>
      </c>
      <c r="X68" s="52" t="s">
        <v>89</v>
      </c>
    </row>
    <row r="69" spans="1:24" ht="20.45" customHeight="1">
      <c r="A69" s="10" t="s">
        <v>90</v>
      </c>
      <c r="B69" s="11">
        <v>1.0532407407407407E-2</v>
      </c>
      <c r="C69" s="11">
        <v>3.0671296296296297E-3</v>
      </c>
      <c r="D69" s="11">
        <f t="shared" si="16"/>
        <v>6.1277546296296288E-3</v>
      </c>
      <c r="E69" s="12">
        <v>0.58179999999999998</v>
      </c>
      <c r="F69" s="11">
        <f t="shared" si="17"/>
        <v>7.6678240740740743E-4</v>
      </c>
      <c r="G69" s="11">
        <f t="shared" si="18"/>
        <v>8.1703395061728389E-4</v>
      </c>
      <c r="H69" s="11">
        <f t="shared" si="19"/>
        <v>8.4259259259259259E-4</v>
      </c>
      <c r="I69" s="11">
        <f t="shared" si="20"/>
        <v>8.7853112969600415E-4</v>
      </c>
      <c r="J69" s="11">
        <f t="shared" si="21"/>
        <v>8.8808038110574329E-4</v>
      </c>
      <c r="K69" s="11">
        <f t="shared" si="22"/>
        <v>9.2844767115600447E-4</v>
      </c>
      <c r="L69" s="11">
        <f t="shared" si="23"/>
        <v>9.7265946502057604E-4</v>
      </c>
      <c r="M69" s="25">
        <f>WO2025Jan7men119151719232529313335394143454749555759636567697173757779131719212327293335394345474951[[#This Row],[Thresh]]</f>
        <v>9.2844767115600447E-4</v>
      </c>
      <c r="N69" s="28">
        <f>WO2025Jan7men119151719232529313335394143454749555759636567697173757779131719212327293335394345474951[[#This Row],[Thresh]]*2.5</f>
        <v>2.3211191778900113E-3</v>
      </c>
      <c r="O69" s="25">
        <f>WO2025Jan7men119151719232529313335394143454749555759636567697173757779131719212327293335394345474951[[#This Row],[CV]]</f>
        <v>8.8808038110574329E-4</v>
      </c>
      <c r="P69" s="28">
        <f>WO2025Jan7men119151719232529313335394143454749555759636567697173757779131719212327293335394345474951[[#This Row],[CV]]*1.5</f>
        <v>1.332120571658615E-3</v>
      </c>
      <c r="Q69" s="25">
        <f>WO2025Jan7men119151719232529313335394143454749555759636567697173757779131719212327293335394345474951[[#This Row],[VO2]]/2</f>
        <v>4.0851697530864194E-4</v>
      </c>
      <c r="R69" s="25">
        <f>WO2025Jan7men119151719232529313335394143454749555759636567697173757779131719212327293335394345474951[[#This Row],[I]]</f>
        <v>8.4259259259259259E-4</v>
      </c>
      <c r="S69" s="25">
        <f>WO2025Jan7men119151719232529313335394143454749555759636567697173757779131719212327293335394345474951[[#This Row],[I]]*1.5</f>
        <v>1.2638888888888888E-3</v>
      </c>
      <c r="T69" s="25" t="s">
        <v>25</v>
      </c>
      <c r="U69" s="28"/>
      <c r="V69" s="25"/>
      <c r="W69" s="15" t="s">
        <v>26</v>
      </c>
      <c r="X69" s="52"/>
    </row>
    <row r="70" spans="1:24" ht="20.45" customHeight="1">
      <c r="A70" s="10" t="s">
        <v>91</v>
      </c>
      <c r="B70" s="11">
        <v>1.0590277777777778E-2</v>
      </c>
      <c r="C70" s="11">
        <v>3.1249999999999997E-3</v>
      </c>
      <c r="D70" s="11">
        <f t="shared" si="16"/>
        <v>6.1614236111111114E-3</v>
      </c>
      <c r="E70" s="12">
        <v>0.58179999999999998</v>
      </c>
      <c r="F70" s="11">
        <f t="shared" si="17"/>
        <v>7.8124999999999993E-4</v>
      </c>
      <c r="G70" s="11">
        <f t="shared" si="18"/>
        <v>8.2152314814814816E-4</v>
      </c>
      <c r="H70" s="11">
        <f t="shared" si="19"/>
        <v>8.472222222222223E-4</v>
      </c>
      <c r="I70" s="11">
        <f t="shared" si="20"/>
        <v>8.8335822381521299E-4</v>
      </c>
      <c r="J70" s="11">
        <f t="shared" si="21"/>
        <v>8.9295994363929141E-4</v>
      </c>
      <c r="K70" s="11">
        <f t="shared" si="22"/>
        <v>9.3354903198653201E-4</v>
      </c>
      <c r="L70" s="11">
        <f t="shared" si="23"/>
        <v>9.7800374779541442E-4</v>
      </c>
      <c r="M70" s="25">
        <f>WO2025Jan7men119151719232529313335394143454749555759636567697173757779131719212327293335394345474951[[#This Row],[Thresh]]</f>
        <v>9.3354903198653201E-4</v>
      </c>
      <c r="N70" s="28">
        <f>WO2025Jan7men119151719232529313335394143454749555759636567697173757779131719212327293335394345474951[[#This Row],[Thresh]]*2.5</f>
        <v>2.33387257996633E-3</v>
      </c>
      <c r="O70" s="25">
        <f>WO2025Jan7men119151719232529313335394143454749555759636567697173757779131719212327293335394345474951[[#This Row],[CV]]</f>
        <v>8.9295994363929141E-4</v>
      </c>
      <c r="P70" s="28">
        <f>WO2025Jan7men119151719232529313335394143454749555759636567697173757779131719212327293335394345474951[[#This Row],[CV]]*1.5</f>
        <v>1.3394399154589372E-3</v>
      </c>
      <c r="Q70" s="25">
        <f>WO2025Jan7men119151719232529313335394143454749555759636567697173757779131719212327293335394345474951[[#This Row],[VO2]]/2</f>
        <v>4.1076157407407408E-4</v>
      </c>
      <c r="R70" s="25">
        <f>WO2025Jan7men119151719232529313335394143454749555759636567697173757779131719212327293335394345474951[[#This Row],[I]]</f>
        <v>8.472222222222223E-4</v>
      </c>
      <c r="S70" s="25">
        <f>WO2025Jan7men119151719232529313335394143454749555759636567697173757779131719212327293335394345474951[[#This Row],[I]]*1.5</f>
        <v>1.2708333333333335E-3</v>
      </c>
      <c r="T70" s="25" t="s">
        <v>25</v>
      </c>
      <c r="U70" s="28"/>
      <c r="V70" s="25"/>
      <c r="W70" s="15" t="s">
        <v>26</v>
      </c>
      <c r="X70" s="52"/>
    </row>
    <row r="71" spans="1:24" ht="20.45" customHeight="1">
      <c r="A71" s="10"/>
      <c r="B71" s="11"/>
      <c r="C71" s="11"/>
      <c r="D71" s="11"/>
      <c r="E71" s="12"/>
      <c r="F71" s="11"/>
      <c r="G71" s="11"/>
      <c r="H71" s="11"/>
      <c r="I71" s="11"/>
      <c r="J71" s="11"/>
      <c r="K71" s="11"/>
      <c r="L71" s="17"/>
      <c r="M71" s="25"/>
      <c r="N71" s="28"/>
      <c r="O71" s="25"/>
      <c r="P71" s="25"/>
      <c r="Q71" s="25"/>
      <c r="R71" s="28"/>
      <c r="S71" s="25"/>
      <c r="T71" s="25"/>
      <c r="U71" s="28"/>
      <c r="V71" s="25"/>
      <c r="W71" s="15"/>
      <c r="X71" s="52"/>
    </row>
    <row r="72" spans="1:24" ht="20.45" customHeight="1">
      <c r="A72" s="19"/>
      <c r="B72" s="6"/>
      <c r="C72" s="6"/>
      <c r="D72" s="6"/>
      <c r="E72" s="20"/>
      <c r="F72" s="6"/>
      <c r="G72" s="6"/>
      <c r="H72" s="6"/>
      <c r="I72" s="6"/>
      <c r="J72" s="6"/>
      <c r="K72" s="6"/>
      <c r="L72" s="6"/>
      <c r="M72" s="6" t="s">
        <v>12</v>
      </c>
      <c r="N72" s="6" t="s">
        <v>13</v>
      </c>
      <c r="O72" s="6" t="s">
        <v>14</v>
      </c>
      <c r="P72" s="6" t="s">
        <v>15</v>
      </c>
      <c r="Q72" s="6" t="s">
        <v>32</v>
      </c>
      <c r="R72" s="6" t="s">
        <v>33</v>
      </c>
      <c r="S72" s="6"/>
      <c r="T72" s="6"/>
      <c r="U72" s="6"/>
      <c r="V72" s="23"/>
      <c r="W72" s="35"/>
      <c r="X72" s="52"/>
    </row>
    <row r="73" spans="1:24" ht="20.45" customHeight="1">
      <c r="A73" s="10" t="s">
        <v>92</v>
      </c>
      <c r="B73" s="11">
        <v>1.0300925925925925E-2</v>
      </c>
      <c r="C73" s="11">
        <v>2.8703703703703703E-3</v>
      </c>
      <c r="D73" s="11">
        <f>B73*E73</f>
        <v>5.9930787037037027E-3</v>
      </c>
      <c r="E73" s="12">
        <v>0.58179999999999998</v>
      </c>
      <c r="F73" s="11">
        <f>C73/4</f>
        <v>7.1759259259259259E-4</v>
      </c>
      <c r="G73" s="11">
        <f>D73/7.5</f>
        <v>7.9907716049382703E-4</v>
      </c>
      <c r="H73" s="11">
        <f>B73/12.5</f>
        <v>8.2407407407407397E-4</v>
      </c>
      <c r="I73" s="11">
        <f>G73/0.93</f>
        <v>8.5922275321916877E-4</v>
      </c>
      <c r="J73" s="11">
        <f>G73/0.92</f>
        <v>8.6856213097155112E-4</v>
      </c>
      <c r="K73" s="11">
        <f>G73/0.88</f>
        <v>9.080422278338944E-4</v>
      </c>
      <c r="L73" s="11">
        <f>G73/0.84</f>
        <v>9.5128233392122272E-4</v>
      </c>
      <c r="M73" s="25">
        <f>WO2025Jan7men119151719232529313335394143454749555759636567697173757779131719212327293335394345474951[[#This Row],[Thresh]]</f>
        <v>9.080422278338944E-4</v>
      </c>
      <c r="N73" s="28">
        <f>WO2025Jan7men119151719232529313335394143454749555759636567697173757779131719212327293335394345474951[[#This Row],[Thresh]]*2.5</f>
        <v>2.2701055695847358E-3</v>
      </c>
      <c r="O73" s="25">
        <f>WO2025Jan7men119151719232529313335394143454749555759636567697173757779131719212327293335394345474951[[#This Row],[CV]]</f>
        <v>8.6856213097155112E-4</v>
      </c>
      <c r="P73" s="28">
        <f>WO2025Jan7men119151719232529313335394143454749555759636567697173757779131719212327293335394345474951[[#This Row],[CV]]*1.5</f>
        <v>1.3028431964573267E-3</v>
      </c>
      <c r="Q73" s="25">
        <f>WO2025Jan7men119151719232529313335394143454749555759636567697173757779131719212327293335394345474951[[#This Row],[R]]</f>
        <v>7.1759259259259259E-4</v>
      </c>
      <c r="R73" s="28">
        <f>(WO2025Jan7men119151719232529313335394143454749555759636567697173757779131719212327293335394345474951[[#This Row],[R]]/2)-0.0000115740740740741</f>
        <v>3.4722222222222218E-4</v>
      </c>
      <c r="S73" s="25"/>
      <c r="T73" s="25"/>
      <c r="U73" s="28"/>
      <c r="V73" s="25"/>
      <c r="W73" s="15" t="s">
        <v>35</v>
      </c>
      <c r="X73" s="52"/>
    </row>
    <row r="74" spans="1:24" ht="20.45" customHeight="1">
      <c r="A74" s="10" t="s">
        <v>93</v>
      </c>
      <c r="B74" s="11">
        <v>1.0300925925925925E-2</v>
      </c>
      <c r="C74" s="11">
        <v>2.8935185185185184E-3</v>
      </c>
      <c r="D74" s="11">
        <f>B74*E74</f>
        <v>5.9930787037037027E-3</v>
      </c>
      <c r="E74" s="12">
        <v>0.58179999999999998</v>
      </c>
      <c r="F74" s="11">
        <f>C74/4</f>
        <v>7.2337962962962959E-4</v>
      </c>
      <c r="G74" s="11">
        <f>D74/7.5</f>
        <v>7.9907716049382703E-4</v>
      </c>
      <c r="H74" s="11">
        <f>B74/12.5</f>
        <v>8.2407407407407397E-4</v>
      </c>
      <c r="I74" s="11">
        <f>G74/0.93</f>
        <v>8.5922275321916877E-4</v>
      </c>
      <c r="J74" s="11">
        <f>G74/0.92</f>
        <v>8.6856213097155112E-4</v>
      </c>
      <c r="K74" s="11">
        <f>G74/0.88</f>
        <v>9.080422278338944E-4</v>
      </c>
      <c r="L74" s="11">
        <f>G74/0.84</f>
        <v>9.5128233392122272E-4</v>
      </c>
      <c r="M74" s="25">
        <f>WO2025Jan7men119151719232529313335394143454749555759636567697173757779131719212327293335394345474951[[#This Row],[Thresh]]</f>
        <v>9.080422278338944E-4</v>
      </c>
      <c r="N74" s="28">
        <f>WO2025Jan7men119151719232529313335394143454749555759636567697173757779131719212327293335394345474951[[#This Row],[Thresh]]*2.5</f>
        <v>2.2701055695847358E-3</v>
      </c>
      <c r="O74" s="25">
        <f>WO2025Jan7men119151719232529313335394143454749555759636567697173757779131719212327293335394345474951[[#This Row],[CV]]</f>
        <v>8.6856213097155112E-4</v>
      </c>
      <c r="P74" s="28">
        <f>WO2025Jan7men119151719232529313335394143454749555759636567697173757779131719212327293335394345474951[[#This Row],[CV]]*1.5</f>
        <v>1.3028431964573267E-3</v>
      </c>
      <c r="Q74" s="25">
        <f>WO2025Jan7men119151719232529313335394143454749555759636567697173757779131719212327293335394345474951[[#This Row],[R]]</f>
        <v>7.2337962962962959E-4</v>
      </c>
      <c r="R74" s="28">
        <f>(WO2025Jan7men119151719232529313335394143454749555759636567697173757779131719212327293335394345474951[[#This Row],[R]]/2)-0.0000115740740740741</f>
        <v>3.5011574074074068E-4</v>
      </c>
      <c r="S74" s="25"/>
      <c r="T74" s="25"/>
      <c r="U74" s="28"/>
      <c r="V74" s="25"/>
      <c r="W74" s="15" t="s">
        <v>35</v>
      </c>
      <c r="X74" s="52"/>
    </row>
    <row r="75" spans="1:24" ht="20.45" customHeight="1">
      <c r="A75" s="10" t="s">
        <v>94</v>
      </c>
      <c r="B75" s="11">
        <v>1.0416666666666666E-2</v>
      </c>
      <c r="C75" s="11">
        <v>2.8935185185185188E-3</v>
      </c>
      <c r="D75" s="11">
        <f>B75*E75</f>
        <v>6.0604166666666662E-3</v>
      </c>
      <c r="E75" s="12">
        <v>0.58179999999999998</v>
      </c>
      <c r="F75" s="11">
        <f>C75/4</f>
        <v>7.233796296296297E-4</v>
      </c>
      <c r="G75" s="11">
        <f>D75/7.5</f>
        <v>8.0805555555555546E-4</v>
      </c>
      <c r="H75" s="11">
        <f>B75/12.5</f>
        <v>8.3333333333333328E-4</v>
      </c>
      <c r="I75" s="11">
        <f>G75/0.93</f>
        <v>8.6887694145758646E-4</v>
      </c>
      <c r="J75" s="11">
        <f>G75/0.92</f>
        <v>8.7832125603864715E-4</v>
      </c>
      <c r="K75" s="11">
        <f>G75/0.88</f>
        <v>9.1824494949494938E-4</v>
      </c>
      <c r="L75" s="11">
        <f>G75/0.84</f>
        <v>9.6197089947089938E-4</v>
      </c>
      <c r="M75" s="25">
        <f>WO2025Jan7men119151719232529313335394143454749555759636567697173757779131719212327293335394345474951[[#This Row],[Thresh]]</f>
        <v>9.1824494949494938E-4</v>
      </c>
      <c r="N75" s="28">
        <f>WO2025Jan7men119151719232529313335394143454749555759636567697173757779131719212327293335394345474951[[#This Row],[Thresh]]*2.5</f>
        <v>2.2956123737373733E-3</v>
      </c>
      <c r="O75" s="25">
        <f>WO2025Jan7men119151719232529313335394143454749555759636567697173757779131719212327293335394345474951[[#This Row],[CV]]</f>
        <v>8.7832125603864715E-4</v>
      </c>
      <c r="P75" s="28">
        <f>WO2025Jan7men119151719232529313335394143454749555759636567697173757779131719212327293335394345474951[[#This Row],[CV]]*1.5</f>
        <v>1.3174818840579706E-3</v>
      </c>
      <c r="Q75" s="25">
        <f>WO2025Jan7men119151719232529313335394143454749555759636567697173757779131719212327293335394345474951[[#This Row],[R]]</f>
        <v>7.233796296296297E-4</v>
      </c>
      <c r="R75" s="28">
        <f>(WO2025Jan7men119151719232529313335394143454749555759636567697173757779131719212327293335394345474951[[#This Row],[R]]/2)-0.0000115740740740741</f>
        <v>3.5011574074074074E-4</v>
      </c>
      <c r="S75" s="25"/>
      <c r="T75" s="25"/>
      <c r="U75" s="28"/>
      <c r="V75" s="25"/>
      <c r="W75" s="15" t="s">
        <v>35</v>
      </c>
      <c r="X75" s="52"/>
    </row>
    <row r="76" spans="1:24" ht="20.45" customHeight="1">
      <c r="A76" s="10" t="s">
        <v>95</v>
      </c>
      <c r="B76" s="11">
        <v>1.0243055555555556E-2</v>
      </c>
      <c r="C76" s="11">
        <v>2.9513888888888888E-3</v>
      </c>
      <c r="D76" s="11">
        <f>B76*E76</f>
        <v>5.9594097222222218E-3</v>
      </c>
      <c r="E76" s="12">
        <v>0.58179999999999998</v>
      </c>
      <c r="F76" s="11">
        <f>C76/4</f>
        <v>7.378472222222222E-4</v>
      </c>
      <c r="G76" s="11">
        <f>D76/7.5</f>
        <v>7.9458796296296287E-4</v>
      </c>
      <c r="H76" s="11">
        <f>B76/12.5</f>
        <v>8.1944444444444447E-4</v>
      </c>
      <c r="I76" s="11">
        <f>G76/0.93</f>
        <v>8.5439565909996003E-4</v>
      </c>
      <c r="J76" s="11">
        <f>G76/0.92</f>
        <v>8.636825684380031E-4</v>
      </c>
      <c r="K76" s="11">
        <f>G76/0.88</f>
        <v>9.0294086700336686E-4</v>
      </c>
      <c r="L76" s="11">
        <f>G76/0.84</f>
        <v>9.4593805114638445E-4</v>
      </c>
      <c r="M76" s="25">
        <f>WO2025Jan7men119151719232529313335394143454749555759636567697173757779131719212327293335394345474951[[#This Row],[Thresh]]</f>
        <v>9.0294086700336686E-4</v>
      </c>
      <c r="N76" s="28">
        <f>WO2025Jan7men119151719232529313335394143454749555759636567697173757779131719212327293335394345474951[[#This Row],[Thresh]]*2.5</f>
        <v>2.2573521675084171E-3</v>
      </c>
      <c r="O76" s="25">
        <f>WO2025Jan7men119151719232529313335394143454749555759636567697173757779131719212327293335394345474951[[#This Row],[CV]]</f>
        <v>8.636825684380031E-4</v>
      </c>
      <c r="P76" s="28">
        <f>WO2025Jan7men119151719232529313335394143454749555759636567697173757779131719212327293335394345474951[[#This Row],[CV]]*1.5</f>
        <v>1.2955238526570047E-3</v>
      </c>
      <c r="Q76" s="25">
        <f>WO2025Jan7men119151719232529313335394143454749555759636567697173757779131719212327293335394345474951[[#This Row],[R]]</f>
        <v>7.378472222222222E-4</v>
      </c>
      <c r="R76" s="28">
        <f>(WO2025Jan7men119151719232529313335394143454749555759636567697173757779131719212327293335394345474951[[#This Row],[R]]/2)-0.0000115740740740741</f>
        <v>3.5734953703703699E-4</v>
      </c>
      <c r="S76" s="25"/>
      <c r="T76" s="25"/>
      <c r="U76" s="28"/>
      <c r="V76" s="25"/>
      <c r="W76" s="15" t="s">
        <v>35</v>
      </c>
      <c r="X76" s="52"/>
    </row>
    <row r="77" spans="1:24" ht="20.45" customHeight="1">
      <c r="A77" s="19"/>
      <c r="B77" s="6"/>
      <c r="C77" s="6"/>
      <c r="D77" s="6"/>
      <c r="E77" s="20"/>
      <c r="F77" s="6"/>
      <c r="G77" s="6"/>
      <c r="H77" s="6"/>
      <c r="I77" s="6"/>
      <c r="J77" s="6"/>
      <c r="K77" s="6"/>
      <c r="L77" s="6"/>
      <c r="M77" s="6" t="s">
        <v>12</v>
      </c>
      <c r="N77" s="6" t="s">
        <v>13</v>
      </c>
      <c r="O77" s="6" t="s">
        <v>40</v>
      </c>
      <c r="P77" s="6" t="s">
        <v>41</v>
      </c>
      <c r="Q77" s="6" t="s">
        <v>42</v>
      </c>
      <c r="R77" s="6" t="s">
        <v>43</v>
      </c>
      <c r="S77" s="6" t="s">
        <v>44</v>
      </c>
      <c r="T77" s="6" t="s">
        <v>45</v>
      </c>
      <c r="U77" s="6" t="s">
        <v>46</v>
      </c>
      <c r="V77" s="23"/>
      <c r="W77" s="35"/>
      <c r="X77" s="52"/>
    </row>
    <row r="78" spans="1:24" ht="20.45" customHeight="1">
      <c r="A78" s="10" t="s">
        <v>96</v>
      </c>
      <c r="B78" s="11">
        <v>1.0648148148148148E-2</v>
      </c>
      <c r="C78" s="11">
        <v>2.9513888888888888E-3</v>
      </c>
      <c r="D78" s="11">
        <f t="shared" ref="D78:D86" si="24">B78*E78</f>
        <v>6.1950925925925923E-3</v>
      </c>
      <c r="E78" s="12">
        <v>0.58179999999999998</v>
      </c>
      <c r="F78" s="11">
        <f t="shared" ref="F78:F86" si="25">C78/4</f>
        <v>7.378472222222222E-4</v>
      </c>
      <c r="G78" s="11">
        <f t="shared" ref="G78:G86" si="26">D78/7.5</f>
        <v>8.2601234567901232E-4</v>
      </c>
      <c r="H78" s="11">
        <f t="shared" ref="H78:H86" si="27">B78/12.5</f>
        <v>8.5185185185185179E-4</v>
      </c>
      <c r="I78" s="11">
        <f t="shared" ref="I78:I86" si="28">G78/0.93</f>
        <v>8.8818531793442184E-4</v>
      </c>
      <c r="J78" s="11">
        <f t="shared" ref="J78:J86" si="29">G78/0.92</f>
        <v>8.9783950617283942E-4</v>
      </c>
      <c r="K78" s="11">
        <f t="shared" ref="K78:K86" si="30">G78/0.88</f>
        <v>9.3865039281705945E-4</v>
      </c>
      <c r="L78" s="11">
        <f t="shared" ref="L78:L86" si="31">G78/0.84</f>
        <v>9.833480305702527E-4</v>
      </c>
      <c r="M78" s="25">
        <f>WO2025Jan7men119151719232529313335394143454749555759636567697173757779131719212327293335394345474951[[#This Row],[Thresh]]</f>
        <v>9.3865039281705945E-4</v>
      </c>
      <c r="N78" s="28">
        <f>WO2025Jan7men119151719232529313335394143454749555759636567697173757779131719212327293335394345474951[[#This Row],[Thresh]]*2.5</f>
        <v>2.3466259820426488E-3</v>
      </c>
      <c r="O78" s="25">
        <f>WO2025Jan7men119151719232529313335394143454749555759636567697173757779131719212327293335394345474951[[#This Row],[R]]/2</f>
        <v>3.689236111111111E-4</v>
      </c>
      <c r="P78" s="28">
        <f>(WO2025Jan7men119151719232529313335394143454749555759636567697173757779131719212327293335394345474951[[#This Row],[R]]/2)-0.0000115740740740741</f>
        <v>3.5734953703703699E-4</v>
      </c>
      <c r="Q78" s="28">
        <f>(WO2025Jan7men119151719232529313335394143454749555759636567697173757779131719212327293335394345474951[[#This Row],[R]]/2)-(0.0000115740740740741*2)</f>
        <v>3.4577546296296288E-4</v>
      </c>
      <c r="R78" s="28">
        <f>(WO2025Jan7men119151719232529313335394143454749555759636567697173757779131719212327293335394345474951[[#This Row],[R]]/2)-(0.0000115740740740741*3)</f>
        <v>3.3420138888888882E-4</v>
      </c>
      <c r="S78" s="28">
        <f>(WO2025Jan7men119151719232529313335394143454749555759636567697173757779131719212327293335394345474951[[#This Row],[R]]/2)-(0.0000115740740740741*4)</f>
        <v>3.2262731481481471E-4</v>
      </c>
      <c r="T78" s="28">
        <f>(WO2025Jan7men119151719232529313335394143454749555759636567697173757779131719212327293335394345474951[[#This Row],[R]]/2)-(0.0000115740740740741*5)</f>
        <v>3.1105324074074059E-4</v>
      </c>
      <c r="U78" s="28" t="s">
        <v>25</v>
      </c>
      <c r="V78" s="25"/>
      <c r="W78" s="15" t="s">
        <v>48</v>
      </c>
      <c r="X78" s="52" t="s">
        <v>54</v>
      </c>
    </row>
    <row r="79" spans="1:24" ht="20.45" customHeight="1">
      <c r="A79" s="10" t="s">
        <v>97</v>
      </c>
      <c r="B79" s="11">
        <v>1.0763888888888889E-2</v>
      </c>
      <c r="C79" s="11">
        <v>2.9513888888888888E-3</v>
      </c>
      <c r="D79" s="11">
        <f t="shared" si="24"/>
        <v>6.2624305555555549E-3</v>
      </c>
      <c r="E79" s="12">
        <v>0.58179999999999998</v>
      </c>
      <c r="F79" s="11">
        <f t="shared" si="25"/>
        <v>7.378472222222222E-4</v>
      </c>
      <c r="G79" s="11">
        <f t="shared" si="26"/>
        <v>8.3499074074074064E-4</v>
      </c>
      <c r="H79" s="11">
        <f t="shared" si="27"/>
        <v>8.611111111111111E-4</v>
      </c>
      <c r="I79" s="11">
        <f t="shared" si="28"/>
        <v>8.9783950617283931E-4</v>
      </c>
      <c r="J79" s="11">
        <f t="shared" si="29"/>
        <v>9.0759863123993545E-4</v>
      </c>
      <c r="K79" s="11">
        <f t="shared" si="30"/>
        <v>9.4885311447811432E-4</v>
      </c>
      <c r="L79" s="17">
        <f t="shared" si="31"/>
        <v>9.9403659611992947E-4</v>
      </c>
      <c r="M79" s="25">
        <f>WO2025Jan7men119151719232529313335394143454749555759636567697173757779131719212327293335394345474951[[#This Row],[Thresh]]</f>
        <v>9.4885311447811432E-4</v>
      </c>
      <c r="N79" s="28">
        <f>WO2025Jan7men119151719232529313335394143454749555759636567697173757779131719212327293335394345474951[[#This Row],[Thresh]]*2.5</f>
        <v>2.3721327861952858E-3</v>
      </c>
      <c r="O79" s="25">
        <f>WO2025Jan7men119151719232529313335394143454749555759636567697173757779131719212327293335394345474951[[#This Row],[R]]/2</f>
        <v>3.689236111111111E-4</v>
      </c>
      <c r="P79" s="28">
        <f>(WO2025Jan7men119151719232529313335394143454749555759636567697173757779131719212327293335394345474951[[#This Row],[R]]/2)-0.0000115740740740741</f>
        <v>3.5734953703703699E-4</v>
      </c>
      <c r="Q79" s="28">
        <f>(WO2025Jan7men119151719232529313335394143454749555759636567697173757779131719212327293335394345474951[[#This Row],[R]]/2)-(0.0000115740740740741*2)</f>
        <v>3.4577546296296288E-4</v>
      </c>
      <c r="R79" s="28">
        <f>(WO2025Jan7men119151719232529313335394143454749555759636567697173757779131719212327293335394345474951[[#This Row],[R]]/2)-(0.0000115740740740741*3)</f>
        <v>3.3420138888888882E-4</v>
      </c>
      <c r="S79" s="28">
        <f>(WO2025Jan7men119151719232529313335394143454749555759636567697173757779131719212327293335394345474951[[#This Row],[R]]/2)-(0.0000115740740740741*4)</f>
        <v>3.2262731481481471E-4</v>
      </c>
      <c r="T79" s="28">
        <f>(WO2025Jan7men119151719232529313335394143454749555759636567697173757779131719212327293335394345474951[[#This Row],[R]]/2)-(0.0000115740740740741*5)</f>
        <v>3.1105324074074059E-4</v>
      </c>
      <c r="U79" s="28" t="s">
        <v>25</v>
      </c>
      <c r="V79" s="25"/>
      <c r="W79" s="15" t="s">
        <v>48</v>
      </c>
      <c r="X79" s="52"/>
    </row>
    <row r="80" spans="1:24" ht="20.45" customHeight="1">
      <c r="A80" s="10" t="s">
        <v>98</v>
      </c>
      <c r="B80" s="11">
        <v>1.1111111111111112E-2</v>
      </c>
      <c r="C80" s="11">
        <v>3.0671296296296297E-3</v>
      </c>
      <c r="D80" s="11">
        <f t="shared" si="24"/>
        <v>6.4644444444444445E-3</v>
      </c>
      <c r="E80" s="12">
        <v>0.58179999999999998</v>
      </c>
      <c r="F80" s="11">
        <f t="shared" si="25"/>
        <v>7.6678240740740743E-4</v>
      </c>
      <c r="G80" s="11">
        <f t="shared" si="26"/>
        <v>8.6192592592592592E-4</v>
      </c>
      <c r="H80" s="11">
        <f t="shared" si="27"/>
        <v>8.8888888888888893E-4</v>
      </c>
      <c r="I80" s="11">
        <f t="shared" si="28"/>
        <v>9.2680207088809239E-4</v>
      </c>
      <c r="J80" s="11">
        <f t="shared" si="29"/>
        <v>9.3687600644122375E-4</v>
      </c>
      <c r="K80" s="11">
        <f t="shared" si="30"/>
        <v>9.7946127946127947E-4</v>
      </c>
      <c r="L80" s="11">
        <f t="shared" si="31"/>
        <v>1.0261022927689596E-3</v>
      </c>
      <c r="M80" s="25">
        <f>WO2025Jan7men119151719232529313335394143454749555759636567697173757779131719212327293335394345474951[[#This Row],[Thresh]]</f>
        <v>9.7946127946127947E-4</v>
      </c>
      <c r="N80" s="28">
        <f>WO2025Jan7men119151719232529313335394143454749555759636567697173757779131719212327293335394345474951[[#This Row],[Thresh]]*2.5</f>
        <v>2.4486531986531988E-3</v>
      </c>
      <c r="O80" s="25">
        <f>WO2025Jan7men119151719232529313335394143454749555759636567697173757779131719212327293335394345474951[[#This Row],[R]]/2</f>
        <v>3.8339120370370371E-4</v>
      </c>
      <c r="P80" s="28">
        <f>(WO2025Jan7men119151719232529313335394143454749555759636567697173757779131719212327293335394345474951[[#This Row],[R]]/2)-0.0000115740740740741</f>
        <v>3.718171296296296E-4</v>
      </c>
      <c r="Q80" s="28">
        <f>(WO2025Jan7men119151719232529313335394143454749555759636567697173757779131719212327293335394345474951[[#This Row],[R]]/2)-(0.0000115740740740741*2)</f>
        <v>3.6024305555555549E-4</v>
      </c>
      <c r="R80" s="28">
        <f>(WO2025Jan7men119151719232529313335394143454749555759636567697173757779131719212327293335394345474951[[#This Row],[R]]/2)-(0.0000115740740740741*3)</f>
        <v>3.4866898148148143E-4</v>
      </c>
      <c r="S80" s="28">
        <f>(WO2025Jan7men119151719232529313335394143454749555759636567697173757779131719212327293335394345474951[[#This Row],[R]]/2)-(0.0000115740740740741*4)</f>
        <v>3.3709490740740732E-4</v>
      </c>
      <c r="T80" s="28">
        <f>(WO2025Jan7men119151719232529313335394143454749555759636567697173757779131719212327293335394345474951[[#This Row],[R]]/2)-(0.0000115740740740741*5)</f>
        <v>3.2552083333333321E-4</v>
      </c>
      <c r="U80" s="28" t="s">
        <v>25</v>
      </c>
      <c r="V80" s="25"/>
      <c r="W80" s="15" t="s">
        <v>48</v>
      </c>
      <c r="X80" s="52"/>
    </row>
    <row r="81" spans="1:24" ht="20.45" customHeight="1">
      <c r="A81" s="10" t="s">
        <v>99</v>
      </c>
      <c r="B81" s="11">
        <v>1.1458333333333333E-2</v>
      </c>
      <c r="C81" s="11">
        <v>3.0092592592592593E-3</v>
      </c>
      <c r="D81" s="11">
        <f t="shared" si="24"/>
        <v>6.6664583333333324E-3</v>
      </c>
      <c r="E81" s="12">
        <v>0.58179999999999998</v>
      </c>
      <c r="F81" s="11">
        <f t="shared" si="25"/>
        <v>7.5231481481481482E-4</v>
      </c>
      <c r="G81" s="11">
        <f t="shared" si="26"/>
        <v>8.8886111111111099E-4</v>
      </c>
      <c r="H81" s="11">
        <f t="shared" si="27"/>
        <v>9.1666666666666665E-4</v>
      </c>
      <c r="I81" s="11">
        <f t="shared" si="28"/>
        <v>9.5576463560334514E-4</v>
      </c>
      <c r="J81" s="11">
        <f t="shared" si="29"/>
        <v>9.6615338164251195E-4</v>
      </c>
      <c r="K81" s="11">
        <f t="shared" si="30"/>
        <v>1.0100694444444443E-3</v>
      </c>
      <c r="L81" s="11">
        <f t="shared" si="31"/>
        <v>1.0581679894179892E-3</v>
      </c>
      <c r="M81" s="25">
        <f>WO2025Jan7men119151719232529313335394143454749555759636567697173757779131719212327293335394345474951[[#This Row],[Thresh]]</f>
        <v>1.0100694444444443E-3</v>
      </c>
      <c r="N81" s="28">
        <f>WO2025Jan7men119151719232529313335394143454749555759636567697173757779131719212327293335394345474951[[#This Row],[Thresh]]*2.5</f>
        <v>2.5251736111111108E-3</v>
      </c>
      <c r="O81" s="25">
        <f>WO2025Jan7men119151719232529313335394143454749555759636567697173757779131719212327293335394345474951[[#This Row],[R]]/2</f>
        <v>3.7615740740740741E-4</v>
      </c>
      <c r="P81" s="28">
        <f>(WO2025Jan7men119151719232529313335394143454749555759636567697173757779131719212327293335394345474951[[#This Row],[R]]/2)-0.0000115740740740741</f>
        <v>3.645833333333333E-4</v>
      </c>
      <c r="Q81" s="28">
        <f>(WO2025Jan7men119151719232529313335394143454749555759636567697173757779131719212327293335394345474951[[#This Row],[R]]/2)-(0.0000115740740740741*2)</f>
        <v>3.5300925925925918E-4</v>
      </c>
      <c r="R81" s="28">
        <f>(WO2025Jan7men119151719232529313335394143454749555759636567697173757779131719212327293335394345474951[[#This Row],[R]]/2)-(0.0000115740740740741*3)</f>
        <v>3.4143518518518513E-4</v>
      </c>
      <c r="S81" s="28">
        <f>(WO2025Jan7men119151719232529313335394143454749555759636567697173757779131719212327293335394345474951[[#This Row],[R]]/2)-(0.0000115740740740741*4)</f>
        <v>3.2986111111111101E-4</v>
      </c>
      <c r="T81" s="28">
        <f>(WO2025Jan7men119151719232529313335394143454749555759636567697173757779131719212327293335394345474951[[#This Row],[R]]/2)-(0.0000115740740740741*5)</f>
        <v>3.182870370370369E-4</v>
      </c>
      <c r="U81" s="28" t="s">
        <v>25</v>
      </c>
      <c r="V81" s="25"/>
      <c r="W81" s="15" t="s">
        <v>48</v>
      </c>
      <c r="X81" s="52"/>
    </row>
    <row r="82" spans="1:24" ht="20.45" customHeight="1">
      <c r="A82" s="10" t="s">
        <v>100</v>
      </c>
      <c r="B82" s="11">
        <v>1.0763888888888889E-2</v>
      </c>
      <c r="C82" s="11">
        <v>3.0671296296296297E-3</v>
      </c>
      <c r="D82" s="11">
        <f t="shared" si="24"/>
        <v>6.2624305555555549E-3</v>
      </c>
      <c r="E82" s="12">
        <v>0.58179999999999998</v>
      </c>
      <c r="F82" s="11">
        <f t="shared" si="25"/>
        <v>7.6678240740740743E-4</v>
      </c>
      <c r="G82" s="11">
        <f t="shared" si="26"/>
        <v>8.3499074074074064E-4</v>
      </c>
      <c r="H82" s="11">
        <f t="shared" si="27"/>
        <v>8.611111111111111E-4</v>
      </c>
      <c r="I82" s="11">
        <f t="shared" si="28"/>
        <v>8.9783950617283931E-4</v>
      </c>
      <c r="J82" s="11">
        <f t="shared" si="29"/>
        <v>9.0759863123993545E-4</v>
      </c>
      <c r="K82" s="11">
        <f t="shared" si="30"/>
        <v>9.4885311447811432E-4</v>
      </c>
      <c r="L82" s="11">
        <f t="shared" si="31"/>
        <v>9.9403659611992947E-4</v>
      </c>
      <c r="M82" s="25">
        <f>WO2025Jan7men119151719232529313335394143454749555759636567697173757779131719212327293335394345474951[[#This Row],[Thresh]]</f>
        <v>9.4885311447811432E-4</v>
      </c>
      <c r="N82" s="28">
        <f>WO2025Jan7men119151719232529313335394143454749555759636567697173757779131719212327293335394345474951[[#This Row],[Thresh]]*2.5</f>
        <v>2.3721327861952858E-3</v>
      </c>
      <c r="O82" s="25">
        <f>WO2025Jan7men119151719232529313335394143454749555759636567697173757779131719212327293335394345474951[[#This Row],[R]]/2</f>
        <v>3.8339120370370371E-4</v>
      </c>
      <c r="P82" s="28">
        <f>(WO2025Jan7men119151719232529313335394143454749555759636567697173757779131719212327293335394345474951[[#This Row],[R]]/2)-0.0000115740740740741</f>
        <v>3.718171296296296E-4</v>
      </c>
      <c r="Q82" s="28">
        <f>(WO2025Jan7men119151719232529313335394143454749555759636567697173757779131719212327293335394345474951[[#This Row],[R]]/2)-(0.0000115740740740741*2)</f>
        <v>3.6024305555555549E-4</v>
      </c>
      <c r="R82" s="28">
        <f>(WO2025Jan7men119151719232529313335394143454749555759636567697173757779131719212327293335394345474951[[#This Row],[R]]/2)-(0.0000115740740740741*3)</f>
        <v>3.4866898148148143E-4</v>
      </c>
      <c r="S82" s="28">
        <f>(WO2025Jan7men119151719232529313335394143454749555759636567697173757779131719212327293335394345474951[[#This Row],[R]]/2)-(0.0000115740740740741*4)</f>
        <v>3.3709490740740732E-4</v>
      </c>
      <c r="T82" s="28">
        <f>(WO2025Jan7men119151719232529313335394143454749555759636567697173757779131719212327293335394345474951[[#This Row],[R]]/2)-(0.0000115740740740741*5)</f>
        <v>3.2552083333333321E-4</v>
      </c>
      <c r="U82" s="28" t="s">
        <v>25</v>
      </c>
      <c r="V82" s="25"/>
      <c r="W82" s="15" t="s">
        <v>48</v>
      </c>
      <c r="X82" s="52"/>
    </row>
    <row r="83" spans="1:24" ht="20.45" customHeight="1">
      <c r="A83" s="10" t="s">
        <v>101</v>
      </c>
      <c r="B83" s="11">
        <v>1.1111111111111112E-2</v>
      </c>
      <c r="C83" s="11">
        <v>3.0671296296296297E-3</v>
      </c>
      <c r="D83" s="11">
        <f t="shared" si="24"/>
        <v>6.4644444444444445E-3</v>
      </c>
      <c r="E83" s="12">
        <v>0.58179999999999998</v>
      </c>
      <c r="F83" s="11">
        <f t="shared" si="25"/>
        <v>7.6678240740740743E-4</v>
      </c>
      <c r="G83" s="11">
        <f t="shared" si="26"/>
        <v>8.6192592592592592E-4</v>
      </c>
      <c r="H83" s="11">
        <f t="shared" si="27"/>
        <v>8.8888888888888893E-4</v>
      </c>
      <c r="I83" s="11">
        <f t="shared" si="28"/>
        <v>9.2680207088809239E-4</v>
      </c>
      <c r="J83" s="11">
        <f t="shared" si="29"/>
        <v>9.3687600644122375E-4</v>
      </c>
      <c r="K83" s="11">
        <f t="shared" si="30"/>
        <v>9.7946127946127947E-4</v>
      </c>
      <c r="L83" s="11">
        <f t="shared" si="31"/>
        <v>1.0261022927689596E-3</v>
      </c>
      <c r="M83" s="25">
        <f>WO2025Jan7men119151719232529313335394143454749555759636567697173757779131719212327293335394345474951[[#This Row],[Thresh]]</f>
        <v>9.7946127946127947E-4</v>
      </c>
      <c r="N83" s="28">
        <f>WO2025Jan7men119151719232529313335394143454749555759636567697173757779131719212327293335394345474951[[#This Row],[Thresh]]*2.5</f>
        <v>2.4486531986531988E-3</v>
      </c>
      <c r="O83" s="25">
        <f>WO2025Jan7men119151719232529313335394143454749555759636567697173757779131719212327293335394345474951[[#This Row],[R]]/2</f>
        <v>3.8339120370370371E-4</v>
      </c>
      <c r="P83" s="28">
        <f>(WO2025Jan7men119151719232529313335394143454749555759636567697173757779131719212327293335394345474951[[#This Row],[R]]/2)-0.0000115740740740741</f>
        <v>3.718171296296296E-4</v>
      </c>
      <c r="Q83" s="28">
        <f>(WO2025Jan7men119151719232529313335394143454749555759636567697173757779131719212327293335394345474951[[#This Row],[R]]/2)-(0.0000115740740740741*2)</f>
        <v>3.6024305555555549E-4</v>
      </c>
      <c r="R83" s="28">
        <f>(WO2025Jan7men119151719232529313335394143454749555759636567697173757779131719212327293335394345474951[[#This Row],[R]]/2)-(0.0000115740740740741*3)</f>
        <v>3.4866898148148143E-4</v>
      </c>
      <c r="S83" s="28">
        <f>(WO2025Jan7men119151719232529313335394143454749555759636567697173757779131719212327293335394345474951[[#This Row],[R]]/2)-(0.0000115740740740741*4)</f>
        <v>3.3709490740740732E-4</v>
      </c>
      <c r="T83" s="28">
        <f>(WO2025Jan7men119151719232529313335394143454749555759636567697173757779131719212327293335394345474951[[#This Row],[R]]/2)-(0.0000115740740740741*5)</f>
        <v>3.2552083333333321E-4</v>
      </c>
      <c r="U83" s="28" t="s">
        <v>25</v>
      </c>
      <c r="V83" s="25"/>
      <c r="W83" s="15" t="s">
        <v>48</v>
      </c>
      <c r="X83" s="52"/>
    </row>
    <row r="84" spans="1:24" ht="20.45" customHeight="1">
      <c r="A84" s="10" t="s">
        <v>102</v>
      </c>
      <c r="B84" s="11">
        <v>1.1458333333333333E-2</v>
      </c>
      <c r="C84" s="11">
        <v>3.0671296296296297E-3</v>
      </c>
      <c r="D84" s="11">
        <f t="shared" si="24"/>
        <v>6.6664583333333324E-3</v>
      </c>
      <c r="E84" s="12">
        <v>0.58179999999999998</v>
      </c>
      <c r="F84" s="11">
        <f t="shared" si="25"/>
        <v>7.6678240740740743E-4</v>
      </c>
      <c r="G84" s="11">
        <f t="shared" si="26"/>
        <v>8.8886111111111099E-4</v>
      </c>
      <c r="H84" s="11">
        <f t="shared" si="27"/>
        <v>9.1666666666666665E-4</v>
      </c>
      <c r="I84" s="11">
        <f t="shared" si="28"/>
        <v>9.5576463560334514E-4</v>
      </c>
      <c r="J84" s="11">
        <f t="shared" si="29"/>
        <v>9.6615338164251195E-4</v>
      </c>
      <c r="K84" s="11">
        <f t="shared" si="30"/>
        <v>1.0100694444444443E-3</v>
      </c>
      <c r="L84" s="17">
        <f t="shared" si="31"/>
        <v>1.0581679894179892E-3</v>
      </c>
      <c r="M84" s="25">
        <f>WO2025Jan7men119151719232529313335394143454749555759636567697173757779131719212327293335394345474951[[#This Row],[Thresh]]</f>
        <v>1.0100694444444443E-3</v>
      </c>
      <c r="N84" s="28">
        <f>WO2025Jan7men119151719232529313335394143454749555759636567697173757779131719212327293335394345474951[[#This Row],[Thresh]]*2.5</f>
        <v>2.5251736111111108E-3</v>
      </c>
      <c r="O84" s="25">
        <f>WO2025Jan7men119151719232529313335394143454749555759636567697173757779131719212327293335394345474951[[#This Row],[R]]/2</f>
        <v>3.8339120370370371E-4</v>
      </c>
      <c r="P84" s="28">
        <f>(WO2025Jan7men119151719232529313335394143454749555759636567697173757779131719212327293335394345474951[[#This Row],[R]]/2)-0.0000115740740740741</f>
        <v>3.718171296296296E-4</v>
      </c>
      <c r="Q84" s="28">
        <f>(WO2025Jan7men119151719232529313335394143454749555759636567697173757779131719212327293335394345474951[[#This Row],[R]]/2)-(0.0000115740740740741*2)</f>
        <v>3.6024305555555549E-4</v>
      </c>
      <c r="R84" s="28">
        <f>(WO2025Jan7men119151719232529313335394143454749555759636567697173757779131719212327293335394345474951[[#This Row],[R]]/2)-(0.0000115740740740741*3)</f>
        <v>3.4866898148148143E-4</v>
      </c>
      <c r="S84" s="28">
        <f>(WO2025Jan7men119151719232529313335394143454749555759636567697173757779131719212327293335394345474951[[#This Row],[R]]/2)-(0.0000115740740740741*4)</f>
        <v>3.3709490740740732E-4</v>
      </c>
      <c r="T84" s="28">
        <f>(WO2025Jan7men119151719232529313335394143454749555759636567697173757779131719212327293335394345474951[[#This Row],[R]]/2)-(0.0000115740740740741*5)</f>
        <v>3.2552083333333321E-4</v>
      </c>
      <c r="U84" s="28" t="s">
        <v>25</v>
      </c>
      <c r="V84" s="25"/>
      <c r="W84" s="15" t="s">
        <v>48</v>
      </c>
      <c r="X84" s="52"/>
    </row>
    <row r="85" spans="1:24" ht="20.45" customHeight="1">
      <c r="A85" s="10" t="s">
        <v>103</v>
      </c>
      <c r="B85" s="11">
        <v>1.1111111111111112E-2</v>
      </c>
      <c r="C85" s="11">
        <v>3.0671296296296297E-3</v>
      </c>
      <c r="D85" s="11">
        <f t="shared" si="24"/>
        <v>6.4644444444444445E-3</v>
      </c>
      <c r="E85" s="12">
        <v>0.58179999999999998</v>
      </c>
      <c r="F85" s="11">
        <f t="shared" si="25"/>
        <v>7.6678240740740743E-4</v>
      </c>
      <c r="G85" s="11">
        <f t="shared" si="26"/>
        <v>8.6192592592592592E-4</v>
      </c>
      <c r="H85" s="11">
        <f t="shared" si="27"/>
        <v>8.8888888888888893E-4</v>
      </c>
      <c r="I85" s="11">
        <f t="shared" si="28"/>
        <v>9.2680207088809239E-4</v>
      </c>
      <c r="J85" s="11">
        <f t="shared" si="29"/>
        <v>9.3687600644122375E-4</v>
      </c>
      <c r="K85" s="11">
        <f t="shared" si="30"/>
        <v>9.7946127946127947E-4</v>
      </c>
      <c r="L85" s="11">
        <f t="shared" si="31"/>
        <v>1.0261022927689596E-3</v>
      </c>
      <c r="M85" s="25">
        <f>WO2025Jan7men119151719232529313335394143454749555759636567697173757779131719212327293335394345474951[[#This Row],[Thresh]]</f>
        <v>9.7946127946127947E-4</v>
      </c>
      <c r="N85" s="28">
        <f>WO2025Jan7men119151719232529313335394143454749555759636567697173757779131719212327293335394345474951[[#This Row],[Thresh]]*2.5</f>
        <v>2.4486531986531988E-3</v>
      </c>
      <c r="O85" s="25">
        <f>WO2025Jan7men119151719232529313335394143454749555759636567697173757779131719212327293335394345474951[[#This Row],[R]]/2</f>
        <v>3.8339120370370371E-4</v>
      </c>
      <c r="P85" s="28">
        <f>(WO2025Jan7men119151719232529313335394143454749555759636567697173757779131719212327293335394345474951[[#This Row],[R]]/2)-0.0000115740740740741</f>
        <v>3.718171296296296E-4</v>
      </c>
      <c r="Q85" s="28">
        <f>(WO2025Jan7men119151719232529313335394143454749555759636567697173757779131719212327293335394345474951[[#This Row],[R]]/2)-(0.0000115740740740741*2)</f>
        <v>3.6024305555555549E-4</v>
      </c>
      <c r="R85" s="28">
        <f>(WO2025Jan7men119151719232529313335394143454749555759636567697173757779131719212327293335394345474951[[#This Row],[R]]/2)-(0.0000115740740740741*3)</f>
        <v>3.4866898148148143E-4</v>
      </c>
      <c r="S85" s="28">
        <f>(WO2025Jan7men119151719232529313335394143454749555759636567697173757779131719212327293335394345474951[[#This Row],[R]]/2)-(0.0000115740740740741*4)</f>
        <v>3.3709490740740732E-4</v>
      </c>
      <c r="T85" s="28">
        <f>(WO2025Jan7men119151719232529313335394143454749555759636567697173757779131719212327293335394345474951[[#This Row],[R]]/2)-(0.0000115740740740741*5)</f>
        <v>3.2552083333333321E-4</v>
      </c>
      <c r="U85" s="28" t="s">
        <v>25</v>
      </c>
      <c r="V85" s="25"/>
      <c r="W85" s="15" t="s">
        <v>48</v>
      </c>
      <c r="X85" s="52"/>
    </row>
    <row r="86" spans="1:24" ht="20.45" customHeight="1">
      <c r="A86" s="10" t="s">
        <v>104</v>
      </c>
      <c r="B86" s="11">
        <v>1.1458333333333333E-2</v>
      </c>
      <c r="C86" s="11">
        <v>3.2986111111111111E-3</v>
      </c>
      <c r="D86" s="11">
        <f t="shared" si="24"/>
        <v>6.6664583333333324E-3</v>
      </c>
      <c r="E86" s="12">
        <v>0.58179999999999998</v>
      </c>
      <c r="F86" s="11">
        <f t="shared" si="25"/>
        <v>8.2465277777777778E-4</v>
      </c>
      <c r="G86" s="11">
        <f t="shared" si="26"/>
        <v>8.8886111111111099E-4</v>
      </c>
      <c r="H86" s="11">
        <f t="shared" si="27"/>
        <v>9.1666666666666665E-4</v>
      </c>
      <c r="I86" s="11">
        <f t="shared" si="28"/>
        <v>9.5576463560334514E-4</v>
      </c>
      <c r="J86" s="11">
        <f t="shared" si="29"/>
        <v>9.6615338164251195E-4</v>
      </c>
      <c r="K86" s="11">
        <f t="shared" si="30"/>
        <v>1.0100694444444443E-3</v>
      </c>
      <c r="L86" s="11">
        <f t="shared" si="31"/>
        <v>1.0581679894179892E-3</v>
      </c>
      <c r="M86" s="25">
        <f>WO2025Jan7men119151719232529313335394143454749555759636567697173757779131719212327293335394345474951[[#This Row],[Thresh]]</f>
        <v>1.0100694444444443E-3</v>
      </c>
      <c r="N86" s="28">
        <f>WO2025Jan7men119151719232529313335394143454749555759636567697173757779131719212327293335394345474951[[#This Row],[Thresh]]*2.5</f>
        <v>2.5251736111111108E-3</v>
      </c>
      <c r="O86" s="25">
        <f>WO2025Jan7men119151719232529313335394143454749555759636567697173757779131719212327293335394345474951[[#This Row],[R]]/2</f>
        <v>4.1232638888888889E-4</v>
      </c>
      <c r="P86" s="28">
        <f>(WO2025Jan7men119151719232529313335394143454749555759636567697173757779131719212327293335394345474951[[#This Row],[R]]/2)-0.0000115740740740741</f>
        <v>4.0075231481481478E-4</v>
      </c>
      <c r="Q86" s="28">
        <f>(WO2025Jan7men119151719232529313335394143454749555759636567697173757779131719212327293335394345474951[[#This Row],[R]]/2)-(0.0000115740740740741*2)</f>
        <v>3.8917824074074066E-4</v>
      </c>
      <c r="R86" s="28">
        <f>(WO2025Jan7men119151719232529313335394143454749555759636567697173757779131719212327293335394345474951[[#This Row],[R]]/2)-(0.0000115740740740741*3)</f>
        <v>3.776041666666666E-4</v>
      </c>
      <c r="S86" s="28">
        <f>(WO2025Jan7men119151719232529313335394143454749555759636567697173757779131719212327293335394345474951[[#This Row],[R]]/2)-(0.0000115740740740741*4)</f>
        <v>3.6603009259259249E-4</v>
      </c>
      <c r="T86" s="28">
        <f>(WO2025Jan7men119151719232529313335394143454749555759636567697173757779131719212327293335394345474951[[#This Row],[R]]/2)-(0.0000115740740740741*5)</f>
        <v>3.5445601851851838E-4</v>
      </c>
      <c r="U86" s="28" t="s">
        <v>25</v>
      </c>
      <c r="V86" s="25"/>
      <c r="W86" s="15" t="s">
        <v>48</v>
      </c>
      <c r="X86" s="52"/>
    </row>
    <row r="87" spans="1:24" ht="20.45" customHeight="1">
      <c r="A87" s="19" t="s">
        <v>0</v>
      </c>
      <c r="B87" s="6"/>
      <c r="C87" s="6"/>
      <c r="D87" s="6"/>
      <c r="E87" s="20"/>
      <c r="F87" s="6"/>
      <c r="G87" s="6"/>
      <c r="H87" s="6"/>
      <c r="I87" s="6"/>
      <c r="J87" s="6"/>
      <c r="K87" s="6"/>
      <c r="L87" s="6"/>
      <c r="M87" s="6"/>
      <c r="N87" s="6"/>
      <c r="O87" s="6"/>
      <c r="P87" s="6"/>
      <c r="Q87" s="6"/>
      <c r="R87" s="6"/>
      <c r="S87" s="6"/>
      <c r="T87" s="6"/>
      <c r="U87" s="6"/>
      <c r="V87" s="23"/>
      <c r="W87" s="35"/>
      <c r="X87" s="52"/>
    </row>
    <row r="88" spans="1:24" ht="20.45" customHeight="1">
      <c r="A88" s="10" t="s">
        <v>105</v>
      </c>
      <c r="B88" s="11">
        <v>1.0648148148148148E-2</v>
      </c>
      <c r="C88" s="11">
        <v>2.9745370370370373E-3</v>
      </c>
      <c r="D88" s="11">
        <f>B88*E88</f>
        <v>6.1950925925925923E-3</v>
      </c>
      <c r="E88" s="12">
        <v>0.58179999999999998</v>
      </c>
      <c r="F88" s="11">
        <f>C88/4</f>
        <v>7.4363425925925931E-4</v>
      </c>
      <c r="G88" s="11">
        <f>D88/7.5</f>
        <v>8.2601234567901232E-4</v>
      </c>
      <c r="H88" s="11">
        <f>B88/12.5</f>
        <v>8.5185185185185179E-4</v>
      </c>
      <c r="I88" s="11">
        <f>G88/0.93</f>
        <v>8.8818531793442184E-4</v>
      </c>
      <c r="J88" s="11">
        <f>G88/0.92</f>
        <v>8.9783950617283942E-4</v>
      </c>
      <c r="K88" s="11">
        <f>G88/0.88</f>
        <v>9.3865039281705945E-4</v>
      </c>
      <c r="L88" s="11">
        <f>G88/0.84</f>
        <v>9.833480305702527E-4</v>
      </c>
      <c r="M88" s="25"/>
      <c r="N88" s="28"/>
      <c r="O88" s="25"/>
      <c r="P88" s="25"/>
      <c r="Q88" s="25"/>
      <c r="R88" s="25"/>
      <c r="S88" s="25"/>
      <c r="T88" s="25"/>
      <c r="U88" s="28"/>
      <c r="V88" s="25"/>
      <c r="W88" s="15" t="s">
        <v>52</v>
      </c>
      <c r="X88" s="52" t="s">
        <v>56</v>
      </c>
    </row>
    <row r="89" spans="1:24" ht="20.45" customHeight="1">
      <c r="A89" s="10" t="s">
        <v>106</v>
      </c>
      <c r="B89" s="11">
        <v>1.0590277777777778E-2</v>
      </c>
      <c r="C89" s="11">
        <v>2.9745370370370373E-3</v>
      </c>
      <c r="D89" s="11">
        <f>B89*E89</f>
        <v>6.1614236111111114E-3</v>
      </c>
      <c r="E89" s="12">
        <v>0.58179999999999998</v>
      </c>
      <c r="F89" s="11">
        <f>C89/4</f>
        <v>7.4363425925925931E-4</v>
      </c>
      <c r="G89" s="11">
        <f>D89/7.5</f>
        <v>8.2152314814814816E-4</v>
      </c>
      <c r="H89" s="11">
        <f>B89/12.5</f>
        <v>8.472222222222223E-4</v>
      </c>
      <c r="I89" s="11">
        <f>G89/0.93</f>
        <v>8.8335822381521299E-4</v>
      </c>
      <c r="J89" s="11">
        <f>G89/0.92</f>
        <v>8.9295994363929141E-4</v>
      </c>
      <c r="K89" s="11">
        <f>G89/0.88</f>
        <v>9.3354903198653201E-4</v>
      </c>
      <c r="L89" s="17">
        <f>G89/0.84</f>
        <v>9.7800374779541442E-4</v>
      </c>
      <c r="M89" s="25"/>
      <c r="N89" s="28"/>
      <c r="O89" s="25"/>
      <c r="P89" s="28"/>
      <c r="Q89" s="25"/>
      <c r="R89" s="28"/>
      <c r="S89" s="25"/>
      <c r="T89" s="25"/>
      <c r="U89" s="28"/>
      <c r="V89" s="44"/>
      <c r="W89" s="28" t="s">
        <v>52</v>
      </c>
      <c r="X89" s="52"/>
    </row>
    <row r="90" spans="1:24" ht="20.45" customHeight="1">
      <c r="A90" s="10" t="s">
        <v>107</v>
      </c>
      <c r="B90" s="11">
        <v>1.1111111111111112E-2</v>
      </c>
      <c r="C90" s="11">
        <v>3.2407407407407406E-3</v>
      </c>
      <c r="D90" s="11">
        <f>B90*E90</f>
        <v>6.4644444444444445E-3</v>
      </c>
      <c r="E90" s="12">
        <v>0.58179999999999998</v>
      </c>
      <c r="F90" s="11">
        <f>C90/4</f>
        <v>8.1018518518518516E-4</v>
      </c>
      <c r="G90" s="11">
        <f>D90/7.5</f>
        <v>8.6192592592592592E-4</v>
      </c>
      <c r="H90" s="11">
        <f>B90/12.5</f>
        <v>8.8888888888888893E-4</v>
      </c>
      <c r="I90" s="11">
        <f>G90/0.93</f>
        <v>9.2680207088809239E-4</v>
      </c>
      <c r="J90" s="11">
        <f>G90/0.92</f>
        <v>9.3687600644122375E-4</v>
      </c>
      <c r="K90" s="11">
        <f>G90/0.88</f>
        <v>9.7946127946127947E-4</v>
      </c>
      <c r="L90" s="11">
        <f>G90/0.84</f>
        <v>1.0261022927689596E-3</v>
      </c>
      <c r="M90" s="25"/>
      <c r="N90" s="28"/>
      <c r="O90" s="25"/>
      <c r="P90" s="25"/>
      <c r="Q90" s="25"/>
      <c r="R90" s="28"/>
      <c r="S90" s="25"/>
      <c r="T90" s="25"/>
      <c r="U90" s="28"/>
      <c r="V90" s="28"/>
      <c r="W90" s="15" t="s">
        <v>52</v>
      </c>
      <c r="X90" s="52"/>
    </row>
    <row r="91" spans="1:24" ht="20.45" customHeight="1">
      <c r="A91" s="10" t="s">
        <v>108</v>
      </c>
      <c r="B91" s="11">
        <v>1.0763888888888891E-2</v>
      </c>
      <c r="C91" s="11">
        <v>3.0671296296296297E-3</v>
      </c>
      <c r="D91" s="11">
        <f>B91*E91</f>
        <v>6.2624305555555567E-3</v>
      </c>
      <c r="E91" s="12">
        <v>0.58179999999999998</v>
      </c>
      <c r="F91" s="11">
        <f>C91/4</f>
        <v>7.6678240740740743E-4</v>
      </c>
      <c r="G91" s="11">
        <f>D91/7.5</f>
        <v>8.3499074074074085E-4</v>
      </c>
      <c r="H91" s="11">
        <f>B91/12.5</f>
        <v>8.6111111111111121E-4</v>
      </c>
      <c r="I91" s="11">
        <f>G91/0.93</f>
        <v>8.9783950617283953E-4</v>
      </c>
      <c r="J91" s="11">
        <f>G91/0.92</f>
        <v>9.0759863123993567E-4</v>
      </c>
      <c r="K91" s="11">
        <f>G91/0.88</f>
        <v>9.4885311447811464E-4</v>
      </c>
      <c r="L91" s="17">
        <f>G91/0.84</f>
        <v>9.9403659611992969E-4</v>
      </c>
      <c r="M91" s="25"/>
      <c r="N91" s="28"/>
      <c r="O91" s="25"/>
      <c r="P91" s="28"/>
      <c r="Q91" s="25"/>
      <c r="R91" s="28"/>
      <c r="S91" s="25"/>
      <c r="T91" s="25"/>
      <c r="U91" s="28"/>
      <c r="V91" s="28"/>
      <c r="W91" s="15" t="s">
        <v>52</v>
      </c>
      <c r="X91" s="52"/>
    </row>
    <row r="92" spans="1:24" ht="20.45" customHeight="1">
      <c r="A92" s="10"/>
      <c r="B92" s="11"/>
      <c r="C92" s="11"/>
      <c r="D92" s="11"/>
      <c r="E92" s="12"/>
      <c r="F92" s="11"/>
      <c r="G92" s="11"/>
      <c r="H92" s="11"/>
      <c r="I92" s="11"/>
      <c r="J92" s="11"/>
      <c r="K92" s="11"/>
      <c r="L92" s="11"/>
      <c r="M92" s="25"/>
      <c r="N92" s="28"/>
      <c r="O92" s="25"/>
      <c r="P92" s="28"/>
      <c r="Q92" s="25"/>
      <c r="R92" s="28"/>
      <c r="S92" s="25"/>
      <c r="T92" s="28"/>
      <c r="U92" s="28"/>
      <c r="V92" s="25"/>
      <c r="W92" s="15"/>
      <c r="X92" s="52"/>
    </row>
    <row r="93" spans="1:24" ht="20.45" customHeight="1">
      <c r="A93" s="10"/>
      <c r="B93" s="11"/>
      <c r="C93" s="11"/>
      <c r="D93" s="11"/>
      <c r="E93" s="12"/>
      <c r="F93" s="11"/>
      <c r="G93" s="11"/>
      <c r="H93" s="11"/>
      <c r="I93" s="11"/>
      <c r="J93" s="11"/>
      <c r="K93" s="11"/>
      <c r="L93" s="11"/>
      <c r="M93" s="25"/>
      <c r="N93" s="28"/>
      <c r="O93" s="25"/>
      <c r="P93" s="28"/>
      <c r="Q93" s="28"/>
      <c r="R93" s="11"/>
      <c r="S93" s="14"/>
      <c r="T93" s="14"/>
      <c r="U93" s="26"/>
      <c r="V93" s="28"/>
      <c r="W93" s="27"/>
      <c r="X93" s="52"/>
    </row>
    <row r="94" spans="1:24" ht="20.45" customHeight="1">
      <c r="A94" s="10" t="s">
        <v>109</v>
      </c>
      <c r="B94" s="11">
        <v>9.8379629629629633E-3</v>
      </c>
      <c r="C94" s="11">
        <v>2.9745370370370373E-3</v>
      </c>
      <c r="D94" s="11">
        <f t="shared" ref="D94:D115" si="32">B94*E94</f>
        <v>5.7237268518518522E-3</v>
      </c>
      <c r="E94" s="12">
        <v>0.58179999999999998</v>
      </c>
      <c r="F94" s="11">
        <f t="shared" ref="F94:F115" si="33">C94/4</f>
        <v>7.4363425925925931E-4</v>
      </c>
      <c r="G94" s="11">
        <f t="shared" ref="G94:G115" si="34">D94/7.5</f>
        <v>7.6316358024691364E-4</v>
      </c>
      <c r="H94" s="11">
        <f t="shared" ref="H94:H115" si="35">B94/12.5</f>
        <v>7.8703703703703705E-4</v>
      </c>
      <c r="I94" s="11">
        <f t="shared" ref="I94:I115" si="36">G94/0.93</f>
        <v>8.2060600026549854E-4</v>
      </c>
      <c r="J94" s="11">
        <f t="shared" ref="J94:J115" si="37">G94/0.92</f>
        <v>8.29525630703167E-4</v>
      </c>
      <c r="K94" s="11">
        <f t="shared" ref="K94:K115" si="38">G94/0.88</f>
        <v>8.6723134118967459E-4</v>
      </c>
      <c r="L94" s="17">
        <f t="shared" ref="L94:L115" si="39">G94/0.84</f>
        <v>9.085280717225163E-4</v>
      </c>
      <c r="M94" s="25"/>
      <c r="N94" s="28"/>
      <c r="O94" s="25"/>
      <c r="P94" s="28"/>
      <c r="Q94" s="25"/>
      <c r="R94" s="25"/>
      <c r="S94" s="25"/>
      <c r="T94" s="25"/>
      <c r="U94" s="28"/>
      <c r="V94" s="25"/>
      <c r="W94" s="15"/>
      <c r="X94" s="52"/>
    </row>
    <row r="95" spans="1:24" ht="20.45" customHeight="1">
      <c r="A95" s="10" t="s">
        <v>110</v>
      </c>
      <c r="B95" s="11">
        <v>1.0069444444444445E-2</v>
      </c>
      <c r="C95" s="11">
        <v>2.8935185185185184E-3</v>
      </c>
      <c r="D95" s="11">
        <f t="shared" si="32"/>
        <v>5.8584027777777783E-3</v>
      </c>
      <c r="E95" s="12">
        <v>0.58179999999999998</v>
      </c>
      <c r="F95" s="11">
        <f t="shared" si="33"/>
        <v>7.2337962962962959E-4</v>
      </c>
      <c r="G95" s="11">
        <f t="shared" si="34"/>
        <v>7.811203703703705E-4</v>
      </c>
      <c r="H95" s="11">
        <f t="shared" si="35"/>
        <v>8.0555555555555556E-4</v>
      </c>
      <c r="I95" s="11">
        <f t="shared" si="36"/>
        <v>8.3991437674233382E-4</v>
      </c>
      <c r="J95" s="11">
        <f t="shared" si="37"/>
        <v>8.4904388083735917E-4</v>
      </c>
      <c r="K95" s="11">
        <f t="shared" si="38"/>
        <v>8.8763678451178466E-4</v>
      </c>
      <c r="L95" s="17">
        <f t="shared" si="39"/>
        <v>9.2990520282186973E-4</v>
      </c>
      <c r="M95" s="25"/>
      <c r="N95" s="28"/>
      <c r="O95" s="25"/>
      <c r="P95" s="28"/>
      <c r="Q95" s="25"/>
      <c r="R95" s="25"/>
      <c r="S95" s="25"/>
      <c r="T95" s="25"/>
      <c r="U95" s="28"/>
      <c r="V95" s="25"/>
      <c r="W95" s="15"/>
      <c r="X95" s="52"/>
    </row>
    <row r="96" spans="1:24" ht="20.45" customHeight="1">
      <c r="A96" s="10" t="s">
        <v>111</v>
      </c>
      <c r="B96" s="11">
        <v>1.0069444444444445E-2</v>
      </c>
      <c r="C96" s="11">
        <v>3.0092592592592588E-3</v>
      </c>
      <c r="D96" s="11">
        <f t="shared" si="32"/>
        <v>5.8584027777777783E-3</v>
      </c>
      <c r="E96" s="12">
        <v>0.58179999999999998</v>
      </c>
      <c r="F96" s="11">
        <f t="shared" si="33"/>
        <v>7.5231481481481471E-4</v>
      </c>
      <c r="G96" s="11">
        <f t="shared" si="34"/>
        <v>7.811203703703705E-4</v>
      </c>
      <c r="H96" s="11">
        <f t="shared" si="35"/>
        <v>8.0555555555555556E-4</v>
      </c>
      <c r="I96" s="11">
        <f t="shared" si="36"/>
        <v>8.3991437674233382E-4</v>
      </c>
      <c r="J96" s="11">
        <f t="shared" si="37"/>
        <v>8.4904388083735917E-4</v>
      </c>
      <c r="K96" s="11">
        <f t="shared" si="38"/>
        <v>8.8763678451178466E-4</v>
      </c>
      <c r="L96" s="11">
        <f t="shared" si="39"/>
        <v>9.2990520282186973E-4</v>
      </c>
      <c r="M96" s="25"/>
      <c r="N96" s="28"/>
      <c r="O96" s="25"/>
      <c r="P96" s="28"/>
      <c r="Q96" s="25"/>
      <c r="R96" s="25"/>
      <c r="S96" s="25"/>
      <c r="T96" s="25"/>
      <c r="U96" s="28"/>
      <c r="V96" s="25"/>
      <c r="W96" s="15"/>
      <c r="X96" s="52"/>
    </row>
    <row r="97" spans="1:24" ht="20.45" customHeight="1">
      <c r="A97" s="10" t="s">
        <v>112</v>
      </c>
      <c r="B97" s="11">
        <v>1.0243055555555556E-2</v>
      </c>
      <c r="C97" s="11">
        <v>2.8587962962962963E-3</v>
      </c>
      <c r="D97" s="11">
        <f t="shared" si="32"/>
        <v>5.9594097222222218E-3</v>
      </c>
      <c r="E97" s="12">
        <v>0.58179999999999998</v>
      </c>
      <c r="F97" s="11">
        <f t="shared" si="33"/>
        <v>7.1469907407407409E-4</v>
      </c>
      <c r="G97" s="11">
        <f t="shared" si="34"/>
        <v>7.9458796296296287E-4</v>
      </c>
      <c r="H97" s="11">
        <f t="shared" si="35"/>
        <v>8.1944444444444447E-4</v>
      </c>
      <c r="I97" s="11">
        <f t="shared" si="36"/>
        <v>8.5439565909996003E-4</v>
      </c>
      <c r="J97" s="11">
        <f t="shared" si="37"/>
        <v>8.636825684380031E-4</v>
      </c>
      <c r="K97" s="11">
        <f t="shared" si="38"/>
        <v>9.0294086700336686E-4</v>
      </c>
      <c r="L97" s="11">
        <f t="shared" si="39"/>
        <v>9.4593805114638445E-4</v>
      </c>
      <c r="M97" s="25"/>
      <c r="N97" s="28"/>
      <c r="O97" s="25"/>
      <c r="P97" s="28"/>
      <c r="Q97" s="25"/>
      <c r="R97" s="28"/>
      <c r="S97" s="25"/>
      <c r="T97" s="25"/>
      <c r="U97" s="28"/>
      <c r="V97" s="25"/>
      <c r="W97" s="15"/>
      <c r="X97" s="52"/>
    </row>
    <row r="98" spans="1:24" ht="20.45" customHeight="1">
      <c r="A98" s="10" t="s">
        <v>113</v>
      </c>
      <c r="B98" s="11">
        <v>1.0763888888888891E-2</v>
      </c>
      <c r="C98" s="11">
        <v>3.2986111111111111E-3</v>
      </c>
      <c r="D98" s="11">
        <f t="shared" si="32"/>
        <v>6.2624305555555567E-3</v>
      </c>
      <c r="E98" s="12">
        <v>0.58179999999999998</v>
      </c>
      <c r="F98" s="11">
        <f t="shared" si="33"/>
        <v>8.2465277777777778E-4</v>
      </c>
      <c r="G98" s="11">
        <f t="shared" si="34"/>
        <v>8.3499074074074085E-4</v>
      </c>
      <c r="H98" s="11">
        <f t="shared" si="35"/>
        <v>8.6111111111111121E-4</v>
      </c>
      <c r="I98" s="11">
        <f t="shared" si="36"/>
        <v>8.9783950617283953E-4</v>
      </c>
      <c r="J98" s="11">
        <f t="shared" si="37"/>
        <v>9.0759863123993567E-4</v>
      </c>
      <c r="K98" s="11">
        <f t="shared" si="38"/>
        <v>9.4885311447811464E-4</v>
      </c>
      <c r="L98" s="11">
        <f t="shared" si="39"/>
        <v>9.9403659611992969E-4</v>
      </c>
      <c r="M98" s="25"/>
      <c r="N98" s="28"/>
      <c r="O98" s="25"/>
      <c r="P98" s="28"/>
      <c r="Q98" s="25"/>
      <c r="R98" s="28"/>
      <c r="S98" s="25"/>
      <c r="T98" s="25"/>
      <c r="U98" s="28"/>
      <c r="V98" s="25"/>
      <c r="W98" s="15"/>
      <c r="X98" s="52"/>
    </row>
    <row r="99" spans="1:24" ht="20.45" customHeight="1">
      <c r="A99" s="10" t="s">
        <v>114</v>
      </c>
      <c r="B99" s="11">
        <v>1.0763888888888891E-2</v>
      </c>
      <c r="C99" s="11">
        <v>3.0671296296296297E-3</v>
      </c>
      <c r="D99" s="11">
        <f t="shared" si="32"/>
        <v>6.2624305555555567E-3</v>
      </c>
      <c r="E99" s="12">
        <v>0.58179999999999998</v>
      </c>
      <c r="F99" s="11">
        <f t="shared" si="33"/>
        <v>7.6678240740740743E-4</v>
      </c>
      <c r="G99" s="11">
        <f t="shared" si="34"/>
        <v>8.3499074074074085E-4</v>
      </c>
      <c r="H99" s="11">
        <f t="shared" si="35"/>
        <v>8.6111111111111121E-4</v>
      </c>
      <c r="I99" s="11">
        <f t="shared" si="36"/>
        <v>8.9783950617283953E-4</v>
      </c>
      <c r="J99" s="11">
        <f t="shared" si="37"/>
        <v>9.0759863123993567E-4</v>
      </c>
      <c r="K99" s="11">
        <f t="shared" si="38"/>
        <v>9.4885311447811464E-4</v>
      </c>
      <c r="L99" s="11">
        <f t="shared" si="39"/>
        <v>9.9403659611992969E-4</v>
      </c>
      <c r="M99" s="25"/>
      <c r="N99" s="28"/>
      <c r="O99" s="25"/>
      <c r="P99" s="28"/>
      <c r="Q99" s="25"/>
      <c r="R99" s="28"/>
      <c r="S99" s="25"/>
      <c r="T99" s="25"/>
      <c r="U99" s="28"/>
      <c r="V99" s="25"/>
      <c r="W99" s="15"/>
      <c r="X99" s="52"/>
    </row>
    <row r="100" spans="1:24" ht="20.45" customHeight="1">
      <c r="A100" s="10" t="s">
        <v>115</v>
      </c>
      <c r="B100" s="11">
        <v>1.0532407407407407E-2</v>
      </c>
      <c r="C100" s="11">
        <v>2.9513888888888888E-3</v>
      </c>
      <c r="D100" s="11">
        <f t="shared" si="32"/>
        <v>6.1277546296296288E-3</v>
      </c>
      <c r="E100" s="12">
        <v>0.58179999999999998</v>
      </c>
      <c r="F100" s="11">
        <f t="shared" si="33"/>
        <v>7.378472222222222E-4</v>
      </c>
      <c r="G100" s="11">
        <f t="shared" si="34"/>
        <v>8.1703395061728389E-4</v>
      </c>
      <c r="H100" s="11">
        <f t="shared" si="35"/>
        <v>8.4259259259259259E-4</v>
      </c>
      <c r="I100" s="11">
        <f t="shared" si="36"/>
        <v>8.7853112969600415E-4</v>
      </c>
      <c r="J100" s="11">
        <f t="shared" si="37"/>
        <v>8.8808038110574329E-4</v>
      </c>
      <c r="K100" s="11">
        <f t="shared" si="38"/>
        <v>9.2844767115600447E-4</v>
      </c>
      <c r="L100" s="11">
        <f t="shared" si="39"/>
        <v>9.7265946502057604E-4</v>
      </c>
      <c r="M100" s="25"/>
      <c r="N100" s="28"/>
      <c r="O100" s="25"/>
      <c r="P100" s="28"/>
      <c r="Q100" s="25"/>
      <c r="R100" s="28"/>
      <c r="S100" s="25"/>
      <c r="T100" s="25"/>
      <c r="U100" s="28"/>
      <c r="V100" s="25"/>
      <c r="W100" s="15"/>
      <c r="X100" s="52"/>
    </row>
    <row r="101" spans="1:24" ht="20.45" customHeight="1">
      <c r="A101" s="10" t="s">
        <v>116</v>
      </c>
      <c r="B101" s="11">
        <v>1.0243055555555556E-2</v>
      </c>
      <c r="C101" s="11">
        <v>2.9513888888888888E-3</v>
      </c>
      <c r="D101" s="11">
        <f t="shared" si="32"/>
        <v>5.9594097222222218E-3</v>
      </c>
      <c r="E101" s="12">
        <v>0.58179999999999998</v>
      </c>
      <c r="F101" s="11">
        <f t="shared" si="33"/>
        <v>7.378472222222222E-4</v>
      </c>
      <c r="G101" s="11">
        <f t="shared" si="34"/>
        <v>7.9458796296296287E-4</v>
      </c>
      <c r="H101" s="11">
        <f t="shared" si="35"/>
        <v>8.1944444444444447E-4</v>
      </c>
      <c r="I101" s="11">
        <f t="shared" si="36"/>
        <v>8.5439565909996003E-4</v>
      </c>
      <c r="J101" s="11">
        <f t="shared" si="37"/>
        <v>8.636825684380031E-4</v>
      </c>
      <c r="K101" s="11">
        <f t="shared" si="38"/>
        <v>9.0294086700336686E-4</v>
      </c>
      <c r="L101" s="11">
        <f t="shared" si="39"/>
        <v>9.4593805114638445E-4</v>
      </c>
      <c r="M101" s="25"/>
      <c r="N101" s="28"/>
      <c r="O101" s="25"/>
      <c r="P101" s="28"/>
      <c r="Q101" s="25"/>
      <c r="R101" s="28"/>
      <c r="S101" s="25"/>
      <c r="T101" s="25"/>
      <c r="U101" s="28"/>
      <c r="V101" s="25"/>
      <c r="W101" s="15"/>
      <c r="X101" s="52"/>
    </row>
    <row r="102" spans="1:24" ht="20.45" customHeight="1">
      <c r="A102" s="10" t="s">
        <v>117</v>
      </c>
      <c r="B102" s="11">
        <v>1.0300925925925925E-2</v>
      </c>
      <c r="C102" s="11">
        <v>3.0671296296296297E-3</v>
      </c>
      <c r="D102" s="11">
        <f t="shared" si="32"/>
        <v>5.9930787037037027E-3</v>
      </c>
      <c r="E102" s="12">
        <v>0.58179999999999998</v>
      </c>
      <c r="F102" s="11">
        <f t="shared" si="33"/>
        <v>7.6678240740740743E-4</v>
      </c>
      <c r="G102" s="11">
        <f t="shared" si="34"/>
        <v>7.9907716049382703E-4</v>
      </c>
      <c r="H102" s="11">
        <f t="shared" si="35"/>
        <v>8.2407407407407397E-4</v>
      </c>
      <c r="I102" s="11">
        <f t="shared" si="36"/>
        <v>8.5922275321916877E-4</v>
      </c>
      <c r="J102" s="11">
        <f t="shared" si="37"/>
        <v>8.6856213097155112E-4</v>
      </c>
      <c r="K102" s="11">
        <f t="shared" si="38"/>
        <v>9.080422278338944E-4</v>
      </c>
      <c r="L102" s="11">
        <f t="shared" si="39"/>
        <v>9.5128233392122272E-4</v>
      </c>
      <c r="M102" s="25"/>
      <c r="N102" s="28"/>
      <c r="O102" s="25"/>
      <c r="P102" s="28"/>
      <c r="Q102" s="25"/>
      <c r="R102" s="28"/>
      <c r="S102" s="25"/>
      <c r="T102" s="25"/>
      <c r="U102" s="28"/>
      <c r="V102" s="25"/>
      <c r="W102" s="15"/>
      <c r="X102" s="52"/>
    </row>
    <row r="103" spans="1:24" ht="20.45" customHeight="1">
      <c r="A103" s="10" t="s">
        <v>118</v>
      </c>
      <c r="B103" s="11">
        <v>1.0300925925925925E-2</v>
      </c>
      <c r="C103" s="11">
        <v>3.0671296296296297E-3</v>
      </c>
      <c r="D103" s="11">
        <f t="shared" si="32"/>
        <v>5.9930787037037027E-3</v>
      </c>
      <c r="E103" s="12">
        <v>0.58179999999999998</v>
      </c>
      <c r="F103" s="11">
        <f t="shared" si="33"/>
        <v>7.6678240740740743E-4</v>
      </c>
      <c r="G103" s="11">
        <f t="shared" si="34"/>
        <v>7.9907716049382703E-4</v>
      </c>
      <c r="H103" s="11">
        <f t="shared" si="35"/>
        <v>8.2407407407407397E-4</v>
      </c>
      <c r="I103" s="11">
        <f t="shared" si="36"/>
        <v>8.5922275321916877E-4</v>
      </c>
      <c r="J103" s="11">
        <f t="shared" si="37"/>
        <v>8.6856213097155112E-4</v>
      </c>
      <c r="K103" s="11">
        <f t="shared" si="38"/>
        <v>9.080422278338944E-4</v>
      </c>
      <c r="L103" s="11">
        <f t="shared" si="39"/>
        <v>9.5128233392122272E-4</v>
      </c>
      <c r="M103" s="25"/>
      <c r="N103" s="28"/>
      <c r="O103" s="25"/>
      <c r="P103" s="28"/>
      <c r="Q103" s="25"/>
      <c r="R103" s="28"/>
      <c r="S103" s="25"/>
      <c r="T103" s="25"/>
      <c r="U103" s="28"/>
      <c r="V103" s="25"/>
      <c r="W103" s="15"/>
      <c r="X103" s="52"/>
    </row>
    <row r="104" spans="1:24" ht="20.45" customHeight="1">
      <c r="A104" s="10" t="s">
        <v>119</v>
      </c>
      <c r="B104" s="11">
        <v>1.0416666666666666E-2</v>
      </c>
      <c r="C104" s="11"/>
      <c r="D104" s="11">
        <f t="shared" si="32"/>
        <v>6.0604166666666662E-3</v>
      </c>
      <c r="E104" s="12">
        <v>0.58179999999999998</v>
      </c>
      <c r="F104" s="11">
        <f t="shared" si="33"/>
        <v>0</v>
      </c>
      <c r="G104" s="11">
        <f t="shared" si="34"/>
        <v>8.0805555555555546E-4</v>
      </c>
      <c r="H104" s="11">
        <f t="shared" si="35"/>
        <v>8.3333333333333328E-4</v>
      </c>
      <c r="I104" s="11">
        <f t="shared" si="36"/>
        <v>8.6887694145758646E-4</v>
      </c>
      <c r="J104" s="11">
        <f t="shared" si="37"/>
        <v>8.7832125603864715E-4</v>
      </c>
      <c r="K104" s="11">
        <f t="shared" si="38"/>
        <v>9.1824494949494938E-4</v>
      </c>
      <c r="L104" s="17">
        <f t="shared" si="39"/>
        <v>9.6197089947089938E-4</v>
      </c>
      <c r="M104" s="25"/>
      <c r="N104" s="28"/>
      <c r="O104" s="25"/>
      <c r="P104" s="28"/>
      <c r="Q104" s="25"/>
      <c r="R104" s="28"/>
      <c r="S104" s="25"/>
      <c r="T104" s="25"/>
      <c r="U104" s="28"/>
      <c r="V104" s="25"/>
      <c r="W104" s="15"/>
      <c r="X104" s="52"/>
    </row>
    <row r="105" spans="1:24" ht="20.45" customHeight="1">
      <c r="A105" s="10" t="s">
        <v>120</v>
      </c>
      <c r="B105" s="11">
        <v>1.0416666666666666E-2</v>
      </c>
      <c r="C105" s="11">
        <v>3.1250000000000002E-3</v>
      </c>
      <c r="D105" s="11">
        <f t="shared" si="32"/>
        <v>6.0604166666666662E-3</v>
      </c>
      <c r="E105" s="12">
        <v>0.58179999999999998</v>
      </c>
      <c r="F105" s="11">
        <f t="shared" si="33"/>
        <v>7.8125000000000004E-4</v>
      </c>
      <c r="G105" s="11">
        <f t="shared" si="34"/>
        <v>8.0805555555555546E-4</v>
      </c>
      <c r="H105" s="11">
        <f t="shared" si="35"/>
        <v>8.3333333333333328E-4</v>
      </c>
      <c r="I105" s="11">
        <f t="shared" si="36"/>
        <v>8.6887694145758646E-4</v>
      </c>
      <c r="J105" s="11">
        <f t="shared" si="37"/>
        <v>8.7832125603864715E-4</v>
      </c>
      <c r="K105" s="11">
        <f t="shared" si="38"/>
        <v>9.1824494949494938E-4</v>
      </c>
      <c r="L105" s="11">
        <f t="shared" si="39"/>
        <v>9.6197089947089938E-4</v>
      </c>
      <c r="M105" s="25"/>
      <c r="N105" s="28"/>
      <c r="O105" s="25"/>
      <c r="P105" s="28"/>
      <c r="Q105" s="25"/>
      <c r="R105" s="28"/>
      <c r="S105" s="25"/>
      <c r="T105" s="25"/>
      <c r="U105" s="28"/>
      <c r="V105" s="25"/>
      <c r="W105" s="15"/>
      <c r="X105" s="52"/>
    </row>
    <row r="106" spans="1:24" ht="20.45" customHeight="1">
      <c r="A106" s="10" t="s">
        <v>121</v>
      </c>
      <c r="B106" s="11">
        <v>1.0416666666666666E-2</v>
      </c>
      <c r="C106" s="11"/>
      <c r="D106" s="11">
        <f t="shared" si="32"/>
        <v>6.0604166666666662E-3</v>
      </c>
      <c r="E106" s="12">
        <v>0.58179999999999998</v>
      </c>
      <c r="F106" s="11">
        <f t="shared" si="33"/>
        <v>0</v>
      </c>
      <c r="G106" s="11">
        <f t="shared" si="34"/>
        <v>8.0805555555555546E-4</v>
      </c>
      <c r="H106" s="11">
        <f t="shared" si="35"/>
        <v>8.3333333333333328E-4</v>
      </c>
      <c r="I106" s="11">
        <f t="shared" si="36"/>
        <v>8.6887694145758646E-4</v>
      </c>
      <c r="J106" s="11">
        <f t="shared" si="37"/>
        <v>8.7832125603864715E-4</v>
      </c>
      <c r="K106" s="11">
        <f t="shared" si="38"/>
        <v>9.1824494949494938E-4</v>
      </c>
      <c r="L106" s="17">
        <f t="shared" si="39"/>
        <v>9.6197089947089938E-4</v>
      </c>
      <c r="M106" s="25"/>
      <c r="N106" s="28"/>
      <c r="O106" s="25"/>
      <c r="P106" s="28"/>
      <c r="Q106" s="25"/>
      <c r="R106" s="28"/>
      <c r="S106" s="25"/>
      <c r="T106" s="25"/>
      <c r="U106" s="28"/>
      <c r="V106" s="25"/>
      <c r="W106" s="15"/>
      <c r="X106" s="52"/>
    </row>
    <row r="107" spans="1:24" ht="20.45" customHeight="1">
      <c r="A107" s="10" t="s">
        <v>122</v>
      </c>
      <c r="B107" s="11">
        <v>1.0590277777777778E-2</v>
      </c>
      <c r="C107" s="11">
        <v>3.0671296296296297E-3</v>
      </c>
      <c r="D107" s="11">
        <f t="shared" si="32"/>
        <v>6.1614236111111114E-3</v>
      </c>
      <c r="E107" s="12">
        <v>0.58179999999999998</v>
      </c>
      <c r="F107" s="11">
        <f t="shared" si="33"/>
        <v>7.6678240740740743E-4</v>
      </c>
      <c r="G107" s="11">
        <f t="shared" si="34"/>
        <v>8.2152314814814816E-4</v>
      </c>
      <c r="H107" s="11">
        <f t="shared" si="35"/>
        <v>8.472222222222223E-4</v>
      </c>
      <c r="I107" s="11">
        <f t="shared" si="36"/>
        <v>8.8335822381521299E-4</v>
      </c>
      <c r="J107" s="11">
        <f t="shared" si="37"/>
        <v>8.9295994363929141E-4</v>
      </c>
      <c r="K107" s="11">
        <f t="shared" si="38"/>
        <v>9.3354903198653201E-4</v>
      </c>
      <c r="L107" s="11">
        <f t="shared" si="39"/>
        <v>9.7800374779541442E-4</v>
      </c>
      <c r="M107" s="25"/>
      <c r="N107" s="28"/>
      <c r="O107" s="25"/>
      <c r="P107" s="28"/>
      <c r="Q107" s="25"/>
      <c r="R107" s="28"/>
      <c r="S107" s="25"/>
      <c r="T107" s="25"/>
      <c r="U107" s="28"/>
      <c r="V107" s="25"/>
      <c r="W107" s="15"/>
      <c r="X107" s="52"/>
    </row>
    <row r="108" spans="1:24" ht="20.45" customHeight="1">
      <c r="A108" s="10" t="s">
        <v>123</v>
      </c>
      <c r="B108" s="11">
        <v>1.0590277777777778E-2</v>
      </c>
      <c r="C108" s="11">
        <v>3.1828703703703702E-3</v>
      </c>
      <c r="D108" s="11">
        <f t="shared" si="32"/>
        <v>6.1614236111111114E-3</v>
      </c>
      <c r="E108" s="12">
        <v>0.58179999999999998</v>
      </c>
      <c r="F108" s="11">
        <f t="shared" si="33"/>
        <v>7.9571759259259255E-4</v>
      </c>
      <c r="G108" s="11">
        <f t="shared" si="34"/>
        <v>8.2152314814814816E-4</v>
      </c>
      <c r="H108" s="11">
        <f t="shared" si="35"/>
        <v>8.472222222222223E-4</v>
      </c>
      <c r="I108" s="11">
        <f t="shared" si="36"/>
        <v>8.8335822381521299E-4</v>
      </c>
      <c r="J108" s="11">
        <f t="shared" si="37"/>
        <v>8.9295994363929141E-4</v>
      </c>
      <c r="K108" s="11">
        <f t="shared" si="38"/>
        <v>9.3354903198653201E-4</v>
      </c>
      <c r="L108" s="11">
        <f t="shared" si="39"/>
        <v>9.7800374779541442E-4</v>
      </c>
      <c r="M108" s="25"/>
      <c r="N108" s="28"/>
      <c r="O108" s="25"/>
      <c r="P108" s="28"/>
      <c r="Q108" s="25"/>
      <c r="R108" s="28"/>
      <c r="S108" s="25"/>
      <c r="T108" s="25"/>
      <c r="U108" s="28"/>
      <c r="V108" s="25"/>
      <c r="W108" s="15"/>
      <c r="X108" s="52"/>
    </row>
    <row r="109" spans="1:24" ht="20.45" customHeight="1">
      <c r="A109" s="10" t="s">
        <v>124</v>
      </c>
      <c r="B109" s="11">
        <v>1.0590277777777778E-2</v>
      </c>
      <c r="C109" s="11"/>
      <c r="D109" s="11">
        <f t="shared" si="32"/>
        <v>6.1614236111111114E-3</v>
      </c>
      <c r="E109" s="12">
        <v>0.58179999999999998</v>
      </c>
      <c r="F109" s="11">
        <f t="shared" si="33"/>
        <v>0</v>
      </c>
      <c r="G109" s="11">
        <f t="shared" si="34"/>
        <v>8.2152314814814816E-4</v>
      </c>
      <c r="H109" s="11">
        <f t="shared" si="35"/>
        <v>8.472222222222223E-4</v>
      </c>
      <c r="I109" s="11">
        <f t="shared" si="36"/>
        <v>8.8335822381521299E-4</v>
      </c>
      <c r="J109" s="11">
        <f t="shared" si="37"/>
        <v>8.9295994363929141E-4</v>
      </c>
      <c r="K109" s="11">
        <f t="shared" si="38"/>
        <v>9.3354903198653201E-4</v>
      </c>
      <c r="L109" s="11">
        <f t="shared" si="39"/>
        <v>9.7800374779541442E-4</v>
      </c>
      <c r="M109" s="25"/>
      <c r="N109" s="28"/>
      <c r="O109" s="25"/>
      <c r="P109" s="28"/>
      <c r="Q109" s="25"/>
      <c r="R109" s="28"/>
      <c r="S109" s="25"/>
      <c r="T109" s="25"/>
      <c r="U109" s="28"/>
      <c r="V109" s="25"/>
      <c r="W109" s="15"/>
      <c r="X109" s="52"/>
    </row>
    <row r="110" spans="1:24" ht="20.45" customHeight="1">
      <c r="A110" s="10" t="s">
        <v>125</v>
      </c>
      <c r="B110" s="11">
        <v>1.0648148148148148E-2</v>
      </c>
      <c r="C110" s="11"/>
      <c r="D110" s="11">
        <f t="shared" si="32"/>
        <v>6.1950925925925923E-3</v>
      </c>
      <c r="E110" s="12">
        <v>0.58179999999999998</v>
      </c>
      <c r="F110" s="11">
        <f t="shared" si="33"/>
        <v>0</v>
      </c>
      <c r="G110" s="11">
        <f t="shared" si="34"/>
        <v>8.2601234567901232E-4</v>
      </c>
      <c r="H110" s="11">
        <f t="shared" si="35"/>
        <v>8.5185185185185179E-4</v>
      </c>
      <c r="I110" s="11">
        <f t="shared" si="36"/>
        <v>8.8818531793442184E-4</v>
      </c>
      <c r="J110" s="11">
        <f t="shared" si="37"/>
        <v>8.9783950617283942E-4</v>
      </c>
      <c r="K110" s="11">
        <f t="shared" si="38"/>
        <v>9.3865039281705945E-4</v>
      </c>
      <c r="L110" s="11">
        <f t="shared" si="39"/>
        <v>9.833480305702527E-4</v>
      </c>
      <c r="M110" s="25"/>
      <c r="N110" s="28"/>
      <c r="O110" s="25"/>
      <c r="P110" s="28"/>
      <c r="Q110" s="25"/>
      <c r="R110" s="28"/>
      <c r="S110" s="25"/>
      <c r="T110" s="25"/>
      <c r="U110" s="28"/>
      <c r="V110" s="25"/>
      <c r="W110" s="15"/>
      <c r="X110" s="52"/>
    </row>
    <row r="111" spans="1:24" ht="20.45" customHeight="1">
      <c r="A111" s="10" t="s">
        <v>126</v>
      </c>
      <c r="B111" s="11">
        <v>1.0648148148148148E-2</v>
      </c>
      <c r="C111" s="11"/>
      <c r="D111" s="11">
        <f t="shared" si="32"/>
        <v>6.1950925925925923E-3</v>
      </c>
      <c r="E111" s="12">
        <v>0.58179999999999998</v>
      </c>
      <c r="F111" s="11">
        <f t="shared" si="33"/>
        <v>0</v>
      </c>
      <c r="G111" s="11">
        <f t="shared" si="34"/>
        <v>8.2601234567901232E-4</v>
      </c>
      <c r="H111" s="11">
        <f t="shared" si="35"/>
        <v>8.5185185185185179E-4</v>
      </c>
      <c r="I111" s="11">
        <f t="shared" si="36"/>
        <v>8.8818531793442184E-4</v>
      </c>
      <c r="J111" s="11">
        <f t="shared" si="37"/>
        <v>8.9783950617283942E-4</v>
      </c>
      <c r="K111" s="11">
        <f t="shared" si="38"/>
        <v>9.3865039281705945E-4</v>
      </c>
      <c r="L111" s="11">
        <f t="shared" si="39"/>
        <v>9.833480305702527E-4</v>
      </c>
      <c r="M111" s="25"/>
      <c r="N111" s="28"/>
      <c r="O111" s="25"/>
      <c r="P111" s="28"/>
      <c r="Q111" s="25"/>
      <c r="R111" s="28"/>
      <c r="S111" s="25"/>
      <c r="T111" s="25"/>
      <c r="U111" s="28"/>
      <c r="V111" s="25"/>
      <c r="W111" s="15"/>
      <c r="X111" s="52"/>
    </row>
    <row r="112" spans="1:24" ht="20.45" customHeight="1">
      <c r="A112" s="10" t="s">
        <v>127</v>
      </c>
      <c r="B112" s="11">
        <v>1.0648148148148148E-2</v>
      </c>
      <c r="C112" s="11">
        <v>2.9513888888888888E-3</v>
      </c>
      <c r="D112" s="11">
        <f t="shared" si="32"/>
        <v>6.1950925925925923E-3</v>
      </c>
      <c r="E112" s="12">
        <v>0.58179999999999998</v>
      </c>
      <c r="F112" s="11">
        <f t="shared" si="33"/>
        <v>7.378472222222222E-4</v>
      </c>
      <c r="G112" s="11">
        <f t="shared" si="34"/>
        <v>8.2601234567901232E-4</v>
      </c>
      <c r="H112" s="11">
        <f t="shared" si="35"/>
        <v>8.5185185185185179E-4</v>
      </c>
      <c r="I112" s="11">
        <f t="shared" si="36"/>
        <v>8.8818531793442184E-4</v>
      </c>
      <c r="J112" s="11">
        <f t="shared" si="37"/>
        <v>8.9783950617283942E-4</v>
      </c>
      <c r="K112" s="11">
        <f t="shared" si="38"/>
        <v>9.3865039281705945E-4</v>
      </c>
      <c r="L112" s="11">
        <f t="shared" si="39"/>
        <v>9.833480305702527E-4</v>
      </c>
      <c r="M112" s="25"/>
      <c r="N112" s="28"/>
      <c r="O112" s="25"/>
      <c r="P112" s="28"/>
      <c r="Q112" s="25"/>
      <c r="R112" s="28"/>
      <c r="S112" s="25"/>
      <c r="T112" s="25"/>
      <c r="U112" s="28"/>
      <c r="V112" s="25"/>
      <c r="W112" s="15"/>
      <c r="X112" s="52"/>
    </row>
    <row r="113" spans="1:24" ht="20.45" customHeight="1">
      <c r="A113" s="10" t="s">
        <v>128</v>
      </c>
      <c r="B113" s="11">
        <v>1.0648148148148148E-2</v>
      </c>
      <c r="C113" s="11"/>
      <c r="D113" s="11">
        <f t="shared" si="32"/>
        <v>6.1950925925925923E-3</v>
      </c>
      <c r="E113" s="12">
        <v>0.58179999999999998</v>
      </c>
      <c r="F113" s="11">
        <f t="shared" si="33"/>
        <v>0</v>
      </c>
      <c r="G113" s="11">
        <f t="shared" si="34"/>
        <v>8.2601234567901232E-4</v>
      </c>
      <c r="H113" s="11">
        <f t="shared" si="35"/>
        <v>8.5185185185185179E-4</v>
      </c>
      <c r="I113" s="11">
        <f t="shared" si="36"/>
        <v>8.8818531793442184E-4</v>
      </c>
      <c r="J113" s="11">
        <f t="shared" si="37"/>
        <v>8.9783950617283942E-4</v>
      </c>
      <c r="K113" s="11">
        <f t="shared" si="38"/>
        <v>9.3865039281705945E-4</v>
      </c>
      <c r="L113" s="11">
        <f t="shared" si="39"/>
        <v>9.833480305702527E-4</v>
      </c>
      <c r="M113" s="25"/>
      <c r="N113" s="28"/>
      <c r="O113" s="25"/>
      <c r="P113" s="28"/>
      <c r="Q113" s="25"/>
      <c r="R113" s="28"/>
      <c r="S113" s="25"/>
      <c r="T113" s="25"/>
      <c r="U113" s="28"/>
      <c r="V113" s="25"/>
      <c r="W113" s="15"/>
      <c r="X113" s="52"/>
    </row>
    <row r="114" spans="1:24" ht="20.45" customHeight="1">
      <c r="A114" s="10" t="s">
        <v>129</v>
      </c>
      <c r="B114" s="11">
        <v>1.0763888888888891E-2</v>
      </c>
      <c r="C114" s="11">
        <v>3.0092592592592593E-3</v>
      </c>
      <c r="D114" s="11">
        <f t="shared" si="32"/>
        <v>6.2624305555555567E-3</v>
      </c>
      <c r="E114" s="12">
        <v>0.58179999999999998</v>
      </c>
      <c r="F114" s="11">
        <f t="shared" si="33"/>
        <v>7.5231481481481482E-4</v>
      </c>
      <c r="G114" s="11">
        <f t="shared" si="34"/>
        <v>8.3499074074074085E-4</v>
      </c>
      <c r="H114" s="11">
        <f t="shared" si="35"/>
        <v>8.6111111111111121E-4</v>
      </c>
      <c r="I114" s="11">
        <f t="shared" si="36"/>
        <v>8.9783950617283953E-4</v>
      </c>
      <c r="J114" s="11">
        <f t="shared" si="37"/>
        <v>9.0759863123993567E-4</v>
      </c>
      <c r="K114" s="11">
        <f t="shared" si="38"/>
        <v>9.4885311447811464E-4</v>
      </c>
      <c r="L114" s="11">
        <f t="shared" si="39"/>
        <v>9.9403659611992969E-4</v>
      </c>
      <c r="M114" s="25"/>
      <c r="N114" s="28"/>
      <c r="O114" s="25"/>
      <c r="P114" s="28"/>
      <c r="Q114" s="25"/>
      <c r="R114" s="28"/>
      <c r="S114" s="25"/>
      <c r="T114" s="25"/>
      <c r="U114" s="28"/>
      <c r="V114" s="25"/>
      <c r="W114" s="15"/>
      <c r="X114" s="52"/>
    </row>
    <row r="115" spans="1:24" ht="20.45" customHeight="1">
      <c r="A115" s="10" t="s">
        <v>130</v>
      </c>
      <c r="B115" s="11">
        <v>1.0763888888888891E-2</v>
      </c>
      <c r="C115" s="11">
        <v>3.1828703703703702E-3</v>
      </c>
      <c r="D115" s="11">
        <f t="shared" si="32"/>
        <v>6.2624305555555567E-3</v>
      </c>
      <c r="E115" s="12">
        <v>0.58179999999999998</v>
      </c>
      <c r="F115" s="11">
        <f t="shared" si="33"/>
        <v>7.9571759259259255E-4</v>
      </c>
      <c r="G115" s="11">
        <f t="shared" si="34"/>
        <v>8.3499074074074085E-4</v>
      </c>
      <c r="H115" s="11">
        <f t="shared" si="35"/>
        <v>8.6111111111111121E-4</v>
      </c>
      <c r="I115" s="11">
        <f t="shared" si="36"/>
        <v>8.9783950617283953E-4</v>
      </c>
      <c r="J115" s="11">
        <f t="shared" si="37"/>
        <v>9.0759863123993567E-4</v>
      </c>
      <c r="K115" s="11">
        <f t="shared" si="38"/>
        <v>9.4885311447811464E-4</v>
      </c>
      <c r="L115" s="11">
        <f t="shared" si="39"/>
        <v>9.9403659611992969E-4</v>
      </c>
      <c r="M115" s="25"/>
      <c r="N115" s="28"/>
      <c r="O115" s="25"/>
      <c r="P115" s="28"/>
      <c r="Q115" s="25"/>
      <c r="R115" s="28"/>
      <c r="S115" s="25"/>
      <c r="T115" s="25"/>
      <c r="U115" s="28"/>
      <c r="V115" s="25"/>
      <c r="W115" s="15"/>
      <c r="X115" s="52"/>
    </row>
    <row r="116" spans="1:24" ht="20.45" customHeight="1">
      <c r="A116" s="19" t="s">
        <v>0</v>
      </c>
      <c r="B116" s="6"/>
      <c r="C116" s="6"/>
      <c r="D116" s="6"/>
      <c r="E116" s="20"/>
      <c r="F116" s="6"/>
      <c r="G116" s="6"/>
      <c r="H116" s="6"/>
      <c r="I116" s="6"/>
      <c r="J116" s="6"/>
      <c r="K116" s="6"/>
      <c r="L116" s="6"/>
      <c r="M116" s="6"/>
      <c r="N116" s="6"/>
      <c r="O116" s="6"/>
      <c r="P116" s="6"/>
      <c r="Q116" s="6"/>
      <c r="R116" s="6"/>
      <c r="S116" s="6"/>
      <c r="T116" s="6"/>
      <c r="U116" s="6"/>
      <c r="V116" s="23"/>
      <c r="W116" s="35"/>
      <c r="X116" s="52"/>
    </row>
    <row r="117" spans="1:24" ht="20.45" customHeight="1">
      <c r="A117" s="10" t="s">
        <v>131</v>
      </c>
      <c r="B117" s="11">
        <v>1.0763888888888891E-2</v>
      </c>
      <c r="C117" s="11">
        <v>3.1828703703703702E-3</v>
      </c>
      <c r="D117" s="11">
        <f t="shared" ref="D117:D123" si="40">B117*E117</f>
        <v>6.2624305555555567E-3</v>
      </c>
      <c r="E117" s="12">
        <v>0.58179999999999998</v>
      </c>
      <c r="F117" s="11">
        <f t="shared" ref="F117:F123" si="41">C117/4</f>
        <v>7.9571759259259255E-4</v>
      </c>
      <c r="G117" s="11">
        <f t="shared" ref="G117:G123" si="42">D117/7.5</f>
        <v>8.3499074074074085E-4</v>
      </c>
      <c r="H117" s="11">
        <f t="shared" ref="H117:H123" si="43">B117/12.5</f>
        <v>8.6111111111111121E-4</v>
      </c>
      <c r="I117" s="11">
        <f t="shared" ref="I117:I123" si="44">G117/0.93</f>
        <v>8.9783950617283953E-4</v>
      </c>
      <c r="J117" s="11">
        <f t="shared" ref="J117:J123" si="45">G117/0.92</f>
        <v>9.0759863123993567E-4</v>
      </c>
      <c r="K117" s="11">
        <f t="shared" ref="K117:K123" si="46">G117/0.88</f>
        <v>9.4885311447811464E-4</v>
      </c>
      <c r="L117" s="11">
        <f t="shared" ref="L117:L123" si="47">G117/0.84</f>
        <v>9.9403659611992969E-4</v>
      </c>
      <c r="M117" s="25"/>
      <c r="N117" s="28"/>
      <c r="O117" s="25"/>
      <c r="P117" s="28"/>
      <c r="Q117" s="25"/>
      <c r="R117" s="28"/>
      <c r="S117" s="25"/>
      <c r="T117" s="25"/>
      <c r="U117" s="28"/>
      <c r="V117" s="25"/>
      <c r="W117" s="15"/>
      <c r="X117" s="52"/>
    </row>
    <row r="118" spans="1:24" ht="20.45" customHeight="1">
      <c r="A118" s="10" t="s">
        <v>132</v>
      </c>
      <c r="B118" s="11">
        <v>1.0763888888888891E-2</v>
      </c>
      <c r="C118" s="11"/>
      <c r="D118" s="11">
        <f t="shared" si="40"/>
        <v>6.2624305555555567E-3</v>
      </c>
      <c r="E118" s="12">
        <v>0.58179999999999998</v>
      </c>
      <c r="F118" s="11">
        <f t="shared" si="41"/>
        <v>0</v>
      </c>
      <c r="G118" s="11">
        <f t="shared" si="42"/>
        <v>8.3499074074074085E-4</v>
      </c>
      <c r="H118" s="11">
        <f t="shared" si="43"/>
        <v>8.6111111111111121E-4</v>
      </c>
      <c r="I118" s="11">
        <f t="shared" si="44"/>
        <v>8.9783950617283953E-4</v>
      </c>
      <c r="J118" s="11">
        <f t="shared" si="45"/>
        <v>9.0759863123993567E-4</v>
      </c>
      <c r="K118" s="11">
        <f t="shared" si="46"/>
        <v>9.4885311447811464E-4</v>
      </c>
      <c r="L118" s="11">
        <f t="shared" si="47"/>
        <v>9.9403659611992969E-4</v>
      </c>
      <c r="M118" s="25"/>
      <c r="N118" s="28"/>
      <c r="O118" s="25"/>
      <c r="P118" s="28"/>
      <c r="Q118" s="25"/>
      <c r="R118" s="28"/>
      <c r="S118" s="25"/>
      <c r="T118" s="25"/>
      <c r="U118" s="28"/>
      <c r="V118" s="25"/>
      <c r="W118" s="15"/>
      <c r="X118" s="50"/>
    </row>
    <row r="119" spans="1:24" ht="20.45" customHeight="1">
      <c r="A119" s="10" t="s">
        <v>133</v>
      </c>
      <c r="B119" s="11">
        <v>1.0763888888888891E-2</v>
      </c>
      <c r="C119" s="11">
        <v>3.1250000000000002E-3</v>
      </c>
      <c r="D119" s="11">
        <f t="shared" si="40"/>
        <v>6.2624305555555567E-3</v>
      </c>
      <c r="E119" s="12">
        <v>0.58179999999999998</v>
      </c>
      <c r="F119" s="11">
        <f t="shared" si="41"/>
        <v>7.8125000000000004E-4</v>
      </c>
      <c r="G119" s="11">
        <f t="shared" si="42"/>
        <v>8.3499074074074085E-4</v>
      </c>
      <c r="H119" s="11">
        <f t="shared" si="43"/>
        <v>8.6111111111111121E-4</v>
      </c>
      <c r="I119" s="11">
        <f t="shared" si="44"/>
        <v>8.9783950617283953E-4</v>
      </c>
      <c r="J119" s="11">
        <f t="shared" si="45"/>
        <v>9.0759863123993567E-4</v>
      </c>
      <c r="K119" s="11">
        <f t="shared" si="46"/>
        <v>9.4885311447811464E-4</v>
      </c>
      <c r="L119" s="11">
        <f t="shared" si="47"/>
        <v>9.9403659611992969E-4</v>
      </c>
      <c r="M119" s="25"/>
      <c r="N119" s="28"/>
      <c r="O119" s="25"/>
      <c r="P119" s="28"/>
      <c r="Q119" s="25"/>
      <c r="R119" s="28"/>
      <c r="S119" s="25"/>
      <c r="T119" s="25"/>
      <c r="U119" s="28"/>
      <c r="V119" s="25"/>
      <c r="W119" s="15"/>
      <c r="X119" s="50"/>
    </row>
    <row r="120" spans="1:24" ht="20.45" customHeight="1">
      <c r="A120" s="10" t="s">
        <v>134</v>
      </c>
      <c r="B120" s="11">
        <v>1.1631944444444445E-2</v>
      </c>
      <c r="C120" s="11"/>
      <c r="D120" s="11">
        <f t="shared" si="40"/>
        <v>6.7674652777777776E-3</v>
      </c>
      <c r="E120" s="12">
        <v>0.58179999999999998</v>
      </c>
      <c r="F120" s="11">
        <f t="shared" si="41"/>
        <v>0</v>
      </c>
      <c r="G120" s="11">
        <f t="shared" si="42"/>
        <v>9.0232870370370369E-4</v>
      </c>
      <c r="H120" s="11">
        <f t="shared" si="43"/>
        <v>9.3055555555555556E-4</v>
      </c>
      <c r="I120" s="11">
        <f t="shared" si="44"/>
        <v>9.7024591796097167E-4</v>
      </c>
      <c r="J120" s="11">
        <f t="shared" si="45"/>
        <v>9.8079206924315621E-4</v>
      </c>
      <c r="K120" s="11">
        <f t="shared" si="46"/>
        <v>1.0253735269360269E-3</v>
      </c>
      <c r="L120" s="17">
        <f t="shared" si="47"/>
        <v>1.0742008377425045E-3</v>
      </c>
      <c r="M120" s="25"/>
      <c r="N120" s="28"/>
      <c r="O120" s="25"/>
      <c r="P120" s="28"/>
      <c r="Q120" s="25"/>
      <c r="R120" s="28"/>
      <c r="S120" s="25"/>
      <c r="T120" s="25"/>
      <c r="U120" s="28"/>
      <c r="V120" s="25"/>
      <c r="W120" s="15"/>
      <c r="X120" s="50"/>
    </row>
    <row r="121" spans="1:24" ht="20.45" customHeight="1">
      <c r="A121" s="10" t="s">
        <v>135</v>
      </c>
      <c r="B121" s="11">
        <v>1.1631944444444445E-2</v>
      </c>
      <c r="C121" s="11">
        <v>3.414351851851852E-3</v>
      </c>
      <c r="D121" s="11">
        <f t="shared" si="40"/>
        <v>6.7674652777777776E-3</v>
      </c>
      <c r="E121" s="12">
        <v>0.58179999999999998</v>
      </c>
      <c r="F121" s="11">
        <f t="shared" si="41"/>
        <v>8.53587962962963E-4</v>
      </c>
      <c r="G121" s="11">
        <f t="shared" si="42"/>
        <v>9.0232870370370369E-4</v>
      </c>
      <c r="H121" s="11">
        <f t="shared" si="43"/>
        <v>9.3055555555555556E-4</v>
      </c>
      <c r="I121" s="11">
        <f t="shared" si="44"/>
        <v>9.7024591796097167E-4</v>
      </c>
      <c r="J121" s="11">
        <f t="shared" si="45"/>
        <v>9.8079206924315621E-4</v>
      </c>
      <c r="K121" s="11">
        <f t="shared" si="46"/>
        <v>1.0253735269360269E-3</v>
      </c>
      <c r="L121" s="11">
        <f t="shared" si="47"/>
        <v>1.0742008377425045E-3</v>
      </c>
      <c r="M121" s="25"/>
      <c r="N121" s="28"/>
      <c r="O121" s="25"/>
      <c r="P121" s="28"/>
      <c r="Q121" s="25"/>
      <c r="R121" s="28"/>
      <c r="S121" s="25"/>
      <c r="T121" s="25"/>
      <c r="U121" s="28"/>
      <c r="V121" s="25"/>
      <c r="W121" s="15"/>
      <c r="X121" s="50"/>
    </row>
    <row r="122" spans="1:24" ht="20.45" customHeight="1">
      <c r="A122" s="10" t="s">
        <v>136</v>
      </c>
      <c r="B122" s="11">
        <v>1.1111111111111112E-2</v>
      </c>
      <c r="C122" s="11">
        <v>3.1828703703703702E-3</v>
      </c>
      <c r="D122" s="11">
        <f t="shared" si="40"/>
        <v>6.4644444444444445E-3</v>
      </c>
      <c r="E122" s="12">
        <v>0.58179999999999998</v>
      </c>
      <c r="F122" s="11">
        <f t="shared" si="41"/>
        <v>7.9571759259259255E-4</v>
      </c>
      <c r="G122" s="11">
        <f t="shared" si="42"/>
        <v>8.6192592592592592E-4</v>
      </c>
      <c r="H122" s="11">
        <f t="shared" si="43"/>
        <v>8.8888888888888893E-4</v>
      </c>
      <c r="I122" s="11">
        <f t="shared" si="44"/>
        <v>9.2680207088809239E-4</v>
      </c>
      <c r="J122" s="11">
        <f t="shared" si="45"/>
        <v>9.3687600644122375E-4</v>
      </c>
      <c r="K122" s="11">
        <f t="shared" si="46"/>
        <v>9.7946127946127947E-4</v>
      </c>
      <c r="L122" s="11">
        <f t="shared" si="47"/>
        <v>1.0261022927689596E-3</v>
      </c>
      <c r="M122" s="25">
        <f>WO2025Jan7men119151719232529313335394143454749555759636567697173757779131719212327293335394345474951[[#This Row],[Thresh]]*4</f>
        <v>3.9178451178451179E-3</v>
      </c>
      <c r="N122" s="28">
        <f>WO2025Jan7men119151719232529313335394143454749555759636567697173757779131719212327293335394345474951[[#This Row],[Thresh]]*2.5</f>
        <v>2.4486531986531988E-3</v>
      </c>
      <c r="O122" s="25"/>
      <c r="P122" s="28"/>
      <c r="Q122" s="25"/>
      <c r="R122" s="28"/>
      <c r="S122" s="25"/>
      <c r="T122" s="25"/>
      <c r="U122" s="28"/>
      <c r="V122" s="25"/>
      <c r="W122" s="15"/>
      <c r="X122" s="50"/>
    </row>
    <row r="123" spans="1:24" ht="20.45" customHeight="1">
      <c r="A123" s="10" t="s">
        <v>137</v>
      </c>
      <c r="B123" s="11">
        <v>1.0763888888888891E-2</v>
      </c>
      <c r="C123" s="11">
        <v>3.0092592592592593E-3</v>
      </c>
      <c r="D123" s="11">
        <f t="shared" si="40"/>
        <v>6.2624305555555567E-3</v>
      </c>
      <c r="E123" s="12">
        <v>0.58179999999999998</v>
      </c>
      <c r="F123" s="11">
        <f t="shared" si="41"/>
        <v>7.5231481481481482E-4</v>
      </c>
      <c r="G123" s="11">
        <f t="shared" si="42"/>
        <v>8.3499074074074085E-4</v>
      </c>
      <c r="H123" s="11">
        <f t="shared" si="43"/>
        <v>8.6111111111111121E-4</v>
      </c>
      <c r="I123" s="11">
        <f t="shared" si="44"/>
        <v>8.9783950617283953E-4</v>
      </c>
      <c r="J123" s="11">
        <f t="shared" si="45"/>
        <v>9.0759863123993567E-4</v>
      </c>
      <c r="K123" s="11">
        <f t="shared" si="46"/>
        <v>9.4885311447811464E-4</v>
      </c>
      <c r="L123" s="11">
        <f t="shared" si="47"/>
        <v>9.9403659611992969E-4</v>
      </c>
      <c r="M123" s="25"/>
      <c r="N123" s="28"/>
      <c r="O123" s="25"/>
      <c r="P123" s="28"/>
      <c r="Q123" s="25"/>
      <c r="R123" s="28"/>
      <c r="S123" s="25"/>
      <c r="T123" s="25"/>
      <c r="U123" s="28"/>
      <c r="V123" s="25"/>
      <c r="W123" s="15"/>
      <c r="X123" s="50"/>
    </row>
    <row r="124" spans="1:24" ht="20.45" customHeight="1">
      <c r="A124" s="10"/>
      <c r="B124" s="11"/>
      <c r="C124" s="11"/>
      <c r="D124" s="11"/>
      <c r="E124" s="12"/>
      <c r="F124" s="11"/>
      <c r="G124" s="11"/>
      <c r="H124" s="11"/>
      <c r="I124" s="11"/>
      <c r="J124" s="11"/>
      <c r="K124" s="11"/>
      <c r="L124" s="11"/>
      <c r="M124" s="25"/>
      <c r="N124" s="28"/>
      <c r="O124" s="25"/>
      <c r="P124" s="25"/>
      <c r="Q124" s="25"/>
      <c r="R124" s="25"/>
      <c r="S124" s="25"/>
      <c r="T124" s="25"/>
      <c r="U124" s="28"/>
      <c r="V124" s="25"/>
      <c r="W124" s="15"/>
      <c r="X124" s="50"/>
    </row>
    <row r="125" spans="1:24" ht="20.45" customHeight="1">
      <c r="A125" s="10"/>
      <c r="B125" s="11"/>
      <c r="C125" s="11"/>
      <c r="D125" s="11"/>
      <c r="E125" s="12"/>
      <c r="F125" s="11"/>
      <c r="G125" s="11"/>
      <c r="H125" s="11"/>
      <c r="I125" s="11"/>
      <c r="J125" s="11"/>
      <c r="K125" s="11"/>
      <c r="L125" s="17"/>
      <c r="M125" s="25"/>
      <c r="N125" s="28"/>
      <c r="O125" s="25"/>
      <c r="P125" s="25"/>
      <c r="Q125" s="25"/>
      <c r="R125" s="28"/>
      <c r="S125" s="25"/>
      <c r="T125" s="25"/>
      <c r="U125" s="28"/>
      <c r="V125" s="25"/>
      <c r="W125" s="15"/>
      <c r="X125" s="50"/>
    </row>
    <row r="126" spans="1:24" ht="20.45" customHeight="1">
      <c r="A126" s="10"/>
      <c r="B126" s="11"/>
      <c r="C126" s="11"/>
      <c r="D126" s="11"/>
      <c r="E126" s="12"/>
      <c r="F126" s="11"/>
      <c r="G126" s="11"/>
      <c r="H126" s="11"/>
      <c r="I126" s="11"/>
      <c r="J126" s="11"/>
      <c r="K126" s="11"/>
      <c r="L126" s="11"/>
      <c r="M126" s="25"/>
      <c r="N126" s="28"/>
      <c r="O126" s="25"/>
      <c r="P126" s="25"/>
      <c r="Q126" s="25"/>
      <c r="R126" s="28"/>
      <c r="S126" s="25"/>
      <c r="T126" s="25"/>
      <c r="U126" s="28"/>
      <c r="V126" s="25"/>
      <c r="W126" s="15"/>
      <c r="X126" s="50"/>
    </row>
    <row r="127" spans="1:24" ht="20.45" customHeight="1">
      <c r="A127" s="10"/>
      <c r="B127" s="11"/>
      <c r="C127" s="11"/>
      <c r="D127" s="11"/>
      <c r="E127" s="12"/>
      <c r="F127" s="11"/>
      <c r="G127" s="11"/>
      <c r="H127" s="11"/>
      <c r="I127" s="11"/>
      <c r="J127" s="11"/>
      <c r="K127" s="11"/>
      <c r="L127" s="11"/>
      <c r="M127" s="25"/>
      <c r="N127" s="28"/>
      <c r="O127" s="25"/>
      <c r="P127" s="28"/>
      <c r="Q127" s="25"/>
      <c r="R127" s="28"/>
      <c r="S127" s="25"/>
      <c r="T127" s="25"/>
      <c r="U127" s="28"/>
      <c r="V127" s="28"/>
      <c r="W127" s="27"/>
      <c r="X127" s="50"/>
    </row>
    <row r="128" spans="1:24" ht="20.45" customHeight="1">
      <c r="A128" s="10"/>
      <c r="B128" s="11"/>
      <c r="C128" s="11"/>
      <c r="D128" s="11"/>
      <c r="E128" s="12"/>
      <c r="F128" s="11"/>
      <c r="G128" s="11"/>
      <c r="H128" s="11"/>
      <c r="I128" s="11"/>
      <c r="J128" s="11"/>
      <c r="K128" s="11"/>
      <c r="L128" s="11"/>
      <c r="M128" s="25"/>
      <c r="N128" s="28"/>
      <c r="O128" s="25"/>
      <c r="P128" s="25"/>
      <c r="Q128" s="25"/>
      <c r="R128" s="25"/>
      <c r="S128" s="25"/>
      <c r="T128" s="25"/>
      <c r="U128" s="28"/>
      <c r="V128" s="25"/>
      <c r="W128" s="15"/>
      <c r="X128" s="50"/>
    </row>
    <row r="129" spans="1:24" ht="20.45" customHeight="1">
      <c r="A129" s="10"/>
      <c r="B129" s="11"/>
      <c r="C129" s="11"/>
      <c r="D129" s="11"/>
      <c r="E129" s="12"/>
      <c r="F129" s="11"/>
      <c r="G129" s="11"/>
      <c r="H129" s="11"/>
      <c r="I129" s="11"/>
      <c r="J129" s="11"/>
      <c r="K129" s="11"/>
      <c r="L129" s="11"/>
      <c r="M129" s="25"/>
      <c r="N129" s="28"/>
      <c r="O129" s="25"/>
      <c r="P129" s="25"/>
      <c r="Q129" s="25"/>
      <c r="R129" s="25"/>
      <c r="S129" s="25"/>
      <c r="T129" s="25"/>
      <c r="U129" s="28"/>
      <c r="V129" s="25"/>
      <c r="W129" s="15"/>
      <c r="X129" s="50"/>
    </row>
    <row r="130" spans="1:24" ht="20.45" customHeight="1">
      <c r="A130" s="10"/>
      <c r="B130" s="11"/>
      <c r="C130" s="11"/>
      <c r="D130" s="11"/>
      <c r="E130" s="12"/>
      <c r="F130" s="11"/>
      <c r="G130" s="11"/>
      <c r="H130" s="11"/>
      <c r="I130" s="11"/>
      <c r="J130" s="11"/>
      <c r="K130" s="11"/>
      <c r="L130" s="17"/>
      <c r="M130" s="25"/>
      <c r="N130" s="28"/>
      <c r="O130" s="25"/>
      <c r="P130" s="25"/>
      <c r="Q130" s="28"/>
      <c r="R130" s="28"/>
      <c r="S130" s="25"/>
      <c r="T130" s="25"/>
      <c r="U130" s="28"/>
      <c r="V130" s="25"/>
      <c r="W130" s="15"/>
      <c r="X130" s="50"/>
    </row>
    <row r="131" spans="1:24" ht="20.45" customHeight="1">
      <c r="A131" s="10"/>
      <c r="B131" s="11"/>
      <c r="C131" s="11"/>
      <c r="D131" s="11"/>
      <c r="E131" s="12"/>
      <c r="F131" s="11"/>
      <c r="G131" s="11"/>
      <c r="H131" s="11"/>
      <c r="I131" s="11"/>
      <c r="J131" s="11"/>
      <c r="K131" s="11"/>
      <c r="L131" s="11"/>
      <c r="M131" s="25"/>
      <c r="N131" s="28"/>
      <c r="O131" s="25"/>
      <c r="P131" s="25"/>
      <c r="Q131" s="25"/>
      <c r="R131" s="25"/>
      <c r="S131" s="25"/>
      <c r="T131" s="25"/>
      <c r="U131" s="28"/>
      <c r="V131" s="25"/>
      <c r="W131" s="15"/>
      <c r="X131" s="50"/>
    </row>
    <row r="132" spans="1:24" ht="20.45" customHeight="1">
      <c r="A132" s="10"/>
      <c r="B132" s="11"/>
      <c r="C132" s="11"/>
      <c r="D132" s="11"/>
      <c r="E132" s="12"/>
      <c r="F132" s="11"/>
      <c r="G132" s="11"/>
      <c r="H132" s="11"/>
      <c r="I132" s="11"/>
      <c r="J132" s="11"/>
      <c r="K132" s="11"/>
      <c r="L132" s="11"/>
      <c r="M132" s="25"/>
      <c r="N132" s="28"/>
      <c r="O132" s="25"/>
      <c r="P132" s="25"/>
      <c r="Q132" s="25"/>
      <c r="R132" s="28"/>
      <c r="S132" s="25"/>
      <c r="T132" s="25"/>
      <c r="U132" s="28"/>
      <c r="V132" s="25"/>
      <c r="W132" s="15"/>
      <c r="X132" s="50"/>
    </row>
    <row r="133" spans="1:24" ht="20.45" customHeight="1">
      <c r="A133" s="10"/>
      <c r="B133" s="11"/>
      <c r="C133" s="11"/>
      <c r="D133" s="11"/>
      <c r="E133" s="12"/>
      <c r="F133" s="11"/>
      <c r="G133" s="11"/>
      <c r="H133" s="11"/>
      <c r="I133" s="11"/>
      <c r="J133" s="11"/>
      <c r="K133" s="11"/>
      <c r="L133" s="17"/>
      <c r="M133" s="11"/>
      <c r="N133" s="26"/>
      <c r="P133" s="26"/>
      <c r="Q133" s="26"/>
      <c r="R133" s="26"/>
      <c r="S133" s="14"/>
      <c r="T133" s="14"/>
      <c r="U133" s="26"/>
      <c r="V133" s="28"/>
      <c r="W133" s="27"/>
      <c r="X133" s="50"/>
    </row>
    <row r="134" spans="1:24" ht="20.45" customHeight="1">
      <c r="A134" s="10"/>
      <c r="B134" s="11"/>
      <c r="C134" s="11"/>
      <c r="D134" s="11"/>
      <c r="E134" s="12"/>
      <c r="F134" s="11"/>
      <c r="G134" s="11"/>
      <c r="H134" s="11"/>
      <c r="I134" s="11"/>
      <c r="J134" s="11"/>
      <c r="K134" s="11"/>
      <c r="L134" s="11"/>
      <c r="M134" s="25"/>
      <c r="N134" s="28"/>
      <c r="O134" s="25"/>
      <c r="P134" s="25"/>
      <c r="Q134" s="25"/>
      <c r="R134" s="25"/>
      <c r="S134" s="25"/>
      <c r="T134" s="25"/>
      <c r="U134" s="28"/>
      <c r="V134" s="25"/>
      <c r="W134" s="15"/>
      <c r="X134" s="50"/>
    </row>
    <row r="135" spans="1:24" ht="20.45" customHeight="1">
      <c r="A135" s="10"/>
      <c r="B135" s="11"/>
      <c r="C135" s="11"/>
      <c r="D135" s="11"/>
      <c r="E135" s="12"/>
      <c r="F135" s="11"/>
      <c r="G135" s="11"/>
      <c r="H135" s="11"/>
      <c r="I135" s="11"/>
      <c r="J135" s="11"/>
      <c r="K135" s="11"/>
      <c r="L135" s="17"/>
      <c r="M135" s="25"/>
      <c r="N135" s="28"/>
      <c r="O135" s="25"/>
      <c r="P135" s="25"/>
      <c r="Q135" s="25"/>
      <c r="R135" s="28"/>
      <c r="S135" s="25"/>
      <c r="T135" s="25"/>
      <c r="U135" s="28"/>
      <c r="V135" s="25"/>
      <c r="W135" s="15"/>
      <c r="X135" s="50"/>
    </row>
    <row r="136" spans="1:24" ht="20.45" customHeight="1">
      <c r="A136" s="10"/>
      <c r="B136" s="11"/>
      <c r="C136" s="11"/>
      <c r="D136" s="11"/>
      <c r="E136" s="12"/>
      <c r="F136" s="11"/>
      <c r="G136" s="11"/>
      <c r="H136" s="11"/>
      <c r="I136" s="11"/>
      <c r="J136" s="11"/>
      <c r="K136" s="11"/>
      <c r="L136" s="11"/>
      <c r="M136" s="25"/>
      <c r="N136" s="28"/>
      <c r="O136" s="25"/>
      <c r="P136" s="25"/>
      <c r="Q136" s="25"/>
      <c r="R136" s="25"/>
      <c r="S136" s="25"/>
      <c r="T136" s="25"/>
      <c r="U136" s="25"/>
      <c r="V136" s="25"/>
      <c r="W136" s="27"/>
      <c r="X136" s="50"/>
    </row>
    <row r="137" spans="1:24" ht="20.45" customHeight="1">
      <c r="A137" s="10"/>
      <c r="B137" s="11"/>
      <c r="C137" s="11"/>
      <c r="D137" s="11"/>
      <c r="E137" s="12"/>
      <c r="F137" s="11"/>
      <c r="G137" s="11"/>
      <c r="H137" s="11"/>
      <c r="I137" s="11"/>
      <c r="J137" s="11"/>
      <c r="K137" s="11"/>
      <c r="L137" s="11"/>
      <c r="M137" s="25"/>
      <c r="N137" s="28"/>
      <c r="O137" s="25"/>
      <c r="P137" s="25"/>
      <c r="Q137" s="28"/>
      <c r="R137" s="28"/>
      <c r="S137" s="25"/>
      <c r="T137" s="25"/>
      <c r="U137" s="28"/>
      <c r="V137" s="25"/>
      <c r="W137" s="15"/>
      <c r="X137" s="50"/>
    </row>
    <row r="138" spans="1:24" ht="20.45" customHeight="1">
      <c r="A138" s="10"/>
      <c r="B138" s="11"/>
      <c r="C138" s="11"/>
      <c r="D138" s="11"/>
      <c r="E138" s="12"/>
      <c r="F138" s="11"/>
      <c r="G138" s="11"/>
      <c r="H138" s="11"/>
      <c r="I138" s="11"/>
      <c r="J138" s="11"/>
      <c r="K138" s="11"/>
      <c r="L138" s="11"/>
      <c r="M138" s="25"/>
      <c r="N138" s="28"/>
      <c r="O138" s="25"/>
      <c r="P138" s="28"/>
      <c r="Q138" s="25"/>
      <c r="R138" s="28"/>
      <c r="S138" s="25"/>
      <c r="T138" s="28"/>
      <c r="U138" s="28"/>
      <c r="V138" s="25"/>
      <c r="W138" s="15"/>
      <c r="X138" s="51"/>
    </row>
    <row r="139" spans="1:24" ht="20.45" customHeight="1">
      <c r="A139" s="10"/>
      <c r="B139" s="11"/>
      <c r="C139" s="11"/>
      <c r="D139" s="11"/>
      <c r="E139" s="12"/>
      <c r="F139" s="11"/>
      <c r="G139" s="11"/>
      <c r="H139" s="11"/>
      <c r="I139" s="11"/>
      <c r="J139" s="11"/>
      <c r="K139" s="11"/>
      <c r="L139" s="11"/>
      <c r="M139" s="25"/>
      <c r="N139" s="28"/>
      <c r="O139" s="25"/>
      <c r="P139" s="25"/>
      <c r="Q139" s="25"/>
      <c r="R139" s="25"/>
      <c r="S139" s="25"/>
      <c r="T139" s="25"/>
      <c r="U139" s="28"/>
      <c r="V139" s="25"/>
      <c r="W139" s="15"/>
      <c r="X139" s="51"/>
    </row>
    <row r="140" spans="1:24" ht="20.45" customHeight="1">
      <c r="A140" s="10"/>
      <c r="B140" s="11"/>
      <c r="C140" s="11"/>
      <c r="D140" s="11"/>
      <c r="E140" s="12"/>
      <c r="F140" s="11"/>
      <c r="G140" s="11"/>
      <c r="H140" s="11"/>
      <c r="I140" s="11"/>
      <c r="J140" s="11"/>
      <c r="K140" s="11"/>
      <c r="L140" s="17"/>
      <c r="M140" s="25"/>
      <c r="N140" s="28"/>
      <c r="O140" s="25"/>
      <c r="P140" s="28"/>
      <c r="Q140" s="25"/>
      <c r="R140" s="28"/>
      <c r="S140" s="25"/>
      <c r="T140" s="25"/>
      <c r="U140" s="28"/>
      <c r="V140" s="28"/>
      <c r="W140" s="27"/>
      <c r="X140" s="51"/>
    </row>
    <row r="141" spans="1:24" ht="20.45" customHeight="1">
      <c r="A141" s="10"/>
      <c r="B141" s="11"/>
      <c r="C141" s="11"/>
      <c r="D141" s="11"/>
      <c r="E141" s="12"/>
      <c r="F141" s="11"/>
      <c r="G141" s="11"/>
      <c r="H141" s="11"/>
      <c r="I141" s="11"/>
      <c r="J141" s="11"/>
      <c r="K141" s="11"/>
      <c r="L141" s="11"/>
      <c r="M141" s="11"/>
      <c r="N141" s="26"/>
      <c r="P141" s="26"/>
      <c r="Q141" s="26"/>
      <c r="R141" s="26"/>
      <c r="S141" s="14"/>
      <c r="T141" s="14"/>
      <c r="U141" s="26"/>
      <c r="V141" s="28"/>
      <c r="W141" s="27"/>
      <c r="X141" s="51"/>
    </row>
    <row r="142" spans="1:24" ht="20.100000000000001" customHeight="1">
      <c r="A142" s="10"/>
      <c r="B142" s="11"/>
      <c r="C142" s="11"/>
      <c r="D142" s="11"/>
      <c r="E142" s="12"/>
      <c r="F142" s="11"/>
      <c r="G142" s="11"/>
      <c r="H142" s="11"/>
      <c r="I142" s="11"/>
      <c r="J142" s="11"/>
      <c r="K142" s="11"/>
      <c r="L142" s="17"/>
      <c r="M142" s="11"/>
      <c r="N142" s="26"/>
      <c r="P142" s="26"/>
      <c r="Q142" s="26"/>
      <c r="R142" s="26"/>
      <c r="S142" s="14"/>
      <c r="T142" s="14"/>
      <c r="U142" s="26"/>
      <c r="V142" s="38"/>
      <c r="W142" s="31"/>
      <c r="X142" s="51"/>
    </row>
    <row r="143" spans="1:24" ht="20.100000000000001" customHeight="1">
      <c r="A143" s="10"/>
      <c r="B143" s="11"/>
      <c r="C143" s="11"/>
      <c r="D143" s="11"/>
      <c r="E143" s="12"/>
      <c r="F143" s="11"/>
      <c r="G143" s="11"/>
      <c r="H143" s="11"/>
      <c r="I143" s="11"/>
      <c r="J143" s="11"/>
      <c r="K143" s="11"/>
      <c r="L143" s="17"/>
      <c r="M143" s="11"/>
      <c r="N143" s="26"/>
      <c r="P143" s="26"/>
      <c r="Q143" s="26"/>
      <c r="R143" s="26"/>
      <c r="S143" s="14"/>
      <c r="T143" s="14"/>
      <c r="U143" s="26"/>
      <c r="V143" s="38"/>
      <c r="W143" s="31"/>
      <c r="X143" s="51"/>
    </row>
    <row r="144" spans="1:24" ht="20.100000000000001" customHeight="1">
      <c r="A144" s="10"/>
      <c r="B144" s="11"/>
      <c r="C144" s="11"/>
      <c r="D144" s="11"/>
      <c r="E144" s="12"/>
      <c r="F144" s="11"/>
      <c r="G144" s="11"/>
      <c r="H144" s="11"/>
      <c r="I144" s="11"/>
      <c r="J144" s="11"/>
      <c r="K144" s="11"/>
      <c r="L144" s="17"/>
      <c r="M144" s="11"/>
      <c r="N144" s="26"/>
      <c r="P144" s="26"/>
      <c r="Q144" s="26"/>
      <c r="R144" s="26"/>
      <c r="S144" s="14"/>
      <c r="T144" s="14"/>
      <c r="U144" s="26"/>
      <c r="V144" s="38"/>
      <c r="W144" s="31"/>
      <c r="X144" s="51"/>
    </row>
  </sheetData>
  <mergeCells count="15">
    <mergeCell ref="X51:X57"/>
    <mergeCell ref="X1:X10"/>
    <mergeCell ref="X11:X20"/>
    <mergeCell ref="X21:X30"/>
    <mergeCell ref="X31:X40"/>
    <mergeCell ref="X41:X50"/>
    <mergeCell ref="X118:X127"/>
    <mergeCell ref="X128:X137"/>
    <mergeCell ref="X138:X144"/>
    <mergeCell ref="X58:X67"/>
    <mergeCell ref="X68:X77"/>
    <mergeCell ref="X78:X87"/>
    <mergeCell ref="X88:X97"/>
    <mergeCell ref="X98:X107"/>
    <mergeCell ref="X108:X117"/>
  </mergeCells>
  <pageMargins left="0.25" right="0.25" top="0.25" bottom="0.25" header="0" footer="0"/>
  <pageSetup scale="95" fitToHeight="0" orientation="landscape" r:id="rId1"/>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7AA69-174E-495E-B2F0-460E7F267972}">
  <sheetPr>
    <pageSetUpPr fitToPage="1"/>
  </sheetPr>
  <dimension ref="A1:Z144"/>
  <sheetViews>
    <sheetView topLeftCell="A7" zoomScale="70" zoomScaleNormal="70" workbookViewId="0">
      <selection activeCell="X11" sqref="X11:X20"/>
    </sheetView>
  </sheetViews>
  <sheetFormatPr defaultColWidth="8.7109375" defaultRowHeight="14.45"/>
  <cols>
    <col min="1" max="1" width="19.5703125" customWidth="1"/>
    <col min="2" max="2" width="8.7109375" style="29" hidden="1" customWidth="1"/>
    <col min="3" max="3" width="10.140625" hidden="1" customWidth="1"/>
    <col min="4" max="4" width="8.7109375" style="29" hidden="1" customWidth="1"/>
    <col min="5" max="5" width="9.28515625" hidden="1" customWidth="1"/>
    <col min="6" max="6" width="8.7109375" hidden="1" customWidth="1"/>
    <col min="7" max="7" width="9.28515625" hidden="1" customWidth="1"/>
    <col min="8" max="9" width="8.7109375" hidden="1" customWidth="1"/>
    <col min="10" max="10" width="10.7109375" hidden="1" customWidth="1"/>
    <col min="11" max="11" width="11.42578125" hidden="1" customWidth="1"/>
    <col min="12" max="12" width="6.140625" hidden="1" customWidth="1"/>
    <col min="13" max="13" width="8.7109375" customWidth="1"/>
    <col min="14" max="19" width="10.140625" customWidth="1"/>
    <col min="20" max="22" width="8.7109375" customWidth="1"/>
    <col min="23" max="23" width="3.42578125" customWidth="1"/>
    <col min="24" max="24" width="20.42578125" customWidth="1"/>
    <col min="25" max="25" width="12.28515625" bestFit="1" customWidth="1"/>
    <col min="26" max="27" width="12.85546875" bestFit="1" customWidth="1"/>
  </cols>
  <sheetData>
    <row r="1" spans="1:26" ht="14.45" customHeight="1">
      <c r="A1" s="1" t="s">
        <v>138</v>
      </c>
      <c r="B1" s="2" t="s">
        <v>1</v>
      </c>
      <c r="C1" s="2" t="s">
        <v>2</v>
      </c>
      <c r="D1" s="2" t="s">
        <v>3</v>
      </c>
      <c r="E1" s="3" t="s">
        <v>4</v>
      </c>
      <c r="F1" s="2" t="s">
        <v>5</v>
      </c>
      <c r="G1" s="2" t="s">
        <v>6</v>
      </c>
      <c r="H1" s="2" t="s">
        <v>7</v>
      </c>
      <c r="I1" s="4" t="s">
        <v>8</v>
      </c>
      <c r="J1" s="2" t="s">
        <v>9</v>
      </c>
      <c r="K1" s="2" t="s">
        <v>10</v>
      </c>
      <c r="L1" s="2" t="s">
        <v>11</v>
      </c>
      <c r="M1" s="6" t="s">
        <v>12</v>
      </c>
      <c r="N1" s="6" t="s">
        <v>13</v>
      </c>
      <c r="O1" s="7" t="s">
        <v>14</v>
      </c>
      <c r="P1" s="8" t="s">
        <v>15</v>
      </c>
      <c r="Q1" s="8" t="s">
        <v>16</v>
      </c>
      <c r="R1" s="7" t="s">
        <v>17</v>
      </c>
      <c r="S1" s="7" t="s">
        <v>18</v>
      </c>
      <c r="T1" s="7" t="s">
        <v>19</v>
      </c>
      <c r="U1" s="7" t="s">
        <v>20</v>
      </c>
      <c r="V1" s="7" t="s">
        <v>21</v>
      </c>
      <c r="W1" s="9" t="s">
        <v>22</v>
      </c>
      <c r="X1" s="52" t="s">
        <v>139</v>
      </c>
    </row>
    <row r="2" spans="1:26" ht="21" customHeight="1">
      <c r="A2" s="10" t="s">
        <v>24</v>
      </c>
      <c r="B2" s="11">
        <v>1.1979166666666667E-2</v>
      </c>
      <c r="C2" s="11">
        <v>3.5300925925925925E-3</v>
      </c>
      <c r="D2" s="11">
        <f t="shared" ref="D2:D7" si="0">B2*E2</f>
        <v>6.9694791666666672E-3</v>
      </c>
      <c r="E2" s="12">
        <v>0.58179999999999998</v>
      </c>
      <c r="F2" s="11">
        <f t="shared" ref="F2:F7" si="1">C2/4</f>
        <v>8.8252314814814812E-4</v>
      </c>
      <c r="G2" s="11">
        <f t="shared" ref="G2:G7" si="2">D2/7.5</f>
        <v>9.2926388888888898E-4</v>
      </c>
      <c r="H2" s="11">
        <f t="shared" ref="H2:H7" si="3">B2/12.5</f>
        <v>9.5833333333333339E-4</v>
      </c>
      <c r="I2" s="11">
        <f t="shared" ref="I2:I7" si="4">G2/0.93</f>
        <v>9.9920848267622464E-4</v>
      </c>
      <c r="J2" s="11">
        <f t="shared" ref="J2:J7" si="5">G2/0.92</f>
        <v>1.0100694444444445E-3</v>
      </c>
      <c r="K2" s="11">
        <f t="shared" ref="K2:K7" si="6">G2/0.88</f>
        <v>1.055981691919192E-3</v>
      </c>
      <c r="L2" s="11">
        <f t="shared" ref="L2:L7" si="7">G2/0.84</f>
        <v>1.1062665343915346E-3</v>
      </c>
      <c r="M2" s="25">
        <f>WO2025Jan71081416182224283032343840424446485456586264666870727476681216182022262832343842444648[[#This Row],[Thresh]]</f>
        <v>1.055981691919192E-3</v>
      </c>
      <c r="N2" s="28">
        <f>WO2025Jan71081416182224283032343840424446485456586264666870727476681216182022262832343842444648[[#This Row],[Thresh]]*2.5</f>
        <v>2.63995422979798E-3</v>
      </c>
      <c r="O2" s="25">
        <f>WO2025Jan71081416182224283032343840424446485456586264666870727476681216182022262832343842444648[[#This Row],[CV]]</f>
        <v>1.0100694444444445E-3</v>
      </c>
      <c r="P2" s="28">
        <f>WO2025Jan71081416182224283032343840424446485456586264666870727476681216182022262832343842444648[[#This Row],[CV]]*1.5</f>
        <v>1.5151041666666668E-3</v>
      </c>
      <c r="Q2" s="25">
        <f>WO2025Jan71081416182224283032343840424446485456586264666870727476681216182022262832343842444648[[#This Row],[VO2]]/2</f>
        <v>4.6463194444444449E-4</v>
      </c>
      <c r="R2" s="25">
        <f>WO2025Jan71081416182224283032343840424446485456586264666870727476681216182022262832343842444648[[#This Row],[I]]</f>
        <v>9.5833333333333339E-4</v>
      </c>
      <c r="S2" s="25">
        <f>WO2025Jan71081416182224283032343840424446485456586264666870727476681216182022262832343842444648[[#This Row],[I]]*1.5</f>
        <v>1.4375E-3</v>
      </c>
      <c r="T2" s="28" t="s">
        <v>25</v>
      </c>
      <c r="U2" s="11"/>
      <c r="V2" s="36"/>
      <c r="W2" s="15" t="s">
        <v>26</v>
      </c>
      <c r="X2" s="52"/>
    </row>
    <row r="3" spans="1:26" ht="21" customHeight="1">
      <c r="A3" s="10" t="s">
        <v>27</v>
      </c>
      <c r="B3" s="11">
        <v>1.2268518518518519E-2</v>
      </c>
      <c r="C3" s="11">
        <v>3.6458333333333334E-3</v>
      </c>
      <c r="D3" s="11">
        <f t="shared" si="0"/>
        <v>7.1378240740740742E-3</v>
      </c>
      <c r="E3" s="12">
        <v>0.58179999999999998</v>
      </c>
      <c r="F3" s="11">
        <f t="shared" si="1"/>
        <v>9.1145833333333335E-4</v>
      </c>
      <c r="G3" s="11">
        <f t="shared" si="2"/>
        <v>9.5170987654320989E-4</v>
      </c>
      <c r="H3" s="11">
        <f t="shared" si="3"/>
        <v>9.8148148148148161E-4</v>
      </c>
      <c r="I3" s="11">
        <f t="shared" si="4"/>
        <v>1.0233439532722685E-3</v>
      </c>
      <c r="J3" s="11">
        <f t="shared" si="5"/>
        <v>1.0344672571121847E-3</v>
      </c>
      <c r="K3" s="11">
        <f t="shared" si="6"/>
        <v>1.0814884960718295E-3</v>
      </c>
      <c r="L3" s="11">
        <f t="shared" si="7"/>
        <v>1.1329879482657262E-3</v>
      </c>
      <c r="M3" s="25">
        <f>WO2025Jan71081416182224283032343840424446485456586264666870727476681216182022262832343842444648[[#This Row],[Thresh]]</f>
        <v>1.0814884960718295E-3</v>
      </c>
      <c r="N3" s="28">
        <f>WO2025Jan71081416182224283032343840424446485456586264666870727476681216182022262832343842444648[[#This Row],[Thresh]]*2.5</f>
        <v>2.7037212401795738E-3</v>
      </c>
      <c r="O3" s="25">
        <f>WO2025Jan71081416182224283032343840424446485456586264666870727476681216182022262832343842444648[[#This Row],[CV]]</f>
        <v>1.0344672571121847E-3</v>
      </c>
      <c r="P3" s="28">
        <f>WO2025Jan71081416182224283032343840424446485456586264666870727476681216182022262832343842444648[[#This Row],[CV]]*1.5</f>
        <v>1.551700885668277E-3</v>
      </c>
      <c r="Q3" s="25">
        <f>WO2025Jan71081416182224283032343840424446485456586264666870727476681216182022262832343842444648[[#This Row],[VO2]]/2</f>
        <v>4.7585493827160494E-4</v>
      </c>
      <c r="R3" s="25">
        <f>WO2025Jan71081416182224283032343840424446485456586264666870727476681216182022262832343842444648[[#This Row],[I]]</f>
        <v>9.8148148148148161E-4</v>
      </c>
      <c r="S3" s="25">
        <f>WO2025Jan71081416182224283032343840424446485456586264666870727476681216182022262832343842444648[[#This Row],[I]]*1.5</f>
        <v>1.4722222222222224E-3</v>
      </c>
      <c r="T3" s="28" t="s">
        <v>25</v>
      </c>
      <c r="U3" s="11"/>
      <c r="V3" s="36"/>
      <c r="W3" s="15" t="s">
        <v>26</v>
      </c>
      <c r="X3" s="52"/>
      <c r="Z3" s="16"/>
    </row>
    <row r="4" spans="1:26" ht="21" customHeight="1">
      <c r="A4" s="10" t="s">
        <v>28</v>
      </c>
      <c r="B4" s="11">
        <v>1.238425925925926E-2</v>
      </c>
      <c r="C4" s="11">
        <v>3.7037037037037038E-3</v>
      </c>
      <c r="D4" s="11">
        <f t="shared" si="0"/>
        <v>7.2051620370370368E-3</v>
      </c>
      <c r="E4" s="12">
        <v>0.58179999999999998</v>
      </c>
      <c r="F4" s="11">
        <f t="shared" si="1"/>
        <v>9.2592592592592596E-4</v>
      </c>
      <c r="G4" s="11">
        <f t="shared" si="2"/>
        <v>9.6068827160493821E-4</v>
      </c>
      <c r="H4" s="11">
        <f t="shared" si="3"/>
        <v>9.9074074074074082E-4</v>
      </c>
      <c r="I4" s="11">
        <f t="shared" si="4"/>
        <v>1.0329981415106862E-3</v>
      </c>
      <c r="J4" s="11">
        <f t="shared" si="5"/>
        <v>1.0442263821792807E-3</v>
      </c>
      <c r="K4" s="11">
        <f t="shared" si="6"/>
        <v>1.0916912177328843E-3</v>
      </c>
      <c r="L4" s="11">
        <f t="shared" si="7"/>
        <v>1.1436765138154027E-3</v>
      </c>
      <c r="M4" s="25">
        <f>WO2025Jan71081416182224283032343840424446485456586264666870727476681216182022262832343842444648[[#This Row],[Thresh]]</f>
        <v>1.0916912177328843E-3</v>
      </c>
      <c r="N4" s="28">
        <f>WO2025Jan71081416182224283032343840424446485456586264666870727476681216182022262832343842444648[[#This Row],[Thresh]]*2.5</f>
        <v>2.7292280443322109E-3</v>
      </c>
      <c r="O4" s="25">
        <f>WO2025Jan71081416182224283032343840424446485456586264666870727476681216182022262832343842444648[[#This Row],[CV]]</f>
        <v>1.0442263821792807E-3</v>
      </c>
      <c r="P4" s="28">
        <f>WO2025Jan71081416182224283032343840424446485456586264666870727476681216182022262832343842444648[[#This Row],[CV]]*1.5</f>
        <v>1.566339573268921E-3</v>
      </c>
      <c r="Q4" s="25">
        <f>WO2025Jan71081416182224283032343840424446485456586264666870727476681216182022262832343842444648[[#This Row],[VO2]]/2</f>
        <v>4.803441358024691E-4</v>
      </c>
      <c r="R4" s="25">
        <f>WO2025Jan71081416182224283032343840424446485456586264666870727476681216182022262832343842444648[[#This Row],[I]]</f>
        <v>9.9074074074074082E-4</v>
      </c>
      <c r="S4" s="25">
        <f>WO2025Jan71081416182224283032343840424446485456586264666870727476681216182022262832343842444648[[#This Row],[I]]*1.5</f>
        <v>1.4861111111111112E-3</v>
      </c>
      <c r="T4" s="28" t="s">
        <v>25</v>
      </c>
      <c r="U4" s="11"/>
      <c r="V4" s="36"/>
      <c r="W4" s="15" t="s">
        <v>26</v>
      </c>
      <c r="X4" s="52"/>
    </row>
    <row r="5" spans="1:26" ht="21" customHeight="1">
      <c r="A5" s="10" t="s">
        <v>29</v>
      </c>
      <c r="B5" s="11">
        <v>1.238425925925926E-2</v>
      </c>
      <c r="C5" s="11">
        <v>3.8194444444444443E-3</v>
      </c>
      <c r="D5" s="11">
        <f t="shared" si="0"/>
        <v>7.2051620370370368E-3</v>
      </c>
      <c r="E5" s="12">
        <v>0.58179999999999998</v>
      </c>
      <c r="F5" s="11">
        <f t="shared" si="1"/>
        <v>9.5486111111111108E-4</v>
      </c>
      <c r="G5" s="11">
        <f t="shared" si="2"/>
        <v>9.6068827160493821E-4</v>
      </c>
      <c r="H5" s="11">
        <f t="shared" si="3"/>
        <v>9.9074074074074082E-4</v>
      </c>
      <c r="I5" s="11">
        <f t="shared" si="4"/>
        <v>1.0329981415106862E-3</v>
      </c>
      <c r="J5" s="11">
        <f t="shared" si="5"/>
        <v>1.0442263821792807E-3</v>
      </c>
      <c r="K5" s="11">
        <f t="shared" si="6"/>
        <v>1.0916912177328843E-3</v>
      </c>
      <c r="L5" s="11">
        <f t="shared" si="7"/>
        <v>1.1436765138154027E-3</v>
      </c>
      <c r="M5" s="25">
        <f>WO2025Jan71081416182224283032343840424446485456586264666870727476681216182022262832343842444648[[#This Row],[Thresh]]</f>
        <v>1.0916912177328843E-3</v>
      </c>
      <c r="N5" s="28">
        <f>WO2025Jan71081416182224283032343840424446485456586264666870727476681216182022262832343842444648[[#This Row],[Thresh]]*2.5</f>
        <v>2.7292280443322109E-3</v>
      </c>
      <c r="O5" s="25">
        <f>WO2025Jan71081416182224283032343840424446485456586264666870727476681216182022262832343842444648[[#This Row],[CV]]</f>
        <v>1.0442263821792807E-3</v>
      </c>
      <c r="P5" s="28">
        <f>WO2025Jan71081416182224283032343840424446485456586264666870727476681216182022262832343842444648[[#This Row],[CV]]*1.5</f>
        <v>1.566339573268921E-3</v>
      </c>
      <c r="Q5" s="25">
        <f>WO2025Jan71081416182224283032343840424446485456586264666870727476681216182022262832343842444648[[#This Row],[VO2]]/2</f>
        <v>4.803441358024691E-4</v>
      </c>
      <c r="R5" s="25">
        <f>WO2025Jan71081416182224283032343840424446485456586264666870727476681216182022262832343842444648[[#This Row],[I]]</f>
        <v>9.9074074074074082E-4</v>
      </c>
      <c r="S5" s="25">
        <f>WO2025Jan71081416182224283032343840424446485456586264666870727476681216182022262832343842444648[[#This Row],[I]]*1.5</f>
        <v>1.4861111111111112E-3</v>
      </c>
      <c r="T5" s="28" t="s">
        <v>25</v>
      </c>
      <c r="U5" s="11"/>
      <c r="V5" s="36"/>
      <c r="W5" s="15" t="s">
        <v>26</v>
      </c>
      <c r="X5" s="52"/>
    </row>
    <row r="6" spans="1:26" ht="21" customHeight="1">
      <c r="A6" s="10" t="s">
        <v>30</v>
      </c>
      <c r="B6" s="11">
        <v>1.238425925925926E-2</v>
      </c>
      <c r="C6" s="11">
        <v>3.6458333333333334E-3</v>
      </c>
      <c r="D6" s="11">
        <f t="shared" si="0"/>
        <v>7.2051620370370368E-3</v>
      </c>
      <c r="E6" s="12">
        <v>0.58179999999999998</v>
      </c>
      <c r="F6" s="11">
        <f t="shared" si="1"/>
        <v>9.1145833333333335E-4</v>
      </c>
      <c r="G6" s="11">
        <f t="shared" si="2"/>
        <v>9.6068827160493821E-4</v>
      </c>
      <c r="H6" s="11">
        <f t="shared" si="3"/>
        <v>9.9074074074074082E-4</v>
      </c>
      <c r="I6" s="11">
        <f t="shared" si="4"/>
        <v>1.0329981415106862E-3</v>
      </c>
      <c r="J6" s="11">
        <f t="shared" si="5"/>
        <v>1.0442263821792807E-3</v>
      </c>
      <c r="K6" s="11">
        <f t="shared" si="6"/>
        <v>1.0916912177328843E-3</v>
      </c>
      <c r="L6" s="11">
        <f t="shared" si="7"/>
        <v>1.1436765138154027E-3</v>
      </c>
      <c r="M6" s="25">
        <f>WO2025Jan71081416182224283032343840424446485456586264666870727476681216182022262832343842444648[[#This Row],[Thresh]]</f>
        <v>1.0916912177328843E-3</v>
      </c>
      <c r="N6" s="28">
        <f>WO2025Jan71081416182224283032343840424446485456586264666870727476681216182022262832343842444648[[#This Row],[Thresh]]*2.5</f>
        <v>2.7292280443322109E-3</v>
      </c>
      <c r="O6" s="25">
        <f>WO2025Jan71081416182224283032343840424446485456586264666870727476681216182022262832343842444648[[#This Row],[CV]]</f>
        <v>1.0442263821792807E-3</v>
      </c>
      <c r="P6" s="28">
        <f>WO2025Jan71081416182224283032343840424446485456586264666870727476681216182022262832343842444648[[#This Row],[CV]]*1.5</f>
        <v>1.566339573268921E-3</v>
      </c>
      <c r="Q6" s="25">
        <f>WO2025Jan71081416182224283032343840424446485456586264666870727476681216182022262832343842444648[[#This Row],[VO2]]/2</f>
        <v>4.803441358024691E-4</v>
      </c>
      <c r="R6" s="25">
        <f>WO2025Jan71081416182224283032343840424446485456586264666870727476681216182022262832343842444648[[#This Row],[I]]</f>
        <v>9.9074074074074082E-4</v>
      </c>
      <c r="S6" s="25">
        <f>WO2025Jan71081416182224283032343840424446485456586264666870727476681216182022262832343842444648[[#This Row],[I]]*1.5</f>
        <v>1.4861111111111112E-3</v>
      </c>
      <c r="T6" s="28" t="s">
        <v>25</v>
      </c>
      <c r="U6" s="11"/>
      <c r="V6" s="36"/>
      <c r="W6" s="15" t="s">
        <v>26</v>
      </c>
      <c r="X6" s="52"/>
    </row>
    <row r="7" spans="1:26" ht="21" customHeight="1">
      <c r="A7" s="10" t="s">
        <v>31</v>
      </c>
      <c r="B7" s="11">
        <v>1.238425925925926E-2</v>
      </c>
      <c r="C7" s="11">
        <v>3.7037037037037038E-3</v>
      </c>
      <c r="D7" s="11">
        <f t="shared" si="0"/>
        <v>7.2051620370370368E-3</v>
      </c>
      <c r="E7" s="12">
        <v>0.58179999999999998</v>
      </c>
      <c r="F7" s="11">
        <f t="shared" si="1"/>
        <v>9.2592592592592596E-4</v>
      </c>
      <c r="G7" s="11">
        <f t="shared" si="2"/>
        <v>9.6068827160493821E-4</v>
      </c>
      <c r="H7" s="11">
        <f t="shared" si="3"/>
        <v>9.9074074074074082E-4</v>
      </c>
      <c r="I7" s="11">
        <f t="shared" si="4"/>
        <v>1.0329981415106862E-3</v>
      </c>
      <c r="J7" s="11">
        <f t="shared" si="5"/>
        <v>1.0442263821792807E-3</v>
      </c>
      <c r="K7" s="11">
        <f t="shared" si="6"/>
        <v>1.0916912177328843E-3</v>
      </c>
      <c r="L7" s="11">
        <f t="shared" si="7"/>
        <v>1.1436765138154027E-3</v>
      </c>
      <c r="M7" s="25">
        <f>WO2025Jan71081416182224283032343840424446485456586264666870727476681216182022262832343842444648[[#This Row],[Thresh]]</f>
        <v>1.0916912177328843E-3</v>
      </c>
      <c r="N7" s="28">
        <f>WO2025Jan71081416182224283032343840424446485456586264666870727476681216182022262832343842444648[[#This Row],[Thresh]]*2.5</f>
        <v>2.7292280443322109E-3</v>
      </c>
      <c r="O7" s="25">
        <f>WO2025Jan71081416182224283032343840424446485456586264666870727476681216182022262832343842444648[[#This Row],[CV]]</f>
        <v>1.0442263821792807E-3</v>
      </c>
      <c r="P7" s="28">
        <f>WO2025Jan71081416182224283032343840424446485456586264666870727476681216182022262832343842444648[[#This Row],[CV]]*1.5</f>
        <v>1.566339573268921E-3</v>
      </c>
      <c r="Q7" s="25">
        <f>WO2025Jan71081416182224283032343840424446485456586264666870727476681216182022262832343842444648[[#This Row],[VO2]]/2</f>
        <v>4.803441358024691E-4</v>
      </c>
      <c r="R7" s="25">
        <f>WO2025Jan71081416182224283032343840424446485456586264666870727476681216182022262832343842444648[[#This Row],[I]]</f>
        <v>9.9074074074074082E-4</v>
      </c>
      <c r="S7" s="25">
        <f>WO2025Jan71081416182224283032343840424446485456586264666870727476681216182022262832343842444648[[#This Row],[I]]*1.5</f>
        <v>1.4861111111111112E-3</v>
      </c>
      <c r="T7" s="28" t="s">
        <v>25</v>
      </c>
      <c r="U7" s="11"/>
      <c r="V7" s="36"/>
      <c r="W7" s="18" t="s">
        <v>26</v>
      </c>
      <c r="X7" s="52"/>
    </row>
    <row r="8" spans="1:26" ht="21" customHeight="1">
      <c r="A8" s="10"/>
      <c r="B8" s="11"/>
      <c r="C8" s="11"/>
      <c r="D8" s="11"/>
      <c r="E8" s="12"/>
      <c r="F8" s="11"/>
      <c r="G8" s="11"/>
      <c r="H8" s="11"/>
      <c r="I8" s="11"/>
      <c r="J8" s="11"/>
      <c r="K8" s="11"/>
      <c r="L8" s="11"/>
      <c r="M8" s="14"/>
      <c r="N8" s="11"/>
      <c r="O8" s="11"/>
      <c r="P8" s="11"/>
      <c r="Q8" s="14"/>
      <c r="R8" s="11"/>
      <c r="S8" s="14"/>
      <c r="T8" s="14"/>
      <c r="U8" s="14"/>
      <c r="V8" s="17"/>
      <c r="W8" s="18"/>
      <c r="X8" s="52"/>
    </row>
    <row r="9" spans="1:26" ht="21" customHeight="1">
      <c r="A9" s="19"/>
      <c r="B9" s="6"/>
      <c r="C9" s="6"/>
      <c r="D9" s="6"/>
      <c r="E9" s="20"/>
      <c r="F9" s="6"/>
      <c r="G9" s="6"/>
      <c r="H9" s="6"/>
      <c r="I9" s="6"/>
      <c r="J9" s="6"/>
      <c r="K9" s="6"/>
      <c r="L9" s="6"/>
      <c r="M9" s="6" t="s">
        <v>12</v>
      </c>
      <c r="N9" s="6" t="s">
        <v>13</v>
      </c>
      <c r="O9" s="6" t="s">
        <v>14</v>
      </c>
      <c r="P9" s="6" t="s">
        <v>15</v>
      </c>
      <c r="Q9" s="6" t="s">
        <v>32</v>
      </c>
      <c r="R9" s="6" t="s">
        <v>33</v>
      </c>
      <c r="S9" s="6"/>
      <c r="T9" s="6"/>
      <c r="U9" s="6"/>
      <c r="V9" s="6"/>
      <c r="W9" s="35"/>
      <c r="X9" s="52"/>
    </row>
    <row r="10" spans="1:26" ht="21" customHeight="1">
      <c r="A10" s="10" t="s">
        <v>34</v>
      </c>
      <c r="B10" s="11">
        <v>1.1979166666666667E-2</v>
      </c>
      <c r="C10" s="11">
        <v>3.472222222222222E-3</v>
      </c>
      <c r="D10" s="11">
        <f>B10*E10</f>
        <v>6.9694791666666672E-3</v>
      </c>
      <c r="E10" s="12">
        <v>0.58179999999999998</v>
      </c>
      <c r="F10" s="11">
        <f>C10/4</f>
        <v>8.6805555555555551E-4</v>
      </c>
      <c r="G10" s="11">
        <f>D10/7.5</f>
        <v>9.2926388888888898E-4</v>
      </c>
      <c r="H10" s="11">
        <f>B10/12.5</f>
        <v>9.5833333333333339E-4</v>
      </c>
      <c r="I10" s="11">
        <f>G10/0.93</f>
        <v>9.9920848267622464E-4</v>
      </c>
      <c r="J10" s="11">
        <f>G10/0.92</f>
        <v>1.0100694444444445E-3</v>
      </c>
      <c r="K10" s="11">
        <f>G10/0.88</f>
        <v>1.055981691919192E-3</v>
      </c>
      <c r="L10" s="11">
        <f>G10/0.84</f>
        <v>1.1062665343915346E-3</v>
      </c>
      <c r="M10" s="25">
        <f>WO2025Jan71081416182224283032343840424446485456586264666870727476681216182022262832343842444648[[#This Row],[Thresh]]</f>
        <v>1.055981691919192E-3</v>
      </c>
      <c r="N10" s="28">
        <f>WO2025Jan71081416182224283032343840424446485456586264666870727476681216182022262832343842444648[[#This Row],[Thresh]]*2.5</f>
        <v>2.63995422979798E-3</v>
      </c>
      <c r="O10" s="25">
        <f>WO2025Jan71081416182224283032343840424446485456586264666870727476681216182022262832343842444648[[#This Row],[CV]]</f>
        <v>1.0100694444444445E-3</v>
      </c>
      <c r="P10" s="28">
        <f>WO2025Jan71081416182224283032343840424446485456586264666870727476681216182022262832343842444648[[#This Row],[CV]]*1.5</f>
        <v>1.5151041666666668E-3</v>
      </c>
      <c r="Q10" s="25">
        <f>WO2025Jan71081416182224283032343840424446485456586264666870727476681216182022262832343842444648[[#This Row],[R]]</f>
        <v>8.6805555555555551E-4</v>
      </c>
      <c r="R10" s="25">
        <f>(WO2025Jan71081416182224283032343840424446485456586264666870727476681216182022262832343842444648[[#This Row],[R]]/2)-0.0000115740740740741</f>
        <v>4.2245370370370364E-4</v>
      </c>
      <c r="S10" s="25"/>
      <c r="T10" s="28"/>
      <c r="U10" s="11"/>
      <c r="V10" s="36"/>
      <c r="W10" s="18" t="s">
        <v>35</v>
      </c>
      <c r="X10" s="52"/>
    </row>
    <row r="11" spans="1:26" ht="21" customHeight="1">
      <c r="A11" s="10" t="s">
        <v>36</v>
      </c>
      <c r="B11" s="11">
        <v>1.2615740740740742E-2</v>
      </c>
      <c r="C11" s="11">
        <v>3.6458333333333334E-3</v>
      </c>
      <c r="D11" s="11">
        <f>B11*E11</f>
        <v>7.3398379629629629E-3</v>
      </c>
      <c r="E11" s="12">
        <v>0.58179999999999998</v>
      </c>
      <c r="F11" s="11">
        <f>C11/4</f>
        <v>9.1145833333333335E-4</v>
      </c>
      <c r="G11" s="11">
        <f>D11/7.5</f>
        <v>9.7864506172839496E-4</v>
      </c>
      <c r="H11" s="11">
        <f>B11/12.5</f>
        <v>1.0092592592592592E-3</v>
      </c>
      <c r="I11" s="11">
        <f>G11/0.93</f>
        <v>1.0523065179875214E-3</v>
      </c>
      <c r="J11" s="11">
        <f>G11/0.92</f>
        <v>1.0637446323134728E-3</v>
      </c>
      <c r="K11" s="11">
        <f>G11/0.88</f>
        <v>1.1120966610549943E-3</v>
      </c>
      <c r="L11" s="11">
        <f>G11/0.84</f>
        <v>1.165053644914756E-3</v>
      </c>
      <c r="M11" s="25">
        <f>WO2025Jan71081416182224283032343840424446485456586264666870727476681216182022262832343842444648[[#This Row],[Thresh]]</f>
        <v>1.1120966610549943E-3</v>
      </c>
      <c r="N11" s="28">
        <f>WO2025Jan71081416182224283032343840424446485456586264666870727476681216182022262832343842444648[[#This Row],[Thresh]]*2.5</f>
        <v>2.7802416526374859E-3</v>
      </c>
      <c r="O11" s="25">
        <f>WO2025Jan71081416182224283032343840424446485456586264666870727476681216182022262832343842444648[[#This Row],[CV]]</f>
        <v>1.0637446323134728E-3</v>
      </c>
      <c r="P11" s="28">
        <f>WO2025Jan71081416182224283032343840424446485456586264666870727476681216182022262832343842444648[[#This Row],[CV]]*1.5</f>
        <v>1.5956169484702093E-3</v>
      </c>
      <c r="Q11" s="25">
        <f>WO2025Jan71081416182224283032343840424446485456586264666870727476681216182022262832343842444648[[#This Row],[R]]</f>
        <v>9.1145833333333335E-4</v>
      </c>
      <c r="R11" s="25">
        <f>(WO2025Jan71081416182224283032343840424446485456586264666870727476681216182022262832343842444648[[#This Row],[R]]/2)-0.0000115740740740741</f>
        <v>4.4415509259259256E-4</v>
      </c>
      <c r="S11" s="25"/>
      <c r="T11" s="28"/>
      <c r="U11" s="11"/>
      <c r="V11" s="36"/>
      <c r="W11" s="15" t="s">
        <v>35</v>
      </c>
      <c r="X11" s="52" t="s">
        <v>140</v>
      </c>
    </row>
    <row r="12" spans="1:26" ht="21" customHeight="1">
      <c r="A12" s="10" t="s">
        <v>38</v>
      </c>
      <c r="B12" s="11">
        <v>1.238425925925926E-2</v>
      </c>
      <c r="C12" s="11">
        <v>3.5300925925925925E-3</v>
      </c>
      <c r="D12" s="11">
        <f>B12*E12</f>
        <v>7.2051620370370368E-3</v>
      </c>
      <c r="E12" s="12">
        <v>0.58179999999999998</v>
      </c>
      <c r="F12" s="11">
        <f>C12/4</f>
        <v>8.8252314814814812E-4</v>
      </c>
      <c r="G12" s="11">
        <f>D12/7.5</f>
        <v>9.6068827160493821E-4</v>
      </c>
      <c r="H12" s="11">
        <f>B12/12.5</f>
        <v>9.9074074074074082E-4</v>
      </c>
      <c r="I12" s="11">
        <f>G12/0.93</f>
        <v>1.0329981415106862E-3</v>
      </c>
      <c r="J12" s="11">
        <f>G12/0.92</f>
        <v>1.0442263821792807E-3</v>
      </c>
      <c r="K12" s="11">
        <f>G12/0.88</f>
        <v>1.0916912177328843E-3</v>
      </c>
      <c r="L12" s="11">
        <f>G12/0.84</f>
        <v>1.1436765138154027E-3</v>
      </c>
      <c r="M12" s="25">
        <f>WO2025Jan71081416182224283032343840424446485456586264666870727476681216182022262832343842444648[[#This Row],[Thresh]]</f>
        <v>1.0916912177328843E-3</v>
      </c>
      <c r="N12" s="28">
        <f>WO2025Jan71081416182224283032343840424446485456586264666870727476681216182022262832343842444648[[#This Row],[Thresh]]*2.5</f>
        <v>2.7292280443322109E-3</v>
      </c>
      <c r="O12" s="25">
        <f>WO2025Jan71081416182224283032343840424446485456586264666870727476681216182022262832343842444648[[#This Row],[CV]]</f>
        <v>1.0442263821792807E-3</v>
      </c>
      <c r="P12" s="28">
        <f>WO2025Jan71081416182224283032343840424446485456586264666870727476681216182022262832343842444648[[#This Row],[CV]]*1.5</f>
        <v>1.566339573268921E-3</v>
      </c>
      <c r="Q12" s="25">
        <f>WO2025Jan71081416182224283032343840424446485456586264666870727476681216182022262832343842444648[[#This Row],[R]]</f>
        <v>8.8252314814814812E-4</v>
      </c>
      <c r="R12" s="25">
        <f>(WO2025Jan71081416182224283032343840424446485456586264666870727476681216182022262832343842444648[[#This Row],[R]]/2)-0.0000115740740740741</f>
        <v>4.2968749999999995E-4</v>
      </c>
      <c r="S12" s="25"/>
      <c r="T12" s="28"/>
      <c r="U12" s="11"/>
      <c r="V12" s="47"/>
      <c r="W12" s="18" t="s">
        <v>35</v>
      </c>
      <c r="X12" s="52"/>
    </row>
    <row r="13" spans="1:26" ht="21" customHeight="1">
      <c r="A13" s="39"/>
      <c r="B13" s="40"/>
      <c r="C13" s="40"/>
      <c r="D13" s="40"/>
      <c r="E13" s="41"/>
      <c r="F13" s="40"/>
      <c r="G13" s="40"/>
      <c r="H13" s="40"/>
      <c r="I13" s="40"/>
      <c r="J13" s="40"/>
      <c r="K13" s="40"/>
      <c r="L13" s="49"/>
      <c r="M13" s="40" t="s">
        <v>39</v>
      </c>
      <c r="N13" s="40"/>
      <c r="O13" s="40"/>
      <c r="P13" s="40"/>
      <c r="Q13" s="40"/>
      <c r="R13" s="40"/>
      <c r="S13" s="40"/>
      <c r="T13" s="40"/>
      <c r="U13" s="40"/>
      <c r="V13" s="40"/>
      <c r="W13" s="42"/>
      <c r="X13" s="52"/>
    </row>
    <row r="14" spans="1:26" ht="21" customHeight="1">
      <c r="A14" s="19"/>
      <c r="B14" s="6"/>
      <c r="C14" s="6"/>
      <c r="D14" s="6"/>
      <c r="E14" s="20"/>
      <c r="F14" s="6"/>
      <c r="G14" s="6"/>
      <c r="H14" s="6"/>
      <c r="I14" s="6"/>
      <c r="J14" s="6"/>
      <c r="K14" s="6"/>
      <c r="L14" s="6"/>
      <c r="M14" s="6" t="s">
        <v>12</v>
      </c>
      <c r="N14" s="6" t="s">
        <v>13</v>
      </c>
      <c r="O14" s="6" t="s">
        <v>40</v>
      </c>
      <c r="P14" s="6" t="s">
        <v>41</v>
      </c>
      <c r="Q14" s="6" t="s">
        <v>42</v>
      </c>
      <c r="R14" s="6" t="s">
        <v>43</v>
      </c>
      <c r="S14" s="6" t="s">
        <v>44</v>
      </c>
      <c r="T14" s="6" t="s">
        <v>45</v>
      </c>
      <c r="U14" s="6" t="s">
        <v>46</v>
      </c>
      <c r="V14" s="6"/>
      <c r="W14" s="35"/>
      <c r="X14" s="52"/>
    </row>
    <row r="15" spans="1:26" ht="21" customHeight="1">
      <c r="A15" s="10" t="s">
        <v>47</v>
      </c>
      <c r="B15" s="11">
        <v>1.3020833333333334E-2</v>
      </c>
      <c r="C15" s="11">
        <v>3.7037037037037038E-3</v>
      </c>
      <c r="D15" s="11">
        <f>B15*E15</f>
        <v>7.5755208333333334E-3</v>
      </c>
      <c r="E15" s="12">
        <v>0.58179999999999998</v>
      </c>
      <c r="F15" s="11">
        <f>C15/4</f>
        <v>9.2592592592592596E-4</v>
      </c>
      <c r="G15" s="11">
        <f>D15/7.5</f>
        <v>1.0100694444444445E-3</v>
      </c>
      <c r="H15" s="11">
        <f>B15/12.5</f>
        <v>1.0416666666666667E-3</v>
      </c>
      <c r="I15" s="11">
        <f>G15/0.93</f>
        <v>1.0860961768219832E-3</v>
      </c>
      <c r="J15" s="11">
        <f>G15/0.92</f>
        <v>1.0979015700483092E-3</v>
      </c>
      <c r="K15" s="11">
        <f>G15/0.88</f>
        <v>1.1478061868686869E-3</v>
      </c>
      <c r="L15" s="11">
        <f>G15/0.84</f>
        <v>1.2024636243386244E-3</v>
      </c>
      <c r="M15" s="25">
        <f>WO2025Jan71081416182224283032343840424446485456586264666870727476681216182022262832343842444648[[#This Row],[Thresh]]</f>
        <v>1.1478061868686869E-3</v>
      </c>
      <c r="N15" s="28">
        <f>WO2025Jan71081416182224283032343840424446485456586264666870727476681216182022262832343842444648[[#This Row],[Thresh]]*2.5</f>
        <v>2.8695154671717171E-3</v>
      </c>
      <c r="O15" s="25">
        <f>WO2025Jan71081416182224283032343840424446485456586264666870727476681216182022262832343842444648[[#This Row],[R]]/2</f>
        <v>4.6296296296296298E-4</v>
      </c>
      <c r="P15" s="25">
        <f>(WO2025Jan71081416182224283032343840424446485456586264666870727476681216182022262832343842444648[[#This Row],[R]]/2)-0.0000115740740740741</f>
        <v>4.5138888888888887E-4</v>
      </c>
      <c r="Q15" s="25">
        <f>(WO2025Jan71081416182224283032343840424446485456586264666870727476681216182022262832343842444648[[#This Row],[R]]/2)-(0.0000115740740740741*2)</f>
        <v>4.3981481481481476E-4</v>
      </c>
      <c r="R15" s="25">
        <f>(WO2025Jan71081416182224283032343840424446485456586264666870727476681216182022262832343842444648[[#This Row],[R]]/2)-(0.0000115740740740741*3)</f>
        <v>4.282407407407407E-4</v>
      </c>
      <c r="S15" s="25">
        <f>(WO2025Jan71081416182224283032343840424446485456586264666870727476681216182022262832343842444648[[#This Row],[R]]/2)-(0.0000115740740740741*4)</f>
        <v>4.1666666666666658E-4</v>
      </c>
      <c r="T15" s="25">
        <f>(WO2025Jan71081416182224283032343840424446485456586264666870727476681216182022262832343842444648[[#This Row],[R]]/2)-(0.0000115740740740741*5)</f>
        <v>4.0509259259259247E-4</v>
      </c>
      <c r="U15" s="28" t="s">
        <v>25</v>
      </c>
      <c r="V15" s="36"/>
      <c r="W15" s="15" t="s">
        <v>48</v>
      </c>
      <c r="X15" s="52"/>
    </row>
    <row r="16" spans="1:26" ht="21" customHeight="1">
      <c r="A16" s="10" t="s">
        <v>49</v>
      </c>
      <c r="B16" s="11">
        <v>1.2731481481481481E-2</v>
      </c>
      <c r="C16" s="11">
        <v>3.5879629629629629E-3</v>
      </c>
      <c r="D16" s="11">
        <f>B16*E16</f>
        <v>7.4071759259259256E-3</v>
      </c>
      <c r="E16" s="12">
        <v>0.58179999999999998</v>
      </c>
      <c r="F16" s="11">
        <f>C16/4</f>
        <v>8.9699074074074073E-4</v>
      </c>
      <c r="G16" s="11">
        <f>D16/7.5</f>
        <v>9.8762345679012349E-4</v>
      </c>
      <c r="H16" s="11">
        <f>B16/12.5</f>
        <v>1.0185185185185184E-3</v>
      </c>
      <c r="I16" s="11">
        <f>G16/0.93</f>
        <v>1.0619607062259391E-3</v>
      </c>
      <c r="J16" s="11">
        <f>G16/0.92</f>
        <v>1.073503757380569E-3</v>
      </c>
      <c r="K16" s="11">
        <f>G16/0.88</f>
        <v>1.1222993827160494E-3</v>
      </c>
      <c r="L16" s="11">
        <f>G16/0.84</f>
        <v>1.1757422104644328E-3</v>
      </c>
      <c r="M16" s="25">
        <f>WO2025Jan71081416182224283032343840424446485456586264666870727476681216182022262832343842444648[[#This Row],[Thresh]]</f>
        <v>1.1222993827160494E-3</v>
      </c>
      <c r="N16" s="28">
        <f>WO2025Jan71081416182224283032343840424446485456586264666870727476681216182022262832343842444648[[#This Row],[Thresh]]*2.5</f>
        <v>2.8057484567901234E-3</v>
      </c>
      <c r="O16" s="25">
        <f>WO2025Jan71081416182224283032343840424446485456586264666870727476681216182022262832343842444648[[#This Row],[R]]/2</f>
        <v>4.4849537037037037E-4</v>
      </c>
      <c r="P16" s="25">
        <f>(WO2025Jan71081416182224283032343840424446485456586264666870727476681216182022262832343842444648[[#This Row],[R]]/2)-0.0000115740740740741</f>
        <v>4.3692129629629625E-4</v>
      </c>
      <c r="Q16" s="25">
        <f>(WO2025Jan71081416182224283032343840424446485456586264666870727476681216182022262832343842444648[[#This Row],[R]]/2)-(0.0000115740740740741*2)</f>
        <v>4.2534722222222214E-4</v>
      </c>
      <c r="R16" s="25">
        <f>(WO2025Jan71081416182224283032343840424446485456586264666870727476681216182022262832343842444648[[#This Row],[R]]/2)-(0.0000115740740740741*3)</f>
        <v>4.1377314814814808E-4</v>
      </c>
      <c r="S16" s="25">
        <f>(WO2025Jan71081416182224283032343840424446485456586264666870727476681216182022262832343842444648[[#This Row],[R]]/2)-(0.0000115740740740741*4)</f>
        <v>4.0219907407407397E-4</v>
      </c>
      <c r="T16" s="25">
        <f>(WO2025Jan71081416182224283032343840424446485456586264666870727476681216182022262832343842444648[[#This Row],[R]]/2)-(0.0000115740740740741*5)</f>
        <v>3.9062499999999986E-4</v>
      </c>
      <c r="U16" s="28" t="s">
        <v>25</v>
      </c>
      <c r="V16" s="36"/>
      <c r="W16" s="15" t="s">
        <v>48</v>
      </c>
      <c r="X16" s="52"/>
    </row>
    <row r="17" spans="1:24" ht="21" customHeight="1">
      <c r="A17" s="10" t="s">
        <v>50</v>
      </c>
      <c r="B17" s="11">
        <v>1.3020833333333334E-2</v>
      </c>
      <c r="C17" s="11">
        <v>3.7037037037037038E-3</v>
      </c>
      <c r="D17" s="11">
        <f>B17*E17</f>
        <v>7.5755208333333334E-3</v>
      </c>
      <c r="E17" s="12">
        <v>0.58179999999999998</v>
      </c>
      <c r="F17" s="11">
        <f>C17/4</f>
        <v>9.2592592592592596E-4</v>
      </c>
      <c r="G17" s="11">
        <f>D17/7.5</f>
        <v>1.0100694444444445E-3</v>
      </c>
      <c r="H17" s="11">
        <f>B17/12.5</f>
        <v>1.0416666666666667E-3</v>
      </c>
      <c r="I17" s="11">
        <f>G17/0.93</f>
        <v>1.0860961768219832E-3</v>
      </c>
      <c r="J17" s="11">
        <f>G17/0.92</f>
        <v>1.0979015700483092E-3</v>
      </c>
      <c r="K17" s="11">
        <f>G17/0.88</f>
        <v>1.1478061868686869E-3</v>
      </c>
      <c r="L17" s="11">
        <f>G17/0.84</f>
        <v>1.2024636243386244E-3</v>
      </c>
      <c r="M17" s="25">
        <f>WO2025Jan71081416182224283032343840424446485456586264666870727476681216182022262832343842444648[[#This Row],[Thresh]]</f>
        <v>1.1478061868686869E-3</v>
      </c>
      <c r="N17" s="28">
        <f>WO2025Jan71081416182224283032343840424446485456586264666870727476681216182022262832343842444648[[#This Row],[Thresh]]*2.5</f>
        <v>2.8695154671717171E-3</v>
      </c>
      <c r="O17" s="25">
        <f>WO2025Jan71081416182224283032343840424446485456586264666870727476681216182022262832343842444648[[#This Row],[R]]/2</f>
        <v>4.6296296296296298E-4</v>
      </c>
      <c r="P17" s="25">
        <f>(WO2025Jan71081416182224283032343840424446485456586264666870727476681216182022262832343842444648[[#This Row],[R]]/2)-0.0000115740740740741</f>
        <v>4.5138888888888887E-4</v>
      </c>
      <c r="Q17" s="25">
        <f>(WO2025Jan71081416182224283032343840424446485456586264666870727476681216182022262832343842444648[[#This Row],[R]]/2)-(0.0000115740740740741*2)</f>
        <v>4.3981481481481476E-4</v>
      </c>
      <c r="R17" s="25">
        <f>(WO2025Jan71081416182224283032343840424446485456586264666870727476681216182022262832343842444648[[#This Row],[R]]/2)-(0.0000115740740740741*3)</f>
        <v>4.282407407407407E-4</v>
      </c>
      <c r="S17" s="25">
        <f>(WO2025Jan71081416182224283032343840424446485456586264666870727476681216182022262832343842444648[[#This Row],[R]]/2)-(0.0000115740740740741*4)</f>
        <v>4.1666666666666658E-4</v>
      </c>
      <c r="T17" s="25">
        <f>(WO2025Jan71081416182224283032343840424446485456586264666870727476681216182022262832343842444648[[#This Row],[R]]/2)-(0.0000115740740740741*5)</f>
        <v>4.0509259259259247E-4</v>
      </c>
      <c r="U17" s="28" t="s">
        <v>25</v>
      </c>
      <c r="V17" s="36"/>
      <c r="W17" s="15" t="s">
        <v>48</v>
      </c>
      <c r="X17" s="52"/>
    </row>
    <row r="18" spans="1:24" ht="21" customHeight="1">
      <c r="A18" s="10"/>
      <c r="B18" s="11"/>
      <c r="C18" s="11"/>
      <c r="D18" s="11"/>
      <c r="E18" s="12"/>
      <c r="F18" s="11"/>
      <c r="G18" s="11"/>
      <c r="H18" s="11"/>
      <c r="I18" s="11"/>
      <c r="J18" s="11"/>
      <c r="K18" s="11"/>
      <c r="L18" s="11"/>
      <c r="M18" s="37"/>
      <c r="N18" s="28"/>
      <c r="O18" s="25"/>
      <c r="P18" s="28"/>
      <c r="Q18" s="25"/>
      <c r="R18" s="25"/>
      <c r="S18" s="25"/>
      <c r="T18" s="28"/>
      <c r="U18" s="11"/>
      <c r="V18" s="47"/>
      <c r="W18" s="18"/>
      <c r="X18" s="52"/>
    </row>
    <row r="19" spans="1:24" ht="21" customHeight="1">
      <c r="A19" s="19"/>
      <c r="B19" s="6"/>
      <c r="C19" s="6"/>
      <c r="D19" s="6"/>
      <c r="E19" s="20"/>
      <c r="F19" s="6"/>
      <c r="G19" s="6"/>
      <c r="H19" s="6"/>
      <c r="I19" s="6"/>
      <c r="J19" s="6"/>
      <c r="K19" s="6"/>
      <c r="L19" s="6"/>
      <c r="M19" s="6"/>
      <c r="N19" s="6"/>
      <c r="O19" s="6"/>
      <c r="P19" s="6"/>
      <c r="Q19" s="6"/>
      <c r="R19" s="6"/>
      <c r="S19" s="6"/>
      <c r="T19" s="6"/>
      <c r="U19" s="6"/>
      <c r="V19" s="6"/>
      <c r="W19" s="35"/>
      <c r="X19" s="52"/>
    </row>
    <row r="20" spans="1:24" ht="21" customHeight="1">
      <c r="A20" s="10" t="s">
        <v>55</v>
      </c>
      <c r="B20" s="11">
        <v>1.238425925925926E-2</v>
      </c>
      <c r="C20" s="11">
        <v>3.5879629629629629E-3</v>
      </c>
      <c r="D20" s="11">
        <f>B20*E20</f>
        <v>7.2051620370370368E-3</v>
      </c>
      <c r="E20" s="12">
        <v>0.58179999999999998</v>
      </c>
      <c r="F20" s="11">
        <f>C20/4</f>
        <v>8.9699074074074073E-4</v>
      </c>
      <c r="G20" s="11">
        <f>D20/7.5</f>
        <v>9.6068827160493821E-4</v>
      </c>
      <c r="H20" s="11">
        <f>B20/12.5</f>
        <v>9.9074074074074082E-4</v>
      </c>
      <c r="I20" s="11">
        <f>G20/0.93</f>
        <v>1.0329981415106862E-3</v>
      </c>
      <c r="J20" s="11">
        <f>G20/0.92</f>
        <v>1.0442263821792807E-3</v>
      </c>
      <c r="K20" s="11">
        <f>G20/0.88</f>
        <v>1.0916912177328843E-3</v>
      </c>
      <c r="L20" s="11">
        <f>G20/0.84</f>
        <v>1.1436765138154027E-3</v>
      </c>
      <c r="M20" s="25"/>
      <c r="N20" s="28"/>
      <c r="O20" s="25"/>
      <c r="P20" s="28"/>
      <c r="Q20" s="25"/>
      <c r="R20" s="25"/>
      <c r="S20" s="25"/>
      <c r="T20" s="28"/>
      <c r="U20" s="11"/>
      <c r="V20" s="36"/>
      <c r="W20" s="18" t="s">
        <v>141</v>
      </c>
      <c r="X20" s="52"/>
    </row>
    <row r="21" spans="1:24" ht="21" customHeight="1">
      <c r="A21" s="10"/>
      <c r="B21" s="11"/>
      <c r="C21" s="11"/>
      <c r="D21" s="11"/>
      <c r="E21" s="12"/>
      <c r="F21" s="11"/>
      <c r="G21" s="11"/>
      <c r="H21" s="11"/>
      <c r="I21" s="11"/>
      <c r="J21" s="11"/>
      <c r="K21" s="11"/>
      <c r="L21" s="11"/>
      <c r="M21" s="14"/>
      <c r="O21" s="14"/>
      <c r="P21" s="11"/>
      <c r="Q21" s="14"/>
      <c r="R21" s="11"/>
      <c r="S21" s="14"/>
      <c r="T21" s="14"/>
      <c r="U21" s="14"/>
      <c r="V21" s="11"/>
      <c r="W21" s="15"/>
      <c r="X21" s="52" t="s">
        <v>142</v>
      </c>
    </row>
    <row r="22" spans="1:24" ht="21" customHeight="1">
      <c r="A22" s="19"/>
      <c r="B22" s="6"/>
      <c r="C22" s="6"/>
      <c r="D22" s="6"/>
      <c r="E22" s="20"/>
      <c r="F22" s="6"/>
      <c r="G22" s="6"/>
      <c r="H22" s="6"/>
      <c r="I22" s="6"/>
      <c r="J22" s="6"/>
      <c r="K22" s="6"/>
      <c r="L22" s="6"/>
      <c r="M22" s="6"/>
      <c r="N22" s="6"/>
      <c r="O22" s="6"/>
      <c r="P22" s="6"/>
      <c r="Q22" s="6"/>
      <c r="R22" s="6"/>
      <c r="S22" s="6"/>
      <c r="T22" s="6"/>
      <c r="U22" s="6"/>
      <c r="V22" s="6"/>
      <c r="W22" s="35"/>
      <c r="X22" s="52"/>
    </row>
    <row r="23" spans="1:24" ht="21" customHeight="1">
      <c r="A23" s="10" t="s">
        <v>51</v>
      </c>
      <c r="B23" s="11">
        <v>1.2615740740740742E-2</v>
      </c>
      <c r="C23" s="11">
        <v>3.5879629629629629E-3</v>
      </c>
      <c r="D23" s="11">
        <f>B23*E23</f>
        <v>7.3398379629629629E-3</v>
      </c>
      <c r="E23" s="12">
        <v>0.58179999999999998</v>
      </c>
      <c r="F23" s="11">
        <f>C23/4</f>
        <v>8.9699074074074073E-4</v>
      </c>
      <c r="G23" s="11">
        <f>D23/7.5</f>
        <v>9.7864506172839496E-4</v>
      </c>
      <c r="H23" s="11">
        <f>B23/12.5</f>
        <v>1.0092592592592592E-3</v>
      </c>
      <c r="I23" s="11">
        <f>G23/0.93</f>
        <v>1.0523065179875214E-3</v>
      </c>
      <c r="J23" s="11">
        <f>G23/0.92</f>
        <v>1.0637446323134728E-3</v>
      </c>
      <c r="K23" s="11">
        <f>G23/0.88</f>
        <v>1.1120966610549943E-3</v>
      </c>
      <c r="L23" s="11">
        <f>G23/0.84</f>
        <v>1.165053644914756E-3</v>
      </c>
      <c r="M23" s="25"/>
      <c r="N23" s="28"/>
      <c r="O23" s="25"/>
      <c r="P23" s="28"/>
      <c r="Q23" s="25"/>
      <c r="R23" s="25"/>
      <c r="S23" s="25"/>
      <c r="T23" s="28"/>
      <c r="U23" s="11"/>
      <c r="V23" s="36"/>
      <c r="W23" s="15" t="s">
        <v>52</v>
      </c>
      <c r="X23" s="52"/>
    </row>
    <row r="24" spans="1:24" ht="21" customHeight="1">
      <c r="A24" s="10" t="s">
        <v>53</v>
      </c>
      <c r="B24" s="11">
        <v>1.2731481481481481E-2</v>
      </c>
      <c r="C24" s="11">
        <v>3.7615740740740739E-3</v>
      </c>
      <c r="D24" s="11">
        <f>B24*E24</f>
        <v>7.4071759259259256E-3</v>
      </c>
      <c r="E24" s="12">
        <v>0.58179999999999998</v>
      </c>
      <c r="F24" s="11">
        <f>C24/4</f>
        <v>9.4039351851851847E-4</v>
      </c>
      <c r="G24" s="11">
        <f>D24/7.5</f>
        <v>9.8762345679012349E-4</v>
      </c>
      <c r="H24" s="11">
        <f>B24/12.5</f>
        <v>1.0185185185185184E-3</v>
      </c>
      <c r="I24" s="11">
        <f>G24/0.93</f>
        <v>1.0619607062259391E-3</v>
      </c>
      <c r="J24" s="11">
        <f>G24/0.92</f>
        <v>1.073503757380569E-3</v>
      </c>
      <c r="K24" s="11">
        <f>G24/0.88</f>
        <v>1.1222993827160494E-3</v>
      </c>
      <c r="L24" s="11">
        <f>G24/0.84</f>
        <v>1.1757422104644328E-3</v>
      </c>
      <c r="M24" s="25"/>
      <c r="N24" s="28"/>
      <c r="O24" s="25"/>
      <c r="P24" s="28"/>
      <c r="Q24" s="25"/>
      <c r="R24" s="25"/>
      <c r="S24" s="25"/>
      <c r="T24" s="28"/>
      <c r="U24" s="25"/>
      <c r="V24" s="25"/>
      <c r="W24" s="15" t="s">
        <v>52</v>
      </c>
      <c r="X24" s="52"/>
    </row>
    <row r="25" spans="1:24" ht="21" customHeight="1">
      <c r="A25" s="10"/>
      <c r="B25" s="11"/>
      <c r="C25" s="11"/>
      <c r="D25" s="11"/>
      <c r="E25" s="12"/>
      <c r="F25" s="11"/>
      <c r="G25" s="11"/>
      <c r="H25" s="11"/>
      <c r="I25" s="11"/>
      <c r="J25" s="11"/>
      <c r="K25" s="11"/>
      <c r="L25" s="11"/>
      <c r="M25" s="14"/>
      <c r="N25" s="11"/>
      <c r="O25" s="11"/>
      <c r="P25" s="11"/>
      <c r="Q25" s="14"/>
      <c r="R25" s="11"/>
      <c r="S25" s="14"/>
      <c r="T25" s="11"/>
      <c r="U25" s="11"/>
      <c r="V25" s="17"/>
      <c r="W25" s="15"/>
      <c r="X25" s="52"/>
    </row>
    <row r="26" spans="1:24" ht="21" customHeight="1">
      <c r="A26" s="10"/>
      <c r="B26" s="11"/>
      <c r="C26" s="11"/>
      <c r="D26" s="11"/>
      <c r="E26" s="12"/>
      <c r="F26" s="11"/>
      <c r="G26" s="11"/>
      <c r="H26" s="11"/>
      <c r="I26" s="11"/>
      <c r="J26" s="11"/>
      <c r="K26" s="11"/>
      <c r="L26" s="11"/>
      <c r="M26" s="14"/>
      <c r="N26" s="11"/>
      <c r="O26" s="11"/>
      <c r="P26" s="11"/>
      <c r="Q26" s="14"/>
      <c r="R26" s="11"/>
      <c r="S26" s="14"/>
      <c r="T26" s="14"/>
      <c r="U26" s="14"/>
      <c r="V26" s="11"/>
      <c r="W26" s="15"/>
      <c r="X26" s="52"/>
    </row>
    <row r="27" spans="1:24" ht="21" customHeight="1">
      <c r="A27" s="10"/>
      <c r="B27" s="11"/>
      <c r="C27" s="11"/>
      <c r="D27" s="11"/>
      <c r="E27" s="12"/>
      <c r="F27" s="11"/>
      <c r="G27" s="11"/>
      <c r="H27" s="11"/>
      <c r="I27" s="11"/>
      <c r="J27" s="11"/>
      <c r="K27" s="11"/>
      <c r="L27" s="11"/>
      <c r="M27" s="14"/>
      <c r="N27" s="11"/>
      <c r="O27" s="11"/>
      <c r="P27" s="11"/>
      <c r="Q27" s="14"/>
      <c r="R27" s="11"/>
      <c r="S27" s="14"/>
      <c r="T27" s="14"/>
      <c r="U27" s="14"/>
      <c r="V27" s="11"/>
      <c r="W27" s="15"/>
      <c r="X27" s="52"/>
    </row>
    <row r="28" spans="1:24" ht="21" customHeight="1">
      <c r="A28" s="10"/>
      <c r="B28" s="11"/>
      <c r="C28" s="11"/>
      <c r="D28" s="11"/>
      <c r="E28" s="12"/>
      <c r="F28" s="11"/>
      <c r="G28" s="11"/>
      <c r="H28" s="11"/>
      <c r="I28" s="11"/>
      <c r="J28" s="11"/>
      <c r="K28" s="11"/>
      <c r="L28" s="11"/>
      <c r="M28" s="14"/>
      <c r="N28" s="11"/>
      <c r="O28" s="14"/>
      <c r="P28" s="11"/>
      <c r="Q28" s="14"/>
      <c r="R28" s="11"/>
      <c r="S28" s="14"/>
      <c r="T28" s="14"/>
      <c r="U28" s="14"/>
      <c r="V28" s="11"/>
      <c r="W28" s="15"/>
      <c r="X28" s="52"/>
    </row>
    <row r="29" spans="1:24" ht="21" customHeight="1">
      <c r="A29" s="10"/>
      <c r="B29" s="11"/>
      <c r="C29" s="11"/>
      <c r="D29" s="11"/>
      <c r="E29" s="12"/>
      <c r="F29" s="11"/>
      <c r="G29" s="11"/>
      <c r="H29" s="11"/>
      <c r="I29" s="11"/>
      <c r="J29" s="11"/>
      <c r="K29" s="11"/>
      <c r="L29" s="11"/>
      <c r="M29" s="11"/>
      <c r="N29" s="11"/>
      <c r="O29" s="11"/>
      <c r="P29" s="11"/>
      <c r="Q29" s="14"/>
      <c r="R29" s="11"/>
      <c r="S29" s="14"/>
      <c r="T29" s="11"/>
      <c r="U29" s="14"/>
      <c r="V29" s="11"/>
      <c r="W29" s="15"/>
      <c r="X29" s="52"/>
    </row>
    <row r="30" spans="1:24" ht="21" customHeight="1">
      <c r="A30" s="19" t="s">
        <v>138</v>
      </c>
      <c r="B30" s="6"/>
      <c r="C30" s="6"/>
      <c r="D30" s="6"/>
      <c r="E30" s="20"/>
      <c r="F30" s="6"/>
      <c r="G30" s="6"/>
      <c r="H30" s="6"/>
      <c r="I30" s="6"/>
      <c r="J30" s="6"/>
      <c r="K30" s="6"/>
      <c r="L30" s="6"/>
      <c r="M30" s="6"/>
      <c r="N30" s="6"/>
      <c r="O30" s="6"/>
      <c r="P30" s="6"/>
      <c r="Q30" s="6"/>
      <c r="R30" s="6"/>
      <c r="S30" s="6"/>
      <c r="T30" s="6"/>
      <c r="U30" s="6"/>
      <c r="V30" s="6"/>
      <c r="W30" s="35"/>
      <c r="X30" s="52"/>
    </row>
    <row r="31" spans="1:24" ht="21" customHeight="1">
      <c r="A31" s="10" t="s">
        <v>57</v>
      </c>
      <c r="B31" s="11"/>
      <c r="C31" s="11"/>
      <c r="D31" s="11"/>
      <c r="E31" s="12"/>
      <c r="F31" s="11"/>
      <c r="G31" s="11"/>
      <c r="H31" s="11"/>
      <c r="I31" s="11"/>
      <c r="J31" s="11"/>
      <c r="K31" s="11"/>
      <c r="L31" s="17"/>
      <c r="M31" s="25"/>
      <c r="N31" s="28"/>
      <c r="O31" s="25"/>
      <c r="P31" s="28"/>
      <c r="Q31" s="25"/>
      <c r="R31" s="28"/>
      <c r="S31" s="28"/>
      <c r="T31" s="11"/>
      <c r="U31" s="11"/>
      <c r="V31" s="11"/>
      <c r="W31" s="15"/>
      <c r="X31" s="52" t="s">
        <v>143</v>
      </c>
    </row>
    <row r="32" spans="1:24" ht="21" customHeight="1">
      <c r="A32" s="10" t="s">
        <v>58</v>
      </c>
      <c r="B32" s="11">
        <v>1.3020833333333334E-2</v>
      </c>
      <c r="C32" s="11">
        <v>4.1087962962962962E-3</v>
      </c>
      <c r="D32" s="11">
        <f t="shared" ref="D32:D50" si="8">B32*E32</f>
        <v>7.5755208333333334E-3</v>
      </c>
      <c r="E32" s="12">
        <v>0.58179999999999998</v>
      </c>
      <c r="F32" s="11">
        <f t="shared" ref="F32:F50" si="9">C32/4</f>
        <v>1.027199074074074E-3</v>
      </c>
      <c r="G32" s="11">
        <f t="shared" ref="G32:G50" si="10">D32/7.5</f>
        <v>1.0100694444444445E-3</v>
      </c>
      <c r="H32" s="11">
        <f t="shared" ref="H32:H50" si="11">B32/12.5</f>
        <v>1.0416666666666667E-3</v>
      </c>
      <c r="I32" s="11">
        <f t="shared" ref="I32:I50" si="12">G32/0.93</f>
        <v>1.0860961768219832E-3</v>
      </c>
      <c r="J32" s="11">
        <f t="shared" ref="J32:J50" si="13">G32/0.92</f>
        <v>1.0979015700483092E-3</v>
      </c>
      <c r="K32" s="11">
        <f t="shared" ref="K32:K50" si="14">G32/0.88</f>
        <v>1.1478061868686869E-3</v>
      </c>
      <c r="L32" s="11">
        <f t="shared" ref="L32:L50" si="15">G32/0.84</f>
        <v>1.2024636243386244E-3</v>
      </c>
      <c r="M32" s="25"/>
      <c r="N32" s="28"/>
      <c r="O32" s="25"/>
      <c r="P32" s="28"/>
      <c r="Q32" s="25"/>
      <c r="R32" s="25"/>
      <c r="S32" s="25"/>
      <c r="T32" s="28"/>
      <c r="U32" s="11"/>
      <c r="V32" s="36"/>
      <c r="W32" s="15"/>
      <c r="X32" s="52"/>
    </row>
    <row r="33" spans="1:24" ht="21" customHeight="1">
      <c r="A33" s="10" t="s">
        <v>59</v>
      </c>
      <c r="B33" s="11">
        <v>1.2500000000000001E-2</v>
      </c>
      <c r="C33" s="11">
        <v>3.7037037037037038E-3</v>
      </c>
      <c r="D33" s="11">
        <f t="shared" si="8"/>
        <v>7.2725000000000003E-3</v>
      </c>
      <c r="E33" s="12">
        <v>0.58179999999999998</v>
      </c>
      <c r="F33" s="11">
        <f t="shared" si="9"/>
        <v>9.2592592592592596E-4</v>
      </c>
      <c r="G33" s="11">
        <f t="shared" si="10"/>
        <v>9.6966666666666675E-4</v>
      </c>
      <c r="H33" s="11">
        <f t="shared" si="11"/>
        <v>1E-3</v>
      </c>
      <c r="I33" s="11">
        <f t="shared" si="12"/>
        <v>1.0426523297491039E-3</v>
      </c>
      <c r="J33" s="11">
        <f t="shared" si="13"/>
        <v>1.0539855072463768E-3</v>
      </c>
      <c r="K33" s="11">
        <f t="shared" si="14"/>
        <v>1.1018939393939394E-3</v>
      </c>
      <c r="L33" s="11">
        <f t="shared" si="15"/>
        <v>1.1543650793650795E-3</v>
      </c>
      <c r="M33" s="25"/>
      <c r="N33" s="28"/>
      <c r="O33" s="25"/>
      <c r="P33" s="28"/>
      <c r="Q33" s="25"/>
      <c r="R33" s="25"/>
      <c r="S33" s="25"/>
      <c r="T33" s="28"/>
      <c r="U33" s="11"/>
      <c r="V33" s="36"/>
      <c r="W33" s="15"/>
      <c r="X33" s="52"/>
    </row>
    <row r="34" spans="1:24" ht="21" customHeight="1">
      <c r="A34" s="10" t="s">
        <v>60</v>
      </c>
      <c r="B34" s="11">
        <v>1.2268518518518519E-2</v>
      </c>
      <c r="C34" s="11">
        <v>3.6458333333333334E-3</v>
      </c>
      <c r="D34" s="11">
        <f t="shared" si="8"/>
        <v>7.1378240740740742E-3</v>
      </c>
      <c r="E34" s="12">
        <v>0.58179999999999998</v>
      </c>
      <c r="F34" s="11">
        <f t="shared" si="9"/>
        <v>9.1145833333333335E-4</v>
      </c>
      <c r="G34" s="11">
        <f t="shared" si="10"/>
        <v>9.5170987654320989E-4</v>
      </c>
      <c r="H34" s="11">
        <f t="shared" si="11"/>
        <v>9.8148148148148161E-4</v>
      </c>
      <c r="I34" s="11">
        <f t="shared" si="12"/>
        <v>1.0233439532722685E-3</v>
      </c>
      <c r="J34" s="11">
        <f t="shared" si="13"/>
        <v>1.0344672571121847E-3</v>
      </c>
      <c r="K34" s="11">
        <f t="shared" si="14"/>
        <v>1.0814884960718295E-3</v>
      </c>
      <c r="L34" s="11">
        <f t="shared" si="15"/>
        <v>1.1329879482657262E-3</v>
      </c>
      <c r="M34" s="25"/>
      <c r="N34" s="28"/>
      <c r="O34" s="25"/>
      <c r="P34" s="28"/>
      <c r="Q34" s="25"/>
      <c r="R34" s="25"/>
      <c r="S34" s="25"/>
      <c r="T34" s="28"/>
      <c r="U34" s="11"/>
      <c r="V34" s="36"/>
      <c r="W34" s="15"/>
      <c r="X34" s="52"/>
    </row>
    <row r="35" spans="1:24" ht="21" customHeight="1">
      <c r="A35" s="10" t="s">
        <v>61</v>
      </c>
      <c r="B35" s="11">
        <v>1.4583333333333334E-2</v>
      </c>
      <c r="C35" s="11">
        <v>4.3981481481481484E-3</v>
      </c>
      <c r="D35" s="11">
        <f t="shared" si="8"/>
        <v>8.4845833333333336E-3</v>
      </c>
      <c r="E35" s="12">
        <v>0.58179999999999998</v>
      </c>
      <c r="F35" s="11">
        <f t="shared" si="9"/>
        <v>1.0995370370370371E-3</v>
      </c>
      <c r="G35" s="11">
        <f t="shared" si="10"/>
        <v>1.1312777777777777E-3</v>
      </c>
      <c r="H35" s="11">
        <f t="shared" si="11"/>
        <v>1.1666666666666668E-3</v>
      </c>
      <c r="I35" s="11">
        <f t="shared" si="12"/>
        <v>1.2164277180406211E-3</v>
      </c>
      <c r="J35" s="11">
        <f t="shared" si="13"/>
        <v>1.2296497584541061E-3</v>
      </c>
      <c r="K35" s="11">
        <f t="shared" si="14"/>
        <v>1.2855429292929293E-3</v>
      </c>
      <c r="L35" s="11">
        <f t="shared" si="15"/>
        <v>1.3467592592592591E-3</v>
      </c>
      <c r="M35" s="25"/>
      <c r="N35" s="28"/>
      <c r="O35" s="25"/>
      <c r="P35" s="25"/>
      <c r="Q35" s="25"/>
      <c r="R35" s="25"/>
      <c r="S35" s="28"/>
      <c r="T35" s="28"/>
      <c r="U35" s="28"/>
      <c r="V35" s="28"/>
      <c r="W35" s="15"/>
      <c r="X35" s="52"/>
    </row>
    <row r="36" spans="1:24" ht="21" customHeight="1">
      <c r="A36" s="10" t="s">
        <v>62</v>
      </c>
      <c r="B36" s="11">
        <v>1.238425925925926E-2</v>
      </c>
      <c r="C36" s="11">
        <v>3.6458333333333334E-3</v>
      </c>
      <c r="D36" s="11">
        <f t="shared" si="8"/>
        <v>7.2051620370370368E-3</v>
      </c>
      <c r="E36" s="12">
        <v>0.58179999999999998</v>
      </c>
      <c r="F36" s="11">
        <f t="shared" si="9"/>
        <v>9.1145833333333335E-4</v>
      </c>
      <c r="G36" s="11">
        <f t="shared" si="10"/>
        <v>9.6068827160493821E-4</v>
      </c>
      <c r="H36" s="11">
        <f t="shared" si="11"/>
        <v>9.9074074074074082E-4</v>
      </c>
      <c r="I36" s="11">
        <f t="shared" si="12"/>
        <v>1.0329981415106862E-3</v>
      </c>
      <c r="J36" s="11">
        <f t="shared" si="13"/>
        <v>1.0442263821792807E-3</v>
      </c>
      <c r="K36" s="11">
        <f t="shared" si="14"/>
        <v>1.0916912177328843E-3</v>
      </c>
      <c r="L36" s="11">
        <f t="shared" si="15"/>
        <v>1.1436765138154027E-3</v>
      </c>
      <c r="M36" s="25"/>
      <c r="N36" s="28"/>
      <c r="O36" s="25"/>
      <c r="P36" s="28"/>
      <c r="Q36" s="25"/>
      <c r="R36" s="25"/>
      <c r="S36" s="25"/>
      <c r="T36" s="28"/>
      <c r="U36" s="11"/>
      <c r="V36" s="36"/>
      <c r="W36" s="15"/>
      <c r="X36" s="52"/>
    </row>
    <row r="37" spans="1:24" ht="21" customHeight="1">
      <c r="A37" s="10" t="s">
        <v>63</v>
      </c>
      <c r="B37" s="11">
        <v>1.2615740740740742E-2</v>
      </c>
      <c r="C37" s="11">
        <v>3.7037037037037038E-3</v>
      </c>
      <c r="D37" s="11">
        <f t="shared" si="8"/>
        <v>7.3398379629629629E-3</v>
      </c>
      <c r="E37" s="12">
        <v>0.58179999999999998</v>
      </c>
      <c r="F37" s="11">
        <f t="shared" si="9"/>
        <v>9.2592592592592596E-4</v>
      </c>
      <c r="G37" s="11">
        <f t="shared" si="10"/>
        <v>9.7864506172839496E-4</v>
      </c>
      <c r="H37" s="11">
        <f t="shared" si="11"/>
        <v>1.0092592592592592E-3</v>
      </c>
      <c r="I37" s="11">
        <f t="shared" si="12"/>
        <v>1.0523065179875214E-3</v>
      </c>
      <c r="J37" s="11">
        <f t="shared" si="13"/>
        <v>1.0637446323134728E-3</v>
      </c>
      <c r="K37" s="11">
        <f t="shared" si="14"/>
        <v>1.1120966610549943E-3</v>
      </c>
      <c r="L37" s="11">
        <f t="shared" si="15"/>
        <v>1.165053644914756E-3</v>
      </c>
      <c r="M37" s="25"/>
      <c r="N37" s="28"/>
      <c r="O37" s="25"/>
      <c r="P37" s="28"/>
      <c r="Q37" s="25"/>
      <c r="R37" s="25"/>
      <c r="S37" s="25"/>
      <c r="T37" s="28"/>
      <c r="U37" s="11"/>
      <c r="V37" s="36"/>
      <c r="W37" s="15"/>
      <c r="X37" s="52"/>
    </row>
    <row r="38" spans="1:24" ht="21" customHeight="1">
      <c r="A38" s="10" t="s">
        <v>64</v>
      </c>
      <c r="B38" s="11">
        <v>1.2615740740740742E-2</v>
      </c>
      <c r="C38" s="11">
        <v>3.5879629629629629E-3</v>
      </c>
      <c r="D38" s="11">
        <f t="shared" si="8"/>
        <v>7.3398379629629629E-3</v>
      </c>
      <c r="E38" s="12">
        <v>0.58179999999999998</v>
      </c>
      <c r="F38" s="11">
        <f t="shared" si="9"/>
        <v>8.9699074074074073E-4</v>
      </c>
      <c r="G38" s="11">
        <f t="shared" si="10"/>
        <v>9.7864506172839496E-4</v>
      </c>
      <c r="H38" s="11">
        <f t="shared" si="11"/>
        <v>1.0092592592592592E-3</v>
      </c>
      <c r="I38" s="11">
        <f t="shared" si="12"/>
        <v>1.0523065179875214E-3</v>
      </c>
      <c r="J38" s="11">
        <f t="shared" si="13"/>
        <v>1.0637446323134728E-3</v>
      </c>
      <c r="K38" s="11">
        <f t="shared" si="14"/>
        <v>1.1120966610549943E-3</v>
      </c>
      <c r="L38" s="11">
        <f t="shared" si="15"/>
        <v>1.165053644914756E-3</v>
      </c>
      <c r="M38" s="25"/>
      <c r="N38" s="28"/>
      <c r="O38" s="25"/>
      <c r="P38" s="28"/>
      <c r="Q38" s="25"/>
      <c r="R38" s="25"/>
      <c r="S38" s="25"/>
      <c r="T38" s="28"/>
      <c r="U38" s="11"/>
      <c r="V38" s="36"/>
      <c r="W38" s="15"/>
      <c r="X38" s="52"/>
    </row>
    <row r="39" spans="1:24" ht="21" customHeight="1">
      <c r="A39" s="10" t="s">
        <v>65</v>
      </c>
      <c r="B39" s="11">
        <v>1.2731481481481481E-2</v>
      </c>
      <c r="C39" s="11">
        <v>3.8194444444444443E-3</v>
      </c>
      <c r="D39" s="11">
        <f t="shared" si="8"/>
        <v>7.4071759259259256E-3</v>
      </c>
      <c r="E39" s="12">
        <v>0.58179999999999998</v>
      </c>
      <c r="F39" s="11">
        <f t="shared" si="9"/>
        <v>9.5486111111111108E-4</v>
      </c>
      <c r="G39" s="11">
        <f t="shared" si="10"/>
        <v>9.8762345679012349E-4</v>
      </c>
      <c r="H39" s="11">
        <f t="shared" si="11"/>
        <v>1.0185185185185184E-3</v>
      </c>
      <c r="I39" s="11">
        <f t="shared" si="12"/>
        <v>1.0619607062259391E-3</v>
      </c>
      <c r="J39" s="11">
        <f t="shared" si="13"/>
        <v>1.073503757380569E-3</v>
      </c>
      <c r="K39" s="11">
        <f t="shared" si="14"/>
        <v>1.1222993827160494E-3</v>
      </c>
      <c r="L39" s="11">
        <f t="shared" si="15"/>
        <v>1.1757422104644328E-3</v>
      </c>
      <c r="M39" s="25"/>
      <c r="N39" s="28"/>
      <c r="O39" s="25"/>
      <c r="P39" s="28"/>
      <c r="Q39" s="25"/>
      <c r="R39" s="25"/>
      <c r="S39" s="25"/>
      <c r="T39" s="28"/>
      <c r="U39" s="11"/>
      <c r="V39" s="36"/>
      <c r="W39" s="15"/>
      <c r="X39" s="52"/>
    </row>
    <row r="40" spans="1:24" ht="21" customHeight="1">
      <c r="A40" s="10" t="s">
        <v>66</v>
      </c>
      <c r="B40" s="11">
        <v>1.2731481481481481E-2</v>
      </c>
      <c r="C40" s="11">
        <v>3.6458333333333334E-3</v>
      </c>
      <c r="D40" s="11">
        <f t="shared" si="8"/>
        <v>7.4071759259259256E-3</v>
      </c>
      <c r="E40" s="12">
        <v>0.58179999999999998</v>
      </c>
      <c r="F40" s="11">
        <f t="shared" si="9"/>
        <v>9.1145833333333335E-4</v>
      </c>
      <c r="G40" s="11">
        <f t="shared" si="10"/>
        <v>9.8762345679012349E-4</v>
      </c>
      <c r="H40" s="11">
        <f t="shared" si="11"/>
        <v>1.0185185185185184E-3</v>
      </c>
      <c r="I40" s="11">
        <f t="shared" si="12"/>
        <v>1.0619607062259391E-3</v>
      </c>
      <c r="J40" s="11">
        <f t="shared" si="13"/>
        <v>1.073503757380569E-3</v>
      </c>
      <c r="K40" s="11">
        <f t="shared" si="14"/>
        <v>1.1222993827160494E-3</v>
      </c>
      <c r="L40" s="17">
        <f t="shared" si="15"/>
        <v>1.1757422104644328E-3</v>
      </c>
      <c r="M40" s="25"/>
      <c r="N40" s="28"/>
      <c r="O40" s="25"/>
      <c r="P40" s="28"/>
      <c r="Q40" s="25"/>
      <c r="R40" s="25"/>
      <c r="S40" s="25"/>
      <c r="T40" s="28"/>
      <c r="U40" s="11"/>
      <c r="V40" s="36"/>
      <c r="W40" s="15"/>
      <c r="X40" s="52"/>
    </row>
    <row r="41" spans="1:24" ht="21" customHeight="1">
      <c r="A41" s="10" t="s">
        <v>67</v>
      </c>
      <c r="B41" s="11">
        <v>1.3020833333333334E-2</v>
      </c>
      <c r="C41" s="11">
        <v>3.8194444444444443E-3</v>
      </c>
      <c r="D41" s="11">
        <f t="shared" si="8"/>
        <v>7.5755208333333334E-3</v>
      </c>
      <c r="E41" s="12">
        <v>0.58179999999999998</v>
      </c>
      <c r="F41" s="11">
        <f t="shared" si="9"/>
        <v>9.5486111111111108E-4</v>
      </c>
      <c r="G41" s="11">
        <f t="shared" si="10"/>
        <v>1.0100694444444445E-3</v>
      </c>
      <c r="H41" s="11">
        <f t="shared" si="11"/>
        <v>1.0416666666666667E-3</v>
      </c>
      <c r="I41" s="11">
        <f t="shared" si="12"/>
        <v>1.0860961768219832E-3</v>
      </c>
      <c r="J41" s="11">
        <f t="shared" si="13"/>
        <v>1.0979015700483092E-3</v>
      </c>
      <c r="K41" s="11">
        <f t="shared" si="14"/>
        <v>1.1478061868686869E-3</v>
      </c>
      <c r="L41" s="11">
        <f t="shared" si="15"/>
        <v>1.2024636243386244E-3</v>
      </c>
      <c r="M41" s="25"/>
      <c r="N41" s="28"/>
      <c r="O41" s="25"/>
      <c r="P41" s="28"/>
      <c r="Q41" s="25"/>
      <c r="R41" s="25"/>
      <c r="S41" s="25"/>
      <c r="T41" s="28"/>
      <c r="U41" s="11"/>
      <c r="V41" s="36"/>
      <c r="W41" s="15"/>
      <c r="X41" s="52"/>
    </row>
    <row r="42" spans="1:24" ht="21" customHeight="1">
      <c r="A42" s="10" t="s">
        <v>68</v>
      </c>
      <c r="B42" s="11">
        <v>1.3020833333333334E-2</v>
      </c>
      <c r="C42" s="11">
        <v>3.9351851851851848E-3</v>
      </c>
      <c r="D42" s="11">
        <f t="shared" si="8"/>
        <v>7.5755208333333334E-3</v>
      </c>
      <c r="E42" s="12">
        <v>0.58179999999999998</v>
      </c>
      <c r="F42" s="11">
        <f t="shared" si="9"/>
        <v>9.837962962962962E-4</v>
      </c>
      <c r="G42" s="11">
        <f t="shared" si="10"/>
        <v>1.0100694444444445E-3</v>
      </c>
      <c r="H42" s="11">
        <f t="shared" si="11"/>
        <v>1.0416666666666667E-3</v>
      </c>
      <c r="I42" s="11">
        <f t="shared" si="12"/>
        <v>1.0860961768219832E-3</v>
      </c>
      <c r="J42" s="11">
        <f t="shared" si="13"/>
        <v>1.0979015700483092E-3</v>
      </c>
      <c r="K42" s="11">
        <f t="shared" si="14"/>
        <v>1.1478061868686869E-3</v>
      </c>
      <c r="L42" s="11">
        <f t="shared" si="15"/>
        <v>1.2024636243386244E-3</v>
      </c>
      <c r="M42" s="25"/>
      <c r="N42" s="28"/>
      <c r="O42" s="25"/>
      <c r="P42" s="28"/>
      <c r="Q42" s="25"/>
      <c r="R42" s="25"/>
      <c r="S42" s="25"/>
      <c r="T42" s="28"/>
      <c r="U42" s="11"/>
      <c r="V42" s="36"/>
      <c r="W42" s="15"/>
      <c r="X42" s="52"/>
    </row>
    <row r="43" spans="1:24" ht="21" customHeight="1">
      <c r="A43" s="10" t="s">
        <v>69</v>
      </c>
      <c r="B43" s="11">
        <v>1.3541666666666667E-2</v>
      </c>
      <c r="C43" s="11">
        <v>4.0509259259259257E-3</v>
      </c>
      <c r="D43" s="11">
        <f t="shared" si="8"/>
        <v>7.8785416666666674E-3</v>
      </c>
      <c r="E43" s="12">
        <v>0.58179999999999998</v>
      </c>
      <c r="F43" s="11">
        <f t="shared" si="9"/>
        <v>1.0127314814814814E-3</v>
      </c>
      <c r="G43" s="11">
        <f t="shared" si="10"/>
        <v>1.0504722222222224E-3</v>
      </c>
      <c r="H43" s="11">
        <f t="shared" si="11"/>
        <v>1.0833333333333333E-3</v>
      </c>
      <c r="I43" s="11">
        <f t="shared" si="12"/>
        <v>1.1295400238948627E-3</v>
      </c>
      <c r="J43" s="11">
        <f t="shared" si="13"/>
        <v>1.1418176328502417E-3</v>
      </c>
      <c r="K43" s="11">
        <f t="shared" si="14"/>
        <v>1.1937184343434346E-3</v>
      </c>
      <c r="L43" s="11">
        <f t="shared" si="15"/>
        <v>1.2505621693121695E-3</v>
      </c>
      <c r="M43" s="25"/>
      <c r="N43" s="28"/>
      <c r="O43" s="25"/>
      <c r="P43" s="28"/>
      <c r="Q43" s="25"/>
      <c r="R43" s="25"/>
      <c r="S43" s="25"/>
      <c r="T43" s="28"/>
      <c r="U43" s="11"/>
      <c r="V43" s="36"/>
      <c r="W43" s="15"/>
      <c r="X43" s="52"/>
    </row>
    <row r="44" spans="1:24" ht="21" customHeight="1">
      <c r="A44" s="10" t="s">
        <v>70</v>
      </c>
      <c r="B44" s="11">
        <v>1.3541666666666667E-2</v>
      </c>
      <c r="C44" s="11">
        <v>4.0509259259259257E-3</v>
      </c>
      <c r="D44" s="11">
        <f t="shared" si="8"/>
        <v>7.8785416666666674E-3</v>
      </c>
      <c r="E44" s="12">
        <v>0.58179999999999998</v>
      </c>
      <c r="F44" s="11">
        <f t="shared" si="9"/>
        <v>1.0127314814814814E-3</v>
      </c>
      <c r="G44" s="11">
        <f t="shared" si="10"/>
        <v>1.0504722222222224E-3</v>
      </c>
      <c r="H44" s="11">
        <f t="shared" si="11"/>
        <v>1.0833333333333333E-3</v>
      </c>
      <c r="I44" s="11">
        <f t="shared" si="12"/>
        <v>1.1295400238948627E-3</v>
      </c>
      <c r="J44" s="11">
        <f t="shared" si="13"/>
        <v>1.1418176328502417E-3</v>
      </c>
      <c r="K44" s="11">
        <f t="shared" si="14"/>
        <v>1.1937184343434346E-3</v>
      </c>
      <c r="L44" s="11">
        <f t="shared" si="15"/>
        <v>1.2505621693121695E-3</v>
      </c>
      <c r="M44" s="25"/>
      <c r="N44" s="28"/>
      <c r="O44" s="25"/>
      <c r="P44" s="28"/>
      <c r="Q44" s="25"/>
      <c r="R44" s="25"/>
      <c r="S44" s="25"/>
      <c r="T44" s="28"/>
      <c r="U44" s="11"/>
      <c r="V44" s="36"/>
      <c r="W44" s="15"/>
      <c r="X44" s="52"/>
    </row>
    <row r="45" spans="1:24" ht="21" customHeight="1">
      <c r="A45" s="10" t="s">
        <v>71</v>
      </c>
      <c r="B45" s="11">
        <v>1.3541666666666667E-2</v>
      </c>
      <c r="C45" s="11">
        <v>4.0509259259259257E-3</v>
      </c>
      <c r="D45" s="11">
        <f t="shared" si="8"/>
        <v>7.8785416666666674E-3</v>
      </c>
      <c r="E45" s="12">
        <v>0.58179999999999998</v>
      </c>
      <c r="F45" s="11">
        <f t="shared" si="9"/>
        <v>1.0127314814814814E-3</v>
      </c>
      <c r="G45" s="11">
        <f t="shared" si="10"/>
        <v>1.0504722222222224E-3</v>
      </c>
      <c r="H45" s="11">
        <f t="shared" si="11"/>
        <v>1.0833333333333333E-3</v>
      </c>
      <c r="I45" s="11">
        <f t="shared" si="12"/>
        <v>1.1295400238948627E-3</v>
      </c>
      <c r="J45" s="11">
        <f t="shared" si="13"/>
        <v>1.1418176328502417E-3</v>
      </c>
      <c r="K45" s="11">
        <f t="shared" si="14"/>
        <v>1.1937184343434346E-3</v>
      </c>
      <c r="L45" s="11">
        <f t="shared" si="15"/>
        <v>1.2505621693121695E-3</v>
      </c>
      <c r="M45" s="25"/>
      <c r="N45" s="28"/>
      <c r="O45" s="25"/>
      <c r="P45" s="28"/>
      <c r="Q45" s="25"/>
      <c r="R45" s="25"/>
      <c r="S45" s="25"/>
      <c r="T45" s="28"/>
      <c r="U45" s="11"/>
      <c r="V45" s="36"/>
      <c r="W45" s="15"/>
      <c r="X45" s="52"/>
    </row>
    <row r="46" spans="1:24" ht="21" customHeight="1">
      <c r="A46" s="10" t="s">
        <v>72</v>
      </c>
      <c r="B46" s="11">
        <v>1.3541666666666667E-2</v>
      </c>
      <c r="C46" s="11">
        <v>4.0509259259259257E-3</v>
      </c>
      <c r="D46" s="11">
        <f t="shared" si="8"/>
        <v>7.8785416666666674E-3</v>
      </c>
      <c r="E46" s="12">
        <v>0.58179999999999998</v>
      </c>
      <c r="F46" s="11">
        <f t="shared" si="9"/>
        <v>1.0127314814814814E-3</v>
      </c>
      <c r="G46" s="11">
        <f t="shared" si="10"/>
        <v>1.0504722222222224E-3</v>
      </c>
      <c r="H46" s="11">
        <f t="shared" si="11"/>
        <v>1.0833333333333333E-3</v>
      </c>
      <c r="I46" s="11">
        <f t="shared" si="12"/>
        <v>1.1295400238948627E-3</v>
      </c>
      <c r="J46" s="11">
        <f t="shared" si="13"/>
        <v>1.1418176328502417E-3</v>
      </c>
      <c r="K46" s="11">
        <f t="shared" si="14"/>
        <v>1.1937184343434346E-3</v>
      </c>
      <c r="L46" s="11">
        <f t="shared" si="15"/>
        <v>1.2505621693121695E-3</v>
      </c>
      <c r="M46" s="25"/>
      <c r="N46" s="28"/>
      <c r="O46" s="25"/>
      <c r="P46" s="28"/>
      <c r="Q46" s="25"/>
      <c r="R46" s="25"/>
      <c r="S46" s="25"/>
      <c r="T46" s="28"/>
      <c r="U46" s="11"/>
      <c r="V46" s="36"/>
      <c r="W46" s="15"/>
      <c r="X46" s="52"/>
    </row>
    <row r="47" spans="1:24" ht="21" customHeight="1">
      <c r="A47" s="10" t="s">
        <v>73</v>
      </c>
      <c r="B47" s="11">
        <v>1.3888888888888888E-2</v>
      </c>
      <c r="C47" s="11">
        <v>4.3981481481481484E-3</v>
      </c>
      <c r="D47" s="11">
        <f t="shared" si="8"/>
        <v>8.0805555555555544E-3</v>
      </c>
      <c r="E47" s="12">
        <v>0.58179999999999998</v>
      </c>
      <c r="F47" s="11">
        <f t="shared" si="9"/>
        <v>1.0995370370370371E-3</v>
      </c>
      <c r="G47" s="11">
        <f t="shared" si="10"/>
        <v>1.0774074074074074E-3</v>
      </c>
      <c r="H47" s="11">
        <f t="shared" si="11"/>
        <v>1.1111111111111111E-3</v>
      </c>
      <c r="I47" s="11">
        <f t="shared" si="12"/>
        <v>1.1585025886101153E-3</v>
      </c>
      <c r="J47" s="11">
        <f t="shared" si="13"/>
        <v>1.1710950080515297E-3</v>
      </c>
      <c r="K47" s="11">
        <f t="shared" si="14"/>
        <v>1.2243265993265992E-3</v>
      </c>
      <c r="L47" s="11">
        <f t="shared" si="15"/>
        <v>1.2826278659611992E-3</v>
      </c>
      <c r="M47" s="25"/>
      <c r="N47" s="28"/>
      <c r="O47" s="25"/>
      <c r="P47" s="28"/>
      <c r="Q47" s="25"/>
      <c r="R47" s="25"/>
      <c r="S47" s="25"/>
      <c r="T47" s="28"/>
      <c r="U47" s="11"/>
      <c r="V47" s="36"/>
      <c r="W47" s="15"/>
      <c r="X47" s="52"/>
    </row>
    <row r="48" spans="1:24" ht="21" customHeight="1">
      <c r="A48" s="10" t="s">
        <v>74</v>
      </c>
      <c r="B48" s="11">
        <v>1.3020833333333334E-2</v>
      </c>
      <c r="C48" s="11">
        <v>3.7037037037037038E-3</v>
      </c>
      <c r="D48" s="11">
        <f t="shared" si="8"/>
        <v>7.5755208333333334E-3</v>
      </c>
      <c r="E48" s="12">
        <v>0.58179999999999998</v>
      </c>
      <c r="F48" s="11">
        <f t="shared" si="9"/>
        <v>9.2592592592592596E-4</v>
      </c>
      <c r="G48" s="11">
        <f t="shared" si="10"/>
        <v>1.0100694444444445E-3</v>
      </c>
      <c r="H48" s="11">
        <f t="shared" si="11"/>
        <v>1.0416666666666667E-3</v>
      </c>
      <c r="I48" s="11">
        <f t="shared" si="12"/>
        <v>1.0860961768219832E-3</v>
      </c>
      <c r="J48" s="11">
        <f t="shared" si="13"/>
        <v>1.0979015700483092E-3</v>
      </c>
      <c r="K48" s="11">
        <f t="shared" si="14"/>
        <v>1.1478061868686869E-3</v>
      </c>
      <c r="L48" s="11">
        <f t="shared" si="15"/>
        <v>1.2024636243386244E-3</v>
      </c>
      <c r="M48" s="25"/>
      <c r="N48" s="28"/>
      <c r="O48" s="25"/>
      <c r="P48" s="28"/>
      <c r="Q48" s="25"/>
      <c r="R48" s="25"/>
      <c r="S48" s="25"/>
      <c r="T48" s="28"/>
      <c r="U48" s="11"/>
      <c r="V48" s="36"/>
      <c r="W48" s="15"/>
      <c r="X48" s="52"/>
    </row>
    <row r="49" spans="1:24" ht="21" customHeight="1">
      <c r="A49" s="10" t="s">
        <v>75</v>
      </c>
      <c r="B49" s="11">
        <v>1.3541666666666667E-2</v>
      </c>
      <c r="C49" s="11">
        <v>3.8194444444444443E-3</v>
      </c>
      <c r="D49" s="11">
        <f t="shared" si="8"/>
        <v>7.8785416666666674E-3</v>
      </c>
      <c r="E49" s="12">
        <v>0.58179999999999998</v>
      </c>
      <c r="F49" s="11">
        <f t="shared" si="9"/>
        <v>9.5486111111111108E-4</v>
      </c>
      <c r="G49" s="11">
        <f t="shared" si="10"/>
        <v>1.0504722222222224E-3</v>
      </c>
      <c r="H49" s="11">
        <f t="shared" si="11"/>
        <v>1.0833333333333333E-3</v>
      </c>
      <c r="I49" s="11">
        <f t="shared" si="12"/>
        <v>1.1295400238948627E-3</v>
      </c>
      <c r="J49" s="11">
        <f t="shared" si="13"/>
        <v>1.1418176328502417E-3</v>
      </c>
      <c r="K49" s="11">
        <f t="shared" si="14"/>
        <v>1.1937184343434346E-3</v>
      </c>
      <c r="L49" s="11">
        <f t="shared" si="15"/>
        <v>1.2505621693121695E-3</v>
      </c>
      <c r="M49" s="25"/>
      <c r="N49" s="28"/>
      <c r="O49" s="25"/>
      <c r="P49" s="28"/>
      <c r="Q49" s="25"/>
      <c r="R49" s="25"/>
      <c r="S49" s="25"/>
      <c r="T49" s="28"/>
      <c r="U49" s="11"/>
      <c r="V49" s="36"/>
      <c r="W49" s="15"/>
      <c r="X49" s="52"/>
    </row>
    <row r="50" spans="1:24" ht="21" customHeight="1">
      <c r="A50" s="10" t="s">
        <v>76</v>
      </c>
      <c r="B50" s="11">
        <v>1.3541666666666667E-2</v>
      </c>
      <c r="C50" s="11">
        <v>4.0509259259259257E-3</v>
      </c>
      <c r="D50" s="11">
        <f t="shared" si="8"/>
        <v>7.8785416666666674E-3</v>
      </c>
      <c r="E50" s="12">
        <v>0.58179999999999998</v>
      </c>
      <c r="F50" s="11">
        <f t="shared" si="9"/>
        <v>1.0127314814814814E-3</v>
      </c>
      <c r="G50" s="11">
        <f t="shared" si="10"/>
        <v>1.0504722222222224E-3</v>
      </c>
      <c r="H50" s="11">
        <f t="shared" si="11"/>
        <v>1.0833333333333333E-3</v>
      </c>
      <c r="I50" s="11">
        <f t="shared" si="12"/>
        <v>1.1295400238948627E-3</v>
      </c>
      <c r="J50" s="11">
        <f t="shared" si="13"/>
        <v>1.1418176328502417E-3</v>
      </c>
      <c r="K50" s="11">
        <f t="shared" si="14"/>
        <v>1.1937184343434346E-3</v>
      </c>
      <c r="L50" s="11">
        <f t="shared" si="15"/>
        <v>1.2505621693121695E-3</v>
      </c>
      <c r="M50" s="25"/>
      <c r="N50" s="28"/>
      <c r="O50" s="25"/>
      <c r="P50" s="28"/>
      <c r="Q50" s="25"/>
      <c r="R50" s="25"/>
      <c r="S50" s="25"/>
      <c r="T50" s="28"/>
      <c r="U50" s="11"/>
      <c r="V50" s="36"/>
      <c r="W50" s="15"/>
      <c r="X50" s="52"/>
    </row>
    <row r="51" spans="1:24" ht="21" customHeight="1">
      <c r="A51" s="10"/>
      <c r="B51" s="11"/>
      <c r="C51" s="11"/>
      <c r="D51" s="11"/>
      <c r="E51" s="12"/>
      <c r="F51" s="11"/>
      <c r="G51" s="11"/>
      <c r="H51" s="11"/>
      <c r="I51" s="11"/>
      <c r="J51" s="11"/>
      <c r="K51" s="11"/>
      <c r="L51" s="11"/>
      <c r="M51" s="45"/>
      <c r="N51" s="11"/>
      <c r="O51" s="11"/>
      <c r="P51" s="11"/>
      <c r="Q51" s="14"/>
      <c r="R51" s="11"/>
      <c r="S51" s="14"/>
      <c r="T51" s="11"/>
      <c r="U51" s="14"/>
      <c r="V51" s="17"/>
      <c r="W51" s="18"/>
      <c r="X51" s="52"/>
    </row>
    <row r="52" spans="1:24" ht="21" customHeight="1">
      <c r="A52" s="39"/>
      <c r="B52" s="40"/>
      <c r="C52" s="40"/>
      <c r="D52" s="40"/>
      <c r="E52" s="41"/>
      <c r="F52" s="40"/>
      <c r="G52" s="40"/>
      <c r="H52" s="40"/>
      <c r="I52" s="40"/>
      <c r="J52" s="40"/>
      <c r="K52" s="40"/>
      <c r="L52" s="40"/>
      <c r="M52" s="40"/>
      <c r="N52" s="40"/>
      <c r="O52" s="40"/>
      <c r="P52" s="40"/>
      <c r="Q52" s="40"/>
      <c r="R52" s="40"/>
      <c r="S52" s="40"/>
      <c r="T52" s="40"/>
      <c r="U52" s="40"/>
      <c r="V52" s="40"/>
      <c r="W52" s="42"/>
      <c r="X52" s="52"/>
    </row>
    <row r="53" spans="1:24" ht="21" customHeight="1">
      <c r="A53" s="39"/>
      <c r="B53" s="40"/>
      <c r="C53" s="40"/>
      <c r="D53" s="40"/>
      <c r="E53" s="41"/>
      <c r="F53" s="40"/>
      <c r="G53" s="40"/>
      <c r="H53" s="40"/>
      <c r="I53" s="40"/>
      <c r="J53" s="40"/>
      <c r="K53" s="40"/>
      <c r="L53" s="40"/>
      <c r="M53" s="40"/>
      <c r="N53" s="40"/>
      <c r="O53" s="40"/>
      <c r="P53" s="40"/>
      <c r="Q53" s="40"/>
      <c r="R53" s="40"/>
      <c r="S53" s="40"/>
      <c r="T53" s="40"/>
      <c r="U53" s="40"/>
      <c r="V53" s="40"/>
      <c r="W53" s="42"/>
      <c r="X53" s="52"/>
    </row>
    <row r="54" spans="1:24" ht="21" customHeight="1">
      <c r="A54" s="10"/>
      <c r="B54" s="11"/>
      <c r="C54" s="11"/>
      <c r="D54" s="11"/>
      <c r="E54" s="12"/>
      <c r="F54" s="11"/>
      <c r="G54" s="11"/>
      <c r="H54" s="11"/>
      <c r="I54" s="11"/>
      <c r="J54" s="11"/>
      <c r="K54" s="11"/>
      <c r="L54" s="11"/>
      <c r="M54" s="13"/>
      <c r="N54" s="11"/>
      <c r="O54" s="14"/>
      <c r="P54" s="11"/>
      <c r="Q54" s="14"/>
      <c r="R54" s="11"/>
      <c r="S54" s="14"/>
      <c r="T54" s="14"/>
      <c r="U54" s="14"/>
      <c r="V54" s="11"/>
      <c r="W54" s="18"/>
      <c r="X54" s="52"/>
    </row>
    <row r="55" spans="1:24" ht="21" customHeight="1">
      <c r="A55" s="10"/>
      <c r="B55" s="11"/>
      <c r="C55" s="11"/>
      <c r="D55" s="11"/>
      <c r="E55" s="12"/>
      <c r="F55" s="11"/>
      <c r="G55" s="11"/>
      <c r="H55" s="11"/>
      <c r="I55" s="11"/>
      <c r="J55" s="11"/>
      <c r="K55" s="11"/>
      <c r="L55" s="11"/>
      <c r="M55" s="14"/>
      <c r="N55" s="11"/>
      <c r="O55" s="11"/>
      <c r="P55" s="11"/>
      <c r="Q55" s="14"/>
      <c r="R55" s="11"/>
      <c r="S55" s="14"/>
      <c r="T55" s="14"/>
      <c r="U55" s="14"/>
      <c r="V55" s="11"/>
      <c r="W55" s="15"/>
      <c r="X55" s="52"/>
    </row>
    <row r="56" spans="1:24" ht="21" customHeight="1">
      <c r="A56" s="10"/>
      <c r="B56" s="11"/>
      <c r="C56" s="11"/>
      <c r="D56" s="11"/>
      <c r="E56" s="12"/>
      <c r="F56" s="11"/>
      <c r="G56" s="11"/>
      <c r="H56" s="11"/>
      <c r="I56" s="11"/>
      <c r="J56" s="11"/>
      <c r="K56" s="11"/>
      <c r="L56" s="11"/>
      <c r="M56" s="13"/>
      <c r="N56" s="11"/>
      <c r="O56" s="11"/>
      <c r="P56" s="11"/>
      <c r="Q56" s="14"/>
      <c r="R56" s="11"/>
      <c r="S56" s="14"/>
      <c r="T56" s="14"/>
      <c r="U56" s="14"/>
      <c r="V56" s="17"/>
      <c r="W56" s="18"/>
      <c r="X56" s="52"/>
    </row>
    <row r="57" spans="1:24" ht="21" customHeight="1" thickBot="1">
      <c r="A57" s="10"/>
      <c r="B57" s="11"/>
      <c r="C57" s="11"/>
      <c r="D57" s="11"/>
      <c r="E57" s="12"/>
      <c r="F57" s="11"/>
      <c r="G57" s="11"/>
      <c r="H57" s="11"/>
      <c r="I57" s="11"/>
      <c r="J57" s="11"/>
      <c r="K57" s="11"/>
      <c r="L57" s="11"/>
      <c r="M57" s="13"/>
      <c r="N57" s="11"/>
      <c r="O57" s="11"/>
      <c r="P57" s="11"/>
      <c r="Q57" s="14"/>
      <c r="R57" s="11"/>
      <c r="S57" s="14"/>
      <c r="T57" s="14"/>
      <c r="U57" s="14"/>
      <c r="V57" s="17"/>
      <c r="W57" s="18"/>
      <c r="X57" s="52"/>
    </row>
    <row r="58" spans="1:24" ht="20.45" customHeight="1">
      <c r="A58" s="1" t="s">
        <v>144</v>
      </c>
      <c r="B58" s="2" t="s">
        <v>1</v>
      </c>
      <c r="C58" s="2" t="s">
        <v>2</v>
      </c>
      <c r="D58" s="2" t="s">
        <v>3</v>
      </c>
      <c r="E58" s="3" t="s">
        <v>4</v>
      </c>
      <c r="F58" s="2" t="s">
        <v>5</v>
      </c>
      <c r="G58" s="2" t="s">
        <v>6</v>
      </c>
      <c r="H58" s="2" t="s">
        <v>7</v>
      </c>
      <c r="I58" s="4" t="s">
        <v>8</v>
      </c>
      <c r="J58" s="2" t="s">
        <v>9</v>
      </c>
      <c r="K58" s="2" t="s">
        <v>10</v>
      </c>
      <c r="L58" s="2" t="s">
        <v>11</v>
      </c>
      <c r="M58" s="6" t="s">
        <v>12</v>
      </c>
      <c r="N58" s="6" t="s">
        <v>145</v>
      </c>
      <c r="O58" s="7" t="s">
        <v>146</v>
      </c>
      <c r="P58" s="8" t="s">
        <v>19</v>
      </c>
      <c r="Q58" s="8" t="s">
        <v>147</v>
      </c>
      <c r="R58" s="7" t="s">
        <v>148</v>
      </c>
      <c r="S58" s="7" t="s">
        <v>149</v>
      </c>
      <c r="T58" s="7" t="s">
        <v>150</v>
      </c>
      <c r="U58" s="7" t="s">
        <v>77</v>
      </c>
      <c r="V58" s="8" t="s">
        <v>21</v>
      </c>
      <c r="W58" s="24" t="s">
        <v>22</v>
      </c>
      <c r="X58" s="52" t="s">
        <v>151</v>
      </c>
    </row>
    <row r="59" spans="1:24" ht="20.45" customHeight="1">
      <c r="A59" s="10" t="s">
        <v>79</v>
      </c>
      <c r="B59" s="11">
        <v>9.8379629629629633E-3</v>
      </c>
      <c r="C59" s="11">
        <v>2.9745370370370373E-3</v>
      </c>
      <c r="D59" s="11">
        <f t="shared" ref="D59:D70" si="16">B59*E59</f>
        <v>5.7237268518518522E-3</v>
      </c>
      <c r="E59" s="12">
        <v>0.58179999999999998</v>
      </c>
      <c r="F59" s="11">
        <f t="shared" ref="F59:F70" si="17">C59/4</f>
        <v>7.4363425925925931E-4</v>
      </c>
      <c r="G59" s="11">
        <f t="shared" ref="G59:G70" si="18">D59/7.5</f>
        <v>7.6316358024691364E-4</v>
      </c>
      <c r="H59" s="11">
        <f t="shared" ref="H59:H70" si="19">B59/12.5</f>
        <v>7.8703703703703705E-4</v>
      </c>
      <c r="I59" s="11">
        <f t="shared" ref="I59:I70" si="20">G59/0.93</f>
        <v>8.2060600026549854E-4</v>
      </c>
      <c r="J59" s="11">
        <f t="shared" ref="J59:J70" si="21">G59/0.92</f>
        <v>8.29525630703167E-4</v>
      </c>
      <c r="K59" s="11">
        <f t="shared" ref="K59:K70" si="22">G59/0.88</f>
        <v>8.6723134118967459E-4</v>
      </c>
      <c r="L59" s="11">
        <f t="shared" ref="L59:L70" si="23">G59/0.84</f>
        <v>9.085280717225163E-4</v>
      </c>
      <c r="M59" s="25">
        <f>WO2025Jan7men1191517192325293133353941434547495557596365676971737577791317192123272933353943454749[[#This Row],[Thresh]]</f>
        <v>8.6723134118967459E-4</v>
      </c>
      <c r="N59" s="28">
        <f>WO2025Jan7men1191517192325293133353941434547495557596365676971737577791317192123272933353943454749[[#This Row],[Thresh]]*1.5</f>
        <v>1.3008470117845119E-3</v>
      </c>
      <c r="O59" s="25">
        <f>WO2025Jan7men1191517192325293133353941434547495557596365676971737577791317192123272933353943454749[[#This Row],[CV]]</f>
        <v>8.29525630703167E-4</v>
      </c>
      <c r="P59" s="28" t="s">
        <v>25</v>
      </c>
      <c r="Q59" s="25"/>
      <c r="R59" s="25"/>
      <c r="S59" s="25"/>
      <c r="T59" s="25"/>
      <c r="U59" s="28"/>
      <c r="V59" s="25"/>
      <c r="W59" s="15" t="s">
        <v>26</v>
      </c>
      <c r="X59" s="52"/>
    </row>
    <row r="60" spans="1:24" ht="20.45" customHeight="1">
      <c r="A60" s="10" t="s">
        <v>80</v>
      </c>
      <c r="B60" s="11">
        <v>9.8379629629629633E-3</v>
      </c>
      <c r="C60" s="11">
        <v>2.8587962962962963E-3</v>
      </c>
      <c r="D60" s="11">
        <f t="shared" si="16"/>
        <v>5.7237268518518522E-3</v>
      </c>
      <c r="E60" s="12">
        <v>0.58179999999999998</v>
      </c>
      <c r="F60" s="11">
        <f t="shared" si="17"/>
        <v>7.1469907407407409E-4</v>
      </c>
      <c r="G60" s="11">
        <f t="shared" si="18"/>
        <v>7.6316358024691364E-4</v>
      </c>
      <c r="H60" s="11">
        <f t="shared" si="19"/>
        <v>7.8703703703703705E-4</v>
      </c>
      <c r="I60" s="11">
        <f t="shared" si="20"/>
        <v>8.2060600026549854E-4</v>
      </c>
      <c r="J60" s="11">
        <f t="shared" si="21"/>
        <v>8.29525630703167E-4</v>
      </c>
      <c r="K60" s="11">
        <f t="shared" si="22"/>
        <v>8.6723134118967459E-4</v>
      </c>
      <c r="L60" s="11">
        <f t="shared" si="23"/>
        <v>9.085280717225163E-4</v>
      </c>
      <c r="M60" s="25">
        <f>WO2025Jan7men1191517192325293133353941434547495557596365676971737577791317192123272933353943454749[[#This Row],[Thresh]]</f>
        <v>8.6723134118967459E-4</v>
      </c>
      <c r="N60" s="28">
        <f>WO2025Jan7men1191517192325293133353941434547495557596365676971737577791317192123272933353943454749[[#This Row],[Thresh]]*1.5</f>
        <v>1.3008470117845119E-3</v>
      </c>
      <c r="O60" s="25">
        <f>WO2025Jan7men1191517192325293133353941434547495557596365676971737577791317192123272933353943454749[[#This Row],[CV]]</f>
        <v>8.29525630703167E-4</v>
      </c>
      <c r="P60" s="28" t="s">
        <v>25</v>
      </c>
      <c r="Q60" s="25"/>
      <c r="R60" s="25"/>
      <c r="S60" s="25"/>
      <c r="T60" s="25"/>
      <c r="U60" s="28"/>
      <c r="V60" s="25"/>
      <c r="W60" s="15" t="s">
        <v>26</v>
      </c>
      <c r="X60" s="52"/>
    </row>
    <row r="61" spans="1:24" ht="20.45" customHeight="1">
      <c r="A61" s="10" t="s">
        <v>81</v>
      </c>
      <c r="B61" s="11">
        <v>9.9537037037037042E-3</v>
      </c>
      <c r="C61" s="11">
        <v>2.9745370370370373E-3</v>
      </c>
      <c r="D61" s="11">
        <f t="shared" si="16"/>
        <v>5.7910648148148149E-3</v>
      </c>
      <c r="E61" s="12">
        <v>0.58179999999999998</v>
      </c>
      <c r="F61" s="11">
        <f t="shared" si="17"/>
        <v>7.4363425925925931E-4</v>
      </c>
      <c r="G61" s="11">
        <f t="shared" si="18"/>
        <v>7.7214197530864196E-4</v>
      </c>
      <c r="H61" s="11">
        <f t="shared" si="19"/>
        <v>7.9629629629629636E-4</v>
      </c>
      <c r="I61" s="11">
        <f t="shared" si="20"/>
        <v>8.3026018850391602E-4</v>
      </c>
      <c r="J61" s="11">
        <f t="shared" si="21"/>
        <v>8.3928475577026292E-4</v>
      </c>
      <c r="K61" s="11">
        <f t="shared" si="22"/>
        <v>8.7743406285072947E-4</v>
      </c>
      <c r="L61" s="11">
        <f t="shared" si="23"/>
        <v>9.1921663727219285E-4</v>
      </c>
      <c r="M61" s="25">
        <f>WO2025Jan7men1191517192325293133353941434547495557596365676971737577791317192123272933353943454749[[#This Row],[Thresh]]</f>
        <v>8.7743406285072947E-4</v>
      </c>
      <c r="N61" s="28">
        <f>WO2025Jan7men1191517192325293133353941434547495557596365676971737577791317192123272933353943454749[[#This Row],[Thresh]]*1.5</f>
        <v>1.3161510942760941E-3</v>
      </c>
      <c r="O61" s="25">
        <f>WO2025Jan7men1191517192325293133353941434547495557596365676971737577791317192123272933353943454749[[#This Row],[CV]]</f>
        <v>8.3928475577026292E-4</v>
      </c>
      <c r="P61" s="28" t="s">
        <v>25</v>
      </c>
      <c r="Q61" s="25"/>
      <c r="R61" s="25"/>
      <c r="S61" s="25"/>
      <c r="T61" s="25"/>
      <c r="U61" s="28"/>
      <c r="V61" s="25"/>
      <c r="W61" s="15" t="s">
        <v>26</v>
      </c>
      <c r="X61" s="52"/>
    </row>
    <row r="62" spans="1:24" ht="20.45" customHeight="1">
      <c r="A62" s="10" t="s">
        <v>82</v>
      </c>
      <c r="B62" s="11">
        <v>9.9537037037037042E-3</v>
      </c>
      <c r="C62" s="11">
        <v>2.8935185185185188E-3</v>
      </c>
      <c r="D62" s="11">
        <f t="shared" si="16"/>
        <v>5.7910648148148149E-3</v>
      </c>
      <c r="E62" s="12">
        <v>0.58179999999999998</v>
      </c>
      <c r="F62" s="11">
        <f t="shared" si="17"/>
        <v>7.233796296296297E-4</v>
      </c>
      <c r="G62" s="11">
        <f t="shared" si="18"/>
        <v>7.7214197530864196E-4</v>
      </c>
      <c r="H62" s="11">
        <f t="shared" si="19"/>
        <v>7.9629629629629636E-4</v>
      </c>
      <c r="I62" s="11">
        <f t="shared" si="20"/>
        <v>8.3026018850391602E-4</v>
      </c>
      <c r="J62" s="11">
        <f t="shared" si="21"/>
        <v>8.3928475577026292E-4</v>
      </c>
      <c r="K62" s="11">
        <f t="shared" si="22"/>
        <v>8.7743406285072947E-4</v>
      </c>
      <c r="L62" s="11">
        <f t="shared" si="23"/>
        <v>9.1921663727219285E-4</v>
      </c>
      <c r="M62" s="25">
        <f>WO2025Jan7men1191517192325293133353941434547495557596365676971737577791317192123272933353943454749[[#This Row],[Thresh]]</f>
        <v>8.7743406285072947E-4</v>
      </c>
      <c r="N62" s="28">
        <f>WO2025Jan7men1191517192325293133353941434547495557596365676971737577791317192123272933353943454749[[#This Row],[Thresh]]*1.5</f>
        <v>1.3161510942760941E-3</v>
      </c>
      <c r="O62" s="25">
        <f>WO2025Jan7men1191517192325293133353941434547495557596365676971737577791317192123272933353943454749[[#This Row],[CV]]</f>
        <v>8.3928475577026292E-4</v>
      </c>
      <c r="P62" s="28" t="s">
        <v>25</v>
      </c>
      <c r="Q62" s="25"/>
      <c r="R62" s="25"/>
      <c r="S62" s="25"/>
      <c r="T62" s="25"/>
      <c r="U62" s="28"/>
      <c r="V62" s="25"/>
      <c r="W62" s="15" t="s">
        <v>26</v>
      </c>
      <c r="X62" s="52"/>
    </row>
    <row r="63" spans="1:24" ht="20.45" customHeight="1">
      <c r="A63" s="10" t="s">
        <v>83</v>
      </c>
      <c r="B63" s="11">
        <v>1.0069444444444445E-2</v>
      </c>
      <c r="C63" s="11">
        <v>3.0671296296296297E-3</v>
      </c>
      <c r="D63" s="11">
        <f t="shared" si="16"/>
        <v>5.8584027777777783E-3</v>
      </c>
      <c r="E63" s="12">
        <v>0.58179999999999998</v>
      </c>
      <c r="F63" s="11">
        <f t="shared" si="17"/>
        <v>7.6678240740740743E-4</v>
      </c>
      <c r="G63" s="11">
        <f t="shared" si="18"/>
        <v>7.811203703703705E-4</v>
      </c>
      <c r="H63" s="11">
        <f t="shared" si="19"/>
        <v>8.0555555555555556E-4</v>
      </c>
      <c r="I63" s="11">
        <f t="shared" si="20"/>
        <v>8.3991437674233382E-4</v>
      </c>
      <c r="J63" s="11">
        <f t="shared" si="21"/>
        <v>8.4904388083735917E-4</v>
      </c>
      <c r="K63" s="11">
        <f t="shared" si="22"/>
        <v>8.8763678451178466E-4</v>
      </c>
      <c r="L63" s="11">
        <f t="shared" si="23"/>
        <v>9.2990520282186973E-4</v>
      </c>
      <c r="M63" s="25">
        <f>WO2025Jan7men1191517192325293133353941434547495557596365676971737577791317192123272933353943454749[[#This Row],[Thresh]]</f>
        <v>8.8763678451178466E-4</v>
      </c>
      <c r="N63" s="28">
        <f>WO2025Jan7men1191517192325293133353941434547495557596365676971737577791317192123272933353943454749[[#This Row],[Thresh]]*1.5</f>
        <v>1.3314551767676769E-3</v>
      </c>
      <c r="O63" s="25">
        <f>WO2025Jan7men1191517192325293133353941434547495557596365676971737577791317192123272933353943454749[[#This Row],[CV]]</f>
        <v>8.4904388083735917E-4</v>
      </c>
      <c r="P63" s="28" t="s">
        <v>25</v>
      </c>
      <c r="Q63" s="25"/>
      <c r="R63" s="25"/>
      <c r="S63" s="25"/>
      <c r="T63" s="25"/>
      <c r="U63" s="28"/>
      <c r="V63" s="25"/>
      <c r="W63" s="15" t="s">
        <v>26</v>
      </c>
      <c r="X63" s="52"/>
    </row>
    <row r="64" spans="1:24" ht="20.45" customHeight="1">
      <c r="A64" s="10" t="s">
        <v>84</v>
      </c>
      <c r="B64" s="11">
        <v>1.0069444444444445E-2</v>
      </c>
      <c r="C64" s="11">
        <v>3.0092592592592593E-3</v>
      </c>
      <c r="D64" s="11">
        <f t="shared" si="16"/>
        <v>5.8584027777777783E-3</v>
      </c>
      <c r="E64" s="12">
        <v>0.58179999999999998</v>
      </c>
      <c r="F64" s="11">
        <f t="shared" si="17"/>
        <v>7.5231481481481482E-4</v>
      </c>
      <c r="G64" s="11">
        <f t="shared" si="18"/>
        <v>7.811203703703705E-4</v>
      </c>
      <c r="H64" s="11">
        <f t="shared" si="19"/>
        <v>8.0555555555555556E-4</v>
      </c>
      <c r="I64" s="11">
        <f t="shared" si="20"/>
        <v>8.3991437674233382E-4</v>
      </c>
      <c r="J64" s="11">
        <f t="shared" si="21"/>
        <v>8.4904388083735917E-4</v>
      </c>
      <c r="K64" s="11">
        <f t="shared" si="22"/>
        <v>8.8763678451178466E-4</v>
      </c>
      <c r="L64" s="11">
        <f t="shared" si="23"/>
        <v>9.2990520282186973E-4</v>
      </c>
      <c r="M64" s="25">
        <f>WO2025Jan7men1191517192325293133353941434547495557596365676971737577791317192123272933353943454749[[#This Row],[Thresh]]</f>
        <v>8.8763678451178466E-4</v>
      </c>
      <c r="N64" s="28">
        <f>WO2025Jan7men1191517192325293133353941434547495557596365676971737577791317192123272933353943454749[[#This Row],[Thresh]]*1.5</f>
        <v>1.3314551767676769E-3</v>
      </c>
      <c r="O64" s="25">
        <f>WO2025Jan7men1191517192325293133353941434547495557596365676971737577791317192123272933353943454749[[#This Row],[CV]]</f>
        <v>8.4904388083735917E-4</v>
      </c>
      <c r="P64" s="28" t="s">
        <v>25</v>
      </c>
      <c r="Q64" s="25"/>
      <c r="R64" s="28"/>
      <c r="S64" s="25"/>
      <c r="T64" s="25"/>
      <c r="U64" s="28"/>
      <c r="V64" s="25"/>
      <c r="W64" s="15" t="s">
        <v>26</v>
      </c>
      <c r="X64" s="52"/>
    </row>
    <row r="65" spans="1:24" ht="20.45" customHeight="1">
      <c r="A65" s="10" t="s">
        <v>85</v>
      </c>
      <c r="B65" s="11">
        <v>1.0300925925925925E-2</v>
      </c>
      <c r="C65" s="11">
        <v>3.0671296296296297E-3</v>
      </c>
      <c r="D65" s="11">
        <f t="shared" si="16"/>
        <v>5.9930787037037027E-3</v>
      </c>
      <c r="E65" s="12">
        <v>0.58179999999999998</v>
      </c>
      <c r="F65" s="11">
        <f t="shared" si="17"/>
        <v>7.6678240740740743E-4</v>
      </c>
      <c r="G65" s="11">
        <f t="shared" si="18"/>
        <v>7.9907716049382703E-4</v>
      </c>
      <c r="H65" s="11">
        <f t="shared" si="19"/>
        <v>8.2407407407407397E-4</v>
      </c>
      <c r="I65" s="11">
        <f t="shared" si="20"/>
        <v>8.5922275321916877E-4</v>
      </c>
      <c r="J65" s="11">
        <f t="shared" si="21"/>
        <v>8.6856213097155112E-4</v>
      </c>
      <c r="K65" s="11">
        <f t="shared" si="22"/>
        <v>9.080422278338944E-4</v>
      </c>
      <c r="L65" s="11">
        <f t="shared" si="23"/>
        <v>9.5128233392122272E-4</v>
      </c>
      <c r="M65" s="25">
        <f>WO2025Jan7men1191517192325293133353941434547495557596365676971737577791317192123272933353943454749[[#This Row],[Thresh]]</f>
        <v>9.080422278338944E-4</v>
      </c>
      <c r="N65" s="28">
        <f>WO2025Jan7men1191517192325293133353941434547495557596365676971737577791317192123272933353943454749[[#This Row],[Thresh]]*1.5</f>
        <v>1.3620633417508415E-3</v>
      </c>
      <c r="O65" s="25">
        <f>WO2025Jan7men1191517192325293133353941434547495557596365676971737577791317192123272933353943454749[[#This Row],[CV]]</f>
        <v>8.6856213097155112E-4</v>
      </c>
      <c r="P65" s="28" t="s">
        <v>25</v>
      </c>
      <c r="Q65" s="25"/>
      <c r="R65" s="28"/>
      <c r="S65" s="25"/>
      <c r="T65" s="25"/>
      <c r="U65" s="28"/>
      <c r="V65" s="25"/>
      <c r="W65" s="15" t="s">
        <v>26</v>
      </c>
      <c r="X65" s="52"/>
    </row>
    <row r="66" spans="1:24" ht="20.45" customHeight="1">
      <c r="A66" s="10" t="s">
        <v>86</v>
      </c>
      <c r="B66" s="11">
        <v>1.0416666666666666E-2</v>
      </c>
      <c r="C66" s="11">
        <v>3.0671296296296297E-3</v>
      </c>
      <c r="D66" s="11">
        <f t="shared" si="16"/>
        <v>6.0604166666666662E-3</v>
      </c>
      <c r="E66" s="12">
        <v>0.58179999999999998</v>
      </c>
      <c r="F66" s="11">
        <f t="shared" si="17"/>
        <v>7.6678240740740743E-4</v>
      </c>
      <c r="G66" s="11">
        <f t="shared" si="18"/>
        <v>8.0805555555555546E-4</v>
      </c>
      <c r="H66" s="11">
        <f t="shared" si="19"/>
        <v>8.3333333333333328E-4</v>
      </c>
      <c r="I66" s="11">
        <f t="shared" si="20"/>
        <v>8.6887694145758646E-4</v>
      </c>
      <c r="J66" s="11">
        <f t="shared" si="21"/>
        <v>8.7832125603864715E-4</v>
      </c>
      <c r="K66" s="11">
        <f t="shared" si="22"/>
        <v>9.1824494949494938E-4</v>
      </c>
      <c r="L66" s="11">
        <f t="shared" si="23"/>
        <v>9.6197089947089938E-4</v>
      </c>
      <c r="M66" s="25">
        <f>WO2025Jan7men1191517192325293133353941434547495557596365676971737577791317192123272933353943454749[[#This Row],[Thresh]]</f>
        <v>9.1824494949494938E-4</v>
      </c>
      <c r="N66" s="28">
        <f>WO2025Jan7men1191517192325293133353941434547495557596365676971737577791317192123272933353943454749[[#This Row],[Thresh]]*1.5</f>
        <v>1.3773674242424242E-3</v>
      </c>
      <c r="O66" s="25">
        <f>WO2025Jan7men1191517192325293133353941434547495557596365676971737577791317192123272933353943454749[[#This Row],[CV]]</f>
        <v>8.7832125603864715E-4</v>
      </c>
      <c r="P66" s="28" t="s">
        <v>25</v>
      </c>
      <c r="Q66" s="25"/>
      <c r="R66" s="28"/>
      <c r="S66" s="25"/>
      <c r="T66" s="25"/>
      <c r="U66" s="28"/>
      <c r="V66" s="25"/>
      <c r="W66" s="15" t="s">
        <v>26</v>
      </c>
      <c r="X66" s="52"/>
    </row>
    <row r="67" spans="1:24" ht="20.45" customHeight="1">
      <c r="A67" s="10" t="s">
        <v>87</v>
      </c>
      <c r="B67" s="11">
        <v>1.0532407407407407E-2</v>
      </c>
      <c r="C67" s="11">
        <v>2.9745370370370373E-3</v>
      </c>
      <c r="D67" s="11">
        <f t="shared" si="16"/>
        <v>6.1277546296296288E-3</v>
      </c>
      <c r="E67" s="12">
        <v>0.58179999999999998</v>
      </c>
      <c r="F67" s="11">
        <f t="shared" si="17"/>
        <v>7.4363425925925931E-4</v>
      </c>
      <c r="G67" s="11">
        <f t="shared" si="18"/>
        <v>8.1703395061728389E-4</v>
      </c>
      <c r="H67" s="11">
        <f t="shared" si="19"/>
        <v>8.4259259259259259E-4</v>
      </c>
      <c r="I67" s="11">
        <f t="shared" si="20"/>
        <v>8.7853112969600415E-4</v>
      </c>
      <c r="J67" s="11">
        <f t="shared" si="21"/>
        <v>8.8808038110574329E-4</v>
      </c>
      <c r="K67" s="11">
        <f t="shared" si="22"/>
        <v>9.2844767115600447E-4</v>
      </c>
      <c r="L67" s="11">
        <f t="shared" si="23"/>
        <v>9.7265946502057604E-4</v>
      </c>
      <c r="M67" s="25">
        <f>WO2025Jan7men1191517192325293133353941434547495557596365676971737577791317192123272933353943454749[[#This Row],[Thresh]]</f>
        <v>9.2844767115600447E-4</v>
      </c>
      <c r="N67" s="28">
        <f>WO2025Jan7men1191517192325293133353941434547495557596365676971737577791317192123272933353943454749[[#This Row],[Thresh]]*1.5</f>
        <v>1.3926715067340066E-3</v>
      </c>
      <c r="O67" s="25">
        <f>WO2025Jan7men1191517192325293133353941434547495557596365676971737577791317192123272933353943454749[[#This Row],[CV]]</f>
        <v>8.8808038110574329E-4</v>
      </c>
      <c r="P67" s="28" t="s">
        <v>25</v>
      </c>
      <c r="Q67" s="25"/>
      <c r="R67" s="28"/>
      <c r="S67" s="25"/>
      <c r="T67" s="25"/>
      <c r="U67" s="28"/>
      <c r="V67" s="25"/>
      <c r="W67" s="15" t="s">
        <v>26</v>
      </c>
      <c r="X67" s="52"/>
    </row>
    <row r="68" spans="1:24" ht="20.45" customHeight="1">
      <c r="A68" s="10" t="s">
        <v>88</v>
      </c>
      <c r="B68" s="11">
        <v>1.0532407407407407E-2</v>
      </c>
      <c r="C68" s="11">
        <v>3.0671296296296297E-3</v>
      </c>
      <c r="D68" s="11">
        <f t="shared" si="16"/>
        <v>6.1277546296296288E-3</v>
      </c>
      <c r="E68" s="12">
        <v>0.58179999999999998</v>
      </c>
      <c r="F68" s="11">
        <f t="shared" si="17"/>
        <v>7.6678240740740743E-4</v>
      </c>
      <c r="G68" s="11">
        <f t="shared" si="18"/>
        <v>8.1703395061728389E-4</v>
      </c>
      <c r="H68" s="11">
        <f t="shared" si="19"/>
        <v>8.4259259259259259E-4</v>
      </c>
      <c r="I68" s="11">
        <f t="shared" si="20"/>
        <v>8.7853112969600415E-4</v>
      </c>
      <c r="J68" s="11">
        <f t="shared" si="21"/>
        <v>8.8808038110574329E-4</v>
      </c>
      <c r="K68" s="11">
        <f t="shared" si="22"/>
        <v>9.2844767115600447E-4</v>
      </c>
      <c r="L68" s="11">
        <f t="shared" si="23"/>
        <v>9.7265946502057604E-4</v>
      </c>
      <c r="M68" s="25">
        <f>WO2025Jan7men1191517192325293133353941434547495557596365676971737577791317192123272933353943454749[[#This Row],[Thresh]]</f>
        <v>9.2844767115600447E-4</v>
      </c>
      <c r="N68" s="28">
        <f>WO2025Jan7men1191517192325293133353941434547495557596365676971737577791317192123272933353943454749[[#This Row],[Thresh]]*1.5</f>
        <v>1.3926715067340066E-3</v>
      </c>
      <c r="O68" s="25">
        <f>WO2025Jan7men1191517192325293133353941434547495557596365676971737577791317192123272933353943454749[[#This Row],[CV]]</f>
        <v>8.8808038110574329E-4</v>
      </c>
      <c r="P68" s="28" t="s">
        <v>25</v>
      </c>
      <c r="Q68" s="25"/>
      <c r="R68" s="28"/>
      <c r="S68" s="25"/>
      <c r="T68" s="25"/>
      <c r="U68" s="28"/>
      <c r="V68" s="25"/>
      <c r="W68" s="15" t="s">
        <v>26</v>
      </c>
      <c r="X68" s="52" t="s">
        <v>152</v>
      </c>
    </row>
    <row r="69" spans="1:24" ht="20.45" customHeight="1">
      <c r="A69" s="10" t="s">
        <v>90</v>
      </c>
      <c r="B69" s="11">
        <v>1.0532407407407407E-2</v>
      </c>
      <c r="C69" s="11">
        <v>3.0671296296296297E-3</v>
      </c>
      <c r="D69" s="11">
        <f t="shared" si="16"/>
        <v>6.1277546296296288E-3</v>
      </c>
      <c r="E69" s="12">
        <v>0.58179999999999998</v>
      </c>
      <c r="F69" s="11">
        <f t="shared" si="17"/>
        <v>7.6678240740740743E-4</v>
      </c>
      <c r="G69" s="11">
        <f t="shared" si="18"/>
        <v>8.1703395061728389E-4</v>
      </c>
      <c r="H69" s="11">
        <f t="shared" si="19"/>
        <v>8.4259259259259259E-4</v>
      </c>
      <c r="I69" s="11">
        <f t="shared" si="20"/>
        <v>8.7853112969600415E-4</v>
      </c>
      <c r="J69" s="11">
        <f t="shared" si="21"/>
        <v>8.8808038110574329E-4</v>
      </c>
      <c r="K69" s="11">
        <f t="shared" si="22"/>
        <v>9.2844767115600447E-4</v>
      </c>
      <c r="L69" s="11">
        <f t="shared" si="23"/>
        <v>9.7265946502057604E-4</v>
      </c>
      <c r="M69" s="25">
        <f>WO2025Jan7men1191517192325293133353941434547495557596365676971737577791317192123272933353943454749[[#This Row],[Thresh]]</f>
        <v>9.2844767115600447E-4</v>
      </c>
      <c r="N69" s="28">
        <f>WO2025Jan7men1191517192325293133353941434547495557596365676971737577791317192123272933353943454749[[#This Row],[Thresh]]*1.5</f>
        <v>1.3926715067340066E-3</v>
      </c>
      <c r="O69" s="25">
        <f>WO2025Jan7men1191517192325293133353941434547495557596365676971737577791317192123272933353943454749[[#This Row],[CV]]</f>
        <v>8.8808038110574329E-4</v>
      </c>
      <c r="P69" s="28" t="s">
        <v>25</v>
      </c>
      <c r="Q69" s="25"/>
      <c r="R69" s="28"/>
      <c r="S69" s="25"/>
      <c r="T69" s="25"/>
      <c r="U69" s="28"/>
      <c r="V69" s="25"/>
      <c r="W69" s="15" t="s">
        <v>26</v>
      </c>
      <c r="X69" s="52"/>
    </row>
    <row r="70" spans="1:24" ht="20.45" customHeight="1">
      <c r="A70" s="10" t="s">
        <v>91</v>
      </c>
      <c r="B70" s="11">
        <v>1.0590277777777778E-2</v>
      </c>
      <c r="C70" s="11">
        <v>3.1249999999999997E-3</v>
      </c>
      <c r="D70" s="11">
        <f t="shared" si="16"/>
        <v>6.1614236111111114E-3</v>
      </c>
      <c r="E70" s="12">
        <v>0.58179999999999998</v>
      </c>
      <c r="F70" s="11">
        <f t="shared" si="17"/>
        <v>7.8124999999999993E-4</v>
      </c>
      <c r="G70" s="11">
        <f t="shared" si="18"/>
        <v>8.2152314814814816E-4</v>
      </c>
      <c r="H70" s="11">
        <f t="shared" si="19"/>
        <v>8.472222222222223E-4</v>
      </c>
      <c r="I70" s="11">
        <f t="shared" si="20"/>
        <v>8.8335822381521299E-4</v>
      </c>
      <c r="J70" s="11">
        <f t="shared" si="21"/>
        <v>8.9295994363929141E-4</v>
      </c>
      <c r="K70" s="11">
        <f t="shared" si="22"/>
        <v>9.3354903198653201E-4</v>
      </c>
      <c r="L70" s="11">
        <f t="shared" si="23"/>
        <v>9.7800374779541442E-4</v>
      </c>
      <c r="M70" s="25">
        <f>WO2025Jan7men1191517192325293133353941434547495557596365676971737577791317192123272933353943454749[[#This Row],[Thresh]]</f>
        <v>9.3354903198653201E-4</v>
      </c>
      <c r="N70" s="28">
        <f>WO2025Jan7men1191517192325293133353941434547495557596365676971737577791317192123272933353943454749[[#This Row],[Thresh]]*1.5</f>
        <v>1.400323547979798E-3</v>
      </c>
      <c r="O70" s="25">
        <f>WO2025Jan7men1191517192325293133353941434547495557596365676971737577791317192123272933353943454749[[#This Row],[CV]]</f>
        <v>8.9295994363929141E-4</v>
      </c>
      <c r="P70" s="28" t="s">
        <v>25</v>
      </c>
      <c r="Q70" s="25"/>
      <c r="R70" s="28"/>
      <c r="S70" s="25"/>
      <c r="T70" s="25"/>
      <c r="U70" s="28"/>
      <c r="V70" s="25"/>
      <c r="W70" s="15" t="s">
        <v>26</v>
      </c>
      <c r="X70" s="52"/>
    </row>
    <row r="71" spans="1:24" ht="20.45" customHeight="1">
      <c r="A71" s="10"/>
      <c r="B71" s="11"/>
      <c r="C71" s="11"/>
      <c r="D71" s="11"/>
      <c r="E71" s="12"/>
      <c r="F71" s="11"/>
      <c r="G71" s="11"/>
      <c r="H71" s="11"/>
      <c r="I71" s="11"/>
      <c r="J71" s="11"/>
      <c r="K71" s="11"/>
      <c r="L71" s="17"/>
      <c r="M71" s="25"/>
      <c r="N71" s="28"/>
      <c r="O71" s="25"/>
      <c r="P71" s="25"/>
      <c r="Q71" s="25"/>
      <c r="R71" s="28"/>
      <c r="S71" s="25"/>
      <c r="T71" s="25"/>
      <c r="U71" s="28"/>
      <c r="V71" s="25"/>
      <c r="W71" s="15"/>
      <c r="X71" s="52"/>
    </row>
    <row r="72" spans="1:24" ht="20.45" customHeight="1">
      <c r="A72" s="19"/>
      <c r="B72" s="6"/>
      <c r="C72" s="6"/>
      <c r="D72" s="6"/>
      <c r="E72" s="20"/>
      <c r="F72" s="6"/>
      <c r="G72" s="6"/>
      <c r="H72" s="6"/>
      <c r="I72" s="6"/>
      <c r="J72" s="6"/>
      <c r="K72" s="6"/>
      <c r="L72" s="6"/>
      <c r="M72" s="6" t="s">
        <v>12</v>
      </c>
      <c r="N72" s="6" t="s">
        <v>13</v>
      </c>
      <c r="O72" s="6" t="s">
        <v>14</v>
      </c>
      <c r="P72" s="6" t="s">
        <v>15</v>
      </c>
      <c r="Q72" s="6" t="s">
        <v>153</v>
      </c>
      <c r="R72" s="6"/>
      <c r="S72" s="6"/>
      <c r="T72" s="6"/>
      <c r="U72" s="6"/>
      <c r="V72" s="23"/>
      <c r="W72" s="35"/>
      <c r="X72" s="52"/>
    </row>
    <row r="73" spans="1:24" ht="20.45" customHeight="1">
      <c r="A73" s="10" t="s">
        <v>92</v>
      </c>
      <c r="B73" s="11">
        <v>1.0300925925925925E-2</v>
      </c>
      <c r="C73" s="11">
        <v>2.8703703703703703E-3</v>
      </c>
      <c r="D73" s="11">
        <f>B73*E73</f>
        <v>5.9930787037037027E-3</v>
      </c>
      <c r="E73" s="12">
        <v>0.58179999999999998</v>
      </c>
      <c r="F73" s="11">
        <f>C73/4</f>
        <v>7.1759259259259259E-4</v>
      </c>
      <c r="G73" s="11">
        <f>D73/7.5</f>
        <v>7.9907716049382703E-4</v>
      </c>
      <c r="H73" s="11">
        <f>B73/12.5</f>
        <v>8.2407407407407397E-4</v>
      </c>
      <c r="I73" s="11">
        <f>G73/0.93</f>
        <v>8.5922275321916877E-4</v>
      </c>
      <c r="J73" s="11">
        <f>G73/0.92</f>
        <v>8.6856213097155112E-4</v>
      </c>
      <c r="K73" s="11">
        <f>G73/0.88</f>
        <v>9.080422278338944E-4</v>
      </c>
      <c r="L73" s="11">
        <f>G73/0.84</f>
        <v>9.5128233392122272E-4</v>
      </c>
      <c r="M73" s="25">
        <f>WO2025Jan7men1191517192325293133353941434547495557596365676971737577791317192123272933353943454749[[#This Row],[Thresh]]</f>
        <v>9.080422278338944E-4</v>
      </c>
      <c r="N73" s="28">
        <f>WO2025Jan7men1191517192325293133353941434547495557596365676971737577791317192123272933353943454749[[#This Row],[Thresh]]*2.5</f>
        <v>2.2701055695847358E-3</v>
      </c>
      <c r="O73" s="25">
        <f>WO2025Jan7men1191517192325293133353941434547495557596365676971737577791317192123272933353943454749[[#This Row],[CV]]</f>
        <v>8.6856213097155112E-4</v>
      </c>
      <c r="P73" s="28">
        <f>WO2025Jan7men1191517192325293133353941434547495557596365676971737577791317192123272933353943454749[[#This Row],[CV]]*1.5</f>
        <v>1.3028431964573267E-3</v>
      </c>
      <c r="Q73" s="25">
        <f>WO2025Jan7men1191517192325293133353941434547495557596365676971737577791317192123272933353943454749[[#This Row],[R]]/2</f>
        <v>3.5879629629629629E-4</v>
      </c>
      <c r="R73" s="28"/>
      <c r="S73" s="25"/>
      <c r="T73" s="25"/>
      <c r="U73" s="28"/>
      <c r="V73" s="25"/>
      <c r="W73" s="15" t="s">
        <v>35</v>
      </c>
      <c r="X73" s="52"/>
    </row>
    <row r="74" spans="1:24" ht="20.45" customHeight="1">
      <c r="A74" s="10" t="s">
        <v>93</v>
      </c>
      <c r="B74" s="11">
        <v>1.0300925925925925E-2</v>
      </c>
      <c r="C74" s="11">
        <v>2.8935185185185184E-3</v>
      </c>
      <c r="D74" s="11">
        <f>B74*E74</f>
        <v>5.9930787037037027E-3</v>
      </c>
      <c r="E74" s="12">
        <v>0.58179999999999998</v>
      </c>
      <c r="F74" s="11">
        <f>C74/4</f>
        <v>7.2337962962962959E-4</v>
      </c>
      <c r="G74" s="11">
        <f>D74/7.5</f>
        <v>7.9907716049382703E-4</v>
      </c>
      <c r="H74" s="11">
        <f>B74/12.5</f>
        <v>8.2407407407407397E-4</v>
      </c>
      <c r="I74" s="11">
        <f>G74/0.93</f>
        <v>8.5922275321916877E-4</v>
      </c>
      <c r="J74" s="11">
        <f>G74/0.92</f>
        <v>8.6856213097155112E-4</v>
      </c>
      <c r="K74" s="11">
        <f>G74/0.88</f>
        <v>9.080422278338944E-4</v>
      </c>
      <c r="L74" s="11">
        <f>G74/0.84</f>
        <v>9.5128233392122272E-4</v>
      </c>
      <c r="M74" s="25">
        <f>WO2025Jan7men1191517192325293133353941434547495557596365676971737577791317192123272933353943454749[[#This Row],[Thresh]]</f>
        <v>9.080422278338944E-4</v>
      </c>
      <c r="N74" s="28">
        <f>WO2025Jan7men1191517192325293133353941434547495557596365676971737577791317192123272933353943454749[[#This Row],[Thresh]]*2.5</f>
        <v>2.2701055695847358E-3</v>
      </c>
      <c r="O74" s="25">
        <f>WO2025Jan7men1191517192325293133353941434547495557596365676971737577791317192123272933353943454749[[#This Row],[CV]]</f>
        <v>8.6856213097155112E-4</v>
      </c>
      <c r="P74" s="28">
        <f>WO2025Jan7men1191517192325293133353941434547495557596365676971737577791317192123272933353943454749[[#This Row],[CV]]*1.5</f>
        <v>1.3028431964573267E-3</v>
      </c>
      <c r="Q74" s="25">
        <f>WO2025Jan7men1191517192325293133353941434547495557596365676971737577791317192123272933353943454749[[#This Row],[R]]/2</f>
        <v>3.6168981481481479E-4</v>
      </c>
      <c r="R74" s="28"/>
      <c r="S74" s="25"/>
      <c r="T74" s="25"/>
      <c r="U74" s="28"/>
      <c r="V74" s="25"/>
      <c r="W74" s="15" t="s">
        <v>35</v>
      </c>
      <c r="X74" s="52"/>
    </row>
    <row r="75" spans="1:24" ht="20.45" customHeight="1">
      <c r="A75" s="10" t="s">
        <v>94</v>
      </c>
      <c r="B75" s="11">
        <v>1.0416666666666666E-2</v>
      </c>
      <c r="C75" s="11">
        <v>2.8935185185185188E-3</v>
      </c>
      <c r="D75" s="11">
        <f>B75*E75</f>
        <v>6.0604166666666662E-3</v>
      </c>
      <c r="E75" s="12">
        <v>0.58179999999999998</v>
      </c>
      <c r="F75" s="11">
        <f>C75/4</f>
        <v>7.233796296296297E-4</v>
      </c>
      <c r="G75" s="11">
        <f>D75/7.5</f>
        <v>8.0805555555555546E-4</v>
      </c>
      <c r="H75" s="11">
        <f>B75/12.5</f>
        <v>8.3333333333333328E-4</v>
      </c>
      <c r="I75" s="11">
        <f>G75/0.93</f>
        <v>8.6887694145758646E-4</v>
      </c>
      <c r="J75" s="11">
        <f>G75/0.92</f>
        <v>8.7832125603864715E-4</v>
      </c>
      <c r="K75" s="11">
        <f>G75/0.88</f>
        <v>9.1824494949494938E-4</v>
      </c>
      <c r="L75" s="11">
        <f>G75/0.84</f>
        <v>9.6197089947089938E-4</v>
      </c>
      <c r="M75" s="25">
        <f>WO2025Jan7men1191517192325293133353941434547495557596365676971737577791317192123272933353943454749[[#This Row],[Thresh]]</f>
        <v>9.1824494949494938E-4</v>
      </c>
      <c r="N75" s="28">
        <f>WO2025Jan7men1191517192325293133353941434547495557596365676971737577791317192123272933353943454749[[#This Row],[Thresh]]*2.5</f>
        <v>2.2956123737373733E-3</v>
      </c>
      <c r="O75" s="25">
        <f>WO2025Jan7men1191517192325293133353941434547495557596365676971737577791317192123272933353943454749[[#This Row],[CV]]</f>
        <v>8.7832125603864715E-4</v>
      </c>
      <c r="P75" s="28">
        <f>WO2025Jan7men1191517192325293133353941434547495557596365676971737577791317192123272933353943454749[[#This Row],[CV]]*1.5</f>
        <v>1.3174818840579706E-3</v>
      </c>
      <c r="Q75" s="25">
        <f>WO2025Jan7men1191517192325293133353941434547495557596365676971737577791317192123272933353943454749[[#This Row],[R]]/2</f>
        <v>3.6168981481481485E-4</v>
      </c>
      <c r="R75" s="28"/>
      <c r="S75" s="25"/>
      <c r="T75" s="25"/>
      <c r="U75" s="28"/>
      <c r="V75" s="25"/>
      <c r="W75" s="15" t="s">
        <v>35</v>
      </c>
      <c r="X75" s="52"/>
    </row>
    <row r="76" spans="1:24" ht="20.45" customHeight="1">
      <c r="A76" s="19"/>
      <c r="B76" s="6"/>
      <c r="C76" s="6"/>
      <c r="D76" s="6"/>
      <c r="E76" s="20"/>
      <c r="F76" s="6"/>
      <c r="G76" s="6"/>
      <c r="H76" s="6"/>
      <c r="I76" s="6"/>
      <c r="J76" s="6"/>
      <c r="K76" s="6"/>
      <c r="L76" s="6"/>
      <c r="M76" s="6" t="s">
        <v>12</v>
      </c>
      <c r="N76" s="6" t="s">
        <v>13</v>
      </c>
      <c r="O76" s="6" t="s">
        <v>40</v>
      </c>
      <c r="P76" s="6" t="s">
        <v>41</v>
      </c>
      <c r="Q76" s="6" t="s">
        <v>42</v>
      </c>
      <c r="R76" s="6" t="s">
        <v>43</v>
      </c>
      <c r="S76" s="6"/>
      <c r="T76" s="6"/>
      <c r="U76" s="6"/>
      <c r="V76" s="23"/>
      <c r="W76" s="35"/>
      <c r="X76" s="52"/>
    </row>
    <row r="77" spans="1:24" ht="20.45" customHeight="1">
      <c r="A77" s="10" t="s">
        <v>95</v>
      </c>
      <c r="B77" s="11">
        <v>1.0243055555555556E-2</v>
      </c>
      <c r="C77" s="11">
        <v>2.9513888888888888E-3</v>
      </c>
      <c r="D77" s="11">
        <f t="shared" ref="D77:D86" si="24">B77*E77</f>
        <v>5.9594097222222218E-3</v>
      </c>
      <c r="E77" s="12">
        <v>0.58179999999999998</v>
      </c>
      <c r="F77" s="11">
        <f t="shared" ref="F77:F86" si="25">C77/4</f>
        <v>7.378472222222222E-4</v>
      </c>
      <c r="G77" s="11">
        <f t="shared" ref="G77:G86" si="26">D77/7.5</f>
        <v>7.9458796296296287E-4</v>
      </c>
      <c r="H77" s="11">
        <f t="shared" ref="H77:H86" si="27">B77/12.5</f>
        <v>8.1944444444444447E-4</v>
      </c>
      <c r="I77" s="11">
        <f t="shared" ref="I77:I86" si="28">G77/0.93</f>
        <v>8.5439565909996003E-4</v>
      </c>
      <c r="J77" s="11">
        <f t="shared" ref="J77:J86" si="29">G77/0.92</f>
        <v>8.636825684380031E-4</v>
      </c>
      <c r="K77" s="11">
        <f t="shared" ref="K77:K86" si="30">G77/0.88</f>
        <v>9.0294086700336686E-4</v>
      </c>
      <c r="L77" s="11">
        <f t="shared" ref="L77:L86" si="31">G77/0.84</f>
        <v>9.4593805114638445E-4</v>
      </c>
      <c r="M77" s="25">
        <f>WO2025Jan7men1191517192325293133353941434547495557596365676971737577791317192123272933353943454749[[#This Row],[Thresh]]</f>
        <v>9.0294086700336686E-4</v>
      </c>
      <c r="N77" s="28">
        <f>WO2025Jan7men1191517192325293133353941434547495557596365676971737577791317192123272933353943454749[[#This Row],[Thresh]]*2.5</f>
        <v>2.2573521675084171E-3</v>
      </c>
      <c r="O77" s="25">
        <v>3.1828703703703706E-4</v>
      </c>
      <c r="P77" s="28">
        <v>3.2407407407407406E-4</v>
      </c>
      <c r="Q77" s="25">
        <v>3.3564814814814812E-4</v>
      </c>
      <c r="R77" s="28">
        <v>3.2986111111111112E-4</v>
      </c>
      <c r="S77" s="25"/>
      <c r="T77" s="28"/>
      <c r="U77" s="28"/>
      <c r="V77" s="25"/>
      <c r="W77" s="15" t="s">
        <v>48</v>
      </c>
      <c r="X77" s="52"/>
    </row>
    <row r="78" spans="1:24" ht="20.45" customHeight="1">
      <c r="A78" s="10" t="s">
        <v>96</v>
      </c>
      <c r="B78" s="11">
        <v>1.0648148148148148E-2</v>
      </c>
      <c r="C78" s="11">
        <v>2.9513888888888888E-3</v>
      </c>
      <c r="D78" s="11">
        <f t="shared" si="24"/>
        <v>6.1950925925925923E-3</v>
      </c>
      <c r="E78" s="12">
        <v>0.58179999999999998</v>
      </c>
      <c r="F78" s="11">
        <f t="shared" si="25"/>
        <v>7.378472222222222E-4</v>
      </c>
      <c r="G78" s="11">
        <f t="shared" si="26"/>
        <v>8.2601234567901232E-4</v>
      </c>
      <c r="H78" s="11">
        <f t="shared" si="27"/>
        <v>8.5185185185185179E-4</v>
      </c>
      <c r="I78" s="11">
        <f t="shared" si="28"/>
        <v>8.8818531793442184E-4</v>
      </c>
      <c r="J78" s="11">
        <f t="shared" si="29"/>
        <v>8.9783950617283942E-4</v>
      </c>
      <c r="K78" s="11">
        <f t="shared" si="30"/>
        <v>9.3865039281705945E-4</v>
      </c>
      <c r="L78" s="11">
        <f t="shared" si="31"/>
        <v>9.833480305702527E-4</v>
      </c>
      <c r="M78" s="25">
        <f>WO2025Jan7men1191517192325293133353941434547495557596365676971737577791317192123272933353943454749[[#This Row],[Thresh]]</f>
        <v>9.3865039281705945E-4</v>
      </c>
      <c r="N78" s="28">
        <f>WO2025Jan7men1191517192325293133353941434547495557596365676971737577791317192123272933353943454749[[#This Row],[Thresh]]*2.5</f>
        <v>2.3466259820426488E-3</v>
      </c>
      <c r="O78" s="25">
        <v>3.1828703703703706E-4</v>
      </c>
      <c r="P78" s="28">
        <v>3.2407407407407406E-4</v>
      </c>
      <c r="Q78" s="25">
        <v>3.3564814814814812E-4</v>
      </c>
      <c r="R78" s="28">
        <v>3.2986111111111112E-4</v>
      </c>
      <c r="S78" s="25"/>
      <c r="T78" s="28"/>
      <c r="U78" s="28"/>
      <c r="V78" s="25"/>
      <c r="W78" s="15" t="s">
        <v>48</v>
      </c>
      <c r="X78" s="52" t="s">
        <v>154</v>
      </c>
    </row>
    <row r="79" spans="1:24" ht="20.45" customHeight="1">
      <c r="A79" s="10" t="s">
        <v>97</v>
      </c>
      <c r="B79" s="11">
        <v>1.0763888888888889E-2</v>
      </c>
      <c r="C79" s="11">
        <v>2.9513888888888888E-3</v>
      </c>
      <c r="D79" s="11">
        <f t="shared" si="24"/>
        <v>6.2624305555555549E-3</v>
      </c>
      <c r="E79" s="12">
        <v>0.58179999999999998</v>
      </c>
      <c r="F79" s="11">
        <f t="shared" si="25"/>
        <v>7.378472222222222E-4</v>
      </c>
      <c r="G79" s="11">
        <f t="shared" si="26"/>
        <v>8.3499074074074064E-4</v>
      </c>
      <c r="H79" s="11">
        <f t="shared" si="27"/>
        <v>8.611111111111111E-4</v>
      </c>
      <c r="I79" s="11">
        <f t="shared" si="28"/>
        <v>8.9783950617283931E-4</v>
      </c>
      <c r="J79" s="11">
        <f t="shared" si="29"/>
        <v>9.0759863123993545E-4</v>
      </c>
      <c r="K79" s="11">
        <f t="shared" si="30"/>
        <v>9.4885311447811432E-4</v>
      </c>
      <c r="L79" s="17">
        <f t="shared" si="31"/>
        <v>9.9403659611992947E-4</v>
      </c>
      <c r="M79" s="25">
        <f>WO2025Jan7men1191517192325293133353941434547495557596365676971737577791317192123272933353943454749[[#This Row],[Thresh]]</f>
        <v>9.4885311447811432E-4</v>
      </c>
      <c r="N79" s="28">
        <f>WO2025Jan7men1191517192325293133353941434547495557596365676971737577791317192123272933353943454749[[#This Row],[Thresh]]*2.5</f>
        <v>2.3721327861952858E-3</v>
      </c>
      <c r="O79" s="25">
        <v>3.2118055555555556E-4</v>
      </c>
      <c r="P79" s="28">
        <v>3.2696759259259257E-4</v>
      </c>
      <c r="Q79" s="25">
        <v>3.3854166666666668E-4</v>
      </c>
      <c r="R79" s="28">
        <v>3.3275462962962962E-4</v>
      </c>
      <c r="S79" s="25"/>
      <c r="T79" s="28"/>
      <c r="U79" s="28"/>
      <c r="V79" s="25"/>
      <c r="W79" s="15" t="s">
        <v>48</v>
      </c>
      <c r="X79" s="52"/>
    </row>
    <row r="80" spans="1:24" ht="20.45" customHeight="1">
      <c r="A80" s="10" t="s">
        <v>98</v>
      </c>
      <c r="B80" s="11">
        <v>1.1111111111111112E-2</v>
      </c>
      <c r="C80" s="11">
        <v>3.0671296296296297E-3</v>
      </c>
      <c r="D80" s="11">
        <f t="shared" si="24"/>
        <v>6.4644444444444445E-3</v>
      </c>
      <c r="E80" s="12">
        <v>0.58179999999999998</v>
      </c>
      <c r="F80" s="11">
        <f t="shared" si="25"/>
        <v>7.6678240740740743E-4</v>
      </c>
      <c r="G80" s="11">
        <f t="shared" si="26"/>
        <v>8.6192592592592592E-4</v>
      </c>
      <c r="H80" s="11">
        <f t="shared" si="27"/>
        <v>8.8888888888888893E-4</v>
      </c>
      <c r="I80" s="11">
        <f t="shared" si="28"/>
        <v>9.2680207088809239E-4</v>
      </c>
      <c r="J80" s="11">
        <f t="shared" si="29"/>
        <v>9.3687600644122375E-4</v>
      </c>
      <c r="K80" s="11">
        <f t="shared" si="30"/>
        <v>9.7946127946127947E-4</v>
      </c>
      <c r="L80" s="11">
        <f t="shared" si="31"/>
        <v>1.0261022927689596E-3</v>
      </c>
      <c r="M80" s="25">
        <f>WO2025Jan7men1191517192325293133353941434547495557596365676971737577791317192123272933353943454749[[#This Row],[Thresh]]</f>
        <v>9.7946127946127947E-4</v>
      </c>
      <c r="N80" s="28">
        <f>WO2025Jan7men1191517192325293133353941434547495557596365676971737577791317192123272933353943454749[[#This Row],[Thresh]]*2.5</f>
        <v>2.4486531986531988E-3</v>
      </c>
      <c r="O80" s="25">
        <v>3.2118055555555556E-4</v>
      </c>
      <c r="P80" s="28">
        <v>3.2696759259259257E-4</v>
      </c>
      <c r="Q80" s="25">
        <v>3.3854166666666668E-4</v>
      </c>
      <c r="R80" s="28">
        <v>3.3275462962962962E-4</v>
      </c>
      <c r="S80" s="25"/>
      <c r="T80" s="28"/>
      <c r="U80" s="28"/>
      <c r="V80" s="25"/>
      <c r="W80" s="15" t="s">
        <v>48</v>
      </c>
      <c r="X80" s="52"/>
    </row>
    <row r="81" spans="1:24" ht="20.45" customHeight="1">
      <c r="A81" s="10" t="s">
        <v>99</v>
      </c>
      <c r="B81" s="11">
        <v>1.1458333333333333E-2</v>
      </c>
      <c r="C81" s="11">
        <v>3.0092592592592593E-3</v>
      </c>
      <c r="D81" s="11">
        <f t="shared" si="24"/>
        <v>6.6664583333333324E-3</v>
      </c>
      <c r="E81" s="12">
        <v>0.58179999999999998</v>
      </c>
      <c r="F81" s="11">
        <f t="shared" si="25"/>
        <v>7.5231481481481482E-4</v>
      </c>
      <c r="G81" s="11">
        <f t="shared" si="26"/>
        <v>8.8886111111111099E-4</v>
      </c>
      <c r="H81" s="11">
        <f t="shared" si="27"/>
        <v>9.1666666666666665E-4</v>
      </c>
      <c r="I81" s="11">
        <f t="shared" si="28"/>
        <v>9.5576463560334514E-4</v>
      </c>
      <c r="J81" s="11">
        <f t="shared" si="29"/>
        <v>9.6615338164251195E-4</v>
      </c>
      <c r="K81" s="11">
        <f t="shared" si="30"/>
        <v>1.0100694444444443E-3</v>
      </c>
      <c r="L81" s="11">
        <f t="shared" si="31"/>
        <v>1.0581679894179892E-3</v>
      </c>
      <c r="M81" s="25">
        <f>WO2025Jan7men1191517192325293133353941434547495557596365676971737577791317192123272933353943454749[[#This Row],[Thresh]]</f>
        <v>1.0100694444444443E-3</v>
      </c>
      <c r="N81" s="28">
        <f>WO2025Jan7men1191517192325293133353941434547495557596365676971737577791317192123272933353943454749[[#This Row],[Thresh]]*2.5</f>
        <v>2.5251736111111108E-3</v>
      </c>
      <c r="O81" s="25">
        <v>3.2118055555555556E-4</v>
      </c>
      <c r="P81" s="28">
        <v>3.2696759259259257E-4</v>
      </c>
      <c r="Q81" s="25">
        <v>3.3854166666666668E-4</v>
      </c>
      <c r="R81" s="28">
        <v>3.3275462962962962E-4</v>
      </c>
      <c r="S81" s="25"/>
      <c r="T81" s="28"/>
      <c r="U81" s="28"/>
      <c r="V81" s="25"/>
      <c r="W81" s="15" t="s">
        <v>48</v>
      </c>
      <c r="X81" s="52"/>
    </row>
    <row r="82" spans="1:24" ht="20.45" customHeight="1">
      <c r="A82" s="10" t="s">
        <v>100</v>
      </c>
      <c r="B82" s="11">
        <v>1.0763888888888889E-2</v>
      </c>
      <c r="C82" s="11">
        <v>3.0671296296296297E-3</v>
      </c>
      <c r="D82" s="11">
        <f t="shared" si="24"/>
        <v>6.2624305555555549E-3</v>
      </c>
      <c r="E82" s="12">
        <v>0.58179999999999998</v>
      </c>
      <c r="F82" s="11">
        <f t="shared" si="25"/>
        <v>7.6678240740740743E-4</v>
      </c>
      <c r="G82" s="11">
        <f t="shared" si="26"/>
        <v>8.3499074074074064E-4</v>
      </c>
      <c r="H82" s="11">
        <f t="shared" si="27"/>
        <v>8.611111111111111E-4</v>
      </c>
      <c r="I82" s="11">
        <f t="shared" si="28"/>
        <v>8.9783950617283931E-4</v>
      </c>
      <c r="J82" s="11">
        <f t="shared" si="29"/>
        <v>9.0759863123993545E-4</v>
      </c>
      <c r="K82" s="11">
        <f t="shared" si="30"/>
        <v>9.4885311447811432E-4</v>
      </c>
      <c r="L82" s="11">
        <f t="shared" si="31"/>
        <v>9.9403659611992947E-4</v>
      </c>
      <c r="M82" s="25">
        <f>WO2025Jan7men1191517192325293133353941434547495557596365676971737577791317192123272933353943454749[[#This Row],[Thresh]]</f>
        <v>9.4885311447811432E-4</v>
      </c>
      <c r="N82" s="28">
        <f>WO2025Jan7men1191517192325293133353941434547495557596365676971737577791317192123272933353943454749[[#This Row],[Thresh]]*2.5</f>
        <v>2.3721327861952858E-3</v>
      </c>
      <c r="O82" s="25">
        <v>3.2696759259259257E-4</v>
      </c>
      <c r="P82" s="28">
        <v>3.3275462962962962E-4</v>
      </c>
      <c r="Q82" s="25">
        <v>3.4432870370370368E-4</v>
      </c>
      <c r="R82" s="28">
        <v>3.3854166666666668E-4</v>
      </c>
      <c r="S82" s="25"/>
      <c r="T82" s="28"/>
      <c r="U82" s="28"/>
      <c r="V82" s="25"/>
      <c r="W82" s="15" t="s">
        <v>48</v>
      </c>
      <c r="X82" s="52"/>
    </row>
    <row r="83" spans="1:24" ht="20.45" customHeight="1">
      <c r="A83" s="10" t="s">
        <v>101</v>
      </c>
      <c r="B83" s="11">
        <v>1.1111111111111112E-2</v>
      </c>
      <c r="C83" s="11">
        <v>3.0671296296296297E-3</v>
      </c>
      <c r="D83" s="11">
        <f t="shared" si="24"/>
        <v>6.4644444444444445E-3</v>
      </c>
      <c r="E83" s="12">
        <v>0.58179999999999998</v>
      </c>
      <c r="F83" s="11">
        <f t="shared" si="25"/>
        <v>7.6678240740740743E-4</v>
      </c>
      <c r="G83" s="11">
        <f t="shared" si="26"/>
        <v>8.6192592592592592E-4</v>
      </c>
      <c r="H83" s="11">
        <f t="shared" si="27"/>
        <v>8.8888888888888893E-4</v>
      </c>
      <c r="I83" s="11">
        <f t="shared" si="28"/>
        <v>9.2680207088809239E-4</v>
      </c>
      <c r="J83" s="11">
        <f t="shared" si="29"/>
        <v>9.3687600644122375E-4</v>
      </c>
      <c r="K83" s="11">
        <f t="shared" si="30"/>
        <v>9.7946127946127947E-4</v>
      </c>
      <c r="L83" s="11">
        <f t="shared" si="31"/>
        <v>1.0261022927689596E-3</v>
      </c>
      <c r="M83" s="25">
        <f>WO2025Jan7men1191517192325293133353941434547495557596365676971737577791317192123272933353943454749[[#This Row],[Thresh]]</f>
        <v>9.7946127946127947E-4</v>
      </c>
      <c r="N83" s="28">
        <f>WO2025Jan7men1191517192325293133353941434547495557596365676971737577791317192123272933353943454749[[#This Row],[Thresh]]*2.5</f>
        <v>2.4486531986531988E-3</v>
      </c>
      <c r="O83" s="25">
        <v>3.2696759259259257E-4</v>
      </c>
      <c r="P83" s="28">
        <v>3.3275462962962962E-4</v>
      </c>
      <c r="Q83" s="25">
        <v>3.4432870370370368E-4</v>
      </c>
      <c r="R83" s="28">
        <v>3.3854166666666668E-4</v>
      </c>
      <c r="S83" s="25"/>
      <c r="T83" s="28"/>
      <c r="U83" s="28"/>
      <c r="V83" s="25"/>
      <c r="W83" s="15" t="s">
        <v>48</v>
      </c>
      <c r="X83" s="52"/>
    </row>
    <row r="84" spans="1:24" ht="20.45" customHeight="1">
      <c r="A84" s="10" t="s">
        <v>102</v>
      </c>
      <c r="B84" s="11">
        <v>1.1458333333333333E-2</v>
      </c>
      <c r="C84" s="11">
        <v>3.0671296296296297E-3</v>
      </c>
      <c r="D84" s="11">
        <f t="shared" si="24"/>
        <v>6.6664583333333324E-3</v>
      </c>
      <c r="E84" s="12">
        <v>0.58179999999999998</v>
      </c>
      <c r="F84" s="11">
        <f t="shared" si="25"/>
        <v>7.6678240740740743E-4</v>
      </c>
      <c r="G84" s="11">
        <f t="shared" si="26"/>
        <v>8.8886111111111099E-4</v>
      </c>
      <c r="H84" s="11">
        <f t="shared" si="27"/>
        <v>9.1666666666666665E-4</v>
      </c>
      <c r="I84" s="11">
        <f t="shared" si="28"/>
        <v>9.5576463560334514E-4</v>
      </c>
      <c r="J84" s="11">
        <f t="shared" si="29"/>
        <v>9.6615338164251195E-4</v>
      </c>
      <c r="K84" s="11">
        <f t="shared" si="30"/>
        <v>1.0100694444444443E-3</v>
      </c>
      <c r="L84" s="17">
        <f t="shared" si="31"/>
        <v>1.0581679894179892E-3</v>
      </c>
      <c r="M84" s="25">
        <f>WO2025Jan7men1191517192325293133353941434547495557596365676971737577791317192123272933353943454749[[#This Row],[Thresh]]</f>
        <v>1.0100694444444443E-3</v>
      </c>
      <c r="N84" s="28">
        <f>WO2025Jan7men1191517192325293133353941434547495557596365676971737577791317192123272933353943454749[[#This Row],[Thresh]]*2.5</f>
        <v>2.5251736111111108E-3</v>
      </c>
      <c r="O84" s="25">
        <v>3.2986111111111112E-4</v>
      </c>
      <c r="P84" s="28">
        <v>3.3564814814814812E-4</v>
      </c>
      <c r="Q84" s="25">
        <v>3.4722222222222224E-4</v>
      </c>
      <c r="R84" s="28">
        <v>3.4143518518518518E-4</v>
      </c>
      <c r="S84" s="25"/>
      <c r="T84" s="28"/>
      <c r="U84" s="28"/>
      <c r="V84" s="25"/>
      <c r="W84" s="15" t="s">
        <v>48</v>
      </c>
      <c r="X84" s="52"/>
    </row>
    <row r="85" spans="1:24" ht="20.45" customHeight="1">
      <c r="A85" s="10" t="s">
        <v>103</v>
      </c>
      <c r="B85" s="11">
        <v>1.1111111111111112E-2</v>
      </c>
      <c r="C85" s="11">
        <v>3.0671296296296297E-3</v>
      </c>
      <c r="D85" s="11">
        <f t="shared" si="24"/>
        <v>6.4644444444444445E-3</v>
      </c>
      <c r="E85" s="12">
        <v>0.58179999999999998</v>
      </c>
      <c r="F85" s="11">
        <f t="shared" si="25"/>
        <v>7.6678240740740743E-4</v>
      </c>
      <c r="G85" s="11">
        <f t="shared" si="26"/>
        <v>8.6192592592592592E-4</v>
      </c>
      <c r="H85" s="11">
        <f t="shared" si="27"/>
        <v>8.8888888888888893E-4</v>
      </c>
      <c r="I85" s="11">
        <f t="shared" si="28"/>
        <v>9.2680207088809239E-4</v>
      </c>
      <c r="J85" s="11">
        <f t="shared" si="29"/>
        <v>9.3687600644122375E-4</v>
      </c>
      <c r="K85" s="11">
        <f t="shared" si="30"/>
        <v>9.7946127946127947E-4</v>
      </c>
      <c r="L85" s="11">
        <f t="shared" si="31"/>
        <v>1.0261022927689596E-3</v>
      </c>
      <c r="M85" s="25">
        <f>WO2025Jan7men1191517192325293133353941434547495557596365676971737577791317192123272933353943454749[[#This Row],[Thresh]]</f>
        <v>9.7946127946127947E-4</v>
      </c>
      <c r="N85" s="28">
        <f>WO2025Jan7men1191517192325293133353941434547495557596365676971737577791317192123272933353943454749[[#This Row],[Thresh]]*2.5</f>
        <v>2.4486531986531988E-3</v>
      </c>
      <c r="O85" s="25">
        <v>3.3564814814814812E-4</v>
      </c>
      <c r="P85" s="28">
        <v>3.4143518518518518E-4</v>
      </c>
      <c r="Q85" s="25">
        <v>3.5300925925925924E-4</v>
      </c>
      <c r="R85" s="28">
        <v>3.4722222222222224E-4</v>
      </c>
      <c r="S85" s="25"/>
      <c r="T85" s="28"/>
      <c r="U85" s="28"/>
      <c r="V85" s="25"/>
      <c r="W85" s="15" t="s">
        <v>48</v>
      </c>
      <c r="X85" s="52"/>
    </row>
    <row r="86" spans="1:24" ht="20.45" customHeight="1">
      <c r="A86" s="10" t="s">
        <v>104</v>
      </c>
      <c r="B86" s="11">
        <v>1.1458333333333333E-2</v>
      </c>
      <c r="C86" s="11">
        <v>3.2986111111111111E-3</v>
      </c>
      <c r="D86" s="11">
        <f t="shared" si="24"/>
        <v>6.6664583333333324E-3</v>
      </c>
      <c r="E86" s="12">
        <v>0.58179999999999998</v>
      </c>
      <c r="F86" s="11">
        <f t="shared" si="25"/>
        <v>8.2465277777777778E-4</v>
      </c>
      <c r="G86" s="11">
        <f t="shared" si="26"/>
        <v>8.8886111111111099E-4</v>
      </c>
      <c r="H86" s="11">
        <f t="shared" si="27"/>
        <v>9.1666666666666665E-4</v>
      </c>
      <c r="I86" s="11">
        <f t="shared" si="28"/>
        <v>9.5576463560334514E-4</v>
      </c>
      <c r="J86" s="11">
        <f t="shared" si="29"/>
        <v>9.6615338164251195E-4</v>
      </c>
      <c r="K86" s="11">
        <f t="shared" si="30"/>
        <v>1.0100694444444443E-3</v>
      </c>
      <c r="L86" s="11">
        <f t="shared" si="31"/>
        <v>1.0581679894179892E-3</v>
      </c>
      <c r="M86" s="25">
        <f>WO2025Jan7men1191517192325293133353941434547495557596365676971737577791317192123272933353943454749[[#This Row],[Thresh]]</f>
        <v>1.0100694444444443E-3</v>
      </c>
      <c r="N86" s="28">
        <f>WO2025Jan7men1191517192325293133353941434547495557596365676971737577791317192123272933353943454749[[#This Row],[Thresh]]*2.5</f>
        <v>2.5251736111111108E-3</v>
      </c>
      <c r="O86" s="25">
        <v>3.5300925925925924E-4</v>
      </c>
      <c r="P86" s="28">
        <v>3.5879629629629629E-4</v>
      </c>
      <c r="Q86" s="25">
        <v>3.7037037037037035E-4</v>
      </c>
      <c r="R86" s="28">
        <v>3.6458333333333335E-4</v>
      </c>
      <c r="S86" s="25"/>
      <c r="T86" s="28"/>
      <c r="U86" s="28"/>
      <c r="V86" s="25"/>
      <c r="W86" s="15" t="s">
        <v>48</v>
      </c>
      <c r="X86" s="52"/>
    </row>
    <row r="87" spans="1:24" ht="20.45" customHeight="1">
      <c r="A87" s="19" t="s">
        <v>138</v>
      </c>
      <c r="B87" s="6"/>
      <c r="C87" s="6"/>
      <c r="D87" s="6"/>
      <c r="E87" s="20"/>
      <c r="F87" s="6"/>
      <c r="G87" s="6"/>
      <c r="H87" s="6"/>
      <c r="I87" s="6"/>
      <c r="J87" s="6"/>
      <c r="K87" s="6"/>
      <c r="L87" s="6"/>
      <c r="M87" s="6"/>
      <c r="N87" s="6"/>
      <c r="O87" s="6"/>
      <c r="P87" s="6"/>
      <c r="Q87" s="6"/>
      <c r="R87" s="6"/>
      <c r="S87" s="6"/>
      <c r="T87" s="6"/>
      <c r="U87" s="6"/>
      <c r="V87" s="23"/>
      <c r="W87" s="35"/>
      <c r="X87" s="52"/>
    </row>
    <row r="88" spans="1:24" ht="20.45" customHeight="1">
      <c r="A88" s="10" t="s">
        <v>105</v>
      </c>
      <c r="B88" s="11">
        <v>1.0648148148148148E-2</v>
      </c>
      <c r="C88" s="11">
        <v>2.9745370370370373E-3</v>
      </c>
      <c r="D88" s="11">
        <f>B88*E88</f>
        <v>6.1950925925925923E-3</v>
      </c>
      <c r="E88" s="12">
        <v>0.58179999999999998</v>
      </c>
      <c r="F88" s="11">
        <f>C88/4</f>
        <v>7.4363425925925931E-4</v>
      </c>
      <c r="G88" s="11">
        <f>D88/7.5</f>
        <v>8.2601234567901232E-4</v>
      </c>
      <c r="H88" s="11">
        <f>B88/12.5</f>
        <v>8.5185185185185179E-4</v>
      </c>
      <c r="I88" s="11">
        <f>G88/0.93</f>
        <v>8.8818531793442184E-4</v>
      </c>
      <c r="J88" s="11">
        <f>G88/0.92</f>
        <v>8.9783950617283942E-4</v>
      </c>
      <c r="K88" s="11">
        <f>G88/0.88</f>
        <v>9.3865039281705945E-4</v>
      </c>
      <c r="L88" s="11">
        <f>G88/0.84</f>
        <v>9.833480305702527E-4</v>
      </c>
      <c r="M88" s="25"/>
      <c r="N88" s="28"/>
      <c r="O88" s="25"/>
      <c r="P88" s="25"/>
      <c r="Q88" s="25"/>
      <c r="R88" s="25"/>
      <c r="S88" s="25"/>
      <c r="T88" s="25"/>
      <c r="U88" s="28"/>
      <c r="V88" s="25"/>
      <c r="W88" s="15" t="s">
        <v>52</v>
      </c>
      <c r="X88" s="52" t="s">
        <v>143</v>
      </c>
    </row>
    <row r="89" spans="1:24" ht="20.45" customHeight="1">
      <c r="A89" s="10" t="s">
        <v>106</v>
      </c>
      <c r="B89" s="11">
        <v>1.0590277777777778E-2</v>
      </c>
      <c r="C89" s="11">
        <v>2.9745370370370373E-3</v>
      </c>
      <c r="D89" s="11">
        <f>B89*E89</f>
        <v>6.1614236111111114E-3</v>
      </c>
      <c r="E89" s="12">
        <v>0.58179999999999998</v>
      </c>
      <c r="F89" s="11">
        <f>C89/4</f>
        <v>7.4363425925925931E-4</v>
      </c>
      <c r="G89" s="11">
        <f>D89/7.5</f>
        <v>8.2152314814814816E-4</v>
      </c>
      <c r="H89" s="11">
        <f>B89/12.5</f>
        <v>8.472222222222223E-4</v>
      </c>
      <c r="I89" s="11">
        <f>G89/0.93</f>
        <v>8.8335822381521299E-4</v>
      </c>
      <c r="J89" s="11">
        <f>G89/0.92</f>
        <v>8.9295994363929141E-4</v>
      </c>
      <c r="K89" s="11">
        <f>G89/0.88</f>
        <v>9.3354903198653201E-4</v>
      </c>
      <c r="L89" s="17">
        <f>G89/0.84</f>
        <v>9.7800374779541442E-4</v>
      </c>
      <c r="M89" s="25"/>
      <c r="N89" s="28"/>
      <c r="O89" s="25"/>
      <c r="P89" s="28"/>
      <c r="Q89" s="25"/>
      <c r="R89" s="28"/>
      <c r="S89" s="25"/>
      <c r="T89" s="25"/>
      <c r="U89" s="28"/>
      <c r="V89" s="44"/>
      <c r="W89" s="28" t="s">
        <v>52</v>
      </c>
      <c r="X89" s="52"/>
    </row>
    <row r="90" spans="1:24" ht="20.45" customHeight="1">
      <c r="A90" s="10" t="s">
        <v>107</v>
      </c>
      <c r="B90" s="11">
        <v>1.1111111111111112E-2</v>
      </c>
      <c r="C90" s="11">
        <v>3.2407407407407406E-3</v>
      </c>
      <c r="D90" s="11">
        <f>B90*E90</f>
        <v>6.4644444444444445E-3</v>
      </c>
      <c r="E90" s="12">
        <v>0.58179999999999998</v>
      </c>
      <c r="F90" s="11">
        <f>C90/4</f>
        <v>8.1018518518518516E-4</v>
      </c>
      <c r="G90" s="11">
        <f>D90/7.5</f>
        <v>8.6192592592592592E-4</v>
      </c>
      <c r="H90" s="11">
        <f>B90/12.5</f>
        <v>8.8888888888888893E-4</v>
      </c>
      <c r="I90" s="11">
        <f>G90/0.93</f>
        <v>9.2680207088809239E-4</v>
      </c>
      <c r="J90" s="11">
        <f>G90/0.92</f>
        <v>9.3687600644122375E-4</v>
      </c>
      <c r="K90" s="11">
        <f>G90/0.88</f>
        <v>9.7946127946127947E-4</v>
      </c>
      <c r="L90" s="11">
        <f>G90/0.84</f>
        <v>1.0261022927689596E-3</v>
      </c>
      <c r="M90" s="25"/>
      <c r="N90" s="28"/>
      <c r="O90" s="25"/>
      <c r="P90" s="25"/>
      <c r="Q90" s="25"/>
      <c r="R90" s="28"/>
      <c r="S90" s="25"/>
      <c r="T90" s="25"/>
      <c r="U90" s="28"/>
      <c r="V90" s="28"/>
      <c r="W90" s="15" t="s">
        <v>52</v>
      </c>
      <c r="X90" s="52"/>
    </row>
    <row r="91" spans="1:24" ht="20.45" customHeight="1">
      <c r="A91" s="10" t="s">
        <v>108</v>
      </c>
      <c r="B91" s="11">
        <v>1.0763888888888891E-2</v>
      </c>
      <c r="C91" s="11">
        <v>3.0671296296296297E-3</v>
      </c>
      <c r="D91" s="11">
        <f>B91*E91</f>
        <v>6.2624305555555567E-3</v>
      </c>
      <c r="E91" s="12">
        <v>0.58179999999999998</v>
      </c>
      <c r="F91" s="11">
        <f>C91/4</f>
        <v>7.6678240740740743E-4</v>
      </c>
      <c r="G91" s="11">
        <f>D91/7.5</f>
        <v>8.3499074074074085E-4</v>
      </c>
      <c r="H91" s="11">
        <f>B91/12.5</f>
        <v>8.6111111111111121E-4</v>
      </c>
      <c r="I91" s="11">
        <f>G91/0.93</f>
        <v>8.9783950617283953E-4</v>
      </c>
      <c r="J91" s="11">
        <f>G91/0.92</f>
        <v>9.0759863123993567E-4</v>
      </c>
      <c r="K91" s="11">
        <f>G91/0.88</f>
        <v>9.4885311447811464E-4</v>
      </c>
      <c r="L91" s="17">
        <f>G91/0.84</f>
        <v>9.9403659611992969E-4</v>
      </c>
      <c r="M91" s="25"/>
      <c r="N91" s="28"/>
      <c r="O91" s="25"/>
      <c r="P91" s="28"/>
      <c r="Q91" s="25"/>
      <c r="R91" s="28"/>
      <c r="S91" s="25"/>
      <c r="T91" s="25"/>
      <c r="U91" s="28"/>
      <c r="V91" s="28"/>
      <c r="W91" s="15" t="s">
        <v>52</v>
      </c>
      <c r="X91" s="52"/>
    </row>
    <row r="92" spans="1:24" ht="20.45" customHeight="1">
      <c r="A92" s="10"/>
      <c r="B92" s="11"/>
      <c r="C92" s="11"/>
      <c r="D92" s="11"/>
      <c r="E92" s="12"/>
      <c r="F92" s="11"/>
      <c r="G92" s="11"/>
      <c r="H92" s="11"/>
      <c r="I92" s="11"/>
      <c r="J92" s="11"/>
      <c r="K92" s="11"/>
      <c r="L92" s="11"/>
      <c r="M92" s="25"/>
      <c r="N92" s="28"/>
      <c r="O92" s="25"/>
      <c r="P92" s="28"/>
      <c r="Q92" s="25"/>
      <c r="R92" s="28"/>
      <c r="S92" s="25"/>
      <c r="T92" s="28"/>
      <c r="U92" s="28"/>
      <c r="V92" s="25"/>
      <c r="W92" s="15"/>
      <c r="X92" s="52"/>
    </row>
    <row r="93" spans="1:24" ht="20.45" customHeight="1">
      <c r="A93" s="10"/>
      <c r="B93" s="11"/>
      <c r="C93" s="11"/>
      <c r="D93" s="11"/>
      <c r="E93" s="12"/>
      <c r="F93" s="11"/>
      <c r="G93" s="11"/>
      <c r="H93" s="11"/>
      <c r="I93" s="11"/>
      <c r="J93" s="11"/>
      <c r="K93" s="11"/>
      <c r="L93" s="11"/>
      <c r="M93" s="25"/>
      <c r="N93" s="28"/>
      <c r="O93" s="25"/>
      <c r="P93" s="28"/>
      <c r="Q93" s="28"/>
      <c r="R93" s="11"/>
      <c r="S93" s="14"/>
      <c r="T93" s="14"/>
      <c r="U93" s="26"/>
      <c r="V93" s="28"/>
      <c r="W93" s="27"/>
      <c r="X93" s="52"/>
    </row>
    <row r="94" spans="1:24" ht="20.45" customHeight="1">
      <c r="A94" s="10" t="s">
        <v>109</v>
      </c>
      <c r="B94" s="11">
        <v>9.8379629629629633E-3</v>
      </c>
      <c r="C94" s="11">
        <v>2.9745370370370373E-3</v>
      </c>
      <c r="D94" s="11">
        <f t="shared" ref="D94:D115" si="32">B94*E94</f>
        <v>5.7237268518518522E-3</v>
      </c>
      <c r="E94" s="12">
        <v>0.58179999999999998</v>
      </c>
      <c r="F94" s="11">
        <f t="shared" ref="F94:F115" si="33">C94/4</f>
        <v>7.4363425925925931E-4</v>
      </c>
      <c r="G94" s="11">
        <f t="shared" ref="G94:G115" si="34">D94/7.5</f>
        <v>7.6316358024691364E-4</v>
      </c>
      <c r="H94" s="11">
        <f t="shared" ref="H94:H115" si="35">B94/12.5</f>
        <v>7.8703703703703705E-4</v>
      </c>
      <c r="I94" s="11">
        <f t="shared" ref="I94:I115" si="36">G94/0.93</f>
        <v>8.2060600026549854E-4</v>
      </c>
      <c r="J94" s="11">
        <f t="shared" ref="J94:J115" si="37">G94/0.92</f>
        <v>8.29525630703167E-4</v>
      </c>
      <c r="K94" s="11">
        <f t="shared" ref="K94:K115" si="38">G94/0.88</f>
        <v>8.6723134118967459E-4</v>
      </c>
      <c r="L94" s="17">
        <f t="shared" ref="L94:L115" si="39">G94/0.84</f>
        <v>9.085280717225163E-4</v>
      </c>
      <c r="M94" s="25"/>
      <c r="N94" s="28"/>
      <c r="O94" s="25"/>
      <c r="P94" s="28"/>
      <c r="Q94" s="25"/>
      <c r="R94" s="25"/>
      <c r="S94" s="25"/>
      <c r="T94" s="25"/>
      <c r="U94" s="28"/>
      <c r="V94" s="25"/>
      <c r="W94" s="15"/>
      <c r="X94" s="52"/>
    </row>
    <row r="95" spans="1:24" ht="20.45" customHeight="1">
      <c r="A95" s="10" t="s">
        <v>110</v>
      </c>
      <c r="B95" s="11">
        <v>1.0069444444444445E-2</v>
      </c>
      <c r="C95" s="11">
        <v>2.8935185185185184E-3</v>
      </c>
      <c r="D95" s="11">
        <f t="shared" si="32"/>
        <v>5.8584027777777783E-3</v>
      </c>
      <c r="E95" s="12">
        <v>0.58179999999999998</v>
      </c>
      <c r="F95" s="11">
        <f t="shared" si="33"/>
        <v>7.2337962962962959E-4</v>
      </c>
      <c r="G95" s="11">
        <f t="shared" si="34"/>
        <v>7.811203703703705E-4</v>
      </c>
      <c r="H95" s="11">
        <f t="shared" si="35"/>
        <v>8.0555555555555556E-4</v>
      </c>
      <c r="I95" s="11">
        <f t="shared" si="36"/>
        <v>8.3991437674233382E-4</v>
      </c>
      <c r="J95" s="11">
        <f t="shared" si="37"/>
        <v>8.4904388083735917E-4</v>
      </c>
      <c r="K95" s="11">
        <f t="shared" si="38"/>
        <v>8.8763678451178466E-4</v>
      </c>
      <c r="L95" s="17">
        <f t="shared" si="39"/>
        <v>9.2990520282186973E-4</v>
      </c>
      <c r="M95" s="25"/>
      <c r="N95" s="28"/>
      <c r="O95" s="25"/>
      <c r="P95" s="28"/>
      <c r="Q95" s="25"/>
      <c r="R95" s="25"/>
      <c r="S95" s="25"/>
      <c r="T95" s="25"/>
      <c r="U95" s="28"/>
      <c r="V95" s="25"/>
      <c r="W95" s="15"/>
      <c r="X95" s="52"/>
    </row>
    <row r="96" spans="1:24" ht="20.45" customHeight="1">
      <c r="A96" s="10" t="s">
        <v>111</v>
      </c>
      <c r="B96" s="11">
        <v>1.0069444444444445E-2</v>
      </c>
      <c r="C96" s="11">
        <v>3.0092592592592588E-3</v>
      </c>
      <c r="D96" s="11">
        <f t="shared" si="32"/>
        <v>5.8584027777777783E-3</v>
      </c>
      <c r="E96" s="12">
        <v>0.58179999999999998</v>
      </c>
      <c r="F96" s="11">
        <f t="shared" si="33"/>
        <v>7.5231481481481471E-4</v>
      </c>
      <c r="G96" s="11">
        <f t="shared" si="34"/>
        <v>7.811203703703705E-4</v>
      </c>
      <c r="H96" s="11">
        <f t="shared" si="35"/>
        <v>8.0555555555555556E-4</v>
      </c>
      <c r="I96" s="11">
        <f t="shared" si="36"/>
        <v>8.3991437674233382E-4</v>
      </c>
      <c r="J96" s="11">
        <f t="shared" si="37"/>
        <v>8.4904388083735917E-4</v>
      </c>
      <c r="K96" s="11">
        <f t="shared" si="38"/>
        <v>8.8763678451178466E-4</v>
      </c>
      <c r="L96" s="11">
        <f t="shared" si="39"/>
        <v>9.2990520282186973E-4</v>
      </c>
      <c r="M96" s="25"/>
      <c r="N96" s="28"/>
      <c r="O96" s="25"/>
      <c r="P96" s="28"/>
      <c r="Q96" s="25"/>
      <c r="R96" s="25"/>
      <c r="S96" s="25"/>
      <c r="T96" s="25"/>
      <c r="U96" s="28"/>
      <c r="V96" s="25"/>
      <c r="W96" s="15"/>
      <c r="X96" s="52"/>
    </row>
    <row r="97" spans="1:24" ht="20.45" customHeight="1">
      <c r="A97" s="10" t="s">
        <v>112</v>
      </c>
      <c r="B97" s="11">
        <v>1.0243055555555556E-2</v>
      </c>
      <c r="C97" s="11">
        <v>2.8587962962962963E-3</v>
      </c>
      <c r="D97" s="11">
        <f t="shared" si="32"/>
        <v>5.9594097222222218E-3</v>
      </c>
      <c r="E97" s="12">
        <v>0.58179999999999998</v>
      </c>
      <c r="F97" s="11">
        <f t="shared" si="33"/>
        <v>7.1469907407407409E-4</v>
      </c>
      <c r="G97" s="11">
        <f t="shared" si="34"/>
        <v>7.9458796296296287E-4</v>
      </c>
      <c r="H97" s="11">
        <f t="shared" si="35"/>
        <v>8.1944444444444447E-4</v>
      </c>
      <c r="I97" s="11">
        <f t="shared" si="36"/>
        <v>8.5439565909996003E-4</v>
      </c>
      <c r="J97" s="11">
        <f t="shared" si="37"/>
        <v>8.636825684380031E-4</v>
      </c>
      <c r="K97" s="11">
        <f t="shared" si="38"/>
        <v>9.0294086700336686E-4</v>
      </c>
      <c r="L97" s="11">
        <f t="shared" si="39"/>
        <v>9.4593805114638445E-4</v>
      </c>
      <c r="M97" s="25"/>
      <c r="N97" s="28"/>
      <c r="O97" s="25"/>
      <c r="P97" s="28"/>
      <c r="Q97" s="25"/>
      <c r="R97" s="28"/>
      <c r="S97" s="25"/>
      <c r="T97" s="25"/>
      <c r="U97" s="28"/>
      <c r="V97" s="25"/>
      <c r="W97" s="15"/>
      <c r="X97" s="52"/>
    </row>
    <row r="98" spans="1:24" ht="20.45" customHeight="1">
      <c r="A98" s="10" t="s">
        <v>113</v>
      </c>
      <c r="B98" s="11">
        <v>1.0763888888888891E-2</v>
      </c>
      <c r="C98" s="11">
        <v>3.2986111111111111E-3</v>
      </c>
      <c r="D98" s="11">
        <f t="shared" si="32"/>
        <v>6.2624305555555567E-3</v>
      </c>
      <c r="E98" s="12">
        <v>0.58179999999999998</v>
      </c>
      <c r="F98" s="11">
        <f t="shared" si="33"/>
        <v>8.2465277777777778E-4</v>
      </c>
      <c r="G98" s="11">
        <f t="shared" si="34"/>
        <v>8.3499074074074085E-4</v>
      </c>
      <c r="H98" s="11">
        <f t="shared" si="35"/>
        <v>8.6111111111111121E-4</v>
      </c>
      <c r="I98" s="11">
        <f t="shared" si="36"/>
        <v>8.9783950617283953E-4</v>
      </c>
      <c r="J98" s="11">
        <f t="shared" si="37"/>
        <v>9.0759863123993567E-4</v>
      </c>
      <c r="K98" s="11">
        <f t="shared" si="38"/>
        <v>9.4885311447811464E-4</v>
      </c>
      <c r="L98" s="11">
        <f t="shared" si="39"/>
        <v>9.9403659611992969E-4</v>
      </c>
      <c r="M98" s="25"/>
      <c r="N98" s="28"/>
      <c r="O98" s="25"/>
      <c r="P98" s="28"/>
      <c r="Q98" s="25"/>
      <c r="R98" s="28"/>
      <c r="S98" s="25"/>
      <c r="T98" s="25"/>
      <c r="U98" s="28"/>
      <c r="V98" s="25"/>
      <c r="W98" s="15"/>
      <c r="X98" s="52"/>
    </row>
    <row r="99" spans="1:24" ht="20.45" customHeight="1">
      <c r="A99" s="10" t="s">
        <v>114</v>
      </c>
      <c r="B99" s="11">
        <v>1.0763888888888891E-2</v>
      </c>
      <c r="C99" s="11">
        <v>3.0671296296296297E-3</v>
      </c>
      <c r="D99" s="11">
        <f t="shared" si="32"/>
        <v>6.2624305555555567E-3</v>
      </c>
      <c r="E99" s="12">
        <v>0.58179999999999998</v>
      </c>
      <c r="F99" s="11">
        <f t="shared" si="33"/>
        <v>7.6678240740740743E-4</v>
      </c>
      <c r="G99" s="11">
        <f t="shared" si="34"/>
        <v>8.3499074074074085E-4</v>
      </c>
      <c r="H99" s="11">
        <f t="shared" si="35"/>
        <v>8.6111111111111121E-4</v>
      </c>
      <c r="I99" s="11">
        <f t="shared" si="36"/>
        <v>8.9783950617283953E-4</v>
      </c>
      <c r="J99" s="11">
        <f t="shared" si="37"/>
        <v>9.0759863123993567E-4</v>
      </c>
      <c r="K99" s="11">
        <f t="shared" si="38"/>
        <v>9.4885311447811464E-4</v>
      </c>
      <c r="L99" s="11">
        <f t="shared" si="39"/>
        <v>9.9403659611992969E-4</v>
      </c>
      <c r="M99" s="25"/>
      <c r="N99" s="28"/>
      <c r="O99" s="25"/>
      <c r="P99" s="28"/>
      <c r="Q99" s="25"/>
      <c r="R99" s="28"/>
      <c r="S99" s="25"/>
      <c r="T99" s="25"/>
      <c r="U99" s="28"/>
      <c r="V99" s="25"/>
      <c r="W99" s="15"/>
      <c r="X99" s="52"/>
    </row>
    <row r="100" spans="1:24" ht="20.45" customHeight="1">
      <c r="A100" s="10" t="s">
        <v>115</v>
      </c>
      <c r="B100" s="11">
        <v>1.0532407407407407E-2</v>
      </c>
      <c r="C100" s="11">
        <v>2.9513888888888888E-3</v>
      </c>
      <c r="D100" s="11">
        <f t="shared" si="32"/>
        <v>6.1277546296296288E-3</v>
      </c>
      <c r="E100" s="12">
        <v>0.58179999999999998</v>
      </c>
      <c r="F100" s="11">
        <f t="shared" si="33"/>
        <v>7.378472222222222E-4</v>
      </c>
      <c r="G100" s="11">
        <f t="shared" si="34"/>
        <v>8.1703395061728389E-4</v>
      </c>
      <c r="H100" s="11">
        <f t="shared" si="35"/>
        <v>8.4259259259259259E-4</v>
      </c>
      <c r="I100" s="11">
        <f t="shared" si="36"/>
        <v>8.7853112969600415E-4</v>
      </c>
      <c r="J100" s="11">
        <f t="shared" si="37"/>
        <v>8.8808038110574329E-4</v>
      </c>
      <c r="K100" s="11">
        <f t="shared" si="38"/>
        <v>9.2844767115600447E-4</v>
      </c>
      <c r="L100" s="11">
        <f t="shared" si="39"/>
        <v>9.7265946502057604E-4</v>
      </c>
      <c r="M100" s="25"/>
      <c r="N100" s="28"/>
      <c r="O100" s="25"/>
      <c r="P100" s="28"/>
      <c r="Q100" s="25"/>
      <c r="R100" s="28"/>
      <c r="S100" s="25"/>
      <c r="T100" s="25"/>
      <c r="U100" s="28"/>
      <c r="V100" s="25"/>
      <c r="W100" s="15"/>
      <c r="X100" s="52"/>
    </row>
    <row r="101" spans="1:24" ht="20.45" customHeight="1">
      <c r="A101" s="10" t="s">
        <v>116</v>
      </c>
      <c r="B101" s="11">
        <v>1.0243055555555556E-2</v>
      </c>
      <c r="C101" s="11">
        <v>2.9513888888888888E-3</v>
      </c>
      <c r="D101" s="11">
        <f t="shared" si="32"/>
        <v>5.9594097222222218E-3</v>
      </c>
      <c r="E101" s="12">
        <v>0.58179999999999998</v>
      </c>
      <c r="F101" s="11">
        <f t="shared" si="33"/>
        <v>7.378472222222222E-4</v>
      </c>
      <c r="G101" s="11">
        <f t="shared" si="34"/>
        <v>7.9458796296296287E-4</v>
      </c>
      <c r="H101" s="11">
        <f t="shared" si="35"/>
        <v>8.1944444444444447E-4</v>
      </c>
      <c r="I101" s="11">
        <f t="shared" si="36"/>
        <v>8.5439565909996003E-4</v>
      </c>
      <c r="J101" s="11">
        <f t="shared" si="37"/>
        <v>8.636825684380031E-4</v>
      </c>
      <c r="K101" s="11">
        <f t="shared" si="38"/>
        <v>9.0294086700336686E-4</v>
      </c>
      <c r="L101" s="11">
        <f t="shared" si="39"/>
        <v>9.4593805114638445E-4</v>
      </c>
      <c r="M101" s="25"/>
      <c r="N101" s="28"/>
      <c r="O101" s="25"/>
      <c r="P101" s="28"/>
      <c r="Q101" s="25"/>
      <c r="R101" s="28"/>
      <c r="S101" s="25"/>
      <c r="T101" s="25"/>
      <c r="U101" s="28"/>
      <c r="V101" s="25"/>
      <c r="W101" s="15"/>
      <c r="X101" s="52"/>
    </row>
    <row r="102" spans="1:24" ht="20.45" customHeight="1">
      <c r="A102" s="10" t="s">
        <v>117</v>
      </c>
      <c r="B102" s="11">
        <v>1.0300925925925925E-2</v>
      </c>
      <c r="C102" s="11">
        <v>3.0671296296296297E-3</v>
      </c>
      <c r="D102" s="11">
        <f t="shared" si="32"/>
        <v>5.9930787037037027E-3</v>
      </c>
      <c r="E102" s="12">
        <v>0.58179999999999998</v>
      </c>
      <c r="F102" s="11">
        <f t="shared" si="33"/>
        <v>7.6678240740740743E-4</v>
      </c>
      <c r="G102" s="11">
        <f t="shared" si="34"/>
        <v>7.9907716049382703E-4</v>
      </c>
      <c r="H102" s="11">
        <f t="shared" si="35"/>
        <v>8.2407407407407397E-4</v>
      </c>
      <c r="I102" s="11">
        <f t="shared" si="36"/>
        <v>8.5922275321916877E-4</v>
      </c>
      <c r="J102" s="11">
        <f t="shared" si="37"/>
        <v>8.6856213097155112E-4</v>
      </c>
      <c r="K102" s="11">
        <f t="shared" si="38"/>
        <v>9.080422278338944E-4</v>
      </c>
      <c r="L102" s="11">
        <f t="shared" si="39"/>
        <v>9.5128233392122272E-4</v>
      </c>
      <c r="M102" s="25"/>
      <c r="N102" s="28"/>
      <c r="O102" s="25"/>
      <c r="P102" s="28"/>
      <c r="Q102" s="25"/>
      <c r="R102" s="28"/>
      <c r="S102" s="25"/>
      <c r="T102" s="25"/>
      <c r="U102" s="28"/>
      <c r="V102" s="25"/>
      <c r="W102" s="15"/>
      <c r="X102" s="52"/>
    </row>
    <row r="103" spans="1:24" ht="20.45" customHeight="1">
      <c r="A103" s="10" t="s">
        <v>118</v>
      </c>
      <c r="B103" s="11">
        <v>1.0300925925925925E-2</v>
      </c>
      <c r="C103" s="11">
        <v>3.0671296296296297E-3</v>
      </c>
      <c r="D103" s="11">
        <f t="shared" si="32"/>
        <v>5.9930787037037027E-3</v>
      </c>
      <c r="E103" s="12">
        <v>0.58179999999999998</v>
      </c>
      <c r="F103" s="11">
        <f t="shared" si="33"/>
        <v>7.6678240740740743E-4</v>
      </c>
      <c r="G103" s="11">
        <f t="shared" si="34"/>
        <v>7.9907716049382703E-4</v>
      </c>
      <c r="H103" s="11">
        <f t="shared" si="35"/>
        <v>8.2407407407407397E-4</v>
      </c>
      <c r="I103" s="11">
        <f t="shared" si="36"/>
        <v>8.5922275321916877E-4</v>
      </c>
      <c r="J103" s="11">
        <f t="shared" si="37"/>
        <v>8.6856213097155112E-4</v>
      </c>
      <c r="K103" s="11">
        <f t="shared" si="38"/>
        <v>9.080422278338944E-4</v>
      </c>
      <c r="L103" s="11">
        <f t="shared" si="39"/>
        <v>9.5128233392122272E-4</v>
      </c>
      <c r="M103" s="25"/>
      <c r="N103" s="28"/>
      <c r="O103" s="25"/>
      <c r="P103" s="28"/>
      <c r="Q103" s="25"/>
      <c r="R103" s="28"/>
      <c r="S103" s="25"/>
      <c r="T103" s="25"/>
      <c r="U103" s="28"/>
      <c r="V103" s="25"/>
      <c r="W103" s="15"/>
      <c r="X103" s="52"/>
    </row>
    <row r="104" spans="1:24" ht="20.45" customHeight="1">
      <c r="A104" s="10" t="s">
        <v>119</v>
      </c>
      <c r="B104" s="11">
        <v>1.0416666666666666E-2</v>
      </c>
      <c r="C104" s="11"/>
      <c r="D104" s="11">
        <f t="shared" si="32"/>
        <v>6.0604166666666662E-3</v>
      </c>
      <c r="E104" s="12">
        <v>0.58179999999999998</v>
      </c>
      <c r="F104" s="11">
        <f t="shared" si="33"/>
        <v>0</v>
      </c>
      <c r="G104" s="11">
        <f t="shared" si="34"/>
        <v>8.0805555555555546E-4</v>
      </c>
      <c r="H104" s="11">
        <f t="shared" si="35"/>
        <v>8.3333333333333328E-4</v>
      </c>
      <c r="I104" s="11">
        <f t="shared" si="36"/>
        <v>8.6887694145758646E-4</v>
      </c>
      <c r="J104" s="11">
        <f t="shared" si="37"/>
        <v>8.7832125603864715E-4</v>
      </c>
      <c r="K104" s="11">
        <f t="shared" si="38"/>
        <v>9.1824494949494938E-4</v>
      </c>
      <c r="L104" s="17">
        <f t="shared" si="39"/>
        <v>9.6197089947089938E-4</v>
      </c>
      <c r="M104" s="25"/>
      <c r="N104" s="28"/>
      <c r="O104" s="25"/>
      <c r="P104" s="28"/>
      <c r="Q104" s="25"/>
      <c r="R104" s="28"/>
      <c r="S104" s="25"/>
      <c r="T104" s="25"/>
      <c r="U104" s="28"/>
      <c r="V104" s="25"/>
      <c r="W104" s="15"/>
      <c r="X104" s="52"/>
    </row>
    <row r="105" spans="1:24" ht="20.45" customHeight="1">
      <c r="A105" s="10" t="s">
        <v>120</v>
      </c>
      <c r="B105" s="11">
        <v>1.0416666666666666E-2</v>
      </c>
      <c r="C105" s="11">
        <v>3.1250000000000002E-3</v>
      </c>
      <c r="D105" s="11">
        <f t="shared" si="32"/>
        <v>6.0604166666666662E-3</v>
      </c>
      <c r="E105" s="12">
        <v>0.58179999999999998</v>
      </c>
      <c r="F105" s="11">
        <f t="shared" si="33"/>
        <v>7.8125000000000004E-4</v>
      </c>
      <c r="G105" s="11">
        <f t="shared" si="34"/>
        <v>8.0805555555555546E-4</v>
      </c>
      <c r="H105" s="11">
        <f t="shared" si="35"/>
        <v>8.3333333333333328E-4</v>
      </c>
      <c r="I105" s="11">
        <f t="shared" si="36"/>
        <v>8.6887694145758646E-4</v>
      </c>
      <c r="J105" s="11">
        <f t="shared" si="37"/>
        <v>8.7832125603864715E-4</v>
      </c>
      <c r="K105" s="11">
        <f t="shared" si="38"/>
        <v>9.1824494949494938E-4</v>
      </c>
      <c r="L105" s="11">
        <f t="shared" si="39"/>
        <v>9.6197089947089938E-4</v>
      </c>
      <c r="M105" s="25"/>
      <c r="N105" s="28"/>
      <c r="O105" s="25"/>
      <c r="P105" s="28"/>
      <c r="Q105" s="25"/>
      <c r="R105" s="28"/>
      <c r="S105" s="25"/>
      <c r="T105" s="25"/>
      <c r="U105" s="28"/>
      <c r="V105" s="25"/>
      <c r="W105" s="15"/>
      <c r="X105" s="52"/>
    </row>
    <row r="106" spans="1:24" ht="20.45" customHeight="1">
      <c r="A106" s="10" t="s">
        <v>121</v>
      </c>
      <c r="B106" s="11">
        <v>1.0416666666666666E-2</v>
      </c>
      <c r="C106" s="11"/>
      <c r="D106" s="11">
        <f t="shared" si="32"/>
        <v>6.0604166666666662E-3</v>
      </c>
      <c r="E106" s="12">
        <v>0.58179999999999998</v>
      </c>
      <c r="F106" s="11">
        <f t="shared" si="33"/>
        <v>0</v>
      </c>
      <c r="G106" s="11">
        <f t="shared" si="34"/>
        <v>8.0805555555555546E-4</v>
      </c>
      <c r="H106" s="11">
        <f t="shared" si="35"/>
        <v>8.3333333333333328E-4</v>
      </c>
      <c r="I106" s="11">
        <f t="shared" si="36"/>
        <v>8.6887694145758646E-4</v>
      </c>
      <c r="J106" s="11">
        <f t="shared" si="37"/>
        <v>8.7832125603864715E-4</v>
      </c>
      <c r="K106" s="11">
        <f t="shared" si="38"/>
        <v>9.1824494949494938E-4</v>
      </c>
      <c r="L106" s="17">
        <f t="shared" si="39"/>
        <v>9.6197089947089938E-4</v>
      </c>
      <c r="M106" s="25"/>
      <c r="N106" s="28"/>
      <c r="O106" s="25"/>
      <c r="P106" s="28"/>
      <c r="Q106" s="25"/>
      <c r="R106" s="28"/>
      <c r="S106" s="25"/>
      <c r="T106" s="25"/>
      <c r="U106" s="28"/>
      <c r="V106" s="25"/>
      <c r="W106" s="15"/>
      <c r="X106" s="52"/>
    </row>
    <row r="107" spans="1:24" ht="20.45" customHeight="1">
      <c r="A107" s="10" t="s">
        <v>122</v>
      </c>
      <c r="B107" s="11">
        <v>1.0590277777777778E-2</v>
      </c>
      <c r="C107" s="11">
        <v>3.0671296296296297E-3</v>
      </c>
      <c r="D107" s="11">
        <f t="shared" si="32"/>
        <v>6.1614236111111114E-3</v>
      </c>
      <c r="E107" s="12">
        <v>0.58179999999999998</v>
      </c>
      <c r="F107" s="11">
        <f t="shared" si="33"/>
        <v>7.6678240740740743E-4</v>
      </c>
      <c r="G107" s="11">
        <f t="shared" si="34"/>
        <v>8.2152314814814816E-4</v>
      </c>
      <c r="H107" s="11">
        <f t="shared" si="35"/>
        <v>8.472222222222223E-4</v>
      </c>
      <c r="I107" s="11">
        <f t="shared" si="36"/>
        <v>8.8335822381521299E-4</v>
      </c>
      <c r="J107" s="11">
        <f t="shared" si="37"/>
        <v>8.9295994363929141E-4</v>
      </c>
      <c r="K107" s="11">
        <f t="shared" si="38"/>
        <v>9.3354903198653201E-4</v>
      </c>
      <c r="L107" s="11">
        <f t="shared" si="39"/>
        <v>9.7800374779541442E-4</v>
      </c>
      <c r="M107" s="25"/>
      <c r="N107" s="28"/>
      <c r="O107" s="25"/>
      <c r="P107" s="28"/>
      <c r="Q107" s="25"/>
      <c r="R107" s="28"/>
      <c r="S107" s="25"/>
      <c r="T107" s="25"/>
      <c r="U107" s="28"/>
      <c r="V107" s="25"/>
      <c r="W107" s="15"/>
      <c r="X107" s="52"/>
    </row>
    <row r="108" spans="1:24" ht="20.45" customHeight="1">
      <c r="A108" s="10" t="s">
        <v>123</v>
      </c>
      <c r="B108" s="11">
        <v>1.0590277777777778E-2</v>
      </c>
      <c r="C108" s="11">
        <v>3.1828703703703702E-3</v>
      </c>
      <c r="D108" s="11">
        <f t="shared" si="32"/>
        <v>6.1614236111111114E-3</v>
      </c>
      <c r="E108" s="12">
        <v>0.58179999999999998</v>
      </c>
      <c r="F108" s="11">
        <f t="shared" si="33"/>
        <v>7.9571759259259255E-4</v>
      </c>
      <c r="G108" s="11">
        <f t="shared" si="34"/>
        <v>8.2152314814814816E-4</v>
      </c>
      <c r="H108" s="11">
        <f t="shared" si="35"/>
        <v>8.472222222222223E-4</v>
      </c>
      <c r="I108" s="11">
        <f t="shared" si="36"/>
        <v>8.8335822381521299E-4</v>
      </c>
      <c r="J108" s="11">
        <f t="shared" si="37"/>
        <v>8.9295994363929141E-4</v>
      </c>
      <c r="K108" s="11">
        <f t="shared" si="38"/>
        <v>9.3354903198653201E-4</v>
      </c>
      <c r="L108" s="11">
        <f t="shared" si="39"/>
        <v>9.7800374779541442E-4</v>
      </c>
      <c r="M108" s="25"/>
      <c r="N108" s="28"/>
      <c r="O108" s="25"/>
      <c r="P108" s="28"/>
      <c r="Q108" s="25"/>
      <c r="R108" s="28"/>
      <c r="S108" s="25"/>
      <c r="T108" s="25"/>
      <c r="U108" s="28"/>
      <c r="V108" s="25"/>
      <c r="W108" s="15"/>
      <c r="X108" s="52"/>
    </row>
    <row r="109" spans="1:24" ht="20.45" customHeight="1">
      <c r="A109" s="10" t="s">
        <v>124</v>
      </c>
      <c r="B109" s="11">
        <v>1.0590277777777778E-2</v>
      </c>
      <c r="C109" s="11"/>
      <c r="D109" s="11">
        <f t="shared" si="32"/>
        <v>6.1614236111111114E-3</v>
      </c>
      <c r="E109" s="12">
        <v>0.58179999999999998</v>
      </c>
      <c r="F109" s="11">
        <f t="shared" si="33"/>
        <v>0</v>
      </c>
      <c r="G109" s="11">
        <f t="shared" si="34"/>
        <v>8.2152314814814816E-4</v>
      </c>
      <c r="H109" s="11">
        <f t="shared" si="35"/>
        <v>8.472222222222223E-4</v>
      </c>
      <c r="I109" s="11">
        <f t="shared" si="36"/>
        <v>8.8335822381521299E-4</v>
      </c>
      <c r="J109" s="11">
        <f t="shared" si="37"/>
        <v>8.9295994363929141E-4</v>
      </c>
      <c r="K109" s="11">
        <f t="shared" si="38"/>
        <v>9.3354903198653201E-4</v>
      </c>
      <c r="L109" s="11">
        <f t="shared" si="39"/>
        <v>9.7800374779541442E-4</v>
      </c>
      <c r="M109" s="25"/>
      <c r="N109" s="28"/>
      <c r="O109" s="25"/>
      <c r="P109" s="28"/>
      <c r="Q109" s="25"/>
      <c r="R109" s="28"/>
      <c r="S109" s="25"/>
      <c r="T109" s="25"/>
      <c r="U109" s="28"/>
      <c r="V109" s="25"/>
      <c r="W109" s="15"/>
      <c r="X109" s="52"/>
    </row>
    <row r="110" spans="1:24" ht="20.45" customHeight="1">
      <c r="A110" s="10" t="s">
        <v>125</v>
      </c>
      <c r="B110" s="11">
        <v>1.0648148148148148E-2</v>
      </c>
      <c r="C110" s="11"/>
      <c r="D110" s="11">
        <f t="shared" si="32"/>
        <v>6.1950925925925923E-3</v>
      </c>
      <c r="E110" s="12">
        <v>0.58179999999999998</v>
      </c>
      <c r="F110" s="11">
        <f t="shared" si="33"/>
        <v>0</v>
      </c>
      <c r="G110" s="11">
        <f t="shared" si="34"/>
        <v>8.2601234567901232E-4</v>
      </c>
      <c r="H110" s="11">
        <f t="shared" si="35"/>
        <v>8.5185185185185179E-4</v>
      </c>
      <c r="I110" s="11">
        <f t="shared" si="36"/>
        <v>8.8818531793442184E-4</v>
      </c>
      <c r="J110" s="11">
        <f t="shared" si="37"/>
        <v>8.9783950617283942E-4</v>
      </c>
      <c r="K110" s="11">
        <f t="shared" si="38"/>
        <v>9.3865039281705945E-4</v>
      </c>
      <c r="L110" s="11">
        <f t="shared" si="39"/>
        <v>9.833480305702527E-4</v>
      </c>
      <c r="M110" s="25"/>
      <c r="N110" s="28"/>
      <c r="O110" s="25"/>
      <c r="P110" s="28"/>
      <c r="Q110" s="25"/>
      <c r="R110" s="28"/>
      <c r="S110" s="25"/>
      <c r="T110" s="25"/>
      <c r="U110" s="28"/>
      <c r="V110" s="25"/>
      <c r="W110" s="15"/>
      <c r="X110" s="52"/>
    </row>
    <row r="111" spans="1:24" ht="20.45" customHeight="1">
      <c r="A111" s="10" t="s">
        <v>126</v>
      </c>
      <c r="B111" s="11">
        <v>1.0648148148148148E-2</v>
      </c>
      <c r="C111" s="11"/>
      <c r="D111" s="11">
        <f t="shared" si="32"/>
        <v>6.1950925925925923E-3</v>
      </c>
      <c r="E111" s="12">
        <v>0.58179999999999998</v>
      </c>
      <c r="F111" s="11">
        <f t="shared" si="33"/>
        <v>0</v>
      </c>
      <c r="G111" s="11">
        <f t="shared" si="34"/>
        <v>8.2601234567901232E-4</v>
      </c>
      <c r="H111" s="11">
        <f t="shared" si="35"/>
        <v>8.5185185185185179E-4</v>
      </c>
      <c r="I111" s="11">
        <f t="shared" si="36"/>
        <v>8.8818531793442184E-4</v>
      </c>
      <c r="J111" s="11">
        <f t="shared" si="37"/>
        <v>8.9783950617283942E-4</v>
      </c>
      <c r="K111" s="11">
        <f t="shared" si="38"/>
        <v>9.3865039281705945E-4</v>
      </c>
      <c r="L111" s="11">
        <f t="shared" si="39"/>
        <v>9.833480305702527E-4</v>
      </c>
      <c r="M111" s="25"/>
      <c r="N111" s="28"/>
      <c r="O111" s="25"/>
      <c r="P111" s="28"/>
      <c r="Q111" s="25"/>
      <c r="R111" s="28"/>
      <c r="S111" s="25"/>
      <c r="T111" s="25"/>
      <c r="U111" s="28"/>
      <c r="V111" s="25"/>
      <c r="W111" s="15"/>
      <c r="X111" s="52"/>
    </row>
    <row r="112" spans="1:24" ht="20.45" customHeight="1">
      <c r="A112" s="10" t="s">
        <v>127</v>
      </c>
      <c r="B112" s="11">
        <v>1.0648148148148148E-2</v>
      </c>
      <c r="C112" s="11">
        <v>2.9513888888888888E-3</v>
      </c>
      <c r="D112" s="11">
        <f t="shared" si="32"/>
        <v>6.1950925925925923E-3</v>
      </c>
      <c r="E112" s="12">
        <v>0.58179999999999998</v>
      </c>
      <c r="F112" s="11">
        <f t="shared" si="33"/>
        <v>7.378472222222222E-4</v>
      </c>
      <c r="G112" s="11">
        <f t="shared" si="34"/>
        <v>8.2601234567901232E-4</v>
      </c>
      <c r="H112" s="11">
        <f t="shared" si="35"/>
        <v>8.5185185185185179E-4</v>
      </c>
      <c r="I112" s="11">
        <f t="shared" si="36"/>
        <v>8.8818531793442184E-4</v>
      </c>
      <c r="J112" s="11">
        <f t="shared" si="37"/>
        <v>8.9783950617283942E-4</v>
      </c>
      <c r="K112" s="11">
        <f t="shared" si="38"/>
        <v>9.3865039281705945E-4</v>
      </c>
      <c r="L112" s="11">
        <f t="shared" si="39"/>
        <v>9.833480305702527E-4</v>
      </c>
      <c r="M112" s="25"/>
      <c r="N112" s="28"/>
      <c r="O112" s="25"/>
      <c r="P112" s="28"/>
      <c r="Q112" s="25"/>
      <c r="R112" s="28"/>
      <c r="S112" s="25"/>
      <c r="T112" s="25"/>
      <c r="U112" s="28"/>
      <c r="V112" s="25"/>
      <c r="W112" s="15"/>
      <c r="X112" s="52"/>
    </row>
    <row r="113" spans="1:24" ht="20.45" customHeight="1">
      <c r="A113" s="10" t="s">
        <v>128</v>
      </c>
      <c r="B113" s="11">
        <v>1.0648148148148148E-2</v>
      </c>
      <c r="C113" s="11"/>
      <c r="D113" s="11">
        <f t="shared" si="32"/>
        <v>6.1950925925925923E-3</v>
      </c>
      <c r="E113" s="12">
        <v>0.58179999999999998</v>
      </c>
      <c r="F113" s="11">
        <f t="shared" si="33"/>
        <v>0</v>
      </c>
      <c r="G113" s="11">
        <f t="shared" si="34"/>
        <v>8.2601234567901232E-4</v>
      </c>
      <c r="H113" s="11">
        <f t="shared" si="35"/>
        <v>8.5185185185185179E-4</v>
      </c>
      <c r="I113" s="11">
        <f t="shared" si="36"/>
        <v>8.8818531793442184E-4</v>
      </c>
      <c r="J113" s="11">
        <f t="shared" si="37"/>
        <v>8.9783950617283942E-4</v>
      </c>
      <c r="K113" s="11">
        <f t="shared" si="38"/>
        <v>9.3865039281705945E-4</v>
      </c>
      <c r="L113" s="11">
        <f t="shared" si="39"/>
        <v>9.833480305702527E-4</v>
      </c>
      <c r="M113" s="25"/>
      <c r="N113" s="28"/>
      <c r="O113" s="25"/>
      <c r="P113" s="28"/>
      <c r="Q113" s="25"/>
      <c r="R113" s="28"/>
      <c r="S113" s="25"/>
      <c r="T113" s="25"/>
      <c r="U113" s="28"/>
      <c r="V113" s="25"/>
      <c r="W113" s="15"/>
      <c r="X113" s="52"/>
    </row>
    <row r="114" spans="1:24" ht="20.45" customHeight="1">
      <c r="A114" s="10" t="s">
        <v>129</v>
      </c>
      <c r="B114" s="11">
        <v>1.0763888888888891E-2</v>
      </c>
      <c r="C114" s="11">
        <v>3.0092592592592593E-3</v>
      </c>
      <c r="D114" s="11">
        <f t="shared" si="32"/>
        <v>6.2624305555555567E-3</v>
      </c>
      <c r="E114" s="12">
        <v>0.58179999999999998</v>
      </c>
      <c r="F114" s="11">
        <f t="shared" si="33"/>
        <v>7.5231481481481482E-4</v>
      </c>
      <c r="G114" s="11">
        <f t="shared" si="34"/>
        <v>8.3499074074074085E-4</v>
      </c>
      <c r="H114" s="11">
        <f t="shared" si="35"/>
        <v>8.6111111111111121E-4</v>
      </c>
      <c r="I114" s="11">
        <f t="shared" si="36"/>
        <v>8.9783950617283953E-4</v>
      </c>
      <c r="J114" s="11">
        <f t="shared" si="37"/>
        <v>9.0759863123993567E-4</v>
      </c>
      <c r="K114" s="11">
        <f t="shared" si="38"/>
        <v>9.4885311447811464E-4</v>
      </c>
      <c r="L114" s="11">
        <f t="shared" si="39"/>
        <v>9.9403659611992969E-4</v>
      </c>
      <c r="M114" s="25"/>
      <c r="N114" s="28"/>
      <c r="O114" s="25"/>
      <c r="P114" s="28"/>
      <c r="Q114" s="25"/>
      <c r="R114" s="28"/>
      <c r="S114" s="25"/>
      <c r="T114" s="25"/>
      <c r="U114" s="28"/>
      <c r="V114" s="25"/>
      <c r="W114" s="15"/>
      <c r="X114" s="52"/>
    </row>
    <row r="115" spans="1:24" ht="20.45" customHeight="1">
      <c r="A115" s="10" t="s">
        <v>130</v>
      </c>
      <c r="B115" s="11">
        <v>1.0763888888888891E-2</v>
      </c>
      <c r="C115" s="11">
        <v>3.1828703703703702E-3</v>
      </c>
      <c r="D115" s="11">
        <f t="shared" si="32"/>
        <v>6.2624305555555567E-3</v>
      </c>
      <c r="E115" s="12">
        <v>0.58179999999999998</v>
      </c>
      <c r="F115" s="11">
        <f t="shared" si="33"/>
        <v>7.9571759259259255E-4</v>
      </c>
      <c r="G115" s="11">
        <f t="shared" si="34"/>
        <v>8.3499074074074085E-4</v>
      </c>
      <c r="H115" s="11">
        <f t="shared" si="35"/>
        <v>8.6111111111111121E-4</v>
      </c>
      <c r="I115" s="11">
        <f t="shared" si="36"/>
        <v>8.9783950617283953E-4</v>
      </c>
      <c r="J115" s="11">
        <f t="shared" si="37"/>
        <v>9.0759863123993567E-4</v>
      </c>
      <c r="K115" s="11">
        <f t="shared" si="38"/>
        <v>9.4885311447811464E-4</v>
      </c>
      <c r="L115" s="11">
        <f t="shared" si="39"/>
        <v>9.9403659611992969E-4</v>
      </c>
      <c r="M115" s="25"/>
      <c r="N115" s="28"/>
      <c r="O115" s="25"/>
      <c r="P115" s="28"/>
      <c r="Q115" s="25"/>
      <c r="R115" s="28"/>
      <c r="S115" s="25"/>
      <c r="T115" s="25"/>
      <c r="U115" s="28"/>
      <c r="V115" s="25"/>
      <c r="W115" s="15"/>
      <c r="X115" s="52"/>
    </row>
    <row r="116" spans="1:24" ht="20.45" customHeight="1">
      <c r="A116" s="19" t="s">
        <v>144</v>
      </c>
      <c r="B116" s="6"/>
      <c r="C116" s="6"/>
      <c r="D116" s="6"/>
      <c r="E116" s="20"/>
      <c r="F116" s="6"/>
      <c r="G116" s="6"/>
      <c r="H116" s="6"/>
      <c r="I116" s="6"/>
      <c r="J116" s="6"/>
      <c r="K116" s="6"/>
      <c r="L116" s="6"/>
      <c r="M116" s="6"/>
      <c r="N116" s="6"/>
      <c r="O116" s="6"/>
      <c r="P116" s="6"/>
      <c r="Q116" s="6"/>
      <c r="R116" s="6"/>
      <c r="S116" s="6"/>
      <c r="T116" s="6"/>
      <c r="U116" s="6"/>
      <c r="V116" s="23"/>
      <c r="W116" s="35"/>
      <c r="X116" s="52"/>
    </row>
    <row r="117" spans="1:24" ht="20.45" customHeight="1">
      <c r="A117" s="10" t="s">
        <v>131</v>
      </c>
      <c r="B117" s="11">
        <v>1.0763888888888891E-2</v>
      </c>
      <c r="C117" s="11">
        <v>3.1828703703703702E-3</v>
      </c>
      <c r="D117" s="11">
        <f t="shared" ref="D117:D123" si="40">B117*E117</f>
        <v>6.2624305555555567E-3</v>
      </c>
      <c r="E117" s="12">
        <v>0.58179999999999998</v>
      </c>
      <c r="F117" s="11">
        <f t="shared" ref="F117:F123" si="41">C117/4</f>
        <v>7.9571759259259255E-4</v>
      </c>
      <c r="G117" s="11">
        <f t="shared" ref="G117:G123" si="42">D117/7.5</f>
        <v>8.3499074074074085E-4</v>
      </c>
      <c r="H117" s="11">
        <f t="shared" ref="H117:H123" si="43">B117/12.5</f>
        <v>8.6111111111111121E-4</v>
      </c>
      <c r="I117" s="11">
        <f t="shared" ref="I117:I123" si="44">G117/0.93</f>
        <v>8.9783950617283953E-4</v>
      </c>
      <c r="J117" s="11">
        <f t="shared" ref="J117:J123" si="45">G117/0.92</f>
        <v>9.0759863123993567E-4</v>
      </c>
      <c r="K117" s="11">
        <f t="shared" ref="K117:K123" si="46">G117/0.88</f>
        <v>9.4885311447811464E-4</v>
      </c>
      <c r="L117" s="11">
        <f t="shared" ref="L117:L123" si="47">G117/0.84</f>
        <v>9.9403659611992969E-4</v>
      </c>
      <c r="M117" s="25"/>
      <c r="N117" s="28"/>
      <c r="O117" s="25"/>
      <c r="P117" s="28"/>
      <c r="Q117" s="25"/>
      <c r="R117" s="28"/>
      <c r="S117" s="25"/>
      <c r="T117" s="25"/>
      <c r="U117" s="28"/>
      <c r="V117" s="25"/>
      <c r="W117" s="15"/>
      <c r="X117" s="52"/>
    </row>
    <row r="118" spans="1:24" ht="20.45" customHeight="1">
      <c r="A118" s="10" t="s">
        <v>132</v>
      </c>
      <c r="B118" s="11">
        <v>1.0763888888888891E-2</v>
      </c>
      <c r="C118" s="11"/>
      <c r="D118" s="11">
        <f t="shared" si="40"/>
        <v>6.2624305555555567E-3</v>
      </c>
      <c r="E118" s="12">
        <v>0.58179999999999998</v>
      </c>
      <c r="F118" s="11">
        <f t="shared" si="41"/>
        <v>0</v>
      </c>
      <c r="G118" s="11">
        <f t="shared" si="42"/>
        <v>8.3499074074074085E-4</v>
      </c>
      <c r="H118" s="11">
        <f t="shared" si="43"/>
        <v>8.6111111111111121E-4</v>
      </c>
      <c r="I118" s="11">
        <f t="shared" si="44"/>
        <v>8.9783950617283953E-4</v>
      </c>
      <c r="J118" s="11">
        <f t="shared" si="45"/>
        <v>9.0759863123993567E-4</v>
      </c>
      <c r="K118" s="11">
        <f t="shared" si="46"/>
        <v>9.4885311447811464E-4</v>
      </c>
      <c r="L118" s="11">
        <f t="shared" si="47"/>
        <v>9.9403659611992969E-4</v>
      </c>
      <c r="M118" s="25"/>
      <c r="N118" s="28"/>
      <c r="O118" s="25"/>
      <c r="P118" s="28"/>
      <c r="Q118" s="25"/>
      <c r="R118" s="28"/>
      <c r="S118" s="25"/>
      <c r="T118" s="25"/>
      <c r="U118" s="28"/>
      <c r="V118" s="25"/>
      <c r="W118" s="15"/>
      <c r="X118" s="50"/>
    </row>
    <row r="119" spans="1:24" ht="20.45" customHeight="1">
      <c r="A119" s="10" t="s">
        <v>133</v>
      </c>
      <c r="B119" s="11">
        <v>1.0763888888888891E-2</v>
      </c>
      <c r="C119" s="11">
        <v>3.1250000000000002E-3</v>
      </c>
      <c r="D119" s="11">
        <f t="shared" si="40"/>
        <v>6.2624305555555567E-3</v>
      </c>
      <c r="E119" s="12">
        <v>0.58179999999999998</v>
      </c>
      <c r="F119" s="11">
        <f t="shared" si="41"/>
        <v>7.8125000000000004E-4</v>
      </c>
      <c r="G119" s="11">
        <f t="shared" si="42"/>
        <v>8.3499074074074085E-4</v>
      </c>
      <c r="H119" s="11">
        <f t="shared" si="43"/>
        <v>8.6111111111111121E-4</v>
      </c>
      <c r="I119" s="11">
        <f t="shared" si="44"/>
        <v>8.9783950617283953E-4</v>
      </c>
      <c r="J119" s="11">
        <f t="shared" si="45"/>
        <v>9.0759863123993567E-4</v>
      </c>
      <c r="K119" s="11">
        <f t="shared" si="46"/>
        <v>9.4885311447811464E-4</v>
      </c>
      <c r="L119" s="11">
        <f t="shared" si="47"/>
        <v>9.9403659611992969E-4</v>
      </c>
      <c r="M119" s="25"/>
      <c r="N119" s="28"/>
      <c r="O119" s="25"/>
      <c r="P119" s="28"/>
      <c r="Q119" s="25"/>
      <c r="R119" s="28"/>
      <c r="S119" s="25"/>
      <c r="T119" s="25"/>
      <c r="U119" s="28"/>
      <c r="V119" s="25"/>
      <c r="W119" s="15"/>
      <c r="X119" s="50"/>
    </row>
    <row r="120" spans="1:24" ht="20.45" customHeight="1">
      <c r="A120" s="10" t="s">
        <v>134</v>
      </c>
      <c r="B120" s="11">
        <v>1.1631944444444445E-2</v>
      </c>
      <c r="C120" s="11"/>
      <c r="D120" s="11">
        <f t="shared" si="40"/>
        <v>6.7674652777777776E-3</v>
      </c>
      <c r="E120" s="12">
        <v>0.58179999999999998</v>
      </c>
      <c r="F120" s="11">
        <f t="shared" si="41"/>
        <v>0</v>
      </c>
      <c r="G120" s="11">
        <f t="shared" si="42"/>
        <v>9.0232870370370369E-4</v>
      </c>
      <c r="H120" s="11">
        <f t="shared" si="43"/>
        <v>9.3055555555555556E-4</v>
      </c>
      <c r="I120" s="11">
        <f t="shared" si="44"/>
        <v>9.7024591796097167E-4</v>
      </c>
      <c r="J120" s="11">
        <f t="shared" si="45"/>
        <v>9.8079206924315621E-4</v>
      </c>
      <c r="K120" s="11">
        <f t="shared" si="46"/>
        <v>1.0253735269360269E-3</v>
      </c>
      <c r="L120" s="17">
        <f t="shared" si="47"/>
        <v>1.0742008377425045E-3</v>
      </c>
      <c r="M120" s="25"/>
      <c r="N120" s="28"/>
      <c r="O120" s="25"/>
      <c r="P120" s="28"/>
      <c r="Q120" s="25"/>
      <c r="R120" s="28"/>
      <c r="S120" s="25"/>
      <c r="T120" s="25"/>
      <c r="U120" s="28"/>
      <c r="V120" s="25"/>
      <c r="W120" s="15"/>
      <c r="X120" s="50"/>
    </row>
    <row r="121" spans="1:24" ht="20.45" customHeight="1">
      <c r="A121" s="10" t="s">
        <v>135</v>
      </c>
      <c r="B121" s="11">
        <v>1.1631944444444445E-2</v>
      </c>
      <c r="C121" s="11">
        <v>3.414351851851852E-3</v>
      </c>
      <c r="D121" s="11">
        <f t="shared" si="40"/>
        <v>6.7674652777777776E-3</v>
      </c>
      <c r="E121" s="12">
        <v>0.58179999999999998</v>
      </c>
      <c r="F121" s="11">
        <f t="shared" si="41"/>
        <v>8.53587962962963E-4</v>
      </c>
      <c r="G121" s="11">
        <f t="shared" si="42"/>
        <v>9.0232870370370369E-4</v>
      </c>
      <c r="H121" s="11">
        <f t="shared" si="43"/>
        <v>9.3055555555555556E-4</v>
      </c>
      <c r="I121" s="11">
        <f t="shared" si="44"/>
        <v>9.7024591796097167E-4</v>
      </c>
      <c r="J121" s="11">
        <f t="shared" si="45"/>
        <v>9.8079206924315621E-4</v>
      </c>
      <c r="K121" s="11">
        <f t="shared" si="46"/>
        <v>1.0253735269360269E-3</v>
      </c>
      <c r="L121" s="11">
        <f t="shared" si="47"/>
        <v>1.0742008377425045E-3</v>
      </c>
      <c r="M121" s="25"/>
      <c r="N121" s="28"/>
      <c r="O121" s="25"/>
      <c r="P121" s="28"/>
      <c r="Q121" s="25"/>
      <c r="R121" s="28"/>
      <c r="S121" s="25"/>
      <c r="T121" s="25"/>
      <c r="U121" s="28"/>
      <c r="V121" s="25"/>
      <c r="W121" s="15"/>
      <c r="X121" s="50"/>
    </row>
    <row r="122" spans="1:24" ht="20.45" customHeight="1">
      <c r="A122" s="10" t="s">
        <v>136</v>
      </c>
      <c r="B122" s="11">
        <v>1.1111111111111112E-2</v>
      </c>
      <c r="C122" s="11">
        <v>3.1828703703703702E-3</v>
      </c>
      <c r="D122" s="11">
        <f t="shared" si="40"/>
        <v>6.4644444444444445E-3</v>
      </c>
      <c r="E122" s="12">
        <v>0.58179999999999998</v>
      </c>
      <c r="F122" s="11">
        <f t="shared" si="41"/>
        <v>7.9571759259259255E-4</v>
      </c>
      <c r="G122" s="11">
        <f t="shared" si="42"/>
        <v>8.6192592592592592E-4</v>
      </c>
      <c r="H122" s="11">
        <f t="shared" si="43"/>
        <v>8.8888888888888893E-4</v>
      </c>
      <c r="I122" s="11">
        <f t="shared" si="44"/>
        <v>9.2680207088809239E-4</v>
      </c>
      <c r="J122" s="11">
        <f t="shared" si="45"/>
        <v>9.3687600644122375E-4</v>
      </c>
      <c r="K122" s="11">
        <f t="shared" si="46"/>
        <v>9.7946127946127947E-4</v>
      </c>
      <c r="L122" s="11">
        <f t="shared" si="47"/>
        <v>1.0261022927689596E-3</v>
      </c>
      <c r="M122" s="25"/>
      <c r="N122" s="28"/>
      <c r="O122" s="25"/>
      <c r="P122" s="28"/>
      <c r="Q122" s="25"/>
      <c r="R122" s="28"/>
      <c r="S122" s="25"/>
      <c r="T122" s="25"/>
      <c r="U122" s="28"/>
      <c r="V122" s="25"/>
      <c r="W122" s="15"/>
      <c r="X122" s="50"/>
    </row>
    <row r="123" spans="1:24" ht="20.45" customHeight="1">
      <c r="A123" s="10" t="s">
        <v>137</v>
      </c>
      <c r="B123" s="11">
        <v>1.0763888888888891E-2</v>
      </c>
      <c r="C123" s="11">
        <v>3.0092592592592593E-3</v>
      </c>
      <c r="D123" s="11">
        <f t="shared" si="40"/>
        <v>6.2624305555555567E-3</v>
      </c>
      <c r="E123" s="12">
        <v>0.58179999999999998</v>
      </c>
      <c r="F123" s="11">
        <f t="shared" si="41"/>
        <v>7.5231481481481482E-4</v>
      </c>
      <c r="G123" s="11">
        <f t="shared" si="42"/>
        <v>8.3499074074074085E-4</v>
      </c>
      <c r="H123" s="11">
        <f t="shared" si="43"/>
        <v>8.6111111111111121E-4</v>
      </c>
      <c r="I123" s="11">
        <f t="shared" si="44"/>
        <v>8.9783950617283953E-4</v>
      </c>
      <c r="J123" s="11">
        <f t="shared" si="45"/>
        <v>9.0759863123993567E-4</v>
      </c>
      <c r="K123" s="11">
        <f t="shared" si="46"/>
        <v>9.4885311447811464E-4</v>
      </c>
      <c r="L123" s="11">
        <f t="shared" si="47"/>
        <v>9.9403659611992969E-4</v>
      </c>
      <c r="M123" s="25"/>
      <c r="N123" s="28"/>
      <c r="O123" s="25"/>
      <c r="P123" s="28"/>
      <c r="Q123" s="25"/>
      <c r="R123" s="28"/>
      <c r="S123" s="25"/>
      <c r="T123" s="25"/>
      <c r="U123" s="28"/>
      <c r="V123" s="25"/>
      <c r="W123" s="15"/>
      <c r="X123" s="50"/>
    </row>
    <row r="124" spans="1:24" ht="20.45" customHeight="1">
      <c r="A124" s="10"/>
      <c r="B124" s="11"/>
      <c r="C124" s="11"/>
      <c r="D124" s="11"/>
      <c r="E124" s="12"/>
      <c r="F124" s="11"/>
      <c r="G124" s="11"/>
      <c r="H124" s="11"/>
      <c r="I124" s="11"/>
      <c r="J124" s="11"/>
      <c r="K124" s="11"/>
      <c r="L124" s="11"/>
      <c r="M124" s="25"/>
      <c r="N124" s="28"/>
      <c r="O124" s="25"/>
      <c r="P124" s="25"/>
      <c r="Q124" s="25"/>
      <c r="R124" s="25"/>
      <c r="S124" s="25"/>
      <c r="T124" s="25"/>
      <c r="U124" s="28"/>
      <c r="V124" s="25"/>
      <c r="W124" s="15"/>
      <c r="X124" s="50"/>
    </row>
    <row r="125" spans="1:24" ht="20.45" customHeight="1">
      <c r="A125" s="10"/>
      <c r="B125" s="11"/>
      <c r="C125" s="11"/>
      <c r="D125" s="11"/>
      <c r="E125" s="12"/>
      <c r="F125" s="11"/>
      <c r="G125" s="11"/>
      <c r="H125" s="11"/>
      <c r="I125" s="11"/>
      <c r="J125" s="11"/>
      <c r="K125" s="11"/>
      <c r="L125" s="17"/>
      <c r="M125" s="25"/>
      <c r="N125" s="28"/>
      <c r="O125" s="25"/>
      <c r="P125" s="25"/>
      <c r="Q125" s="25"/>
      <c r="R125" s="28"/>
      <c r="S125" s="25"/>
      <c r="T125" s="25"/>
      <c r="U125" s="28"/>
      <c r="V125" s="25"/>
      <c r="W125" s="15"/>
      <c r="X125" s="50"/>
    </row>
    <row r="126" spans="1:24" ht="20.45" customHeight="1">
      <c r="A126" s="10"/>
      <c r="B126" s="11"/>
      <c r="C126" s="11"/>
      <c r="D126" s="11"/>
      <c r="E126" s="12"/>
      <c r="F126" s="11"/>
      <c r="G126" s="11"/>
      <c r="H126" s="11"/>
      <c r="I126" s="11"/>
      <c r="J126" s="11"/>
      <c r="K126" s="11"/>
      <c r="L126" s="11"/>
      <c r="M126" s="25"/>
      <c r="N126" s="28"/>
      <c r="O126" s="25"/>
      <c r="P126" s="25"/>
      <c r="Q126" s="25"/>
      <c r="R126" s="28"/>
      <c r="S126" s="25"/>
      <c r="T126" s="25"/>
      <c r="U126" s="28"/>
      <c r="V126" s="25"/>
      <c r="W126" s="15"/>
      <c r="X126" s="50"/>
    </row>
    <row r="127" spans="1:24" ht="20.45" customHeight="1">
      <c r="A127" s="10"/>
      <c r="B127" s="11"/>
      <c r="C127" s="11"/>
      <c r="D127" s="11"/>
      <c r="E127" s="12"/>
      <c r="F127" s="11"/>
      <c r="G127" s="11"/>
      <c r="H127" s="11"/>
      <c r="I127" s="11"/>
      <c r="J127" s="11"/>
      <c r="K127" s="11"/>
      <c r="L127" s="11"/>
      <c r="M127" s="25"/>
      <c r="N127" s="28"/>
      <c r="O127" s="25"/>
      <c r="P127" s="28"/>
      <c r="Q127" s="25"/>
      <c r="R127" s="28"/>
      <c r="S127" s="25"/>
      <c r="T127" s="25"/>
      <c r="U127" s="28"/>
      <c r="V127" s="28"/>
      <c r="W127" s="27"/>
      <c r="X127" s="50"/>
    </row>
    <row r="128" spans="1:24" ht="20.45" customHeight="1">
      <c r="A128" s="10"/>
      <c r="B128" s="11"/>
      <c r="C128" s="11"/>
      <c r="D128" s="11"/>
      <c r="E128" s="12"/>
      <c r="F128" s="11"/>
      <c r="G128" s="11"/>
      <c r="H128" s="11"/>
      <c r="I128" s="11"/>
      <c r="J128" s="11"/>
      <c r="K128" s="11"/>
      <c r="L128" s="11"/>
      <c r="M128" s="25"/>
      <c r="N128" s="28"/>
      <c r="O128" s="25"/>
      <c r="P128" s="25"/>
      <c r="Q128" s="25"/>
      <c r="R128" s="25"/>
      <c r="S128" s="25"/>
      <c r="T128" s="25"/>
      <c r="U128" s="28"/>
      <c r="V128" s="25"/>
      <c r="W128" s="15"/>
      <c r="X128" s="50"/>
    </row>
    <row r="129" spans="1:24" ht="20.45" customHeight="1">
      <c r="A129" s="10"/>
      <c r="B129" s="11"/>
      <c r="C129" s="11"/>
      <c r="D129" s="11"/>
      <c r="E129" s="12"/>
      <c r="F129" s="11"/>
      <c r="G129" s="11"/>
      <c r="H129" s="11"/>
      <c r="I129" s="11"/>
      <c r="J129" s="11"/>
      <c r="K129" s="11"/>
      <c r="L129" s="11"/>
      <c r="M129" s="25"/>
      <c r="N129" s="28"/>
      <c r="O129" s="25"/>
      <c r="P129" s="25"/>
      <c r="Q129" s="25"/>
      <c r="R129" s="25"/>
      <c r="S129" s="25"/>
      <c r="T129" s="25"/>
      <c r="U129" s="28"/>
      <c r="V129" s="25"/>
      <c r="W129" s="15"/>
      <c r="X129" s="50"/>
    </row>
    <row r="130" spans="1:24" ht="20.45" customHeight="1">
      <c r="A130" s="10"/>
      <c r="B130" s="11"/>
      <c r="C130" s="11"/>
      <c r="D130" s="11"/>
      <c r="E130" s="12"/>
      <c r="F130" s="11"/>
      <c r="G130" s="11"/>
      <c r="H130" s="11"/>
      <c r="I130" s="11"/>
      <c r="J130" s="11"/>
      <c r="K130" s="11"/>
      <c r="L130" s="17"/>
      <c r="M130" s="25"/>
      <c r="N130" s="28"/>
      <c r="O130" s="25"/>
      <c r="P130" s="25"/>
      <c r="Q130" s="28"/>
      <c r="R130" s="28"/>
      <c r="S130" s="25"/>
      <c r="T130" s="25"/>
      <c r="U130" s="28"/>
      <c r="V130" s="25"/>
      <c r="W130" s="15"/>
      <c r="X130" s="50"/>
    </row>
    <row r="131" spans="1:24" ht="20.45" customHeight="1">
      <c r="A131" s="10"/>
      <c r="B131" s="11"/>
      <c r="C131" s="11"/>
      <c r="D131" s="11"/>
      <c r="E131" s="12"/>
      <c r="F131" s="11"/>
      <c r="G131" s="11"/>
      <c r="H131" s="11"/>
      <c r="I131" s="11"/>
      <c r="J131" s="11"/>
      <c r="K131" s="11"/>
      <c r="L131" s="11"/>
      <c r="M131" s="25"/>
      <c r="N131" s="28"/>
      <c r="O131" s="25"/>
      <c r="P131" s="25"/>
      <c r="Q131" s="25"/>
      <c r="R131" s="25"/>
      <c r="S131" s="25"/>
      <c r="T131" s="25"/>
      <c r="U131" s="28"/>
      <c r="V131" s="25"/>
      <c r="W131" s="15"/>
      <c r="X131" s="50"/>
    </row>
    <row r="132" spans="1:24" ht="20.45" customHeight="1">
      <c r="A132" s="10"/>
      <c r="B132" s="11"/>
      <c r="C132" s="11"/>
      <c r="D132" s="11"/>
      <c r="E132" s="12"/>
      <c r="F132" s="11"/>
      <c r="G132" s="11"/>
      <c r="H132" s="11"/>
      <c r="I132" s="11"/>
      <c r="J132" s="11"/>
      <c r="K132" s="11"/>
      <c r="L132" s="11"/>
      <c r="M132" s="25"/>
      <c r="N132" s="28"/>
      <c r="O132" s="25"/>
      <c r="P132" s="25"/>
      <c r="Q132" s="25"/>
      <c r="R132" s="28"/>
      <c r="S132" s="25"/>
      <c r="T132" s="25"/>
      <c r="U132" s="28"/>
      <c r="V132" s="25"/>
      <c r="W132" s="15"/>
      <c r="X132" s="50"/>
    </row>
    <row r="133" spans="1:24" ht="20.45" customHeight="1">
      <c r="A133" s="10"/>
      <c r="B133" s="11"/>
      <c r="C133" s="11"/>
      <c r="D133" s="11"/>
      <c r="E133" s="12"/>
      <c r="F133" s="11"/>
      <c r="G133" s="11"/>
      <c r="H133" s="11"/>
      <c r="I133" s="11"/>
      <c r="J133" s="11"/>
      <c r="K133" s="11"/>
      <c r="L133" s="17"/>
      <c r="M133" s="11"/>
      <c r="N133" s="26"/>
      <c r="P133" s="26"/>
      <c r="Q133" s="26"/>
      <c r="R133" s="26"/>
      <c r="S133" s="14"/>
      <c r="T133" s="14"/>
      <c r="U133" s="26"/>
      <c r="V133" s="28"/>
      <c r="W133" s="27"/>
      <c r="X133" s="50"/>
    </row>
    <row r="134" spans="1:24" ht="20.45" customHeight="1">
      <c r="A134" s="10"/>
      <c r="B134" s="11"/>
      <c r="C134" s="11"/>
      <c r="D134" s="11"/>
      <c r="E134" s="12"/>
      <c r="F134" s="11"/>
      <c r="G134" s="11"/>
      <c r="H134" s="11"/>
      <c r="I134" s="11"/>
      <c r="J134" s="11"/>
      <c r="K134" s="11"/>
      <c r="L134" s="11"/>
      <c r="M134" s="25"/>
      <c r="N134" s="28"/>
      <c r="O134" s="25"/>
      <c r="P134" s="25"/>
      <c r="Q134" s="25"/>
      <c r="R134" s="25"/>
      <c r="S134" s="25"/>
      <c r="T134" s="25"/>
      <c r="U134" s="28"/>
      <c r="V134" s="25"/>
      <c r="W134" s="15"/>
      <c r="X134" s="50"/>
    </row>
    <row r="135" spans="1:24" ht="20.45" customHeight="1">
      <c r="A135" s="10"/>
      <c r="B135" s="11"/>
      <c r="C135" s="11"/>
      <c r="D135" s="11"/>
      <c r="E135" s="12"/>
      <c r="F135" s="11"/>
      <c r="G135" s="11"/>
      <c r="H135" s="11"/>
      <c r="I135" s="11"/>
      <c r="J135" s="11"/>
      <c r="K135" s="11"/>
      <c r="L135" s="17"/>
      <c r="M135" s="25"/>
      <c r="N135" s="28"/>
      <c r="O135" s="25"/>
      <c r="P135" s="25"/>
      <c r="Q135" s="25"/>
      <c r="R135" s="28"/>
      <c r="S135" s="25"/>
      <c r="T135" s="25"/>
      <c r="U135" s="28"/>
      <c r="V135" s="25"/>
      <c r="W135" s="15"/>
      <c r="X135" s="50"/>
    </row>
    <row r="136" spans="1:24" ht="20.45" customHeight="1">
      <c r="A136" s="10"/>
      <c r="B136" s="11"/>
      <c r="C136" s="11"/>
      <c r="D136" s="11"/>
      <c r="E136" s="12"/>
      <c r="F136" s="11"/>
      <c r="G136" s="11"/>
      <c r="H136" s="11"/>
      <c r="I136" s="11"/>
      <c r="J136" s="11"/>
      <c r="K136" s="11"/>
      <c r="L136" s="11"/>
      <c r="M136" s="25"/>
      <c r="N136" s="28"/>
      <c r="O136" s="25"/>
      <c r="P136" s="25"/>
      <c r="Q136" s="25"/>
      <c r="R136" s="25"/>
      <c r="S136" s="25"/>
      <c r="T136" s="25"/>
      <c r="U136" s="25"/>
      <c r="V136" s="25"/>
      <c r="W136" s="27"/>
      <c r="X136" s="50"/>
    </row>
    <row r="137" spans="1:24" ht="20.45" customHeight="1">
      <c r="A137" s="10"/>
      <c r="B137" s="11"/>
      <c r="C137" s="11"/>
      <c r="D137" s="11"/>
      <c r="E137" s="12"/>
      <c r="F137" s="11"/>
      <c r="G137" s="11"/>
      <c r="H137" s="11"/>
      <c r="I137" s="11"/>
      <c r="J137" s="11"/>
      <c r="K137" s="11"/>
      <c r="L137" s="11"/>
      <c r="M137" s="25"/>
      <c r="N137" s="28"/>
      <c r="O137" s="25"/>
      <c r="P137" s="25"/>
      <c r="Q137" s="28"/>
      <c r="R137" s="28"/>
      <c r="S137" s="25"/>
      <c r="T137" s="25"/>
      <c r="U137" s="28"/>
      <c r="V137" s="25"/>
      <c r="W137" s="15"/>
      <c r="X137" s="50"/>
    </row>
    <row r="138" spans="1:24" ht="20.45" customHeight="1">
      <c r="A138" s="10"/>
      <c r="B138" s="11"/>
      <c r="C138" s="11"/>
      <c r="D138" s="11"/>
      <c r="E138" s="12"/>
      <c r="F138" s="11"/>
      <c r="G138" s="11"/>
      <c r="H138" s="11"/>
      <c r="I138" s="11"/>
      <c r="J138" s="11"/>
      <c r="K138" s="11"/>
      <c r="L138" s="11"/>
      <c r="M138" s="25"/>
      <c r="N138" s="28"/>
      <c r="O138" s="25"/>
      <c r="P138" s="28"/>
      <c r="Q138" s="25"/>
      <c r="R138" s="28"/>
      <c r="S138" s="25"/>
      <c r="T138" s="28"/>
      <c r="U138" s="28"/>
      <c r="V138" s="25"/>
      <c r="W138" s="15"/>
      <c r="X138" s="51"/>
    </row>
    <row r="139" spans="1:24" ht="20.45" customHeight="1">
      <c r="A139" s="10"/>
      <c r="B139" s="11"/>
      <c r="C139" s="11"/>
      <c r="D139" s="11"/>
      <c r="E139" s="12"/>
      <c r="F139" s="11"/>
      <c r="G139" s="11"/>
      <c r="H139" s="11"/>
      <c r="I139" s="11"/>
      <c r="J139" s="11"/>
      <c r="K139" s="11"/>
      <c r="L139" s="11"/>
      <c r="M139" s="25"/>
      <c r="N139" s="28"/>
      <c r="O139" s="25"/>
      <c r="P139" s="25"/>
      <c r="Q139" s="25"/>
      <c r="R139" s="25"/>
      <c r="S139" s="25"/>
      <c r="T139" s="25"/>
      <c r="U139" s="28"/>
      <c r="V139" s="25"/>
      <c r="W139" s="15"/>
      <c r="X139" s="51"/>
    </row>
    <row r="140" spans="1:24" ht="20.45" customHeight="1">
      <c r="A140" s="10"/>
      <c r="B140" s="11"/>
      <c r="C140" s="11"/>
      <c r="D140" s="11"/>
      <c r="E140" s="12"/>
      <c r="F140" s="11"/>
      <c r="G140" s="11"/>
      <c r="H140" s="11"/>
      <c r="I140" s="11"/>
      <c r="J140" s="11"/>
      <c r="K140" s="11"/>
      <c r="L140" s="17"/>
      <c r="M140" s="25"/>
      <c r="N140" s="28"/>
      <c r="O140" s="25"/>
      <c r="P140" s="28"/>
      <c r="Q140" s="25"/>
      <c r="R140" s="28"/>
      <c r="S140" s="25"/>
      <c r="T140" s="25"/>
      <c r="U140" s="28"/>
      <c r="V140" s="28"/>
      <c r="W140" s="27"/>
      <c r="X140" s="51"/>
    </row>
    <row r="141" spans="1:24" ht="20.45" customHeight="1">
      <c r="A141" s="10"/>
      <c r="B141" s="11"/>
      <c r="C141" s="11"/>
      <c r="D141" s="11"/>
      <c r="E141" s="12"/>
      <c r="F141" s="11"/>
      <c r="G141" s="11"/>
      <c r="H141" s="11"/>
      <c r="I141" s="11"/>
      <c r="J141" s="11"/>
      <c r="K141" s="11"/>
      <c r="L141" s="11"/>
      <c r="M141" s="11"/>
      <c r="N141" s="26"/>
      <c r="P141" s="26"/>
      <c r="Q141" s="26"/>
      <c r="R141" s="26"/>
      <c r="S141" s="14"/>
      <c r="T141" s="14"/>
      <c r="U141" s="26"/>
      <c r="V141" s="28"/>
      <c r="W141" s="27"/>
      <c r="X141" s="51"/>
    </row>
    <row r="142" spans="1:24" ht="20.100000000000001" customHeight="1">
      <c r="A142" s="10"/>
      <c r="B142" s="11"/>
      <c r="C142" s="11"/>
      <c r="D142" s="11">
        <f>B142*E142</f>
        <v>0</v>
      </c>
      <c r="E142" s="12"/>
      <c r="F142" s="11">
        <f>C142/4</f>
        <v>0</v>
      </c>
      <c r="G142" s="11">
        <f>D142/7.5</f>
        <v>0</v>
      </c>
      <c r="H142" s="11">
        <f>B142/12.5</f>
        <v>0</v>
      </c>
      <c r="I142" s="11">
        <f>G142/0.93</f>
        <v>0</v>
      </c>
      <c r="J142" s="11">
        <f>G142/0.92</f>
        <v>0</v>
      </c>
      <c r="K142" s="11">
        <f>G142/0.88</f>
        <v>0</v>
      </c>
      <c r="L142" s="17">
        <f>G142/0.84</f>
        <v>0</v>
      </c>
      <c r="M142" s="11"/>
      <c r="N142" s="26"/>
      <c r="P142" s="26"/>
      <c r="Q142" s="26"/>
      <c r="R142" s="26"/>
      <c r="S142" s="14"/>
      <c r="T142" s="14"/>
      <c r="U142" s="26"/>
      <c r="V142" s="38"/>
      <c r="W142" s="31"/>
      <c r="X142" s="51"/>
    </row>
    <row r="143" spans="1:24" ht="20.100000000000001" customHeight="1">
      <c r="A143" s="10"/>
      <c r="B143" s="11"/>
      <c r="C143" s="11"/>
      <c r="D143" s="11">
        <f>B143*E143</f>
        <v>0</v>
      </c>
      <c r="E143" s="12"/>
      <c r="F143" s="11">
        <f>C143/4</f>
        <v>0</v>
      </c>
      <c r="G143" s="11">
        <f>D143/7.5</f>
        <v>0</v>
      </c>
      <c r="H143" s="11">
        <f>B143/12.5</f>
        <v>0</v>
      </c>
      <c r="I143" s="11">
        <f>G143/0.93</f>
        <v>0</v>
      </c>
      <c r="J143" s="11">
        <f>G143/0.92</f>
        <v>0</v>
      </c>
      <c r="K143" s="11">
        <f>G143/0.88</f>
        <v>0</v>
      </c>
      <c r="L143" s="17">
        <f>G143/0.84</f>
        <v>0</v>
      </c>
      <c r="M143" s="11"/>
      <c r="N143" s="26"/>
      <c r="P143" s="26"/>
      <c r="Q143" s="26"/>
      <c r="R143" s="26"/>
      <c r="S143" s="14"/>
      <c r="T143" s="14"/>
      <c r="U143" s="26"/>
      <c r="V143" s="38"/>
      <c r="W143" s="31"/>
      <c r="X143" s="51"/>
    </row>
    <row r="144" spans="1:24" ht="20.100000000000001" customHeight="1">
      <c r="A144" s="10"/>
      <c r="B144" s="11"/>
      <c r="C144" s="11"/>
      <c r="D144" s="11">
        <f>B144*E144</f>
        <v>0</v>
      </c>
      <c r="E144" s="12"/>
      <c r="F144" s="11">
        <f>C144/4</f>
        <v>0</v>
      </c>
      <c r="G144" s="11">
        <f>D144/7.5</f>
        <v>0</v>
      </c>
      <c r="H144" s="11">
        <f>B144/12.5</f>
        <v>0</v>
      </c>
      <c r="I144" s="11">
        <f>G144/0.93</f>
        <v>0</v>
      </c>
      <c r="J144" s="11">
        <f>G144/0.92</f>
        <v>0</v>
      </c>
      <c r="K144" s="11">
        <f>G144/0.88</f>
        <v>0</v>
      </c>
      <c r="L144" s="17">
        <f>G144/0.84</f>
        <v>0</v>
      </c>
      <c r="M144" s="11"/>
      <c r="N144" s="26"/>
      <c r="P144" s="26"/>
      <c r="Q144" s="26"/>
      <c r="R144" s="26"/>
      <c r="S144" s="14"/>
      <c r="T144" s="14"/>
      <c r="U144" s="26"/>
      <c r="V144" s="38"/>
      <c r="W144" s="31"/>
      <c r="X144" s="51"/>
    </row>
  </sheetData>
  <mergeCells count="15">
    <mergeCell ref="X118:X127"/>
    <mergeCell ref="X128:X137"/>
    <mergeCell ref="X138:X144"/>
    <mergeCell ref="X58:X67"/>
    <mergeCell ref="X68:X77"/>
    <mergeCell ref="X78:X87"/>
    <mergeCell ref="X88:X97"/>
    <mergeCell ref="X98:X107"/>
    <mergeCell ref="X108:X117"/>
    <mergeCell ref="X51:X57"/>
    <mergeCell ref="X1:X10"/>
    <mergeCell ref="X11:X20"/>
    <mergeCell ref="X21:X30"/>
    <mergeCell ref="X31:X40"/>
    <mergeCell ref="X41:X50"/>
  </mergeCells>
  <pageMargins left="0.25" right="0.25" top="0.25" bottom="0.25" header="0" footer="0"/>
  <pageSetup scale="95" fitToHeight="0" orientation="landscape"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4BCEC-D00E-4DF8-9358-A44E36F7BB98}">
  <sheetPr>
    <pageSetUpPr fitToPage="1"/>
  </sheetPr>
  <dimension ref="A1:Z144"/>
  <sheetViews>
    <sheetView zoomScale="70" zoomScaleNormal="70" workbookViewId="0">
      <selection activeCell="X78" sqref="X78:X87"/>
    </sheetView>
  </sheetViews>
  <sheetFormatPr defaultColWidth="8.7109375" defaultRowHeight="14.45"/>
  <cols>
    <col min="1" max="1" width="19.5703125" customWidth="1"/>
    <col min="2" max="2" width="8.7109375" style="29" hidden="1" customWidth="1"/>
    <col min="3" max="3" width="10.140625" hidden="1" customWidth="1"/>
    <col min="4" max="4" width="8.7109375" style="29" hidden="1" customWidth="1"/>
    <col min="5" max="5" width="9.28515625" hidden="1" customWidth="1"/>
    <col min="6" max="6" width="8.7109375" hidden="1" customWidth="1"/>
    <col min="7" max="7" width="9.28515625" hidden="1" customWidth="1"/>
    <col min="8" max="9" width="8.7109375" hidden="1" customWidth="1"/>
    <col min="10" max="10" width="10.7109375" hidden="1" customWidth="1"/>
    <col min="11" max="11" width="11.42578125" hidden="1" customWidth="1"/>
    <col min="12" max="12" width="6.140625" hidden="1" customWidth="1"/>
    <col min="13" max="13" width="8.7109375" customWidth="1"/>
    <col min="14" max="19" width="10.140625" customWidth="1"/>
    <col min="20" max="22" width="8.7109375" customWidth="1"/>
    <col min="23" max="23" width="3.42578125" customWidth="1"/>
    <col min="24" max="24" width="20.42578125" customWidth="1"/>
    <col min="25" max="25" width="12.28515625" bestFit="1" customWidth="1"/>
    <col min="26" max="27" width="12.85546875" bestFit="1" customWidth="1"/>
  </cols>
  <sheetData>
    <row r="1" spans="1:26" ht="14.45" customHeight="1">
      <c r="A1" s="1" t="s">
        <v>144</v>
      </c>
      <c r="B1" s="2" t="s">
        <v>1</v>
      </c>
      <c r="C1" s="2" t="s">
        <v>2</v>
      </c>
      <c r="D1" s="2" t="s">
        <v>3</v>
      </c>
      <c r="E1" s="3" t="s">
        <v>4</v>
      </c>
      <c r="F1" s="2" t="s">
        <v>5</v>
      </c>
      <c r="G1" s="2" t="s">
        <v>6</v>
      </c>
      <c r="H1" s="2" t="s">
        <v>7</v>
      </c>
      <c r="I1" s="4" t="s">
        <v>8</v>
      </c>
      <c r="J1" s="2" t="s">
        <v>9</v>
      </c>
      <c r="K1" s="2" t="s">
        <v>10</v>
      </c>
      <c r="L1" s="2" t="s">
        <v>11</v>
      </c>
      <c r="M1" s="6" t="s">
        <v>12</v>
      </c>
      <c r="N1" s="6" t="s">
        <v>155</v>
      </c>
      <c r="O1" s="7" t="s">
        <v>14</v>
      </c>
      <c r="P1" s="8" t="s">
        <v>156</v>
      </c>
      <c r="Q1" s="8" t="s">
        <v>17</v>
      </c>
      <c r="R1" s="7" t="s">
        <v>157</v>
      </c>
      <c r="S1" s="7" t="s">
        <v>158</v>
      </c>
      <c r="T1" s="7" t="s">
        <v>77</v>
      </c>
      <c r="U1" s="7" t="s">
        <v>20</v>
      </c>
      <c r="V1" s="7" t="s">
        <v>21</v>
      </c>
      <c r="W1" s="9" t="s">
        <v>22</v>
      </c>
      <c r="X1" s="52" t="s">
        <v>159</v>
      </c>
    </row>
    <row r="2" spans="1:26" ht="21" customHeight="1">
      <c r="A2" s="10" t="s">
        <v>34</v>
      </c>
      <c r="B2" s="11">
        <v>1.1979166666666667E-2</v>
      </c>
      <c r="C2" s="11">
        <v>3.472222222222222E-3</v>
      </c>
      <c r="D2" s="11">
        <f t="shared" ref="D2:D4" si="0">B2*E2</f>
        <v>6.9694791666666672E-3</v>
      </c>
      <c r="E2" s="12">
        <v>0.58179999999999998</v>
      </c>
      <c r="F2" s="11">
        <f t="shared" ref="F2:F4" si="1">C2/4</f>
        <v>8.6805555555555551E-4</v>
      </c>
      <c r="G2" s="11">
        <f t="shared" ref="G2:G4" si="2">D2/7.5</f>
        <v>9.2926388888888898E-4</v>
      </c>
      <c r="H2" s="11">
        <f t="shared" ref="H2:H4" si="3">B2/12.5</f>
        <v>9.5833333333333339E-4</v>
      </c>
      <c r="I2" s="11">
        <f t="shared" ref="I2:I4" si="4">G2/0.93</f>
        <v>9.9920848267622464E-4</v>
      </c>
      <c r="J2" s="11">
        <f t="shared" ref="J2:J4" si="5">G2/0.92</f>
        <v>1.0100694444444445E-3</v>
      </c>
      <c r="K2" s="11">
        <f t="shared" ref="K2:K4" si="6">G2/0.88</f>
        <v>1.055981691919192E-3</v>
      </c>
      <c r="L2" s="11">
        <f t="shared" ref="L2:L4" si="7">G2/0.84</f>
        <v>1.1062665343915346E-3</v>
      </c>
      <c r="M2" s="25">
        <f>WO2025Jan710814161822242830323438404244464854565862646668707274766812161820222628323438424446[[#This Row],[Thresh]]</f>
        <v>1.055981691919192E-3</v>
      </c>
      <c r="N2" s="28">
        <f>WO2025Jan710814161822242830323438404244464854565862646668707274766812161820222628323438424446[[#This Row],[Thresh]]*2</f>
        <v>2.1119633838383839E-3</v>
      </c>
      <c r="O2" s="25">
        <f>WO2025Jan710814161822242830323438404244464854565862646668707274766812161820222628323438424446[[#This Row],[CV]]</f>
        <v>1.0100694444444445E-3</v>
      </c>
      <c r="P2" s="28">
        <f>WO2025Jan710814161822242830323438404244464854565862646668707274766812161820222628323438424446[[#This Row],[CV]]*2</f>
        <v>2.020138888888889E-3</v>
      </c>
      <c r="Q2" s="25">
        <f>WO2025Jan710814161822242830323438404244464854565862646668707274766812161820222628323438424446[[#This Row],[I]]</f>
        <v>9.5833333333333339E-4</v>
      </c>
      <c r="R2" s="25">
        <f>WO2025Jan710814161822242830323438404244464854565862646668707274766812161820222628323438424446[[#This Row],[I]]*2</f>
        <v>1.9166666666666668E-3</v>
      </c>
      <c r="S2" s="25">
        <f>WO2025Jan710814161822242830323438404244464854565862646668707274766812161820222628323438424446[[#This Row],[VO2]]</f>
        <v>9.2926388888888898E-4</v>
      </c>
      <c r="T2" s="28"/>
      <c r="U2" s="11"/>
      <c r="V2" s="36"/>
      <c r="W2" s="15" t="s">
        <v>26</v>
      </c>
      <c r="X2" s="52"/>
    </row>
    <row r="3" spans="1:26" ht="21" customHeight="1">
      <c r="A3" s="10" t="s">
        <v>24</v>
      </c>
      <c r="B3" s="11">
        <v>1.1979166666666667E-2</v>
      </c>
      <c r="C3" s="11">
        <v>3.5300925925925925E-3</v>
      </c>
      <c r="D3" s="11">
        <f t="shared" si="0"/>
        <v>6.9694791666666672E-3</v>
      </c>
      <c r="E3" s="12">
        <v>0.58179999999999998</v>
      </c>
      <c r="F3" s="11">
        <f t="shared" si="1"/>
        <v>8.8252314814814812E-4</v>
      </c>
      <c r="G3" s="11">
        <f t="shared" si="2"/>
        <v>9.2926388888888898E-4</v>
      </c>
      <c r="H3" s="11">
        <f t="shared" si="3"/>
        <v>9.5833333333333339E-4</v>
      </c>
      <c r="I3" s="11">
        <f t="shared" si="4"/>
        <v>9.9920848267622464E-4</v>
      </c>
      <c r="J3" s="11">
        <f t="shared" si="5"/>
        <v>1.0100694444444445E-3</v>
      </c>
      <c r="K3" s="11">
        <f t="shared" si="6"/>
        <v>1.055981691919192E-3</v>
      </c>
      <c r="L3" s="11">
        <f t="shared" si="7"/>
        <v>1.1062665343915346E-3</v>
      </c>
      <c r="M3" s="25">
        <f>WO2025Jan710814161822242830323438404244464854565862646668707274766812161820222628323438424446[[#This Row],[Thresh]]</f>
        <v>1.055981691919192E-3</v>
      </c>
      <c r="N3" s="28">
        <f>WO2025Jan710814161822242830323438404244464854565862646668707274766812161820222628323438424446[[#This Row],[Thresh]]*2</f>
        <v>2.1119633838383839E-3</v>
      </c>
      <c r="O3" s="25">
        <f>WO2025Jan710814161822242830323438404244464854565862646668707274766812161820222628323438424446[[#This Row],[CV]]</f>
        <v>1.0100694444444445E-3</v>
      </c>
      <c r="P3" s="28">
        <f>WO2025Jan710814161822242830323438404244464854565862646668707274766812161820222628323438424446[[#This Row],[CV]]*2</f>
        <v>2.020138888888889E-3</v>
      </c>
      <c r="Q3" s="25">
        <f>WO2025Jan710814161822242830323438404244464854565862646668707274766812161820222628323438424446[[#This Row],[I]]</f>
        <v>9.5833333333333339E-4</v>
      </c>
      <c r="R3" s="25">
        <f>WO2025Jan710814161822242830323438404244464854565862646668707274766812161820222628323438424446[[#This Row],[I]]*2</f>
        <v>1.9166666666666668E-3</v>
      </c>
      <c r="S3" s="25">
        <f>WO2025Jan710814161822242830323438404244464854565862646668707274766812161820222628323438424446[[#This Row],[VO2]]</f>
        <v>9.2926388888888898E-4</v>
      </c>
      <c r="T3" s="28"/>
      <c r="U3" s="11"/>
      <c r="V3" s="36"/>
      <c r="W3" s="15" t="s">
        <v>26</v>
      </c>
      <c r="X3" s="52"/>
      <c r="Z3" s="16"/>
    </row>
    <row r="4" spans="1:26" ht="21" customHeight="1">
      <c r="A4" s="10" t="s">
        <v>60</v>
      </c>
      <c r="B4" s="11">
        <v>1.2268518518518519E-2</v>
      </c>
      <c r="C4" s="11">
        <v>3.6458333333333334E-3</v>
      </c>
      <c r="D4" s="11">
        <f t="shared" si="0"/>
        <v>7.1378240740740742E-3</v>
      </c>
      <c r="E4" s="12">
        <v>0.58179999999999998</v>
      </c>
      <c r="F4" s="11">
        <f t="shared" si="1"/>
        <v>9.1145833333333335E-4</v>
      </c>
      <c r="G4" s="11">
        <f t="shared" si="2"/>
        <v>9.5170987654320989E-4</v>
      </c>
      <c r="H4" s="11">
        <f t="shared" si="3"/>
        <v>9.8148148148148161E-4</v>
      </c>
      <c r="I4" s="11">
        <f t="shared" si="4"/>
        <v>1.0233439532722685E-3</v>
      </c>
      <c r="J4" s="11">
        <f t="shared" si="5"/>
        <v>1.0344672571121847E-3</v>
      </c>
      <c r="K4" s="11">
        <f t="shared" si="6"/>
        <v>1.0814884960718295E-3</v>
      </c>
      <c r="L4" s="11">
        <f t="shared" si="7"/>
        <v>1.1329879482657262E-3</v>
      </c>
      <c r="M4" s="25">
        <f>WO2025Jan710814161822242830323438404244464854565862646668707274766812161820222628323438424446[[#This Row],[Thresh]]</f>
        <v>1.0814884960718295E-3</v>
      </c>
      <c r="N4" s="28">
        <f>WO2025Jan710814161822242830323438404244464854565862646668707274766812161820222628323438424446[[#This Row],[Thresh]]*2</f>
        <v>2.1629769921436589E-3</v>
      </c>
      <c r="O4" s="25">
        <f>WO2025Jan710814161822242830323438404244464854565862646668707274766812161820222628323438424446[[#This Row],[CV]]</f>
        <v>1.0344672571121847E-3</v>
      </c>
      <c r="P4" s="28">
        <f>WO2025Jan710814161822242830323438404244464854565862646668707274766812161820222628323438424446[[#This Row],[CV]]*2</f>
        <v>2.0689345142243694E-3</v>
      </c>
      <c r="Q4" s="25">
        <f>WO2025Jan710814161822242830323438404244464854565862646668707274766812161820222628323438424446[[#This Row],[I]]</f>
        <v>9.8148148148148161E-4</v>
      </c>
      <c r="R4" s="25">
        <f>WO2025Jan710814161822242830323438404244464854565862646668707274766812161820222628323438424446[[#This Row],[I]]*2</f>
        <v>1.9629629629629632E-3</v>
      </c>
      <c r="S4" s="25">
        <f>WO2025Jan710814161822242830323438404244464854565862646668707274766812161820222628323438424446[[#This Row],[VO2]]</f>
        <v>9.5170987654320989E-4</v>
      </c>
      <c r="T4" s="28"/>
      <c r="U4" s="11"/>
      <c r="V4" s="36"/>
      <c r="W4" s="15" t="s">
        <v>26</v>
      </c>
      <c r="X4" s="52"/>
    </row>
    <row r="5" spans="1:26" ht="21" customHeight="1">
      <c r="A5" s="10" t="s">
        <v>27</v>
      </c>
      <c r="B5" s="11">
        <v>1.2268518518518519E-2</v>
      </c>
      <c r="C5" s="11">
        <v>3.6458333333333334E-3</v>
      </c>
      <c r="D5" s="11">
        <f>B5*E5</f>
        <v>7.1378240740740742E-3</v>
      </c>
      <c r="E5" s="12">
        <v>0.58179999999999998</v>
      </c>
      <c r="F5" s="11">
        <f>C5/4</f>
        <v>9.1145833333333335E-4</v>
      </c>
      <c r="G5" s="11">
        <f>D5/7.5</f>
        <v>9.5170987654320989E-4</v>
      </c>
      <c r="H5" s="11">
        <f>B5/12.5</f>
        <v>9.8148148148148161E-4</v>
      </c>
      <c r="I5" s="11">
        <f>G5/0.93</f>
        <v>1.0233439532722685E-3</v>
      </c>
      <c r="J5" s="11">
        <f>G5/0.92</f>
        <v>1.0344672571121847E-3</v>
      </c>
      <c r="K5" s="11">
        <f>G5/0.88</f>
        <v>1.0814884960718295E-3</v>
      </c>
      <c r="L5" s="11">
        <f>G5/0.84</f>
        <v>1.1329879482657262E-3</v>
      </c>
      <c r="M5" s="25">
        <f>WO2025Jan710814161822242830323438404244464854565862646668707274766812161820222628323438424446[[#This Row],[Thresh]]</f>
        <v>1.0814884960718295E-3</v>
      </c>
      <c r="N5" s="28">
        <f>WO2025Jan710814161822242830323438404244464854565862646668707274766812161820222628323438424446[[#This Row],[Thresh]]*2</f>
        <v>2.1629769921436589E-3</v>
      </c>
      <c r="O5" s="25">
        <f>WO2025Jan710814161822242830323438404244464854565862646668707274766812161820222628323438424446[[#This Row],[CV]]</f>
        <v>1.0344672571121847E-3</v>
      </c>
      <c r="P5" s="28">
        <f>WO2025Jan710814161822242830323438404244464854565862646668707274766812161820222628323438424446[[#This Row],[CV]]*2</f>
        <v>2.0689345142243694E-3</v>
      </c>
      <c r="Q5" s="25">
        <f>WO2025Jan710814161822242830323438404244464854565862646668707274766812161820222628323438424446[[#This Row],[I]]</f>
        <v>9.8148148148148161E-4</v>
      </c>
      <c r="R5" s="25">
        <f>WO2025Jan710814161822242830323438404244464854565862646668707274766812161820222628323438424446[[#This Row],[I]]*2</f>
        <v>1.9629629629629632E-3</v>
      </c>
      <c r="S5" s="25">
        <f>WO2025Jan710814161822242830323438404244464854565862646668707274766812161820222628323438424446[[#This Row],[VO2]]</f>
        <v>9.5170987654320989E-4</v>
      </c>
      <c r="T5" s="28"/>
      <c r="U5" s="11"/>
      <c r="V5" s="36"/>
      <c r="W5" s="15" t="s">
        <v>26</v>
      </c>
      <c r="X5" s="52"/>
    </row>
    <row r="6" spans="1:26" ht="21" customHeight="1">
      <c r="A6" s="10" t="s">
        <v>28</v>
      </c>
      <c r="B6" s="11">
        <v>1.238425925925926E-2</v>
      </c>
      <c r="C6" s="11">
        <v>3.7037037037037038E-3</v>
      </c>
      <c r="D6" s="11">
        <f>B6*E6</f>
        <v>7.2051620370370368E-3</v>
      </c>
      <c r="E6" s="12">
        <v>0.58179999999999998</v>
      </c>
      <c r="F6" s="11">
        <f>C6/4</f>
        <v>9.2592592592592596E-4</v>
      </c>
      <c r="G6" s="11">
        <f>D6/7.5</f>
        <v>9.6068827160493821E-4</v>
      </c>
      <c r="H6" s="11">
        <f>B6/12.5</f>
        <v>9.9074074074074082E-4</v>
      </c>
      <c r="I6" s="11">
        <f>G6/0.93</f>
        <v>1.0329981415106862E-3</v>
      </c>
      <c r="J6" s="11">
        <f>G6/0.92</f>
        <v>1.0442263821792807E-3</v>
      </c>
      <c r="K6" s="11">
        <f>G6/0.88</f>
        <v>1.0916912177328843E-3</v>
      </c>
      <c r="L6" s="11">
        <f>G6/0.84</f>
        <v>1.1436765138154027E-3</v>
      </c>
      <c r="M6" s="25">
        <f>WO2025Jan710814161822242830323438404244464854565862646668707274766812161820222628323438424446[[#This Row],[Thresh]]</f>
        <v>1.0916912177328843E-3</v>
      </c>
      <c r="N6" s="28">
        <f>WO2025Jan710814161822242830323438404244464854565862646668707274766812161820222628323438424446[[#This Row],[Thresh]]*2</f>
        <v>2.1833824354657687E-3</v>
      </c>
      <c r="O6" s="25">
        <f>WO2025Jan710814161822242830323438404244464854565862646668707274766812161820222628323438424446[[#This Row],[CV]]</f>
        <v>1.0442263821792807E-3</v>
      </c>
      <c r="P6" s="28">
        <f>WO2025Jan710814161822242830323438404244464854565862646668707274766812161820222628323438424446[[#This Row],[CV]]*2</f>
        <v>2.0884527643585614E-3</v>
      </c>
      <c r="Q6" s="25">
        <f>WO2025Jan710814161822242830323438404244464854565862646668707274766812161820222628323438424446[[#This Row],[I]]</f>
        <v>9.9074074074074082E-4</v>
      </c>
      <c r="R6" s="25">
        <f>WO2025Jan710814161822242830323438404244464854565862646668707274766812161820222628323438424446[[#This Row],[I]]*2</f>
        <v>1.9814814814814816E-3</v>
      </c>
      <c r="S6" s="25">
        <f>WO2025Jan710814161822242830323438404244464854565862646668707274766812161820222628323438424446[[#This Row],[VO2]]</f>
        <v>9.6068827160493821E-4</v>
      </c>
      <c r="T6" s="28"/>
      <c r="U6" s="11"/>
      <c r="V6" s="36"/>
      <c r="W6" s="15" t="s">
        <v>26</v>
      </c>
      <c r="X6" s="52"/>
    </row>
    <row r="7" spans="1:26" ht="21" customHeight="1">
      <c r="A7" s="10" t="s">
        <v>55</v>
      </c>
      <c r="B7" s="11">
        <v>1.238425925925926E-2</v>
      </c>
      <c r="C7" s="11">
        <v>3.5879629629629629E-3</v>
      </c>
      <c r="D7" s="11">
        <f>B7*E7</f>
        <v>7.2051620370370368E-3</v>
      </c>
      <c r="E7" s="12">
        <v>0.58179999999999998</v>
      </c>
      <c r="F7" s="11">
        <f>C7/4</f>
        <v>8.9699074074074073E-4</v>
      </c>
      <c r="G7" s="11">
        <f>D7/7.5</f>
        <v>9.6068827160493821E-4</v>
      </c>
      <c r="H7" s="11">
        <f>B7/12.5</f>
        <v>9.9074074074074082E-4</v>
      </c>
      <c r="I7" s="11">
        <f>G7/0.93</f>
        <v>1.0329981415106862E-3</v>
      </c>
      <c r="J7" s="11">
        <f>G7/0.92</f>
        <v>1.0442263821792807E-3</v>
      </c>
      <c r="K7" s="11">
        <f>G7/0.88</f>
        <v>1.0916912177328843E-3</v>
      </c>
      <c r="L7" s="11">
        <f>G7/0.84</f>
        <v>1.1436765138154027E-3</v>
      </c>
      <c r="M7" s="25">
        <f>WO2025Jan710814161822242830323438404244464854565862646668707274766812161820222628323438424446[[#This Row],[Thresh]]</f>
        <v>1.0916912177328843E-3</v>
      </c>
      <c r="N7" s="28">
        <f>WO2025Jan710814161822242830323438404244464854565862646668707274766812161820222628323438424446[[#This Row],[Thresh]]*2</f>
        <v>2.1833824354657687E-3</v>
      </c>
      <c r="O7" s="25">
        <f>WO2025Jan710814161822242830323438404244464854565862646668707274766812161820222628323438424446[[#This Row],[CV]]</f>
        <v>1.0442263821792807E-3</v>
      </c>
      <c r="P7" s="28">
        <f>WO2025Jan710814161822242830323438404244464854565862646668707274766812161820222628323438424446[[#This Row],[CV]]*2</f>
        <v>2.0884527643585614E-3</v>
      </c>
      <c r="Q7" s="25">
        <f>WO2025Jan710814161822242830323438404244464854565862646668707274766812161820222628323438424446[[#This Row],[I]]</f>
        <v>9.9074074074074082E-4</v>
      </c>
      <c r="R7" s="25">
        <f>WO2025Jan710814161822242830323438404244464854565862646668707274766812161820222628323438424446[[#This Row],[I]]*2</f>
        <v>1.9814814814814816E-3</v>
      </c>
      <c r="S7" s="25">
        <f>WO2025Jan710814161822242830323438404244464854565862646668707274766812161820222628323438424446[[#This Row],[VO2]]</f>
        <v>9.6068827160493821E-4</v>
      </c>
      <c r="T7" s="28"/>
      <c r="U7" s="11"/>
      <c r="V7" s="36"/>
      <c r="W7" s="18" t="s">
        <v>26</v>
      </c>
      <c r="X7" s="52"/>
    </row>
    <row r="8" spans="1:26" ht="21" customHeight="1">
      <c r="A8" s="10" t="s">
        <v>29</v>
      </c>
      <c r="B8" s="11">
        <v>1.238425925925926E-2</v>
      </c>
      <c r="C8" s="11">
        <v>3.8194444444444443E-3</v>
      </c>
      <c r="D8" s="11">
        <f>B8*E8</f>
        <v>7.2051620370370368E-3</v>
      </c>
      <c r="E8" s="12">
        <v>0.58179999999999998</v>
      </c>
      <c r="F8" s="11">
        <f>C8/4</f>
        <v>9.5486111111111108E-4</v>
      </c>
      <c r="G8" s="11">
        <f>D8/7.5</f>
        <v>9.6068827160493821E-4</v>
      </c>
      <c r="H8" s="11">
        <f>B8/12.5</f>
        <v>9.9074074074074082E-4</v>
      </c>
      <c r="I8" s="11">
        <f>G8/0.93</f>
        <v>1.0329981415106862E-3</v>
      </c>
      <c r="J8" s="11">
        <f>G8/0.92</f>
        <v>1.0442263821792807E-3</v>
      </c>
      <c r="K8" s="11">
        <f>G8/0.88</f>
        <v>1.0916912177328843E-3</v>
      </c>
      <c r="L8" s="11">
        <f>G8/0.84</f>
        <v>1.1436765138154027E-3</v>
      </c>
      <c r="M8" s="25">
        <f>WO2025Jan710814161822242830323438404244464854565862646668707274766812161820222628323438424446[[#This Row],[Thresh]]</f>
        <v>1.0916912177328843E-3</v>
      </c>
      <c r="N8" s="28">
        <f>WO2025Jan710814161822242830323438404244464854565862646668707274766812161820222628323438424446[[#This Row],[Thresh]]*2</f>
        <v>2.1833824354657687E-3</v>
      </c>
      <c r="O8" s="25">
        <f>WO2025Jan710814161822242830323438404244464854565862646668707274766812161820222628323438424446[[#This Row],[CV]]</f>
        <v>1.0442263821792807E-3</v>
      </c>
      <c r="P8" s="28">
        <f>WO2025Jan710814161822242830323438404244464854565862646668707274766812161820222628323438424446[[#This Row],[CV]]*2</f>
        <v>2.0884527643585614E-3</v>
      </c>
      <c r="Q8" s="25">
        <f>WO2025Jan710814161822242830323438404244464854565862646668707274766812161820222628323438424446[[#This Row],[I]]</f>
        <v>9.9074074074074082E-4</v>
      </c>
      <c r="R8" s="25">
        <f>WO2025Jan710814161822242830323438404244464854565862646668707274766812161820222628323438424446[[#This Row],[I]]*2</f>
        <v>1.9814814814814816E-3</v>
      </c>
      <c r="S8" s="25">
        <f>WO2025Jan710814161822242830323438404244464854565862646668707274766812161820222628323438424446[[#This Row],[VO2]]</f>
        <v>9.6068827160493821E-4</v>
      </c>
      <c r="T8" s="28"/>
      <c r="U8" s="11"/>
      <c r="V8" s="36"/>
      <c r="W8" s="18" t="s">
        <v>26</v>
      </c>
      <c r="X8" s="52"/>
    </row>
    <row r="9" spans="1:26" ht="21" customHeight="1">
      <c r="A9" s="10" t="s">
        <v>30</v>
      </c>
      <c r="B9" s="11">
        <v>1.238425925925926E-2</v>
      </c>
      <c r="C9" s="11">
        <v>3.6458333333333334E-3</v>
      </c>
      <c r="D9" s="11">
        <f>B9*E9</f>
        <v>7.2051620370370368E-3</v>
      </c>
      <c r="E9" s="12">
        <v>0.58179999999999998</v>
      </c>
      <c r="F9" s="11">
        <f>C9/4</f>
        <v>9.1145833333333335E-4</v>
      </c>
      <c r="G9" s="11">
        <f>D9/7.5</f>
        <v>9.6068827160493821E-4</v>
      </c>
      <c r="H9" s="11">
        <f>B9/12.5</f>
        <v>9.9074074074074082E-4</v>
      </c>
      <c r="I9" s="11">
        <f>G9/0.93</f>
        <v>1.0329981415106862E-3</v>
      </c>
      <c r="J9" s="11">
        <f>G9/0.92</f>
        <v>1.0442263821792807E-3</v>
      </c>
      <c r="K9" s="11">
        <f>G9/0.88</f>
        <v>1.0916912177328843E-3</v>
      </c>
      <c r="L9" s="11">
        <f>G9/0.84</f>
        <v>1.1436765138154027E-3</v>
      </c>
      <c r="M9" s="25">
        <f>WO2025Jan710814161822242830323438404244464854565862646668707274766812161820222628323438424446[[#This Row],[Thresh]]</f>
        <v>1.0916912177328843E-3</v>
      </c>
      <c r="N9" s="28">
        <f>WO2025Jan710814161822242830323438404244464854565862646668707274766812161820222628323438424446[[#This Row],[Thresh]]*2</f>
        <v>2.1833824354657687E-3</v>
      </c>
      <c r="O9" s="25">
        <f>WO2025Jan710814161822242830323438404244464854565862646668707274766812161820222628323438424446[[#This Row],[CV]]</f>
        <v>1.0442263821792807E-3</v>
      </c>
      <c r="P9" s="28">
        <f>WO2025Jan710814161822242830323438404244464854565862646668707274766812161820222628323438424446[[#This Row],[CV]]*2</f>
        <v>2.0884527643585614E-3</v>
      </c>
      <c r="Q9" s="25">
        <f>WO2025Jan710814161822242830323438404244464854565862646668707274766812161820222628323438424446[[#This Row],[I]]</f>
        <v>9.9074074074074082E-4</v>
      </c>
      <c r="R9" s="25">
        <f>WO2025Jan710814161822242830323438404244464854565862646668707274766812161820222628323438424446[[#This Row],[I]]*2</f>
        <v>1.9814814814814816E-3</v>
      </c>
      <c r="S9" s="25">
        <f>WO2025Jan710814161822242830323438404244464854565862646668707274766812161820222628323438424446[[#This Row],[VO2]]</f>
        <v>9.6068827160493821E-4</v>
      </c>
      <c r="T9" s="28"/>
      <c r="U9" s="11"/>
      <c r="V9" s="36"/>
      <c r="W9" s="15" t="s">
        <v>26</v>
      </c>
      <c r="X9" s="52"/>
    </row>
    <row r="10" spans="1:26" ht="21" customHeight="1">
      <c r="A10" s="10"/>
      <c r="B10" s="11"/>
      <c r="C10" s="11"/>
      <c r="D10" s="11"/>
      <c r="E10" s="12"/>
      <c r="F10" s="11"/>
      <c r="G10" s="11"/>
      <c r="H10" s="11"/>
      <c r="I10" s="11"/>
      <c r="J10" s="11"/>
      <c r="K10" s="11"/>
      <c r="L10" s="11"/>
      <c r="M10" s="13"/>
      <c r="N10" s="11"/>
      <c r="O10" s="11"/>
      <c r="P10" s="11"/>
      <c r="Q10" s="14"/>
      <c r="R10" s="11"/>
      <c r="S10" s="14"/>
      <c r="T10" s="14"/>
      <c r="U10" s="14"/>
      <c r="V10" s="17"/>
      <c r="W10" s="18"/>
      <c r="X10" s="52"/>
    </row>
    <row r="11" spans="1:26" ht="21" customHeight="1">
      <c r="A11" s="19"/>
      <c r="B11" s="6"/>
      <c r="C11" s="6"/>
      <c r="D11" s="6"/>
      <c r="E11" s="20"/>
      <c r="F11" s="6"/>
      <c r="G11" s="6"/>
      <c r="H11" s="6"/>
      <c r="I11" s="6"/>
      <c r="J11" s="6"/>
      <c r="K11" s="6"/>
      <c r="L11" s="6"/>
      <c r="M11" s="6"/>
      <c r="N11" s="6"/>
      <c r="O11" s="6"/>
      <c r="P11" s="6"/>
      <c r="Q11" s="6"/>
      <c r="R11" s="6"/>
      <c r="S11" s="6"/>
      <c r="T11" s="6"/>
      <c r="U11" s="6"/>
      <c r="V11" s="6"/>
      <c r="W11" s="35"/>
      <c r="X11" s="52" t="s">
        <v>160</v>
      </c>
    </row>
    <row r="12" spans="1:26" ht="21" customHeight="1">
      <c r="A12" s="10" t="s">
        <v>51</v>
      </c>
      <c r="B12" s="11">
        <v>1.2615740740740742E-2</v>
      </c>
      <c r="C12" s="11">
        <v>3.5879629629629629E-3</v>
      </c>
      <c r="D12" s="11">
        <f>B12*E12</f>
        <v>7.3398379629629629E-3</v>
      </c>
      <c r="E12" s="12">
        <v>0.58179999999999998</v>
      </c>
      <c r="F12" s="11">
        <f>C12/4</f>
        <v>8.9699074074074073E-4</v>
      </c>
      <c r="G12" s="11">
        <f>D12/7.5</f>
        <v>9.7864506172839496E-4</v>
      </c>
      <c r="H12" s="11">
        <f>B12/12.5</f>
        <v>1.0092592592592592E-3</v>
      </c>
      <c r="I12" s="11">
        <f>G12/0.93</f>
        <v>1.0523065179875214E-3</v>
      </c>
      <c r="J12" s="11">
        <f>G12/0.92</f>
        <v>1.0637446323134728E-3</v>
      </c>
      <c r="K12" s="11">
        <f>G12/0.88</f>
        <v>1.1120966610549943E-3</v>
      </c>
      <c r="L12" s="11">
        <f>G12/0.84</f>
        <v>1.165053644914756E-3</v>
      </c>
      <c r="M12" s="25"/>
      <c r="N12" s="28"/>
      <c r="O12" s="25"/>
      <c r="P12" s="28"/>
      <c r="Q12" s="25"/>
      <c r="R12" s="25"/>
      <c r="S12" s="25"/>
      <c r="T12" s="28"/>
      <c r="U12" s="11"/>
      <c r="V12" s="36"/>
      <c r="W12" s="15" t="s">
        <v>52</v>
      </c>
      <c r="X12" s="52"/>
    </row>
    <row r="13" spans="1:26" ht="21" customHeight="1">
      <c r="A13" s="10" t="s">
        <v>57</v>
      </c>
      <c r="B13" s="11"/>
      <c r="C13" s="11"/>
      <c r="D13" s="11"/>
      <c r="E13" s="12"/>
      <c r="F13" s="11"/>
      <c r="G13" s="11"/>
      <c r="H13" s="11"/>
      <c r="I13" s="11"/>
      <c r="J13" s="11"/>
      <c r="K13" s="11"/>
      <c r="L13" s="11"/>
      <c r="M13" s="25"/>
      <c r="N13" s="28"/>
      <c r="O13" s="25"/>
      <c r="P13" s="28"/>
      <c r="Q13" s="25"/>
      <c r="R13" s="28"/>
      <c r="S13" s="28"/>
      <c r="T13" s="11"/>
      <c r="U13" s="11"/>
      <c r="V13" s="11"/>
      <c r="W13" s="15" t="s">
        <v>52</v>
      </c>
      <c r="X13" s="52"/>
    </row>
    <row r="14" spans="1:26" ht="21" customHeight="1">
      <c r="A14" s="10" t="s">
        <v>53</v>
      </c>
      <c r="B14" s="11">
        <v>1.2731481481481481E-2</v>
      </c>
      <c r="C14" s="11">
        <v>3.7615740740740739E-3</v>
      </c>
      <c r="D14" s="11">
        <f>B14*E14</f>
        <v>7.4071759259259256E-3</v>
      </c>
      <c r="E14" s="12">
        <v>0.58179999999999998</v>
      </c>
      <c r="F14" s="11">
        <f>C14/4</f>
        <v>9.4039351851851847E-4</v>
      </c>
      <c r="G14" s="11">
        <f>D14/7.5</f>
        <v>9.8762345679012349E-4</v>
      </c>
      <c r="H14" s="11">
        <f>B14/12.5</f>
        <v>1.0185185185185184E-3</v>
      </c>
      <c r="I14" s="11">
        <f>G14/0.93</f>
        <v>1.0619607062259391E-3</v>
      </c>
      <c r="J14" s="11">
        <f>G14/0.92</f>
        <v>1.073503757380569E-3</v>
      </c>
      <c r="K14" s="11">
        <f>G14/0.88</f>
        <v>1.1222993827160494E-3</v>
      </c>
      <c r="L14" s="11">
        <f>G14/0.84</f>
        <v>1.1757422104644328E-3</v>
      </c>
      <c r="M14" s="25"/>
      <c r="N14" s="28"/>
      <c r="O14" s="25"/>
      <c r="P14" s="28"/>
      <c r="Q14" s="25"/>
      <c r="R14" s="25"/>
      <c r="S14" s="25"/>
      <c r="T14" s="28"/>
      <c r="U14" s="25"/>
      <c r="V14" s="25"/>
      <c r="W14" s="18" t="s">
        <v>52</v>
      </c>
      <c r="X14" s="52"/>
    </row>
    <row r="15" spans="1:26" ht="21" customHeight="1">
      <c r="A15" s="10" t="s">
        <v>58</v>
      </c>
      <c r="B15" s="11">
        <v>1.3020833333333334E-2</v>
      </c>
      <c r="C15" s="11">
        <v>4.1087962962962962E-3</v>
      </c>
      <c r="D15" s="11">
        <f>B15*E15</f>
        <v>7.5755208333333334E-3</v>
      </c>
      <c r="E15" s="12">
        <v>0.58179999999999998</v>
      </c>
      <c r="F15" s="11">
        <f>C15/4</f>
        <v>1.027199074074074E-3</v>
      </c>
      <c r="G15" s="11">
        <f>D15/7.5</f>
        <v>1.0100694444444445E-3</v>
      </c>
      <c r="H15" s="11">
        <f>B15/12.5</f>
        <v>1.0416666666666667E-3</v>
      </c>
      <c r="I15" s="11">
        <f>G15/0.93</f>
        <v>1.0860961768219832E-3</v>
      </c>
      <c r="J15" s="11">
        <f>G15/0.92</f>
        <v>1.0979015700483092E-3</v>
      </c>
      <c r="K15" s="11">
        <f>G15/0.88</f>
        <v>1.1478061868686869E-3</v>
      </c>
      <c r="L15" s="11">
        <f>G15/0.84</f>
        <v>1.2024636243386244E-3</v>
      </c>
      <c r="M15" s="25"/>
      <c r="N15" s="28"/>
      <c r="O15" s="25"/>
      <c r="P15" s="28"/>
      <c r="Q15" s="25"/>
      <c r="R15" s="25"/>
      <c r="S15" s="25"/>
      <c r="T15" s="28"/>
      <c r="U15" s="11"/>
      <c r="V15" s="36"/>
      <c r="W15" s="15" t="s">
        <v>52</v>
      </c>
      <c r="X15" s="52"/>
    </row>
    <row r="16" spans="1:26" ht="21" customHeight="1">
      <c r="A16" s="10" t="s">
        <v>59</v>
      </c>
      <c r="B16" s="11">
        <v>1.2500000000000001E-2</v>
      </c>
      <c r="C16" s="11">
        <v>3.7037037037037038E-3</v>
      </c>
      <c r="D16" s="11">
        <f>B16*E16</f>
        <v>7.2725000000000003E-3</v>
      </c>
      <c r="E16" s="12">
        <v>0.58179999999999998</v>
      </c>
      <c r="F16" s="11">
        <f>C16/4</f>
        <v>9.2592592592592596E-4</v>
      </c>
      <c r="G16" s="11">
        <f>D16/7.5</f>
        <v>9.6966666666666675E-4</v>
      </c>
      <c r="H16" s="11">
        <f>B16/12.5</f>
        <v>1E-3</v>
      </c>
      <c r="I16" s="11">
        <f>G16/0.93</f>
        <v>1.0426523297491039E-3</v>
      </c>
      <c r="J16" s="11">
        <f>G16/0.92</f>
        <v>1.0539855072463768E-3</v>
      </c>
      <c r="K16" s="11">
        <f>G16/0.88</f>
        <v>1.1018939393939394E-3</v>
      </c>
      <c r="L16" s="17">
        <f>G16/0.84</f>
        <v>1.1543650793650795E-3</v>
      </c>
      <c r="M16" s="25"/>
      <c r="N16" s="28"/>
      <c r="O16" s="25"/>
      <c r="P16" s="28"/>
      <c r="Q16" s="25"/>
      <c r="R16" s="25"/>
      <c r="S16" s="25"/>
      <c r="T16" s="28"/>
      <c r="U16" s="11"/>
      <c r="V16" s="36"/>
      <c r="W16" s="15" t="s">
        <v>52</v>
      </c>
      <c r="X16" s="52"/>
    </row>
    <row r="17" spans="1:24" ht="21" customHeight="1">
      <c r="A17" s="10" t="s">
        <v>61</v>
      </c>
      <c r="B17" s="11">
        <v>1.4583333333333334E-2</v>
      </c>
      <c r="C17" s="11">
        <v>4.3981481481481484E-3</v>
      </c>
      <c r="D17" s="11">
        <f>B17*E17</f>
        <v>8.4845833333333336E-3</v>
      </c>
      <c r="E17" s="12">
        <v>0.58179999999999998</v>
      </c>
      <c r="F17" s="11">
        <f>C17/4</f>
        <v>1.0995370370370371E-3</v>
      </c>
      <c r="G17" s="11">
        <f>D17/7.5</f>
        <v>1.1312777777777777E-3</v>
      </c>
      <c r="H17" s="11">
        <f>B17/12.5</f>
        <v>1.1666666666666668E-3</v>
      </c>
      <c r="I17" s="11">
        <f>G17/0.93</f>
        <v>1.2164277180406211E-3</v>
      </c>
      <c r="J17" s="11">
        <f>G17/0.92</f>
        <v>1.2296497584541061E-3</v>
      </c>
      <c r="K17" s="11">
        <f>G17/0.88</f>
        <v>1.2855429292929293E-3</v>
      </c>
      <c r="L17" s="11">
        <f>G17/0.84</f>
        <v>1.3467592592592591E-3</v>
      </c>
      <c r="M17" s="25"/>
      <c r="N17" s="28"/>
      <c r="O17" s="25"/>
      <c r="P17" s="25"/>
      <c r="Q17" s="25"/>
      <c r="R17" s="25"/>
      <c r="S17" s="28"/>
      <c r="T17" s="28"/>
      <c r="U17" s="28"/>
      <c r="V17" s="28"/>
      <c r="W17" s="15"/>
      <c r="X17" s="52"/>
    </row>
    <row r="18" spans="1:24" ht="21" customHeight="1">
      <c r="A18" s="39"/>
      <c r="B18" s="40"/>
      <c r="C18" s="40"/>
      <c r="D18" s="40"/>
      <c r="E18" s="41"/>
      <c r="F18" s="40"/>
      <c r="G18" s="40"/>
      <c r="H18" s="40"/>
      <c r="I18" s="40"/>
      <c r="J18" s="40"/>
      <c r="K18" s="40"/>
      <c r="L18" s="40"/>
      <c r="M18" s="40" t="s">
        <v>39</v>
      </c>
      <c r="N18" s="40"/>
      <c r="O18" s="40"/>
      <c r="P18" s="40"/>
      <c r="Q18" s="40"/>
      <c r="R18" s="40"/>
      <c r="S18" s="40"/>
      <c r="T18" s="40"/>
      <c r="U18" s="40"/>
      <c r="V18" s="40"/>
      <c r="W18" s="42"/>
      <c r="X18" s="52"/>
    </row>
    <row r="19" spans="1:24" ht="21" customHeight="1">
      <c r="A19" s="10"/>
      <c r="B19" s="11"/>
      <c r="C19" s="11"/>
      <c r="D19" s="11"/>
      <c r="E19" s="12"/>
      <c r="F19" s="11"/>
      <c r="G19" s="11"/>
      <c r="H19" s="11"/>
      <c r="I19" s="11"/>
      <c r="J19" s="11"/>
      <c r="K19" s="11"/>
      <c r="L19" s="11"/>
      <c r="M19" s="25"/>
      <c r="N19" s="28"/>
      <c r="O19" s="25"/>
      <c r="P19" s="28"/>
      <c r="Q19" s="25"/>
      <c r="R19" s="25"/>
      <c r="S19" s="25"/>
      <c r="T19" s="28"/>
      <c r="U19" s="11"/>
      <c r="V19" s="36"/>
      <c r="W19" s="15"/>
      <c r="X19" s="52"/>
    </row>
    <row r="20" spans="1:24" ht="21" customHeight="1">
      <c r="A20" s="10"/>
      <c r="B20" s="11"/>
      <c r="C20" s="11"/>
      <c r="D20" s="11"/>
      <c r="E20" s="12"/>
      <c r="F20" s="11"/>
      <c r="G20" s="11"/>
      <c r="H20" s="11"/>
      <c r="I20" s="11"/>
      <c r="J20" s="11"/>
      <c r="K20" s="11"/>
      <c r="L20" s="11"/>
      <c r="M20" s="25"/>
      <c r="N20" s="28"/>
      <c r="O20" s="25"/>
      <c r="P20" s="28"/>
      <c r="Q20" s="25"/>
      <c r="R20" s="25"/>
      <c r="S20" s="25"/>
      <c r="T20" s="28"/>
      <c r="U20" s="11"/>
      <c r="V20" s="36"/>
      <c r="W20" s="15"/>
      <c r="X20" s="52"/>
    </row>
    <row r="21" spans="1:24" ht="21" customHeight="1">
      <c r="A21" s="10"/>
      <c r="B21" s="11"/>
      <c r="C21" s="11"/>
      <c r="D21" s="11"/>
      <c r="E21" s="12"/>
      <c r="F21" s="11"/>
      <c r="G21" s="11"/>
      <c r="H21" s="11"/>
      <c r="I21" s="11"/>
      <c r="J21" s="11"/>
      <c r="K21" s="11"/>
      <c r="L21" s="11"/>
      <c r="M21" s="25"/>
      <c r="N21" s="28"/>
      <c r="O21" s="25"/>
      <c r="P21" s="11"/>
      <c r="Q21" s="14"/>
      <c r="R21" s="11"/>
      <c r="S21" s="14"/>
      <c r="T21" s="14"/>
      <c r="U21" s="14"/>
      <c r="V21" s="17"/>
      <c r="W21" s="18"/>
      <c r="X21" s="52"/>
    </row>
    <row r="22" spans="1:24" ht="21" customHeight="1">
      <c r="A22" s="10"/>
      <c r="B22" s="11"/>
      <c r="C22" s="11"/>
      <c r="D22" s="11"/>
      <c r="E22" s="12"/>
      <c r="F22" s="11"/>
      <c r="G22" s="11"/>
      <c r="H22" s="11"/>
      <c r="I22" s="11"/>
      <c r="J22" s="11"/>
      <c r="K22" s="11"/>
      <c r="L22" s="11"/>
      <c r="M22" s="14"/>
      <c r="O22" s="14"/>
      <c r="P22" s="11"/>
      <c r="Q22" s="14"/>
      <c r="R22" s="11"/>
      <c r="S22" s="14"/>
      <c r="T22" s="14"/>
      <c r="U22" s="14"/>
      <c r="V22" s="11"/>
      <c r="W22" s="15"/>
      <c r="X22" s="52"/>
    </row>
    <row r="23" spans="1:24" ht="21" customHeight="1">
      <c r="A23" s="10"/>
      <c r="B23" s="11"/>
      <c r="C23" s="11"/>
      <c r="D23" s="11"/>
      <c r="E23" s="12"/>
      <c r="F23" s="11"/>
      <c r="G23" s="11"/>
      <c r="H23" s="11"/>
      <c r="I23" s="11"/>
      <c r="J23" s="11"/>
      <c r="K23" s="11"/>
      <c r="L23" s="11"/>
      <c r="M23" s="14"/>
      <c r="N23" s="11"/>
      <c r="O23" s="14"/>
      <c r="P23" s="11"/>
      <c r="Q23" s="14"/>
      <c r="R23" s="11"/>
      <c r="S23" s="14"/>
      <c r="T23" s="14"/>
      <c r="U23" s="14"/>
      <c r="V23" s="11"/>
      <c r="W23" s="15"/>
      <c r="X23" s="52"/>
    </row>
    <row r="24" spans="1:24" ht="21" customHeight="1">
      <c r="A24" s="10"/>
      <c r="B24" s="11"/>
      <c r="C24" s="11"/>
      <c r="D24" s="11"/>
      <c r="E24" s="12"/>
      <c r="F24" s="11"/>
      <c r="G24" s="11"/>
      <c r="H24" s="11"/>
      <c r="I24" s="11"/>
      <c r="J24" s="11"/>
      <c r="K24" s="11"/>
      <c r="L24" s="17"/>
      <c r="M24" s="14"/>
      <c r="N24" s="11"/>
      <c r="O24" s="11"/>
      <c r="P24" s="11"/>
      <c r="Q24" s="14"/>
      <c r="R24" s="11"/>
      <c r="S24" s="14"/>
      <c r="T24" s="11"/>
      <c r="U24" s="11"/>
      <c r="V24" s="11"/>
      <c r="W24" s="15"/>
      <c r="X24" s="52"/>
    </row>
    <row r="25" spans="1:24" ht="21" customHeight="1">
      <c r="A25" s="10"/>
      <c r="B25" s="11"/>
      <c r="C25" s="11"/>
      <c r="D25" s="11"/>
      <c r="E25" s="12"/>
      <c r="F25" s="11"/>
      <c r="G25" s="11"/>
      <c r="H25" s="11"/>
      <c r="I25" s="11"/>
      <c r="J25" s="11"/>
      <c r="K25" s="11"/>
      <c r="L25" s="11"/>
      <c r="M25" s="13"/>
      <c r="N25" s="11"/>
      <c r="O25" s="11"/>
      <c r="P25" s="11"/>
      <c r="Q25" s="14"/>
      <c r="R25" s="11"/>
      <c r="S25" s="14"/>
      <c r="T25" s="14"/>
      <c r="U25" s="14"/>
      <c r="V25" s="17"/>
      <c r="W25" s="18"/>
      <c r="X25" s="52"/>
    </row>
    <row r="26" spans="1:24" ht="21" customHeight="1">
      <c r="A26" s="10"/>
      <c r="B26" s="11"/>
      <c r="C26" s="11"/>
      <c r="D26" s="11"/>
      <c r="E26" s="12"/>
      <c r="F26" s="11"/>
      <c r="G26" s="11"/>
      <c r="H26" s="11"/>
      <c r="I26" s="11"/>
      <c r="J26" s="11"/>
      <c r="K26" s="11"/>
      <c r="L26" s="11"/>
      <c r="M26" s="13"/>
      <c r="N26" s="11"/>
      <c r="O26" s="11"/>
      <c r="P26" s="11"/>
      <c r="Q26" s="14"/>
      <c r="R26" s="11"/>
      <c r="S26" s="14"/>
      <c r="T26" s="14"/>
      <c r="U26" s="14"/>
      <c r="V26" s="17"/>
      <c r="W26" s="18"/>
      <c r="X26" s="52"/>
    </row>
    <row r="27" spans="1:24" ht="21" customHeight="1">
      <c r="A27" s="10"/>
      <c r="B27" s="11"/>
      <c r="C27" s="11"/>
      <c r="D27" s="11"/>
      <c r="E27" s="12"/>
      <c r="F27" s="11"/>
      <c r="G27" s="11"/>
      <c r="H27" s="11"/>
      <c r="I27" s="11"/>
      <c r="J27" s="11"/>
      <c r="K27" s="11"/>
      <c r="L27" s="11"/>
      <c r="M27" s="13"/>
      <c r="N27" s="11"/>
      <c r="O27" s="11"/>
      <c r="P27" s="11"/>
      <c r="Q27" s="14"/>
      <c r="R27" s="11"/>
      <c r="S27" s="14"/>
      <c r="T27" s="14"/>
      <c r="U27" s="14"/>
      <c r="V27" s="17"/>
      <c r="W27" s="18"/>
      <c r="X27" s="52"/>
    </row>
    <row r="28" spans="1:24" ht="21" customHeight="1">
      <c r="A28" s="10"/>
      <c r="B28" s="11"/>
      <c r="C28" s="11"/>
      <c r="D28" s="11"/>
      <c r="E28" s="12"/>
      <c r="F28" s="11"/>
      <c r="G28" s="11"/>
      <c r="H28" s="11"/>
      <c r="I28" s="11"/>
      <c r="J28" s="11"/>
      <c r="K28" s="11"/>
      <c r="L28" s="11"/>
      <c r="M28" s="14"/>
      <c r="N28" s="11"/>
      <c r="O28" s="14"/>
      <c r="P28" s="11"/>
      <c r="Q28" s="14"/>
      <c r="R28" s="11"/>
      <c r="S28" s="14"/>
      <c r="T28" s="14"/>
      <c r="U28" s="14"/>
      <c r="V28" s="11"/>
      <c r="W28" s="15"/>
      <c r="X28" s="52"/>
    </row>
    <row r="29" spans="1:24" ht="21" customHeight="1" thickBot="1">
      <c r="A29" s="10"/>
      <c r="B29" s="11"/>
      <c r="C29" s="11"/>
      <c r="D29" s="11"/>
      <c r="E29" s="12"/>
      <c r="F29" s="11"/>
      <c r="G29" s="11"/>
      <c r="H29" s="11"/>
      <c r="I29" s="11"/>
      <c r="J29" s="11"/>
      <c r="K29" s="11"/>
      <c r="L29" s="11"/>
      <c r="M29" s="45"/>
      <c r="N29" s="11"/>
      <c r="O29" s="11"/>
      <c r="P29" s="11"/>
      <c r="Q29" s="14"/>
      <c r="R29" s="11"/>
      <c r="S29" s="14"/>
      <c r="T29" s="11"/>
      <c r="U29" s="14"/>
      <c r="V29" s="17"/>
      <c r="W29" s="18"/>
      <c r="X29" s="52"/>
    </row>
    <row r="30" spans="1:24" ht="21" customHeight="1">
      <c r="A30" s="1" t="s">
        <v>144</v>
      </c>
      <c r="B30" s="6"/>
      <c r="C30" s="6"/>
      <c r="D30" s="6"/>
      <c r="E30" s="20"/>
      <c r="F30" s="6"/>
      <c r="G30" s="6"/>
      <c r="H30" s="6"/>
      <c r="I30" s="6"/>
      <c r="J30" s="6"/>
      <c r="K30" s="6"/>
      <c r="L30" s="6"/>
      <c r="M30" s="6"/>
      <c r="N30" s="6"/>
      <c r="O30" s="6"/>
      <c r="P30" s="6"/>
      <c r="Q30" s="6"/>
      <c r="R30" s="6"/>
      <c r="S30" s="6"/>
      <c r="T30" s="6"/>
      <c r="U30" s="6"/>
      <c r="V30" s="21"/>
      <c r="W30" s="35"/>
      <c r="X30" s="52"/>
    </row>
    <row r="31" spans="1:24" ht="21" customHeight="1">
      <c r="A31" s="10" t="s">
        <v>47</v>
      </c>
      <c r="B31" s="11">
        <v>1.3020833333333334E-2</v>
      </c>
      <c r="C31" s="11">
        <v>3.7037037037037038E-3</v>
      </c>
      <c r="D31" s="11">
        <f>B31*E31</f>
        <v>7.5755208333333334E-3</v>
      </c>
      <c r="E31" s="12">
        <v>0.58179999999999998</v>
      </c>
      <c r="F31" s="11">
        <f>C31/4</f>
        <v>9.2592592592592596E-4</v>
      </c>
      <c r="G31" s="11">
        <f>D31/7.5</f>
        <v>1.0100694444444445E-3</v>
      </c>
      <c r="H31" s="11">
        <f>B31/12.5</f>
        <v>1.0416666666666667E-3</v>
      </c>
      <c r="I31" s="11">
        <f>G31/0.93</f>
        <v>1.0860961768219832E-3</v>
      </c>
      <c r="J31" s="11">
        <f>G31/0.92</f>
        <v>1.0979015700483092E-3</v>
      </c>
      <c r="K31" s="11">
        <f>G31/0.88</f>
        <v>1.1478061868686869E-3</v>
      </c>
      <c r="L31" s="11">
        <f>G31/0.84</f>
        <v>1.2024636243386244E-3</v>
      </c>
      <c r="M31" s="25"/>
      <c r="N31" s="28"/>
      <c r="O31" s="25"/>
      <c r="P31" s="28"/>
      <c r="Q31" s="25"/>
      <c r="R31" s="25"/>
      <c r="S31" s="25"/>
      <c r="T31" s="28"/>
      <c r="U31" s="11"/>
      <c r="V31" s="36"/>
      <c r="W31" s="15" t="s">
        <v>141</v>
      </c>
      <c r="X31" s="52"/>
    </row>
    <row r="32" spans="1:24" ht="21" customHeight="1">
      <c r="A32" s="10" t="s">
        <v>36</v>
      </c>
      <c r="B32" s="11">
        <v>1.2615740740740742E-2</v>
      </c>
      <c r="C32" s="11">
        <v>3.6458333333333334E-3</v>
      </c>
      <c r="D32" s="11">
        <f>B32*E32</f>
        <v>7.3398379629629629E-3</v>
      </c>
      <c r="E32" s="12">
        <v>0.58179999999999998</v>
      </c>
      <c r="F32" s="11">
        <f>C32/4</f>
        <v>9.1145833333333335E-4</v>
      </c>
      <c r="G32" s="11">
        <f>D32/7.5</f>
        <v>9.7864506172839496E-4</v>
      </c>
      <c r="H32" s="11">
        <f>B32/12.5</f>
        <v>1.0092592592592592E-3</v>
      </c>
      <c r="I32" s="11">
        <f>G32/0.93</f>
        <v>1.0523065179875214E-3</v>
      </c>
      <c r="J32" s="11">
        <f>G32/0.92</f>
        <v>1.0637446323134728E-3</v>
      </c>
      <c r="K32" s="11">
        <f>G32/0.88</f>
        <v>1.1120966610549943E-3</v>
      </c>
      <c r="L32" s="11">
        <f>G32/0.84</f>
        <v>1.165053644914756E-3</v>
      </c>
      <c r="M32" s="25"/>
      <c r="N32" s="28"/>
      <c r="O32" s="25"/>
      <c r="P32" s="28"/>
      <c r="Q32" s="25"/>
      <c r="R32" s="25"/>
      <c r="S32" s="25"/>
      <c r="T32" s="28"/>
      <c r="U32" s="11"/>
      <c r="V32" s="36"/>
      <c r="W32" s="15" t="s">
        <v>141</v>
      </c>
      <c r="X32" s="52"/>
    </row>
    <row r="33" spans="1:24" ht="21" customHeight="1">
      <c r="A33" s="10" t="s">
        <v>50</v>
      </c>
      <c r="B33" s="11">
        <v>1.3020833333333334E-2</v>
      </c>
      <c r="C33" s="11">
        <v>3.7037037037037038E-3</v>
      </c>
      <c r="D33" s="11">
        <f t="shared" ref="D33" si="8">B33*E33</f>
        <v>7.5755208333333334E-3</v>
      </c>
      <c r="E33" s="12">
        <v>0.58179999999999998</v>
      </c>
      <c r="F33" s="11">
        <f t="shared" ref="F33" si="9">C33/4</f>
        <v>9.2592592592592596E-4</v>
      </c>
      <c r="G33" s="11">
        <f t="shared" ref="G33" si="10">D33/7.5</f>
        <v>1.0100694444444445E-3</v>
      </c>
      <c r="H33" s="11">
        <f t="shared" ref="H33" si="11">B33/12.5</f>
        <v>1.0416666666666667E-3</v>
      </c>
      <c r="I33" s="11">
        <f t="shared" ref="I33" si="12">G33/0.93</f>
        <v>1.0860961768219832E-3</v>
      </c>
      <c r="J33" s="11">
        <f t="shared" ref="J33" si="13">G33/0.92</f>
        <v>1.0979015700483092E-3</v>
      </c>
      <c r="K33" s="11">
        <f t="shared" ref="K33" si="14">G33/0.88</f>
        <v>1.1478061868686869E-3</v>
      </c>
      <c r="L33" s="11">
        <f t="shared" ref="L33" si="15">G33/0.84</f>
        <v>1.2024636243386244E-3</v>
      </c>
      <c r="M33" s="25"/>
      <c r="N33" s="28"/>
      <c r="O33" s="25"/>
      <c r="P33" s="28"/>
      <c r="Q33" s="25"/>
      <c r="R33" s="25"/>
      <c r="S33" s="25"/>
      <c r="T33" s="28"/>
      <c r="U33" s="11"/>
      <c r="V33" s="36"/>
      <c r="W33" s="15" t="s">
        <v>141</v>
      </c>
      <c r="X33" s="52"/>
    </row>
    <row r="34" spans="1:24" ht="21" customHeight="1">
      <c r="A34" s="10" t="s">
        <v>38</v>
      </c>
      <c r="B34" s="11">
        <v>1.238425925925926E-2</v>
      </c>
      <c r="C34" s="11">
        <v>3.5300925925925925E-3</v>
      </c>
      <c r="D34" s="11">
        <f>B34*E34</f>
        <v>7.2051620370370368E-3</v>
      </c>
      <c r="E34" s="12">
        <v>0.58179999999999998</v>
      </c>
      <c r="F34" s="11">
        <f>C34/4</f>
        <v>8.8252314814814812E-4</v>
      </c>
      <c r="G34" s="11">
        <f>D34/7.5</f>
        <v>9.6068827160493821E-4</v>
      </c>
      <c r="H34" s="11">
        <f>B34/12.5</f>
        <v>9.9074074074074082E-4</v>
      </c>
      <c r="I34" s="11">
        <f>G34/0.93</f>
        <v>1.0329981415106862E-3</v>
      </c>
      <c r="J34" s="11">
        <f>G34/0.92</f>
        <v>1.0442263821792807E-3</v>
      </c>
      <c r="K34" s="11">
        <f>G34/0.88</f>
        <v>1.0916912177328843E-3</v>
      </c>
      <c r="L34" s="11">
        <f>G34/0.84</f>
        <v>1.1436765138154027E-3</v>
      </c>
      <c r="M34" s="25"/>
      <c r="N34" s="28"/>
      <c r="O34" s="25"/>
      <c r="P34" s="28"/>
      <c r="Q34" s="25"/>
      <c r="R34" s="25"/>
      <c r="S34" s="25"/>
      <c r="T34" s="28"/>
      <c r="U34" s="11"/>
      <c r="V34" s="36"/>
      <c r="W34" s="15" t="s">
        <v>141</v>
      </c>
      <c r="X34" s="52"/>
    </row>
    <row r="35" spans="1:24" ht="21" customHeight="1">
      <c r="A35" s="10" t="s">
        <v>31</v>
      </c>
      <c r="B35" s="11">
        <v>1.238425925925926E-2</v>
      </c>
      <c r="C35" s="11">
        <v>3.7037037037037038E-3</v>
      </c>
      <c r="D35" s="11">
        <f>B35*E35</f>
        <v>7.2051620370370368E-3</v>
      </c>
      <c r="E35" s="12">
        <v>0.58179999999999998</v>
      </c>
      <c r="F35" s="11">
        <f>C35/4</f>
        <v>9.2592592592592596E-4</v>
      </c>
      <c r="G35" s="11">
        <f>D35/7.5</f>
        <v>9.6068827160493821E-4</v>
      </c>
      <c r="H35" s="11">
        <f>B35/12.5</f>
        <v>9.9074074074074082E-4</v>
      </c>
      <c r="I35" s="11">
        <f>G35/0.93</f>
        <v>1.0329981415106862E-3</v>
      </c>
      <c r="J35" s="11">
        <f>G35/0.92</f>
        <v>1.0442263821792807E-3</v>
      </c>
      <c r="K35" s="11">
        <f>G35/0.88</f>
        <v>1.0916912177328843E-3</v>
      </c>
      <c r="L35" s="11">
        <f>G35/0.84</f>
        <v>1.1436765138154027E-3</v>
      </c>
      <c r="M35" s="25"/>
      <c r="N35" s="28"/>
      <c r="O35" s="25"/>
      <c r="P35" s="28"/>
      <c r="Q35" s="25"/>
      <c r="R35" s="25"/>
      <c r="S35" s="25"/>
      <c r="T35" s="28"/>
      <c r="U35" s="11"/>
      <c r="V35" s="36"/>
      <c r="W35" s="15" t="s">
        <v>141</v>
      </c>
      <c r="X35" s="52"/>
    </row>
    <row r="36" spans="1:24" ht="21" customHeight="1">
      <c r="A36" s="10" t="s">
        <v>62</v>
      </c>
      <c r="B36" s="11">
        <v>1.238425925925926E-2</v>
      </c>
      <c r="C36" s="11">
        <v>3.6458333333333334E-3</v>
      </c>
      <c r="D36" s="11">
        <f>B36*E36</f>
        <v>7.2051620370370368E-3</v>
      </c>
      <c r="E36" s="12">
        <v>0.58179999999999998</v>
      </c>
      <c r="F36" s="11">
        <f>C36/4</f>
        <v>9.1145833333333335E-4</v>
      </c>
      <c r="G36" s="11">
        <f>D36/7.5</f>
        <v>9.6068827160493821E-4</v>
      </c>
      <c r="H36" s="11">
        <f>B36/12.5</f>
        <v>9.9074074074074082E-4</v>
      </c>
      <c r="I36" s="11">
        <f>G36/0.93</f>
        <v>1.0329981415106862E-3</v>
      </c>
      <c r="J36" s="11">
        <f>G36/0.92</f>
        <v>1.0442263821792807E-3</v>
      </c>
      <c r="K36" s="11">
        <f>G36/0.88</f>
        <v>1.0916912177328843E-3</v>
      </c>
      <c r="L36" s="11">
        <f>G36/0.84</f>
        <v>1.1436765138154027E-3</v>
      </c>
      <c r="M36" s="25"/>
      <c r="N36" s="28"/>
      <c r="O36" s="25"/>
      <c r="P36" s="28"/>
      <c r="Q36" s="25"/>
      <c r="R36" s="25"/>
      <c r="S36" s="25"/>
      <c r="T36" s="28"/>
      <c r="U36" s="11"/>
      <c r="V36" s="36"/>
      <c r="W36" s="15" t="s">
        <v>141</v>
      </c>
      <c r="X36" s="52"/>
    </row>
    <row r="37" spans="1:24" ht="21" customHeight="1">
      <c r="A37" s="10" t="s">
        <v>63</v>
      </c>
      <c r="B37" s="11">
        <v>1.2615740740740742E-2</v>
      </c>
      <c r="C37" s="11">
        <v>3.7037037037037038E-3</v>
      </c>
      <c r="D37" s="11">
        <f>B37*E37</f>
        <v>7.3398379629629629E-3</v>
      </c>
      <c r="E37" s="12">
        <v>0.58179999999999998</v>
      </c>
      <c r="F37" s="11">
        <f>C37/4</f>
        <v>9.2592592592592596E-4</v>
      </c>
      <c r="G37" s="11">
        <f>D37/7.5</f>
        <v>9.7864506172839496E-4</v>
      </c>
      <c r="H37" s="11">
        <f>B37/12.5</f>
        <v>1.0092592592592592E-3</v>
      </c>
      <c r="I37" s="11">
        <f>G37/0.93</f>
        <v>1.0523065179875214E-3</v>
      </c>
      <c r="J37" s="11">
        <f>G37/0.92</f>
        <v>1.0637446323134728E-3</v>
      </c>
      <c r="K37" s="11">
        <f>G37/0.88</f>
        <v>1.1120966610549943E-3</v>
      </c>
      <c r="L37" s="11">
        <f>G37/0.84</f>
        <v>1.165053644914756E-3</v>
      </c>
      <c r="M37" s="25"/>
      <c r="N37" s="28"/>
      <c r="O37" s="25"/>
      <c r="P37" s="28"/>
      <c r="Q37" s="25"/>
      <c r="R37" s="25"/>
      <c r="S37" s="25"/>
      <c r="T37" s="28"/>
      <c r="U37" s="11"/>
      <c r="V37" s="36"/>
      <c r="W37" s="15" t="s">
        <v>141</v>
      </c>
      <c r="X37" s="52"/>
    </row>
    <row r="38" spans="1:24" ht="21" customHeight="1">
      <c r="A38" s="10" t="s">
        <v>64</v>
      </c>
      <c r="B38" s="11">
        <v>1.2615740740740742E-2</v>
      </c>
      <c r="C38" s="11">
        <v>3.5879629629629629E-3</v>
      </c>
      <c r="D38" s="11">
        <f>B38*E38</f>
        <v>7.3398379629629629E-3</v>
      </c>
      <c r="E38" s="12">
        <v>0.58179999999999998</v>
      </c>
      <c r="F38" s="11">
        <f>C38/4</f>
        <v>8.9699074074074073E-4</v>
      </c>
      <c r="G38" s="11">
        <f>D38/7.5</f>
        <v>9.7864506172839496E-4</v>
      </c>
      <c r="H38" s="11">
        <f>B38/12.5</f>
        <v>1.0092592592592592E-3</v>
      </c>
      <c r="I38" s="11">
        <f>G38/0.93</f>
        <v>1.0523065179875214E-3</v>
      </c>
      <c r="J38" s="11">
        <f>G38/0.92</f>
        <v>1.0637446323134728E-3</v>
      </c>
      <c r="K38" s="11">
        <f>G38/0.88</f>
        <v>1.1120966610549943E-3</v>
      </c>
      <c r="L38" s="11">
        <f>G38/0.84</f>
        <v>1.165053644914756E-3</v>
      </c>
      <c r="M38" s="25"/>
      <c r="N38" s="28"/>
      <c r="O38" s="25"/>
      <c r="P38" s="28"/>
      <c r="Q38" s="25"/>
      <c r="R38" s="25"/>
      <c r="S38" s="25"/>
      <c r="T38" s="28"/>
      <c r="U38" s="11"/>
      <c r="V38" s="36"/>
      <c r="W38" s="15" t="s">
        <v>141</v>
      </c>
      <c r="X38" s="52"/>
    </row>
    <row r="39" spans="1:24" ht="21" customHeight="1">
      <c r="A39" s="10" t="s">
        <v>49</v>
      </c>
      <c r="B39" s="11">
        <v>1.2731481481481481E-2</v>
      </c>
      <c r="C39" s="11">
        <v>3.5879629629629629E-3</v>
      </c>
      <c r="D39" s="11">
        <f t="shared" ref="D39:D47" si="16">B39*E39</f>
        <v>7.4071759259259256E-3</v>
      </c>
      <c r="E39" s="12">
        <v>0.58179999999999998</v>
      </c>
      <c r="F39" s="11">
        <f t="shared" ref="F39:F47" si="17">C39/4</f>
        <v>8.9699074074074073E-4</v>
      </c>
      <c r="G39" s="11">
        <f t="shared" ref="G39:G47" si="18">D39/7.5</f>
        <v>9.8762345679012349E-4</v>
      </c>
      <c r="H39" s="11">
        <f t="shared" ref="H39:H47" si="19">B39/12.5</f>
        <v>1.0185185185185184E-3</v>
      </c>
      <c r="I39" s="11">
        <f t="shared" ref="I39:I47" si="20">G39/0.93</f>
        <v>1.0619607062259391E-3</v>
      </c>
      <c r="J39" s="11">
        <f t="shared" ref="J39:J47" si="21">G39/0.92</f>
        <v>1.073503757380569E-3</v>
      </c>
      <c r="K39" s="11">
        <f t="shared" ref="K39:K47" si="22">G39/0.88</f>
        <v>1.1222993827160494E-3</v>
      </c>
      <c r="L39" s="11">
        <f t="shared" ref="L39:L47" si="23">G39/0.84</f>
        <v>1.1757422104644328E-3</v>
      </c>
      <c r="M39" s="25"/>
      <c r="N39" s="28"/>
      <c r="O39" s="25"/>
      <c r="P39" s="28"/>
      <c r="Q39" s="25"/>
      <c r="R39" s="25"/>
      <c r="S39" s="25"/>
      <c r="T39" s="28"/>
      <c r="U39" s="11"/>
      <c r="V39" s="36"/>
      <c r="W39" s="15" t="s">
        <v>141</v>
      </c>
      <c r="X39" s="52"/>
    </row>
    <row r="40" spans="1:24" ht="21" customHeight="1">
      <c r="A40" s="10" t="s">
        <v>65</v>
      </c>
      <c r="B40" s="11">
        <v>1.2731481481481481E-2</v>
      </c>
      <c r="C40" s="11">
        <v>3.8194444444444443E-3</v>
      </c>
      <c r="D40" s="11">
        <f t="shared" si="16"/>
        <v>7.4071759259259256E-3</v>
      </c>
      <c r="E40" s="12">
        <v>0.58179999999999998</v>
      </c>
      <c r="F40" s="11">
        <f t="shared" si="17"/>
        <v>9.5486111111111108E-4</v>
      </c>
      <c r="G40" s="11">
        <f t="shared" si="18"/>
        <v>9.8762345679012349E-4</v>
      </c>
      <c r="H40" s="11">
        <f t="shared" si="19"/>
        <v>1.0185185185185184E-3</v>
      </c>
      <c r="I40" s="11">
        <f t="shared" si="20"/>
        <v>1.0619607062259391E-3</v>
      </c>
      <c r="J40" s="11">
        <f t="shared" si="21"/>
        <v>1.073503757380569E-3</v>
      </c>
      <c r="K40" s="11">
        <f t="shared" si="22"/>
        <v>1.1222993827160494E-3</v>
      </c>
      <c r="L40" s="11">
        <f t="shared" si="23"/>
        <v>1.1757422104644328E-3</v>
      </c>
      <c r="M40" s="25"/>
      <c r="N40" s="28"/>
      <c r="O40" s="25"/>
      <c r="P40" s="28"/>
      <c r="Q40" s="25"/>
      <c r="R40" s="25"/>
      <c r="S40" s="25"/>
      <c r="T40" s="28"/>
      <c r="U40" s="11"/>
      <c r="V40" s="36"/>
      <c r="W40" s="15" t="s">
        <v>141</v>
      </c>
      <c r="X40" s="52"/>
    </row>
    <row r="41" spans="1:24" ht="21" customHeight="1">
      <c r="A41" s="10" t="s">
        <v>66</v>
      </c>
      <c r="B41" s="11">
        <v>1.2731481481481481E-2</v>
      </c>
      <c r="C41" s="11">
        <v>3.6458333333333334E-3</v>
      </c>
      <c r="D41" s="11">
        <f>B41*E41</f>
        <v>7.4071759259259256E-3</v>
      </c>
      <c r="E41" s="12">
        <v>0.58179999999999998</v>
      </c>
      <c r="F41" s="11">
        <f>C41/4</f>
        <v>9.1145833333333335E-4</v>
      </c>
      <c r="G41" s="11">
        <f>D41/7.5</f>
        <v>9.8762345679012349E-4</v>
      </c>
      <c r="H41" s="11">
        <f>B41/12.5</f>
        <v>1.0185185185185184E-3</v>
      </c>
      <c r="I41" s="11">
        <f>G41/0.93</f>
        <v>1.0619607062259391E-3</v>
      </c>
      <c r="J41" s="11">
        <f>G41/0.92</f>
        <v>1.073503757380569E-3</v>
      </c>
      <c r="K41" s="11">
        <f>G41/0.88</f>
        <v>1.1222993827160494E-3</v>
      </c>
      <c r="L41" s="17">
        <f>G41/0.84</f>
        <v>1.1757422104644328E-3</v>
      </c>
      <c r="M41" s="25"/>
      <c r="N41" s="28"/>
      <c r="O41" s="25"/>
      <c r="P41" s="28"/>
      <c r="Q41" s="25"/>
      <c r="R41" s="25"/>
      <c r="S41" s="25"/>
      <c r="T41" s="28"/>
      <c r="U41" s="11"/>
      <c r="V41" s="36"/>
      <c r="W41" s="15" t="s">
        <v>141</v>
      </c>
      <c r="X41" s="52"/>
    </row>
    <row r="42" spans="1:24" ht="21" customHeight="1">
      <c r="A42" s="10" t="s">
        <v>67</v>
      </c>
      <c r="B42" s="11">
        <v>1.3020833333333334E-2</v>
      </c>
      <c r="C42" s="11">
        <v>3.8194444444444443E-3</v>
      </c>
      <c r="D42" s="11">
        <f>B42*E42</f>
        <v>7.5755208333333334E-3</v>
      </c>
      <c r="E42" s="12">
        <v>0.58179999999999998</v>
      </c>
      <c r="F42" s="11">
        <f>C42/4</f>
        <v>9.5486111111111108E-4</v>
      </c>
      <c r="G42" s="11">
        <f>D42/7.5</f>
        <v>1.0100694444444445E-3</v>
      </c>
      <c r="H42" s="11">
        <f>B42/12.5</f>
        <v>1.0416666666666667E-3</v>
      </c>
      <c r="I42" s="11">
        <f>G42/0.93</f>
        <v>1.0860961768219832E-3</v>
      </c>
      <c r="J42" s="11">
        <f>G42/0.92</f>
        <v>1.0979015700483092E-3</v>
      </c>
      <c r="K42" s="11">
        <f>G42/0.88</f>
        <v>1.1478061868686869E-3</v>
      </c>
      <c r="L42" s="11">
        <f>G42/0.84</f>
        <v>1.2024636243386244E-3</v>
      </c>
      <c r="M42" s="25"/>
      <c r="N42" s="28"/>
      <c r="O42" s="25"/>
      <c r="P42" s="28"/>
      <c r="Q42" s="25"/>
      <c r="R42" s="25"/>
      <c r="S42" s="25"/>
      <c r="T42" s="28"/>
      <c r="U42" s="11"/>
      <c r="V42" s="36"/>
      <c r="W42" s="15" t="s">
        <v>141</v>
      </c>
      <c r="X42" s="52"/>
    </row>
    <row r="43" spans="1:24" ht="21" customHeight="1">
      <c r="A43" s="10" t="s">
        <v>68</v>
      </c>
      <c r="B43" s="11">
        <v>1.3020833333333334E-2</v>
      </c>
      <c r="C43" s="11">
        <v>3.9351851851851848E-3</v>
      </c>
      <c r="D43" s="11">
        <f>B43*E43</f>
        <v>7.5755208333333334E-3</v>
      </c>
      <c r="E43" s="12">
        <v>0.58179999999999998</v>
      </c>
      <c r="F43" s="11">
        <f>C43/4</f>
        <v>9.837962962962962E-4</v>
      </c>
      <c r="G43" s="11">
        <f>D43/7.5</f>
        <v>1.0100694444444445E-3</v>
      </c>
      <c r="H43" s="11">
        <f>B43/12.5</f>
        <v>1.0416666666666667E-3</v>
      </c>
      <c r="I43" s="11">
        <f>G43/0.93</f>
        <v>1.0860961768219832E-3</v>
      </c>
      <c r="J43" s="11">
        <f>G43/0.92</f>
        <v>1.0979015700483092E-3</v>
      </c>
      <c r="K43" s="11">
        <f>G43/0.88</f>
        <v>1.1478061868686869E-3</v>
      </c>
      <c r="L43" s="11">
        <f>G43/0.84</f>
        <v>1.2024636243386244E-3</v>
      </c>
      <c r="M43" s="25"/>
      <c r="N43" s="28"/>
      <c r="O43" s="25"/>
      <c r="P43" s="28"/>
      <c r="Q43" s="25"/>
      <c r="R43" s="25"/>
      <c r="S43" s="25"/>
      <c r="T43" s="28"/>
      <c r="U43" s="11"/>
      <c r="V43" s="36"/>
      <c r="W43" s="15" t="s">
        <v>141</v>
      </c>
      <c r="X43" s="52"/>
    </row>
    <row r="44" spans="1:24" ht="21" customHeight="1">
      <c r="A44" s="10" t="s">
        <v>69</v>
      </c>
      <c r="B44" s="11">
        <v>1.3541666666666667E-2</v>
      </c>
      <c r="C44" s="11">
        <v>4.0509259259259257E-3</v>
      </c>
      <c r="D44" s="11">
        <f t="shared" si="16"/>
        <v>7.8785416666666674E-3</v>
      </c>
      <c r="E44" s="12">
        <v>0.58179999999999998</v>
      </c>
      <c r="F44" s="11">
        <f t="shared" si="17"/>
        <v>1.0127314814814814E-3</v>
      </c>
      <c r="G44" s="11">
        <f t="shared" si="18"/>
        <v>1.0504722222222224E-3</v>
      </c>
      <c r="H44" s="11">
        <f t="shared" si="19"/>
        <v>1.0833333333333333E-3</v>
      </c>
      <c r="I44" s="11">
        <f t="shared" si="20"/>
        <v>1.1295400238948627E-3</v>
      </c>
      <c r="J44" s="11">
        <f t="shared" si="21"/>
        <v>1.1418176328502417E-3</v>
      </c>
      <c r="K44" s="11">
        <f t="shared" si="22"/>
        <v>1.1937184343434346E-3</v>
      </c>
      <c r="L44" s="11">
        <f t="shared" si="23"/>
        <v>1.2505621693121695E-3</v>
      </c>
      <c r="M44" s="25"/>
      <c r="N44" s="28"/>
      <c r="O44" s="25"/>
      <c r="P44" s="28"/>
      <c r="Q44" s="25"/>
      <c r="R44" s="25"/>
      <c r="S44" s="25"/>
      <c r="T44" s="28"/>
      <c r="U44" s="11"/>
      <c r="V44" s="36"/>
      <c r="W44" s="15" t="s">
        <v>141</v>
      </c>
      <c r="X44" s="52"/>
    </row>
    <row r="45" spans="1:24" ht="21" customHeight="1">
      <c r="A45" s="10" t="s">
        <v>70</v>
      </c>
      <c r="B45" s="11">
        <v>1.3541666666666667E-2</v>
      </c>
      <c r="C45" s="11">
        <v>4.0509259259259257E-3</v>
      </c>
      <c r="D45" s="11">
        <f t="shared" si="16"/>
        <v>7.8785416666666674E-3</v>
      </c>
      <c r="E45" s="12">
        <v>0.58179999999999998</v>
      </c>
      <c r="F45" s="11">
        <f t="shared" si="17"/>
        <v>1.0127314814814814E-3</v>
      </c>
      <c r="G45" s="11">
        <f t="shared" si="18"/>
        <v>1.0504722222222224E-3</v>
      </c>
      <c r="H45" s="11">
        <f t="shared" si="19"/>
        <v>1.0833333333333333E-3</v>
      </c>
      <c r="I45" s="11">
        <f t="shared" si="20"/>
        <v>1.1295400238948627E-3</v>
      </c>
      <c r="J45" s="11">
        <f t="shared" si="21"/>
        <v>1.1418176328502417E-3</v>
      </c>
      <c r="K45" s="11">
        <f t="shared" si="22"/>
        <v>1.1937184343434346E-3</v>
      </c>
      <c r="L45" s="11">
        <f t="shared" si="23"/>
        <v>1.2505621693121695E-3</v>
      </c>
      <c r="M45" s="25"/>
      <c r="N45" s="28"/>
      <c r="O45" s="25"/>
      <c r="P45" s="28"/>
      <c r="Q45" s="25"/>
      <c r="R45" s="25"/>
      <c r="S45" s="25"/>
      <c r="T45" s="28"/>
      <c r="U45" s="11"/>
      <c r="V45" s="36"/>
      <c r="W45" s="15" t="s">
        <v>141</v>
      </c>
      <c r="X45" s="52"/>
    </row>
    <row r="46" spans="1:24" ht="21" customHeight="1">
      <c r="A46" s="10" t="s">
        <v>71</v>
      </c>
      <c r="B46" s="11">
        <v>1.3541666666666667E-2</v>
      </c>
      <c r="C46" s="11">
        <v>4.0509259259259257E-3</v>
      </c>
      <c r="D46" s="11">
        <f>B46*E46</f>
        <v>7.8785416666666674E-3</v>
      </c>
      <c r="E46" s="12">
        <v>0.58179999999999998</v>
      </c>
      <c r="F46" s="11">
        <f>C46/4</f>
        <v>1.0127314814814814E-3</v>
      </c>
      <c r="G46" s="11">
        <f>D46/7.5</f>
        <v>1.0504722222222224E-3</v>
      </c>
      <c r="H46" s="11">
        <f>B46/12.5</f>
        <v>1.0833333333333333E-3</v>
      </c>
      <c r="I46" s="11">
        <f>G46/0.93</f>
        <v>1.1295400238948627E-3</v>
      </c>
      <c r="J46" s="11">
        <f>G46/0.92</f>
        <v>1.1418176328502417E-3</v>
      </c>
      <c r="K46" s="11">
        <f>G46/0.88</f>
        <v>1.1937184343434346E-3</v>
      </c>
      <c r="L46" s="11">
        <f>G46/0.84</f>
        <v>1.2505621693121695E-3</v>
      </c>
      <c r="M46" s="25"/>
      <c r="N46" s="28"/>
      <c r="O46" s="25"/>
      <c r="P46" s="28"/>
      <c r="Q46" s="25"/>
      <c r="R46" s="25"/>
      <c r="S46" s="25"/>
      <c r="T46" s="28"/>
      <c r="U46" s="11"/>
      <c r="V46" s="36"/>
      <c r="W46" s="15" t="s">
        <v>141</v>
      </c>
      <c r="X46" s="52"/>
    </row>
    <row r="47" spans="1:24" ht="21" customHeight="1">
      <c r="A47" s="10" t="s">
        <v>72</v>
      </c>
      <c r="B47" s="11">
        <v>1.3541666666666667E-2</v>
      </c>
      <c r="C47" s="11">
        <v>4.0509259259259257E-3</v>
      </c>
      <c r="D47" s="11">
        <f t="shared" si="16"/>
        <v>7.8785416666666674E-3</v>
      </c>
      <c r="E47" s="12">
        <v>0.58179999999999998</v>
      </c>
      <c r="F47" s="11">
        <f t="shared" si="17"/>
        <v>1.0127314814814814E-3</v>
      </c>
      <c r="G47" s="11">
        <f t="shared" si="18"/>
        <v>1.0504722222222224E-3</v>
      </c>
      <c r="H47" s="11">
        <f t="shared" si="19"/>
        <v>1.0833333333333333E-3</v>
      </c>
      <c r="I47" s="11">
        <f t="shared" si="20"/>
        <v>1.1295400238948627E-3</v>
      </c>
      <c r="J47" s="11">
        <f t="shared" si="21"/>
        <v>1.1418176328502417E-3</v>
      </c>
      <c r="K47" s="11">
        <f t="shared" si="22"/>
        <v>1.1937184343434346E-3</v>
      </c>
      <c r="L47" s="11">
        <f t="shared" si="23"/>
        <v>1.2505621693121695E-3</v>
      </c>
      <c r="M47" s="25"/>
      <c r="N47" s="28"/>
      <c r="O47" s="25"/>
      <c r="P47" s="28"/>
      <c r="Q47" s="25"/>
      <c r="R47" s="25"/>
      <c r="S47" s="25"/>
      <c r="T47" s="28"/>
      <c r="U47" s="11"/>
      <c r="V47" s="36"/>
      <c r="W47" s="15" t="s">
        <v>141</v>
      </c>
      <c r="X47" s="52"/>
    </row>
    <row r="48" spans="1:24" ht="21" customHeight="1">
      <c r="A48" s="10" t="s">
        <v>73</v>
      </c>
      <c r="B48" s="11">
        <v>1.3888888888888888E-2</v>
      </c>
      <c r="C48" s="11">
        <v>4.3981481481481484E-3</v>
      </c>
      <c r="D48" s="11">
        <f>B48*E48</f>
        <v>8.0805555555555544E-3</v>
      </c>
      <c r="E48" s="12">
        <v>0.58179999999999998</v>
      </c>
      <c r="F48" s="11">
        <f>C48/4</f>
        <v>1.0995370370370371E-3</v>
      </c>
      <c r="G48" s="11">
        <f>D48/7.5</f>
        <v>1.0774074074074074E-3</v>
      </c>
      <c r="H48" s="11">
        <f>B48/12.5</f>
        <v>1.1111111111111111E-3</v>
      </c>
      <c r="I48" s="11">
        <f>G48/0.93</f>
        <v>1.1585025886101153E-3</v>
      </c>
      <c r="J48" s="11">
        <f>G48/0.92</f>
        <v>1.1710950080515297E-3</v>
      </c>
      <c r="K48" s="11">
        <f>G48/0.88</f>
        <v>1.2243265993265992E-3</v>
      </c>
      <c r="L48" s="11">
        <f>G48/0.84</f>
        <v>1.2826278659611992E-3</v>
      </c>
      <c r="M48" s="25"/>
      <c r="N48" s="28"/>
      <c r="O48" s="25"/>
      <c r="P48" s="28"/>
      <c r="Q48" s="25"/>
      <c r="R48" s="25"/>
      <c r="S48" s="25"/>
      <c r="T48" s="28"/>
      <c r="U48" s="11"/>
      <c r="V48" s="36"/>
      <c r="W48" s="15" t="s">
        <v>141</v>
      </c>
      <c r="X48" s="52"/>
    </row>
    <row r="49" spans="1:24" ht="21" customHeight="1">
      <c r="A49" s="10" t="s">
        <v>74</v>
      </c>
      <c r="B49" s="11">
        <v>1.3020833333333334E-2</v>
      </c>
      <c r="C49" s="11">
        <v>3.7037037037037038E-3</v>
      </c>
      <c r="D49" s="11">
        <f>B49*E49</f>
        <v>7.5755208333333334E-3</v>
      </c>
      <c r="E49" s="12">
        <v>0.58179999999999998</v>
      </c>
      <c r="F49" s="11">
        <f>C49/4</f>
        <v>9.2592592592592596E-4</v>
      </c>
      <c r="G49" s="11">
        <f>D49/7.5</f>
        <v>1.0100694444444445E-3</v>
      </c>
      <c r="H49" s="11">
        <f>B49/12.5</f>
        <v>1.0416666666666667E-3</v>
      </c>
      <c r="I49" s="11">
        <f>G49/0.93</f>
        <v>1.0860961768219832E-3</v>
      </c>
      <c r="J49" s="11">
        <f>G49/0.92</f>
        <v>1.0979015700483092E-3</v>
      </c>
      <c r="K49" s="11">
        <f>G49/0.88</f>
        <v>1.1478061868686869E-3</v>
      </c>
      <c r="L49" s="11">
        <f>G49/0.84</f>
        <v>1.2024636243386244E-3</v>
      </c>
      <c r="M49" s="25"/>
      <c r="N49" s="28"/>
      <c r="O49" s="25"/>
      <c r="P49" s="28"/>
      <c r="Q49" s="25"/>
      <c r="R49" s="25"/>
      <c r="S49" s="25"/>
      <c r="T49" s="28"/>
      <c r="U49" s="11"/>
      <c r="V49" s="36"/>
      <c r="W49" s="15" t="s">
        <v>141</v>
      </c>
      <c r="X49" s="52"/>
    </row>
    <row r="50" spans="1:24" ht="21" customHeight="1">
      <c r="A50" s="10" t="s">
        <v>75</v>
      </c>
      <c r="B50" s="11">
        <v>1.3541666666666667E-2</v>
      </c>
      <c r="C50" s="11">
        <v>3.8194444444444443E-3</v>
      </c>
      <c r="D50" s="11">
        <f>B50*E50</f>
        <v>7.8785416666666674E-3</v>
      </c>
      <c r="E50" s="12">
        <v>0.58179999999999998</v>
      </c>
      <c r="F50" s="11">
        <f>C50/4</f>
        <v>9.5486111111111108E-4</v>
      </c>
      <c r="G50" s="11">
        <f>D50/7.5</f>
        <v>1.0504722222222224E-3</v>
      </c>
      <c r="H50" s="11">
        <f>B50/12.5</f>
        <v>1.0833333333333333E-3</v>
      </c>
      <c r="I50" s="11">
        <f>G50/0.93</f>
        <v>1.1295400238948627E-3</v>
      </c>
      <c r="J50" s="11">
        <f>G50/0.92</f>
        <v>1.1418176328502417E-3</v>
      </c>
      <c r="K50" s="11">
        <f>G50/0.88</f>
        <v>1.1937184343434346E-3</v>
      </c>
      <c r="L50" s="11">
        <f>G50/0.84</f>
        <v>1.2505621693121695E-3</v>
      </c>
      <c r="M50" s="25"/>
      <c r="N50" s="28"/>
      <c r="O50" s="25"/>
      <c r="P50" s="28"/>
      <c r="Q50" s="25"/>
      <c r="R50" s="25"/>
      <c r="S50" s="25"/>
      <c r="T50" s="28"/>
      <c r="U50" s="11"/>
      <c r="V50" s="36"/>
      <c r="W50" s="15" t="s">
        <v>141</v>
      </c>
      <c r="X50" s="52"/>
    </row>
    <row r="51" spans="1:24" ht="21" customHeight="1">
      <c r="A51" s="10" t="s">
        <v>76</v>
      </c>
      <c r="B51" s="11">
        <v>1.3541666666666667E-2</v>
      </c>
      <c r="C51" s="11">
        <v>4.0509259259259257E-3</v>
      </c>
      <c r="D51" s="11">
        <f>B51*E51</f>
        <v>7.8785416666666674E-3</v>
      </c>
      <c r="E51" s="12">
        <v>0.58179999999999998</v>
      </c>
      <c r="F51" s="11">
        <f>C51/4</f>
        <v>1.0127314814814814E-3</v>
      </c>
      <c r="G51" s="11">
        <f>D51/7.5</f>
        <v>1.0504722222222224E-3</v>
      </c>
      <c r="H51" s="11">
        <f>B51/12.5</f>
        <v>1.0833333333333333E-3</v>
      </c>
      <c r="I51" s="11">
        <f>G51/0.93</f>
        <v>1.1295400238948627E-3</v>
      </c>
      <c r="J51" s="11">
        <f>G51/0.92</f>
        <v>1.1418176328502417E-3</v>
      </c>
      <c r="K51" s="11">
        <f>G51/0.88</f>
        <v>1.1937184343434346E-3</v>
      </c>
      <c r="L51" s="11">
        <f>G51/0.84</f>
        <v>1.2505621693121695E-3</v>
      </c>
      <c r="M51" s="25"/>
      <c r="N51" s="28"/>
      <c r="O51" s="25"/>
      <c r="P51" s="28"/>
      <c r="Q51" s="25"/>
      <c r="R51" s="25"/>
      <c r="S51" s="25"/>
      <c r="T51" s="28"/>
      <c r="U51" s="11"/>
      <c r="V51" s="36"/>
      <c r="W51" s="15" t="s">
        <v>141</v>
      </c>
      <c r="X51" s="52"/>
    </row>
    <row r="52" spans="1:24" ht="21" customHeight="1">
      <c r="A52" s="10"/>
      <c r="B52" s="11"/>
      <c r="C52" s="11"/>
      <c r="D52" s="11"/>
      <c r="E52" s="12"/>
      <c r="F52" s="11"/>
      <c r="G52" s="11"/>
      <c r="H52" s="11"/>
      <c r="I52" s="11"/>
      <c r="J52" s="11"/>
      <c r="K52" s="11"/>
      <c r="L52" s="11"/>
      <c r="M52" s="45"/>
      <c r="N52" s="11"/>
      <c r="O52" s="11"/>
      <c r="P52" s="11"/>
      <c r="Q52" s="14"/>
      <c r="R52" s="11"/>
      <c r="S52" s="14"/>
      <c r="T52" s="11"/>
      <c r="U52" s="14"/>
      <c r="V52" s="17"/>
      <c r="W52" s="18"/>
      <c r="X52" s="52"/>
    </row>
    <row r="53" spans="1:24" ht="21" customHeight="1">
      <c r="A53" s="39"/>
      <c r="B53" s="40"/>
      <c r="C53" s="40"/>
      <c r="D53" s="40"/>
      <c r="E53" s="41"/>
      <c r="F53" s="40"/>
      <c r="G53" s="40"/>
      <c r="H53" s="40"/>
      <c r="I53" s="40"/>
      <c r="J53" s="40"/>
      <c r="K53" s="40"/>
      <c r="L53" s="40"/>
      <c r="M53" s="40"/>
      <c r="N53" s="40"/>
      <c r="O53" s="40"/>
      <c r="P53" s="40"/>
      <c r="Q53" s="40"/>
      <c r="R53" s="40"/>
      <c r="S53" s="40"/>
      <c r="T53" s="40"/>
      <c r="U53" s="40"/>
      <c r="V53" s="40"/>
      <c r="W53" s="42"/>
      <c r="X53" s="52"/>
    </row>
    <row r="54" spans="1:24" ht="21" customHeight="1">
      <c r="A54" s="39"/>
      <c r="B54" s="40"/>
      <c r="C54" s="40"/>
      <c r="D54" s="40"/>
      <c r="E54" s="41"/>
      <c r="F54" s="40"/>
      <c r="G54" s="40"/>
      <c r="H54" s="40"/>
      <c r="I54" s="40"/>
      <c r="J54" s="40"/>
      <c r="K54" s="40"/>
      <c r="L54" s="40"/>
      <c r="M54" s="40"/>
      <c r="N54" s="40"/>
      <c r="O54" s="40"/>
      <c r="P54" s="40"/>
      <c r="Q54" s="40"/>
      <c r="R54" s="40"/>
      <c r="S54" s="40"/>
      <c r="T54" s="40"/>
      <c r="U54" s="40"/>
      <c r="V54" s="40"/>
      <c r="W54" s="42"/>
      <c r="X54" s="52"/>
    </row>
    <row r="55" spans="1:24" ht="21" customHeight="1">
      <c r="A55" s="10"/>
      <c r="B55" s="11"/>
      <c r="C55" s="11"/>
      <c r="D55" s="11"/>
      <c r="E55" s="12"/>
      <c r="F55" s="11"/>
      <c r="G55" s="11"/>
      <c r="H55" s="11"/>
      <c r="I55" s="11"/>
      <c r="J55" s="11"/>
      <c r="K55" s="11"/>
      <c r="L55" s="11"/>
      <c r="M55" s="13"/>
      <c r="N55" s="11"/>
      <c r="O55" s="14"/>
      <c r="P55" s="11"/>
      <c r="Q55" s="14"/>
      <c r="R55" s="11"/>
      <c r="S55" s="14"/>
      <c r="T55" s="14"/>
      <c r="U55" s="14"/>
      <c r="V55" s="11"/>
      <c r="W55" s="18"/>
      <c r="X55" s="52"/>
    </row>
    <row r="56" spans="1:24" ht="21" customHeight="1">
      <c r="A56" s="10"/>
      <c r="B56" s="11"/>
      <c r="C56" s="11"/>
      <c r="D56" s="11"/>
      <c r="E56" s="12"/>
      <c r="F56" s="11"/>
      <c r="G56" s="11"/>
      <c r="H56" s="11"/>
      <c r="I56" s="11"/>
      <c r="J56" s="11"/>
      <c r="K56" s="11"/>
      <c r="L56" s="11"/>
      <c r="M56" s="13"/>
      <c r="N56" s="11"/>
      <c r="O56" s="11"/>
      <c r="P56" s="11"/>
      <c r="Q56" s="14"/>
      <c r="R56" s="11"/>
      <c r="S56" s="14"/>
      <c r="T56" s="14"/>
      <c r="U56" s="14"/>
      <c r="V56" s="17"/>
      <c r="W56" s="18"/>
      <c r="X56" s="52"/>
    </row>
    <row r="57" spans="1:24" ht="21" customHeight="1" thickBot="1">
      <c r="A57" s="10"/>
      <c r="B57" s="11"/>
      <c r="C57" s="11"/>
      <c r="D57" s="11"/>
      <c r="E57" s="12"/>
      <c r="F57" s="11"/>
      <c r="G57" s="11"/>
      <c r="H57" s="11"/>
      <c r="I57" s="11"/>
      <c r="J57" s="11"/>
      <c r="K57" s="11"/>
      <c r="L57" s="11"/>
      <c r="M57" s="13"/>
      <c r="N57" s="11"/>
      <c r="O57" s="11"/>
      <c r="P57" s="11"/>
      <c r="Q57" s="14"/>
      <c r="R57" s="11"/>
      <c r="S57" s="14"/>
      <c r="T57" s="14"/>
      <c r="U57" s="14"/>
      <c r="V57" s="17"/>
      <c r="W57" s="18"/>
      <c r="X57" s="52"/>
    </row>
    <row r="58" spans="1:24" ht="20.45" customHeight="1">
      <c r="A58" s="1" t="s">
        <v>144</v>
      </c>
      <c r="B58" s="2" t="s">
        <v>1</v>
      </c>
      <c r="C58" s="2" t="s">
        <v>2</v>
      </c>
      <c r="D58" s="2" t="s">
        <v>3</v>
      </c>
      <c r="E58" s="3" t="s">
        <v>4</v>
      </c>
      <c r="F58" s="2" t="s">
        <v>5</v>
      </c>
      <c r="G58" s="2" t="s">
        <v>6</v>
      </c>
      <c r="H58" s="2" t="s">
        <v>7</v>
      </c>
      <c r="I58" s="4" t="s">
        <v>8</v>
      </c>
      <c r="J58" s="2" t="s">
        <v>9</v>
      </c>
      <c r="K58" s="2" t="s">
        <v>10</v>
      </c>
      <c r="L58" s="2" t="s">
        <v>11</v>
      </c>
      <c r="M58" s="6" t="s">
        <v>12</v>
      </c>
      <c r="N58" s="6" t="s">
        <v>13</v>
      </c>
      <c r="O58" s="7" t="s">
        <v>14</v>
      </c>
      <c r="P58" s="8" t="s">
        <v>161</v>
      </c>
      <c r="Q58" s="8" t="s">
        <v>158</v>
      </c>
      <c r="R58" s="7" t="s">
        <v>148</v>
      </c>
      <c r="S58" s="7" t="s">
        <v>149</v>
      </c>
      <c r="T58" s="7" t="s">
        <v>150</v>
      </c>
      <c r="U58" s="7" t="s">
        <v>77</v>
      </c>
      <c r="V58" s="8" t="s">
        <v>21</v>
      </c>
      <c r="W58" s="24" t="s">
        <v>22</v>
      </c>
      <c r="X58" s="52" t="s">
        <v>162</v>
      </c>
    </row>
    <row r="59" spans="1:24" ht="20.45" customHeight="1">
      <c r="A59" s="10" t="s">
        <v>79</v>
      </c>
      <c r="B59" s="11">
        <v>9.8379629629629633E-3</v>
      </c>
      <c r="C59" s="11">
        <v>2.9745370370370373E-3</v>
      </c>
      <c r="D59" s="11">
        <f t="shared" ref="D59:D66" si="24">B59*E59</f>
        <v>5.7237268518518522E-3</v>
      </c>
      <c r="E59" s="12">
        <v>0.58179999999999998</v>
      </c>
      <c r="F59" s="11">
        <f t="shared" ref="F59:F66" si="25">C59/4</f>
        <v>7.4363425925925931E-4</v>
      </c>
      <c r="G59" s="11">
        <f t="shared" ref="G59:G66" si="26">D59/7.5</f>
        <v>7.6316358024691364E-4</v>
      </c>
      <c r="H59" s="11">
        <f t="shared" ref="H59:H66" si="27">B59/12.5</f>
        <v>7.8703703703703705E-4</v>
      </c>
      <c r="I59" s="11">
        <f t="shared" ref="I59:I66" si="28">G59/0.93</f>
        <v>8.2060600026549854E-4</v>
      </c>
      <c r="J59" s="11">
        <f t="shared" ref="J59:J66" si="29">G59/0.92</f>
        <v>8.29525630703167E-4</v>
      </c>
      <c r="K59" s="11">
        <f t="shared" ref="K59:K66" si="30">G59/0.88</f>
        <v>8.6723134118967459E-4</v>
      </c>
      <c r="L59" s="11">
        <f t="shared" ref="L59:L66" si="31">G59/0.84</f>
        <v>9.085280717225163E-4</v>
      </c>
      <c r="M59" s="25">
        <f>WO2025Jan7men11915171923252931333539414345474955575963656769717375777913171921232729333539434547[[#This Row],[Thresh]]</f>
        <v>8.6723134118967459E-4</v>
      </c>
      <c r="N59" s="28">
        <f>WO2025Jan7men11915171923252931333539414345474955575963656769717375777913171921232729333539434547[[#This Row],[Thresh]]*2.5</f>
        <v>2.1680783529741867E-3</v>
      </c>
      <c r="O59" s="25">
        <f>WO2025Jan7men11915171923252931333539414345474955575963656769717375777913171921232729333539434547[[#This Row],[CV]]</f>
        <v>8.29525630703167E-4</v>
      </c>
      <c r="P59" s="28">
        <f>WO2025Jan7men11915171923252931333539414345474955575963656769717375777913171921232729333539434547[[#This Row],[CV]]*2.5</f>
        <v>2.0738140767579175E-3</v>
      </c>
      <c r="Q59" s="25">
        <f>WO2025Jan7men11915171923252931333539414345474955575963656769717375777913171921232729333539434547[[#This Row],[VO2]]</f>
        <v>7.6316358024691364E-4</v>
      </c>
      <c r="R59" s="25"/>
      <c r="S59" s="25"/>
      <c r="T59" s="25"/>
      <c r="U59" s="28"/>
      <c r="V59" s="25"/>
      <c r="W59" s="15" t="s">
        <v>26</v>
      </c>
      <c r="X59" s="52"/>
    </row>
    <row r="60" spans="1:24" ht="20.45" customHeight="1">
      <c r="A60" s="10" t="s">
        <v>109</v>
      </c>
      <c r="B60" s="11">
        <v>9.8379629629629633E-3</v>
      </c>
      <c r="C60" s="11">
        <v>2.9745370370370373E-3</v>
      </c>
      <c r="D60" s="11">
        <f t="shared" si="24"/>
        <v>5.7237268518518522E-3</v>
      </c>
      <c r="E60" s="12">
        <v>0.58179999999999998</v>
      </c>
      <c r="F60" s="11">
        <f t="shared" si="25"/>
        <v>7.4363425925925931E-4</v>
      </c>
      <c r="G60" s="11">
        <f t="shared" si="26"/>
        <v>7.6316358024691364E-4</v>
      </c>
      <c r="H60" s="11">
        <f t="shared" si="27"/>
        <v>7.8703703703703705E-4</v>
      </c>
      <c r="I60" s="11">
        <f t="shared" si="28"/>
        <v>8.2060600026549854E-4</v>
      </c>
      <c r="J60" s="11">
        <f t="shared" si="29"/>
        <v>8.29525630703167E-4</v>
      </c>
      <c r="K60" s="11">
        <f t="shared" si="30"/>
        <v>8.6723134118967459E-4</v>
      </c>
      <c r="L60" s="11">
        <f t="shared" si="31"/>
        <v>9.085280717225163E-4</v>
      </c>
      <c r="M60" s="25">
        <f>WO2025Jan7men11915171923252931333539414345474955575963656769717375777913171921232729333539434547[[#This Row],[Thresh]]</f>
        <v>8.6723134118967459E-4</v>
      </c>
      <c r="N60" s="28">
        <f>WO2025Jan7men11915171923252931333539414345474955575963656769717375777913171921232729333539434547[[#This Row],[Thresh]]*2.5</f>
        <v>2.1680783529741867E-3</v>
      </c>
      <c r="O60" s="25">
        <f>WO2025Jan7men11915171923252931333539414345474955575963656769717375777913171921232729333539434547[[#This Row],[CV]]</f>
        <v>8.29525630703167E-4</v>
      </c>
      <c r="P60" s="28">
        <f>WO2025Jan7men11915171923252931333539414345474955575963656769717375777913171921232729333539434547[[#This Row],[CV]]*2.5</f>
        <v>2.0738140767579175E-3</v>
      </c>
      <c r="Q60" s="25">
        <f>WO2025Jan7men11915171923252931333539414345474955575963656769717375777913171921232729333539434547[[#This Row],[VO2]]</f>
        <v>7.6316358024691364E-4</v>
      </c>
      <c r="R60" s="25"/>
      <c r="S60" s="25"/>
      <c r="T60" s="25"/>
      <c r="U60" s="28"/>
      <c r="V60" s="25"/>
      <c r="W60" s="15" t="s">
        <v>26</v>
      </c>
      <c r="X60" s="52"/>
    </row>
    <row r="61" spans="1:24" ht="20.45" customHeight="1">
      <c r="A61" s="10" t="s">
        <v>80</v>
      </c>
      <c r="B61" s="11">
        <v>9.8379629629629633E-3</v>
      </c>
      <c r="C61" s="11">
        <v>2.8587962962962963E-3</v>
      </c>
      <c r="D61" s="11">
        <f t="shared" si="24"/>
        <v>5.7237268518518522E-3</v>
      </c>
      <c r="E61" s="12">
        <v>0.58179999999999998</v>
      </c>
      <c r="F61" s="11">
        <f t="shared" si="25"/>
        <v>7.1469907407407409E-4</v>
      </c>
      <c r="G61" s="11">
        <f t="shared" si="26"/>
        <v>7.6316358024691364E-4</v>
      </c>
      <c r="H61" s="11">
        <f t="shared" si="27"/>
        <v>7.8703703703703705E-4</v>
      </c>
      <c r="I61" s="11">
        <f t="shared" si="28"/>
        <v>8.2060600026549854E-4</v>
      </c>
      <c r="J61" s="11">
        <f t="shared" si="29"/>
        <v>8.29525630703167E-4</v>
      </c>
      <c r="K61" s="11">
        <f t="shared" si="30"/>
        <v>8.6723134118967459E-4</v>
      </c>
      <c r="L61" s="11">
        <f t="shared" si="31"/>
        <v>9.085280717225163E-4</v>
      </c>
      <c r="M61" s="25">
        <f>WO2025Jan7men11915171923252931333539414345474955575963656769717375777913171921232729333539434547[[#This Row],[Thresh]]</f>
        <v>8.6723134118967459E-4</v>
      </c>
      <c r="N61" s="28">
        <f>WO2025Jan7men11915171923252931333539414345474955575963656769717375777913171921232729333539434547[[#This Row],[Thresh]]*2.5</f>
        <v>2.1680783529741867E-3</v>
      </c>
      <c r="O61" s="25">
        <f>WO2025Jan7men11915171923252931333539414345474955575963656769717375777913171921232729333539434547[[#This Row],[CV]]</f>
        <v>8.29525630703167E-4</v>
      </c>
      <c r="P61" s="28">
        <f>WO2025Jan7men11915171923252931333539414345474955575963656769717375777913171921232729333539434547[[#This Row],[CV]]*2.5</f>
        <v>2.0738140767579175E-3</v>
      </c>
      <c r="Q61" s="25">
        <f>WO2025Jan7men11915171923252931333539414345474955575963656769717375777913171921232729333539434547[[#This Row],[VO2]]</f>
        <v>7.6316358024691364E-4</v>
      </c>
      <c r="R61" s="25"/>
      <c r="S61" s="25"/>
      <c r="T61" s="25"/>
      <c r="U61" s="28"/>
      <c r="V61" s="25"/>
      <c r="W61" s="15" t="s">
        <v>26</v>
      </c>
      <c r="X61" s="52"/>
    </row>
    <row r="62" spans="1:24" ht="20.45" customHeight="1">
      <c r="A62" s="10" t="s">
        <v>81</v>
      </c>
      <c r="B62" s="11">
        <v>9.9537037037037042E-3</v>
      </c>
      <c r="C62" s="11">
        <v>2.9745370370370373E-3</v>
      </c>
      <c r="D62" s="11">
        <f t="shared" si="24"/>
        <v>5.7910648148148149E-3</v>
      </c>
      <c r="E62" s="12">
        <v>0.58179999999999998</v>
      </c>
      <c r="F62" s="11">
        <f t="shared" si="25"/>
        <v>7.4363425925925931E-4</v>
      </c>
      <c r="G62" s="11">
        <f t="shared" si="26"/>
        <v>7.7214197530864196E-4</v>
      </c>
      <c r="H62" s="11">
        <f t="shared" si="27"/>
        <v>7.9629629629629636E-4</v>
      </c>
      <c r="I62" s="11">
        <f t="shared" si="28"/>
        <v>8.3026018850391602E-4</v>
      </c>
      <c r="J62" s="11">
        <f t="shared" si="29"/>
        <v>8.3928475577026292E-4</v>
      </c>
      <c r="K62" s="11">
        <f t="shared" si="30"/>
        <v>8.7743406285072947E-4</v>
      </c>
      <c r="L62" s="11">
        <f t="shared" si="31"/>
        <v>9.1921663727219285E-4</v>
      </c>
      <c r="M62" s="25">
        <f>WO2025Jan7men11915171923252931333539414345474955575963656769717375777913171921232729333539434547[[#This Row],[Thresh]]</f>
        <v>8.7743406285072947E-4</v>
      </c>
      <c r="N62" s="28">
        <f>WO2025Jan7men11915171923252931333539414345474955575963656769717375777913171921232729333539434547[[#This Row],[Thresh]]*2.5</f>
        <v>2.1935851571268238E-3</v>
      </c>
      <c r="O62" s="25">
        <f>WO2025Jan7men11915171923252931333539414345474955575963656769717375777913171921232729333539434547[[#This Row],[CV]]</f>
        <v>8.3928475577026292E-4</v>
      </c>
      <c r="P62" s="28">
        <f>WO2025Jan7men11915171923252931333539414345474955575963656769717375777913171921232729333539434547[[#This Row],[CV]]*2.5</f>
        <v>2.0982118894256573E-3</v>
      </c>
      <c r="Q62" s="25">
        <f>WO2025Jan7men11915171923252931333539414345474955575963656769717375777913171921232729333539434547[[#This Row],[VO2]]</f>
        <v>7.7214197530864196E-4</v>
      </c>
      <c r="R62" s="25"/>
      <c r="S62" s="25"/>
      <c r="T62" s="25"/>
      <c r="U62" s="28"/>
      <c r="V62" s="25"/>
      <c r="W62" s="15" t="s">
        <v>26</v>
      </c>
      <c r="X62" s="52"/>
    </row>
    <row r="63" spans="1:24" ht="20.45" customHeight="1">
      <c r="A63" s="10" t="s">
        <v>82</v>
      </c>
      <c r="B63" s="11">
        <v>9.9537037037037042E-3</v>
      </c>
      <c r="C63" s="11">
        <v>2.8935185185185188E-3</v>
      </c>
      <c r="D63" s="11">
        <f t="shared" si="24"/>
        <v>5.7910648148148149E-3</v>
      </c>
      <c r="E63" s="12">
        <v>0.58179999999999998</v>
      </c>
      <c r="F63" s="11">
        <f t="shared" si="25"/>
        <v>7.233796296296297E-4</v>
      </c>
      <c r="G63" s="11">
        <f t="shared" si="26"/>
        <v>7.7214197530864196E-4</v>
      </c>
      <c r="H63" s="11">
        <f t="shared" si="27"/>
        <v>7.9629629629629636E-4</v>
      </c>
      <c r="I63" s="11">
        <f t="shared" si="28"/>
        <v>8.3026018850391602E-4</v>
      </c>
      <c r="J63" s="11">
        <f t="shared" si="29"/>
        <v>8.3928475577026292E-4</v>
      </c>
      <c r="K63" s="11">
        <f t="shared" si="30"/>
        <v>8.7743406285072947E-4</v>
      </c>
      <c r="L63" s="11">
        <f t="shared" si="31"/>
        <v>9.1921663727219285E-4</v>
      </c>
      <c r="M63" s="25">
        <f>WO2025Jan7men11915171923252931333539414345474955575963656769717375777913171921232729333539434547[[#This Row],[Thresh]]</f>
        <v>8.7743406285072947E-4</v>
      </c>
      <c r="N63" s="28">
        <f>WO2025Jan7men11915171923252931333539414345474955575963656769717375777913171921232729333539434547[[#This Row],[Thresh]]*2.5</f>
        <v>2.1935851571268238E-3</v>
      </c>
      <c r="O63" s="25">
        <f>WO2025Jan7men11915171923252931333539414345474955575963656769717375777913171921232729333539434547[[#This Row],[CV]]</f>
        <v>8.3928475577026292E-4</v>
      </c>
      <c r="P63" s="28">
        <f>WO2025Jan7men11915171923252931333539414345474955575963656769717375777913171921232729333539434547[[#This Row],[CV]]*2.5</f>
        <v>2.0982118894256573E-3</v>
      </c>
      <c r="Q63" s="25">
        <f>WO2025Jan7men11915171923252931333539414345474955575963656769717375777913171921232729333539434547[[#This Row],[VO2]]</f>
        <v>7.7214197530864196E-4</v>
      </c>
      <c r="R63" s="25"/>
      <c r="S63" s="25"/>
      <c r="T63" s="25"/>
      <c r="U63" s="28"/>
      <c r="V63" s="25"/>
      <c r="W63" s="15" t="s">
        <v>26</v>
      </c>
      <c r="X63" s="52"/>
    </row>
    <row r="64" spans="1:24" ht="20.45" customHeight="1">
      <c r="A64" s="10" t="s">
        <v>110</v>
      </c>
      <c r="B64" s="11">
        <v>1.0069444444444445E-2</v>
      </c>
      <c r="C64" s="11">
        <v>2.8935185185185184E-3</v>
      </c>
      <c r="D64" s="11">
        <f t="shared" si="24"/>
        <v>5.8584027777777783E-3</v>
      </c>
      <c r="E64" s="12">
        <v>0.58179999999999998</v>
      </c>
      <c r="F64" s="11">
        <f t="shared" si="25"/>
        <v>7.2337962962962959E-4</v>
      </c>
      <c r="G64" s="11">
        <f t="shared" si="26"/>
        <v>7.811203703703705E-4</v>
      </c>
      <c r="H64" s="11">
        <f t="shared" si="27"/>
        <v>8.0555555555555556E-4</v>
      </c>
      <c r="I64" s="11">
        <f t="shared" si="28"/>
        <v>8.3991437674233382E-4</v>
      </c>
      <c r="J64" s="11">
        <f t="shared" si="29"/>
        <v>8.4904388083735917E-4</v>
      </c>
      <c r="K64" s="11">
        <f t="shared" si="30"/>
        <v>8.8763678451178466E-4</v>
      </c>
      <c r="L64" s="11">
        <f t="shared" si="31"/>
        <v>9.2990520282186973E-4</v>
      </c>
      <c r="M64" s="25">
        <f>WO2025Jan7men11915171923252931333539414345474955575963656769717375777913171921232729333539434547[[#This Row],[Thresh]]</f>
        <v>8.8763678451178466E-4</v>
      </c>
      <c r="N64" s="28">
        <f>WO2025Jan7men11915171923252931333539414345474955575963656769717375777913171921232729333539434547[[#This Row],[Thresh]]*2.5</f>
        <v>2.2190919612794617E-3</v>
      </c>
      <c r="O64" s="25">
        <f>WO2025Jan7men11915171923252931333539414345474955575963656769717375777913171921232729333539434547[[#This Row],[CV]]</f>
        <v>8.4904388083735917E-4</v>
      </c>
      <c r="P64" s="28">
        <f>WO2025Jan7men11915171923252931333539414345474955575963656769717375777913171921232729333539434547[[#This Row],[CV]]*2.5</f>
        <v>2.1226097020933979E-3</v>
      </c>
      <c r="Q64" s="25">
        <f>WO2025Jan7men11915171923252931333539414345474955575963656769717375777913171921232729333539434547[[#This Row],[VO2]]</f>
        <v>7.811203703703705E-4</v>
      </c>
      <c r="R64" s="25"/>
      <c r="S64" s="25"/>
      <c r="T64" s="25"/>
      <c r="U64" s="28"/>
      <c r="V64" s="25"/>
      <c r="W64" s="15" t="s">
        <v>26</v>
      </c>
      <c r="X64" s="52"/>
    </row>
    <row r="65" spans="1:24" ht="20.45" customHeight="1">
      <c r="A65" s="10" t="s">
        <v>83</v>
      </c>
      <c r="B65" s="11">
        <v>1.0069444444444445E-2</v>
      </c>
      <c r="C65" s="11">
        <v>3.0671296296296297E-3</v>
      </c>
      <c r="D65" s="11">
        <f t="shared" si="24"/>
        <v>5.8584027777777783E-3</v>
      </c>
      <c r="E65" s="12">
        <v>0.58179999999999998</v>
      </c>
      <c r="F65" s="11">
        <f t="shared" si="25"/>
        <v>7.6678240740740743E-4</v>
      </c>
      <c r="G65" s="11">
        <f t="shared" si="26"/>
        <v>7.811203703703705E-4</v>
      </c>
      <c r="H65" s="11">
        <f t="shared" si="27"/>
        <v>8.0555555555555556E-4</v>
      </c>
      <c r="I65" s="11">
        <f t="shared" si="28"/>
        <v>8.3991437674233382E-4</v>
      </c>
      <c r="J65" s="11">
        <f t="shared" si="29"/>
        <v>8.4904388083735917E-4</v>
      </c>
      <c r="K65" s="11">
        <f t="shared" si="30"/>
        <v>8.8763678451178466E-4</v>
      </c>
      <c r="L65" s="11">
        <f t="shared" si="31"/>
        <v>9.2990520282186973E-4</v>
      </c>
      <c r="M65" s="25">
        <f>WO2025Jan7men11915171923252931333539414345474955575963656769717375777913171921232729333539434547[[#This Row],[Thresh]]</f>
        <v>8.8763678451178466E-4</v>
      </c>
      <c r="N65" s="28">
        <f>WO2025Jan7men11915171923252931333539414345474955575963656769717375777913171921232729333539434547[[#This Row],[Thresh]]*2.5</f>
        <v>2.2190919612794617E-3</v>
      </c>
      <c r="O65" s="25">
        <f>WO2025Jan7men11915171923252931333539414345474955575963656769717375777913171921232729333539434547[[#This Row],[CV]]</f>
        <v>8.4904388083735917E-4</v>
      </c>
      <c r="P65" s="28">
        <f>WO2025Jan7men11915171923252931333539414345474955575963656769717375777913171921232729333539434547[[#This Row],[CV]]*2.5</f>
        <v>2.1226097020933979E-3</v>
      </c>
      <c r="Q65" s="25">
        <f>WO2025Jan7men11915171923252931333539414345474955575963656769717375777913171921232729333539434547[[#This Row],[VO2]]</f>
        <v>7.811203703703705E-4</v>
      </c>
      <c r="R65" s="25"/>
      <c r="S65" s="25"/>
      <c r="T65" s="25"/>
      <c r="U65" s="28"/>
      <c r="V65" s="25"/>
      <c r="W65" s="15" t="s">
        <v>26</v>
      </c>
      <c r="X65" s="52"/>
    </row>
    <row r="66" spans="1:24" ht="20.45" customHeight="1">
      <c r="A66" s="10" t="s">
        <v>111</v>
      </c>
      <c r="B66" s="11">
        <v>1.0069444444444445E-2</v>
      </c>
      <c r="C66" s="11">
        <v>3.0092592592592588E-3</v>
      </c>
      <c r="D66" s="11">
        <f t="shared" si="24"/>
        <v>5.8584027777777783E-3</v>
      </c>
      <c r="E66" s="12">
        <v>0.58179999999999998</v>
      </c>
      <c r="F66" s="11">
        <f t="shared" si="25"/>
        <v>7.5231481481481471E-4</v>
      </c>
      <c r="G66" s="11">
        <f t="shared" si="26"/>
        <v>7.811203703703705E-4</v>
      </c>
      <c r="H66" s="11">
        <f t="shared" si="27"/>
        <v>8.0555555555555556E-4</v>
      </c>
      <c r="I66" s="11">
        <f t="shared" si="28"/>
        <v>8.3991437674233382E-4</v>
      </c>
      <c r="J66" s="11">
        <f t="shared" si="29"/>
        <v>8.4904388083735917E-4</v>
      </c>
      <c r="K66" s="11">
        <f t="shared" si="30"/>
        <v>8.8763678451178466E-4</v>
      </c>
      <c r="L66" s="11">
        <f t="shared" si="31"/>
        <v>9.2990520282186973E-4</v>
      </c>
      <c r="M66" s="25">
        <f>WO2025Jan7men11915171923252931333539414345474955575963656769717375777913171921232729333539434547[[#This Row],[Thresh]]</f>
        <v>8.8763678451178466E-4</v>
      </c>
      <c r="N66" s="28">
        <f>WO2025Jan7men11915171923252931333539414345474955575963656769717375777913171921232729333539434547[[#This Row],[Thresh]]*2.5</f>
        <v>2.2190919612794617E-3</v>
      </c>
      <c r="O66" s="25">
        <f>WO2025Jan7men11915171923252931333539414345474955575963656769717375777913171921232729333539434547[[#This Row],[CV]]</f>
        <v>8.4904388083735917E-4</v>
      </c>
      <c r="P66" s="28">
        <f>WO2025Jan7men11915171923252931333539414345474955575963656769717375777913171921232729333539434547[[#This Row],[CV]]*2.5</f>
        <v>2.1226097020933979E-3</v>
      </c>
      <c r="Q66" s="25">
        <f>WO2025Jan7men11915171923252931333539414345474955575963656769717375777913171921232729333539434547[[#This Row],[VO2]]</f>
        <v>7.811203703703705E-4</v>
      </c>
      <c r="R66" s="25"/>
      <c r="S66" s="25"/>
      <c r="T66" s="25"/>
      <c r="U66" s="28"/>
      <c r="V66" s="25"/>
      <c r="W66" s="15" t="s">
        <v>26</v>
      </c>
      <c r="X66" s="52"/>
    </row>
    <row r="67" spans="1:24" ht="20.45" customHeight="1">
      <c r="A67" s="10"/>
      <c r="B67" s="11"/>
      <c r="C67" s="11"/>
      <c r="D67" s="11"/>
      <c r="E67" s="12"/>
      <c r="F67" s="11"/>
      <c r="G67" s="11"/>
      <c r="H67" s="11"/>
      <c r="I67" s="11"/>
      <c r="J67" s="11"/>
      <c r="K67" s="11"/>
      <c r="L67" s="11"/>
      <c r="M67" s="25"/>
      <c r="N67" s="28"/>
      <c r="O67" s="25"/>
      <c r="P67" s="25"/>
      <c r="Q67" s="25"/>
      <c r="R67" s="28"/>
      <c r="S67" s="25"/>
      <c r="T67" s="25"/>
      <c r="U67" s="28"/>
      <c r="V67" s="25"/>
      <c r="W67" s="15"/>
      <c r="X67" s="52"/>
    </row>
    <row r="68" spans="1:24" ht="20.45" customHeight="1">
      <c r="A68" s="19"/>
      <c r="B68" s="6"/>
      <c r="C68" s="6"/>
      <c r="D68" s="6"/>
      <c r="E68" s="20"/>
      <c r="F68" s="6"/>
      <c r="G68" s="6"/>
      <c r="H68" s="6"/>
      <c r="I68" s="6"/>
      <c r="J68" s="6"/>
      <c r="K68" s="6"/>
      <c r="L68" s="6"/>
      <c r="M68" s="6" t="s">
        <v>12</v>
      </c>
      <c r="N68" s="6" t="s">
        <v>145</v>
      </c>
      <c r="O68" s="6" t="s">
        <v>146</v>
      </c>
      <c r="P68" s="6"/>
      <c r="Q68" s="6"/>
      <c r="R68" s="6"/>
      <c r="S68" s="6"/>
      <c r="T68" s="6"/>
      <c r="U68" s="6"/>
      <c r="V68" s="23"/>
      <c r="W68" s="35"/>
      <c r="X68" s="52" t="s">
        <v>163</v>
      </c>
    </row>
    <row r="69" spans="1:24" ht="20.45" customHeight="1">
      <c r="A69" s="10" t="s">
        <v>105</v>
      </c>
      <c r="B69" s="11">
        <v>1.0648148148148148E-2</v>
      </c>
      <c r="C69" s="11">
        <v>2.9745370370370373E-3</v>
      </c>
      <c r="D69" s="11">
        <f>B69*E69</f>
        <v>6.1950925925925923E-3</v>
      </c>
      <c r="E69" s="12">
        <v>0.58179999999999998</v>
      </c>
      <c r="F69" s="11">
        <f>C69/4</f>
        <v>7.4363425925925931E-4</v>
      </c>
      <c r="G69" s="11">
        <f>D69/7.5</f>
        <v>8.2601234567901232E-4</v>
      </c>
      <c r="H69" s="11">
        <f>B69/12.5</f>
        <v>8.5185185185185179E-4</v>
      </c>
      <c r="I69" s="11">
        <f>G69/0.93</f>
        <v>8.8818531793442184E-4</v>
      </c>
      <c r="J69" s="11">
        <f>G69/0.92</f>
        <v>8.9783950617283942E-4</v>
      </c>
      <c r="K69" s="11">
        <f>G69/0.88</f>
        <v>9.3865039281705945E-4</v>
      </c>
      <c r="L69" s="11">
        <f>G69/0.84</f>
        <v>9.833480305702527E-4</v>
      </c>
      <c r="M69" s="25">
        <f>WO2025Jan7men11915171923252931333539414345474955575963656769717375777913171921232729333539434547[[#This Row],[Thresh]]</f>
        <v>9.3865039281705945E-4</v>
      </c>
      <c r="N69" s="28">
        <f>WO2025Jan7men11915171923252931333539414345474955575963656769717375777913171921232729333539434547[[#This Row],[Thresh]]*1.5</f>
        <v>1.4079755892255892E-3</v>
      </c>
      <c r="O69" s="25">
        <f>WO2025Jan7men11915171923252931333539414345474955575963656769717375777913171921232729333539434547[[#This Row],[CV]]</f>
        <v>8.9783950617283942E-4</v>
      </c>
      <c r="P69" s="25"/>
      <c r="Q69" s="25"/>
      <c r="R69" s="25"/>
      <c r="S69" s="25"/>
      <c r="T69" s="25"/>
      <c r="U69" s="28"/>
      <c r="V69" s="25"/>
      <c r="W69" s="15" t="s">
        <v>35</v>
      </c>
      <c r="X69" s="52"/>
    </row>
    <row r="70" spans="1:24" ht="20.45" customHeight="1">
      <c r="A70" s="10"/>
      <c r="B70" s="11"/>
      <c r="C70" s="11"/>
      <c r="D70" s="11"/>
      <c r="E70" s="12"/>
      <c r="F70" s="11"/>
      <c r="G70" s="11"/>
      <c r="H70" s="11"/>
      <c r="I70" s="11"/>
      <c r="J70" s="11"/>
      <c r="K70" s="11"/>
      <c r="L70" s="11"/>
      <c r="M70" s="25"/>
      <c r="N70" s="28"/>
      <c r="O70" s="25"/>
      <c r="P70" s="28"/>
      <c r="Q70" s="25"/>
      <c r="R70" s="28"/>
      <c r="S70" s="25"/>
      <c r="T70" s="28"/>
      <c r="U70" s="28"/>
      <c r="V70" s="25"/>
      <c r="W70" s="15"/>
      <c r="X70" s="52"/>
    </row>
    <row r="71" spans="1:24" ht="20.45" customHeight="1">
      <c r="A71" s="19"/>
      <c r="B71" s="6"/>
      <c r="C71" s="6"/>
      <c r="D71" s="6"/>
      <c r="E71" s="20"/>
      <c r="F71" s="6"/>
      <c r="G71" s="6"/>
      <c r="H71" s="6"/>
      <c r="I71" s="6"/>
      <c r="J71" s="6"/>
      <c r="K71" s="6"/>
      <c r="L71" s="6"/>
      <c r="M71" s="6"/>
      <c r="N71" s="6"/>
      <c r="O71" s="6"/>
      <c r="P71" s="6"/>
      <c r="Q71" s="6"/>
      <c r="R71" s="6"/>
      <c r="S71" s="6"/>
      <c r="T71" s="6"/>
      <c r="U71" s="6"/>
      <c r="V71" s="23"/>
      <c r="W71" s="35"/>
      <c r="X71" s="52"/>
    </row>
    <row r="72" spans="1:24" ht="20.45" customHeight="1">
      <c r="A72" s="10" t="s">
        <v>112</v>
      </c>
      <c r="B72" s="11">
        <v>1.0243055555555556E-2</v>
      </c>
      <c r="C72" s="11">
        <v>2.8587962962962963E-3</v>
      </c>
      <c r="D72" s="11">
        <f>B72*E72</f>
        <v>5.9594097222222218E-3</v>
      </c>
      <c r="E72" s="12">
        <v>0.58179999999999998</v>
      </c>
      <c r="F72" s="11">
        <f>C72/4</f>
        <v>7.1469907407407409E-4</v>
      </c>
      <c r="G72" s="11">
        <f>D72/7.5</f>
        <v>7.9458796296296287E-4</v>
      </c>
      <c r="H72" s="11">
        <f>B72/12.5</f>
        <v>8.1944444444444447E-4</v>
      </c>
      <c r="I72" s="11">
        <f>G72/0.93</f>
        <v>8.5439565909996003E-4</v>
      </c>
      <c r="J72" s="11">
        <f>G72/0.92</f>
        <v>8.636825684380031E-4</v>
      </c>
      <c r="K72" s="11">
        <f>G72/0.88</f>
        <v>9.0294086700336686E-4</v>
      </c>
      <c r="L72" s="11">
        <f>G72/0.84</f>
        <v>9.4593805114638445E-4</v>
      </c>
      <c r="M72" s="25"/>
      <c r="N72" s="28"/>
      <c r="O72" s="25"/>
      <c r="P72" s="28"/>
      <c r="Q72" s="25"/>
      <c r="R72" s="28"/>
      <c r="S72" s="25"/>
      <c r="T72" s="25"/>
      <c r="U72" s="28"/>
      <c r="V72" s="25"/>
      <c r="W72" s="15" t="s">
        <v>52</v>
      </c>
      <c r="X72" s="52"/>
    </row>
    <row r="73" spans="1:24" ht="20.45" customHeight="1">
      <c r="A73" s="10" t="s">
        <v>106</v>
      </c>
      <c r="B73" s="11">
        <v>1.0590277777777778E-2</v>
      </c>
      <c r="C73" s="11">
        <v>2.9745370370370373E-3</v>
      </c>
      <c r="D73" s="11">
        <f>B73*E73</f>
        <v>6.1614236111111114E-3</v>
      </c>
      <c r="E73" s="12">
        <v>0.58179999999999998</v>
      </c>
      <c r="F73" s="11">
        <f>C73/4</f>
        <v>7.4363425925925931E-4</v>
      </c>
      <c r="G73" s="11">
        <f>D73/7.5</f>
        <v>8.2152314814814816E-4</v>
      </c>
      <c r="H73" s="11">
        <f>B73/12.5</f>
        <v>8.472222222222223E-4</v>
      </c>
      <c r="I73" s="11">
        <f>G73/0.93</f>
        <v>8.8335822381521299E-4</v>
      </c>
      <c r="J73" s="11">
        <f>G73/0.92</f>
        <v>8.9295994363929141E-4</v>
      </c>
      <c r="K73" s="11">
        <f>G73/0.88</f>
        <v>9.3354903198653201E-4</v>
      </c>
      <c r="L73" s="11">
        <f>G73/0.84</f>
        <v>9.7800374779541442E-4</v>
      </c>
      <c r="M73" s="25"/>
      <c r="N73" s="28"/>
      <c r="O73" s="25"/>
      <c r="P73" s="28"/>
      <c r="Q73" s="25"/>
      <c r="R73" s="28"/>
      <c r="S73" s="25"/>
      <c r="T73" s="25"/>
      <c r="U73" s="28"/>
      <c r="V73" s="25"/>
      <c r="W73" s="15" t="s">
        <v>52</v>
      </c>
      <c r="X73" s="52"/>
    </row>
    <row r="74" spans="1:24" ht="20.45" customHeight="1">
      <c r="A74" s="10" t="s">
        <v>107</v>
      </c>
      <c r="B74" s="11">
        <v>1.1111111111111112E-2</v>
      </c>
      <c r="C74" s="11">
        <v>3.2407407407407406E-3</v>
      </c>
      <c r="D74" s="11">
        <f t="shared" ref="D74:D76" si="32">B74*E74</f>
        <v>6.4644444444444445E-3</v>
      </c>
      <c r="E74" s="12">
        <v>0.58179999999999998</v>
      </c>
      <c r="F74" s="11">
        <f t="shared" ref="F74:F76" si="33">C74/4</f>
        <v>8.1018518518518516E-4</v>
      </c>
      <c r="G74" s="11">
        <f t="shared" ref="G74:G76" si="34">D74/7.5</f>
        <v>8.6192592592592592E-4</v>
      </c>
      <c r="H74" s="11">
        <f t="shared" ref="H74:H76" si="35">B74/12.5</f>
        <v>8.8888888888888893E-4</v>
      </c>
      <c r="I74" s="11">
        <f t="shared" ref="I74:I76" si="36">G74/0.93</f>
        <v>9.2680207088809239E-4</v>
      </c>
      <c r="J74" s="11">
        <f t="shared" ref="J74:J76" si="37">G74/0.92</f>
        <v>9.3687600644122375E-4</v>
      </c>
      <c r="K74" s="11">
        <f t="shared" ref="K74:K76" si="38">G74/0.88</f>
        <v>9.7946127946127947E-4</v>
      </c>
      <c r="L74" s="11">
        <f t="shared" ref="L74:L76" si="39">G74/0.84</f>
        <v>1.0261022927689596E-3</v>
      </c>
      <c r="M74" s="25"/>
      <c r="N74" s="28"/>
      <c r="O74" s="25"/>
      <c r="P74" s="25"/>
      <c r="Q74" s="25"/>
      <c r="R74" s="28"/>
      <c r="S74" s="25"/>
      <c r="T74" s="25"/>
      <c r="U74" s="28"/>
      <c r="V74" s="28"/>
      <c r="W74" s="15" t="s">
        <v>52</v>
      </c>
      <c r="X74" s="52"/>
    </row>
    <row r="75" spans="1:24" ht="20.45" customHeight="1">
      <c r="A75" s="10" t="s">
        <v>164</v>
      </c>
      <c r="B75" s="11">
        <v>1.1342592592592593E-2</v>
      </c>
      <c r="C75" s="11">
        <v>3.2407407407407406E-3</v>
      </c>
      <c r="D75" s="11">
        <f t="shared" si="32"/>
        <v>6.5991203703703706E-3</v>
      </c>
      <c r="E75" s="12">
        <v>0.58179999999999998</v>
      </c>
      <c r="F75" s="11">
        <f t="shared" si="33"/>
        <v>8.1018518518518516E-4</v>
      </c>
      <c r="G75" s="11">
        <f t="shared" si="34"/>
        <v>8.7988271604938278E-4</v>
      </c>
      <c r="H75" s="11">
        <f t="shared" si="35"/>
        <v>9.0740740740740745E-4</v>
      </c>
      <c r="I75" s="11">
        <f t="shared" si="36"/>
        <v>9.4611044736492766E-4</v>
      </c>
      <c r="J75" s="11">
        <f t="shared" si="37"/>
        <v>9.5639425657541603E-4</v>
      </c>
      <c r="K75" s="11">
        <f t="shared" si="38"/>
        <v>9.9986672278338943E-4</v>
      </c>
      <c r="L75" s="11">
        <f t="shared" si="39"/>
        <v>1.0474794238683129E-3</v>
      </c>
      <c r="M75" s="25"/>
      <c r="N75" s="28"/>
      <c r="O75" s="25"/>
      <c r="P75" s="28"/>
      <c r="Q75" s="28"/>
      <c r="R75" s="11"/>
      <c r="S75" s="14"/>
      <c r="T75" s="14"/>
      <c r="U75" s="26"/>
      <c r="V75" s="28"/>
      <c r="W75" s="27" t="s">
        <v>52</v>
      </c>
      <c r="X75" s="52"/>
    </row>
    <row r="76" spans="1:24" ht="20.45" customHeight="1">
      <c r="A76" s="10" t="s">
        <v>108</v>
      </c>
      <c r="B76" s="11">
        <v>1.0763888888888891E-2</v>
      </c>
      <c r="C76" s="11">
        <v>3.0671296296296297E-3</v>
      </c>
      <c r="D76" s="11">
        <f t="shared" si="32"/>
        <v>6.2624305555555567E-3</v>
      </c>
      <c r="E76" s="12">
        <v>0.58179999999999998</v>
      </c>
      <c r="F76" s="11">
        <f t="shared" si="33"/>
        <v>7.6678240740740743E-4</v>
      </c>
      <c r="G76" s="11">
        <f t="shared" si="34"/>
        <v>8.3499074074074085E-4</v>
      </c>
      <c r="H76" s="11">
        <f t="shared" si="35"/>
        <v>8.6111111111111121E-4</v>
      </c>
      <c r="I76" s="11">
        <f t="shared" si="36"/>
        <v>8.9783950617283953E-4</v>
      </c>
      <c r="J76" s="11">
        <f t="shared" si="37"/>
        <v>9.0759863123993567E-4</v>
      </c>
      <c r="K76" s="11">
        <f t="shared" si="38"/>
        <v>9.4885311447811464E-4</v>
      </c>
      <c r="L76" s="11">
        <f t="shared" si="39"/>
        <v>9.9403659611992969E-4</v>
      </c>
      <c r="M76" s="25"/>
      <c r="N76" s="28"/>
      <c r="O76" s="25"/>
      <c r="P76" s="28"/>
      <c r="Q76" s="25"/>
      <c r="R76" s="28"/>
      <c r="S76" s="25"/>
      <c r="T76" s="25"/>
      <c r="U76" s="28"/>
      <c r="V76" s="28"/>
      <c r="W76" s="15" t="s">
        <v>52</v>
      </c>
      <c r="X76" s="52"/>
    </row>
    <row r="77" spans="1:24" ht="20.45" customHeight="1">
      <c r="A77" s="10"/>
      <c r="B77" s="11"/>
      <c r="C77" s="11"/>
      <c r="D77" s="11"/>
      <c r="E77" s="12"/>
      <c r="F77" s="11"/>
      <c r="G77" s="11"/>
      <c r="H77" s="11"/>
      <c r="I77" s="11"/>
      <c r="J77" s="11"/>
      <c r="K77" s="11"/>
      <c r="L77" s="11"/>
      <c r="M77" s="25"/>
      <c r="N77" s="28"/>
      <c r="O77" s="25"/>
      <c r="P77" s="25"/>
      <c r="Q77" s="25"/>
      <c r="R77" s="28"/>
      <c r="S77" s="25"/>
      <c r="T77" s="25"/>
      <c r="U77" s="28"/>
      <c r="V77" s="25"/>
      <c r="W77" s="15"/>
      <c r="X77" s="52"/>
    </row>
    <row r="78" spans="1:24" ht="20.45" customHeight="1">
      <c r="A78" s="10"/>
      <c r="B78" s="11"/>
      <c r="C78" s="11"/>
      <c r="D78" s="11"/>
      <c r="E78" s="12"/>
      <c r="F78" s="11"/>
      <c r="G78" s="11"/>
      <c r="H78" s="11"/>
      <c r="I78" s="11"/>
      <c r="J78" s="11"/>
      <c r="K78" s="11"/>
      <c r="L78" s="11"/>
      <c r="M78" s="25"/>
      <c r="N78" s="28"/>
      <c r="O78" s="25"/>
      <c r="P78" s="25"/>
      <c r="Q78" s="25"/>
      <c r="R78" s="28"/>
      <c r="S78" s="25"/>
      <c r="T78" s="25"/>
      <c r="U78" s="28"/>
      <c r="V78" s="25"/>
      <c r="W78" s="15"/>
      <c r="X78" s="52" t="s">
        <v>160</v>
      </c>
    </row>
    <row r="79" spans="1:24" ht="20.45" customHeight="1">
      <c r="A79" s="10"/>
      <c r="B79" s="11"/>
      <c r="C79" s="11"/>
      <c r="D79" s="11"/>
      <c r="E79" s="12"/>
      <c r="F79" s="11"/>
      <c r="G79" s="11"/>
      <c r="H79" s="11"/>
      <c r="I79" s="11"/>
      <c r="J79" s="11"/>
      <c r="K79" s="11"/>
      <c r="L79" s="11"/>
      <c r="M79" s="25"/>
      <c r="N79" s="28"/>
      <c r="O79" s="25"/>
      <c r="P79" s="28"/>
      <c r="Q79" s="25"/>
      <c r="R79" s="28"/>
      <c r="S79" s="25"/>
      <c r="T79" s="25"/>
      <c r="U79" s="28"/>
      <c r="V79" s="28"/>
      <c r="W79" s="27"/>
      <c r="X79" s="52"/>
    </row>
    <row r="80" spans="1:24" ht="20.45" customHeight="1">
      <c r="A80" s="10"/>
      <c r="B80" s="11"/>
      <c r="C80" s="11"/>
      <c r="D80" s="11"/>
      <c r="E80" s="12"/>
      <c r="F80" s="11"/>
      <c r="G80" s="11"/>
      <c r="H80" s="11"/>
      <c r="I80" s="11"/>
      <c r="J80" s="11"/>
      <c r="K80" s="11"/>
      <c r="L80" s="17"/>
      <c r="M80" s="25"/>
      <c r="N80" s="28"/>
      <c r="O80" s="25"/>
      <c r="P80" s="25"/>
      <c r="Q80" s="25"/>
      <c r="R80" s="25"/>
      <c r="S80" s="25"/>
      <c r="T80" s="25"/>
      <c r="U80" s="28"/>
      <c r="V80" s="25"/>
      <c r="W80" s="15"/>
      <c r="X80" s="52"/>
    </row>
    <row r="81" spans="1:24" ht="20.45" customHeight="1">
      <c r="A81" s="10"/>
      <c r="B81" s="11"/>
      <c r="C81" s="11"/>
      <c r="D81" s="11"/>
      <c r="E81" s="12"/>
      <c r="F81" s="11"/>
      <c r="G81" s="11"/>
      <c r="H81" s="11"/>
      <c r="I81" s="11"/>
      <c r="J81" s="11"/>
      <c r="K81" s="11"/>
      <c r="L81" s="11"/>
      <c r="M81" s="25"/>
      <c r="N81" s="28"/>
      <c r="O81" s="25"/>
      <c r="P81" s="25"/>
      <c r="Q81" s="25"/>
      <c r="R81" s="25"/>
      <c r="S81" s="25"/>
      <c r="T81" s="25"/>
      <c r="U81" s="28"/>
      <c r="V81" s="25"/>
      <c r="W81" s="15"/>
      <c r="X81" s="52"/>
    </row>
    <row r="82" spans="1:24" ht="20.45" customHeight="1">
      <c r="A82" s="10"/>
      <c r="B82" s="11"/>
      <c r="C82" s="11"/>
      <c r="D82" s="11"/>
      <c r="E82" s="12"/>
      <c r="F82" s="11"/>
      <c r="G82" s="11"/>
      <c r="H82" s="11"/>
      <c r="I82" s="11"/>
      <c r="J82" s="11"/>
      <c r="K82" s="11"/>
      <c r="L82" s="11"/>
      <c r="M82" s="25"/>
      <c r="N82" s="28"/>
      <c r="O82" s="25"/>
      <c r="P82" s="25"/>
      <c r="Q82" s="28"/>
      <c r="R82" s="28"/>
      <c r="S82" s="25"/>
      <c r="T82" s="25"/>
      <c r="U82" s="28"/>
      <c r="V82" s="25"/>
      <c r="W82" s="15"/>
      <c r="X82" s="52"/>
    </row>
    <row r="83" spans="1:24" ht="20.45" customHeight="1">
      <c r="A83" s="10"/>
      <c r="B83" s="11"/>
      <c r="C83" s="11"/>
      <c r="D83" s="11"/>
      <c r="E83" s="12"/>
      <c r="F83" s="11"/>
      <c r="G83" s="11"/>
      <c r="H83" s="11"/>
      <c r="I83" s="11"/>
      <c r="J83" s="11"/>
      <c r="K83" s="11"/>
      <c r="L83" s="17"/>
      <c r="M83" s="25"/>
      <c r="N83" s="28"/>
      <c r="O83" s="25"/>
      <c r="P83" s="25"/>
      <c r="Q83" s="25"/>
      <c r="R83" s="25"/>
      <c r="S83" s="25"/>
      <c r="T83" s="25"/>
      <c r="U83" s="28"/>
      <c r="V83" s="25"/>
      <c r="W83" s="15"/>
      <c r="X83" s="52"/>
    </row>
    <row r="84" spans="1:24" ht="20.45" customHeight="1">
      <c r="A84" s="10"/>
      <c r="B84" s="11"/>
      <c r="C84" s="11"/>
      <c r="D84" s="11"/>
      <c r="E84" s="12"/>
      <c r="F84" s="11"/>
      <c r="G84" s="11"/>
      <c r="H84" s="11"/>
      <c r="I84" s="11"/>
      <c r="J84" s="11"/>
      <c r="K84" s="11"/>
      <c r="L84" s="11"/>
      <c r="M84" s="25"/>
      <c r="N84" s="28"/>
      <c r="O84" s="25"/>
      <c r="P84" s="25"/>
      <c r="Q84" s="25"/>
      <c r="R84" s="28"/>
      <c r="S84" s="25"/>
      <c r="T84" s="25"/>
      <c r="U84" s="28"/>
      <c r="V84" s="25"/>
      <c r="W84" s="15"/>
      <c r="X84" s="52"/>
    </row>
    <row r="85" spans="1:24" ht="20.45" customHeight="1">
      <c r="A85" s="10"/>
      <c r="B85" s="11"/>
      <c r="C85" s="11"/>
      <c r="D85" s="11"/>
      <c r="E85" s="12"/>
      <c r="F85" s="11"/>
      <c r="G85" s="11"/>
      <c r="H85" s="11"/>
      <c r="I85" s="11"/>
      <c r="J85" s="11"/>
      <c r="K85" s="11"/>
      <c r="L85" s="17"/>
      <c r="M85" s="11"/>
      <c r="N85" s="26"/>
      <c r="P85" s="26"/>
      <c r="Q85" s="26"/>
      <c r="R85" s="26"/>
      <c r="S85" s="14"/>
      <c r="T85" s="14"/>
      <c r="U85" s="26"/>
      <c r="V85" s="38"/>
      <c r="W85" s="31"/>
      <c r="X85" s="52"/>
    </row>
    <row r="86" spans="1:24" ht="20.45" customHeight="1" thickBot="1">
      <c r="A86" s="10"/>
      <c r="B86" s="11"/>
      <c r="C86" s="11"/>
      <c r="D86" s="11"/>
      <c r="E86" s="12"/>
      <c r="F86" s="11"/>
      <c r="G86" s="11"/>
      <c r="H86" s="11"/>
      <c r="I86" s="11"/>
      <c r="J86" s="11"/>
      <c r="K86" s="11"/>
      <c r="L86" s="11"/>
      <c r="M86" s="25"/>
      <c r="N86" s="28"/>
      <c r="O86" s="25"/>
      <c r="P86" s="25"/>
      <c r="Q86" s="25"/>
      <c r="R86" s="25"/>
      <c r="S86" s="25"/>
      <c r="T86" s="25"/>
      <c r="U86" s="28"/>
      <c r="V86" s="25"/>
      <c r="W86" s="15"/>
      <c r="X86" s="52"/>
    </row>
    <row r="87" spans="1:24" ht="20.45" customHeight="1">
      <c r="A87" s="1" t="s">
        <v>144</v>
      </c>
      <c r="B87" s="6"/>
      <c r="C87" s="6"/>
      <c r="D87" s="6"/>
      <c r="E87" s="20"/>
      <c r="F87" s="6"/>
      <c r="G87" s="6"/>
      <c r="H87" s="6"/>
      <c r="I87" s="6"/>
      <c r="J87" s="6"/>
      <c r="K87" s="6"/>
      <c r="L87" s="6"/>
      <c r="M87" s="6"/>
      <c r="N87" s="6"/>
      <c r="O87" s="6"/>
      <c r="P87" s="6"/>
      <c r="Q87" s="6"/>
      <c r="R87" s="6"/>
      <c r="S87" s="6"/>
      <c r="T87" s="6"/>
      <c r="U87" s="6"/>
      <c r="V87" s="23"/>
      <c r="W87" s="35"/>
      <c r="X87" s="52"/>
    </row>
    <row r="88" spans="1:24" ht="20.45" customHeight="1">
      <c r="A88" s="10" t="s">
        <v>94</v>
      </c>
      <c r="B88" s="11">
        <v>1.0416666666666666E-2</v>
      </c>
      <c r="C88" s="11">
        <v>2.8935185185185188E-3</v>
      </c>
      <c r="D88" s="11">
        <f>B88*E88</f>
        <v>6.0604166666666662E-3</v>
      </c>
      <c r="E88" s="12">
        <v>0.58179999999999998</v>
      </c>
      <c r="F88" s="11">
        <f>C88/4</f>
        <v>7.233796296296297E-4</v>
      </c>
      <c r="G88" s="11">
        <f>D88/7.5</f>
        <v>8.0805555555555546E-4</v>
      </c>
      <c r="H88" s="11">
        <f>B88/12.5</f>
        <v>8.3333333333333328E-4</v>
      </c>
      <c r="I88" s="11">
        <f>G88/0.93</f>
        <v>8.6887694145758646E-4</v>
      </c>
      <c r="J88" s="11">
        <f>G88/0.92</f>
        <v>8.7832125603864715E-4</v>
      </c>
      <c r="K88" s="11">
        <f>G88/0.88</f>
        <v>9.1824494949494938E-4</v>
      </c>
      <c r="L88" s="17">
        <f>G88/0.84</f>
        <v>9.6197089947089938E-4</v>
      </c>
      <c r="M88" s="25"/>
      <c r="N88" s="28"/>
      <c r="O88" s="25"/>
      <c r="P88" s="28"/>
      <c r="Q88" s="25"/>
      <c r="R88" s="28"/>
      <c r="S88" s="25"/>
      <c r="T88" s="25"/>
      <c r="U88" s="28"/>
      <c r="V88" s="25"/>
      <c r="W88" s="15" t="s">
        <v>141</v>
      </c>
      <c r="X88" s="52"/>
    </row>
    <row r="89" spans="1:24" ht="20.45" customHeight="1">
      <c r="A89" s="10" t="s">
        <v>96</v>
      </c>
      <c r="B89" s="11">
        <v>1.0648148148148148E-2</v>
      </c>
      <c r="C89" s="11">
        <v>2.9513888888888888E-3</v>
      </c>
      <c r="D89" s="11">
        <f>B89*E89</f>
        <v>6.1950925925925923E-3</v>
      </c>
      <c r="E89" s="12">
        <v>0.58179999999999998</v>
      </c>
      <c r="F89" s="11">
        <f>C89/4</f>
        <v>7.378472222222222E-4</v>
      </c>
      <c r="G89" s="11">
        <f>D89/7.5</f>
        <v>8.2601234567901232E-4</v>
      </c>
      <c r="H89" s="11">
        <f>B89/12.5</f>
        <v>8.5185185185185179E-4</v>
      </c>
      <c r="I89" s="11">
        <f>G89/0.93</f>
        <v>8.8818531793442184E-4</v>
      </c>
      <c r="J89" s="11">
        <f>G89/0.92</f>
        <v>8.9783950617283942E-4</v>
      </c>
      <c r="K89" s="11">
        <f>G89/0.88</f>
        <v>9.3865039281705945E-4</v>
      </c>
      <c r="L89" s="17">
        <f>G89/0.84</f>
        <v>9.833480305702527E-4</v>
      </c>
      <c r="M89" s="25"/>
      <c r="N89" s="28"/>
      <c r="O89" s="25"/>
      <c r="P89" s="28"/>
      <c r="Q89" s="25"/>
      <c r="R89" s="28"/>
      <c r="S89" s="25"/>
      <c r="T89" s="25"/>
      <c r="U89" s="28"/>
      <c r="V89" s="25"/>
      <c r="W89" s="15" t="s">
        <v>141</v>
      </c>
      <c r="X89" s="52"/>
    </row>
    <row r="90" spans="1:24" ht="20.45" customHeight="1">
      <c r="A90" s="10" t="s">
        <v>98</v>
      </c>
      <c r="B90" s="11">
        <v>1.1111111111111112E-2</v>
      </c>
      <c r="C90" s="11">
        <v>3.0671296296296297E-3</v>
      </c>
      <c r="D90" s="11">
        <f t="shared" ref="D90:D93" si="40">B90*E90</f>
        <v>6.4644444444444445E-3</v>
      </c>
      <c r="E90" s="12">
        <v>0.58179999999999998</v>
      </c>
      <c r="F90" s="11">
        <f t="shared" ref="F90:F93" si="41">C90/4</f>
        <v>7.6678240740740743E-4</v>
      </c>
      <c r="G90" s="11">
        <f t="shared" ref="G90:G93" si="42">D90/7.5</f>
        <v>8.6192592592592592E-4</v>
      </c>
      <c r="H90" s="11">
        <f t="shared" ref="H90:H93" si="43">B90/12.5</f>
        <v>8.8888888888888893E-4</v>
      </c>
      <c r="I90" s="11">
        <f t="shared" ref="I90:I93" si="44">G90/0.93</f>
        <v>9.2680207088809239E-4</v>
      </c>
      <c r="J90" s="11">
        <f t="shared" ref="J90:J93" si="45">G90/0.92</f>
        <v>9.3687600644122375E-4</v>
      </c>
      <c r="K90" s="11">
        <f t="shared" ref="K90:K93" si="46">G90/0.88</f>
        <v>9.7946127946127947E-4</v>
      </c>
      <c r="L90" s="11">
        <f t="shared" ref="L90:L93" si="47">G90/0.84</f>
        <v>1.0261022927689596E-3</v>
      </c>
      <c r="M90" s="25"/>
      <c r="N90" s="28"/>
      <c r="O90" s="25"/>
      <c r="P90" s="28"/>
      <c r="Q90" s="25"/>
      <c r="R90" s="28"/>
      <c r="S90" s="25"/>
      <c r="T90" s="25"/>
      <c r="U90" s="28"/>
      <c r="V90" s="25"/>
      <c r="W90" s="15" t="s">
        <v>141</v>
      </c>
      <c r="X90" s="52"/>
    </row>
    <row r="91" spans="1:24" ht="20.45" customHeight="1">
      <c r="A91" s="10" t="s">
        <v>103</v>
      </c>
      <c r="B91" s="11">
        <v>1.1111111111111112E-2</v>
      </c>
      <c r="C91" s="11">
        <v>3.0671296296296297E-3</v>
      </c>
      <c r="D91" s="11">
        <f t="shared" si="40"/>
        <v>6.4644444444444445E-3</v>
      </c>
      <c r="E91" s="12">
        <v>0.58179999999999998</v>
      </c>
      <c r="F91" s="11">
        <f t="shared" si="41"/>
        <v>7.6678240740740743E-4</v>
      </c>
      <c r="G91" s="11">
        <f t="shared" si="42"/>
        <v>8.6192592592592592E-4</v>
      </c>
      <c r="H91" s="11">
        <f t="shared" si="43"/>
        <v>8.8888888888888893E-4</v>
      </c>
      <c r="I91" s="11">
        <f t="shared" si="44"/>
        <v>9.2680207088809239E-4</v>
      </c>
      <c r="J91" s="11">
        <f t="shared" si="45"/>
        <v>9.3687600644122375E-4</v>
      </c>
      <c r="K91" s="11">
        <f t="shared" si="46"/>
        <v>9.7946127946127947E-4</v>
      </c>
      <c r="L91" s="17">
        <f t="shared" si="47"/>
        <v>1.0261022927689596E-3</v>
      </c>
      <c r="M91" s="25"/>
      <c r="N91" s="28"/>
      <c r="O91" s="25"/>
      <c r="P91" s="28"/>
      <c r="Q91" s="25"/>
      <c r="R91" s="28"/>
      <c r="S91" s="25"/>
      <c r="T91" s="25"/>
      <c r="U91" s="28"/>
      <c r="V91" s="25"/>
      <c r="W91" s="15" t="s">
        <v>141</v>
      </c>
      <c r="X91" s="52"/>
    </row>
    <row r="92" spans="1:24" ht="20.45" customHeight="1">
      <c r="A92" s="10" t="s">
        <v>99</v>
      </c>
      <c r="B92" s="11">
        <v>1.1458333333333333E-2</v>
      </c>
      <c r="C92" s="11">
        <v>3.0092592592592593E-3</v>
      </c>
      <c r="D92" s="11">
        <f>B92*E92</f>
        <v>6.6664583333333324E-3</v>
      </c>
      <c r="E92" s="12">
        <v>0.58179999999999998</v>
      </c>
      <c r="F92" s="11">
        <f>C92/4</f>
        <v>7.5231481481481482E-4</v>
      </c>
      <c r="G92" s="11">
        <f>D92/7.5</f>
        <v>8.8886111111111099E-4</v>
      </c>
      <c r="H92" s="11">
        <f>B92/12.5</f>
        <v>9.1666666666666665E-4</v>
      </c>
      <c r="I92" s="11">
        <f>G92/0.93</f>
        <v>9.5576463560334514E-4</v>
      </c>
      <c r="J92" s="11">
        <f>G92/0.92</f>
        <v>9.6615338164251195E-4</v>
      </c>
      <c r="K92" s="11">
        <f>G92/0.88</f>
        <v>1.0100694444444443E-3</v>
      </c>
      <c r="L92" s="11">
        <f>G92/0.84</f>
        <v>1.0581679894179892E-3</v>
      </c>
      <c r="M92" s="25"/>
      <c r="N92" s="28"/>
      <c r="O92" s="25"/>
      <c r="P92" s="28"/>
      <c r="Q92" s="25"/>
      <c r="R92" s="28"/>
      <c r="S92" s="25"/>
      <c r="T92" s="25"/>
      <c r="U92" s="28"/>
      <c r="V92" s="25"/>
      <c r="W92" s="15" t="s">
        <v>141</v>
      </c>
      <c r="X92" s="52"/>
    </row>
    <row r="93" spans="1:24" ht="20.45" customHeight="1">
      <c r="A93" s="10" t="s">
        <v>104</v>
      </c>
      <c r="B93" s="11">
        <v>1.1458333333333333E-2</v>
      </c>
      <c r="C93" s="11">
        <v>3.2986111111111111E-3</v>
      </c>
      <c r="D93" s="11">
        <f t="shared" si="40"/>
        <v>6.6664583333333324E-3</v>
      </c>
      <c r="E93" s="12">
        <v>0.58179999999999998</v>
      </c>
      <c r="F93" s="11">
        <f t="shared" si="41"/>
        <v>8.2465277777777778E-4</v>
      </c>
      <c r="G93" s="11">
        <f t="shared" si="42"/>
        <v>8.8886111111111099E-4</v>
      </c>
      <c r="H93" s="11">
        <f t="shared" si="43"/>
        <v>9.1666666666666665E-4</v>
      </c>
      <c r="I93" s="11">
        <f t="shared" si="44"/>
        <v>9.5576463560334514E-4</v>
      </c>
      <c r="J93" s="11">
        <f t="shared" si="45"/>
        <v>9.6615338164251195E-4</v>
      </c>
      <c r="K93" s="11">
        <f t="shared" si="46"/>
        <v>1.0100694444444443E-3</v>
      </c>
      <c r="L93" s="11">
        <f t="shared" si="47"/>
        <v>1.0581679894179892E-3</v>
      </c>
      <c r="M93" s="25"/>
      <c r="N93" s="28"/>
      <c r="O93" s="25"/>
      <c r="P93" s="28"/>
      <c r="Q93" s="25"/>
      <c r="R93" s="28"/>
      <c r="S93" s="25"/>
      <c r="T93" s="25"/>
      <c r="U93" s="28"/>
      <c r="V93" s="25"/>
      <c r="W93" s="15" t="s">
        <v>141</v>
      </c>
      <c r="X93" s="52"/>
    </row>
    <row r="94" spans="1:24" ht="20.45" customHeight="1">
      <c r="A94" s="10" t="s">
        <v>102</v>
      </c>
      <c r="B94" s="11">
        <v>1.1458333333333333E-2</v>
      </c>
      <c r="C94" s="11">
        <v>3.0671296296296297E-3</v>
      </c>
      <c r="D94" s="11">
        <f t="shared" ref="D94:D128" si="48">B94*E94</f>
        <v>6.6664583333333324E-3</v>
      </c>
      <c r="E94" s="12">
        <v>0.58179999999999998</v>
      </c>
      <c r="F94" s="11">
        <f t="shared" ref="F94:F128" si="49">C94/4</f>
        <v>7.6678240740740743E-4</v>
      </c>
      <c r="G94" s="11">
        <f t="shared" ref="G94:G128" si="50">D94/7.5</f>
        <v>8.8886111111111099E-4</v>
      </c>
      <c r="H94" s="11">
        <f t="shared" ref="H94:H128" si="51">B94/12.5</f>
        <v>9.1666666666666665E-4</v>
      </c>
      <c r="I94" s="11">
        <f t="shared" ref="I94:I128" si="52">G94/0.93</f>
        <v>9.5576463560334514E-4</v>
      </c>
      <c r="J94" s="11">
        <f t="shared" ref="J94:J128" si="53">G94/0.92</f>
        <v>9.6615338164251195E-4</v>
      </c>
      <c r="K94" s="11">
        <f t="shared" ref="K94:K128" si="54">G94/0.88</f>
        <v>1.0100694444444443E-3</v>
      </c>
      <c r="L94" s="11">
        <f t="shared" ref="L94:L128" si="55">G94/0.84</f>
        <v>1.0581679894179892E-3</v>
      </c>
      <c r="M94" s="25"/>
      <c r="N94" s="28"/>
      <c r="O94" s="25"/>
      <c r="P94" s="28"/>
      <c r="Q94" s="25"/>
      <c r="R94" s="28"/>
      <c r="S94" s="25"/>
      <c r="T94" s="25"/>
      <c r="U94" s="28"/>
      <c r="V94" s="25"/>
      <c r="W94" s="15" t="s">
        <v>141</v>
      </c>
      <c r="X94" s="52"/>
    </row>
    <row r="95" spans="1:24" ht="20.45" customHeight="1">
      <c r="A95" s="10" t="s">
        <v>113</v>
      </c>
      <c r="B95" s="11">
        <v>1.0763888888888891E-2</v>
      </c>
      <c r="C95" s="11">
        <v>3.2986111111111111E-3</v>
      </c>
      <c r="D95" s="11">
        <f t="shared" si="48"/>
        <v>6.2624305555555567E-3</v>
      </c>
      <c r="E95" s="12">
        <v>0.58179999999999998</v>
      </c>
      <c r="F95" s="11">
        <f t="shared" si="49"/>
        <v>8.2465277777777778E-4</v>
      </c>
      <c r="G95" s="11">
        <f t="shared" si="50"/>
        <v>8.3499074074074085E-4</v>
      </c>
      <c r="H95" s="11">
        <f t="shared" si="51"/>
        <v>8.6111111111111121E-4</v>
      </c>
      <c r="I95" s="11">
        <f t="shared" si="52"/>
        <v>8.9783950617283953E-4</v>
      </c>
      <c r="J95" s="11">
        <f t="shared" si="53"/>
        <v>9.0759863123993567E-4</v>
      </c>
      <c r="K95" s="11">
        <f t="shared" si="54"/>
        <v>9.4885311447811464E-4</v>
      </c>
      <c r="L95" s="11">
        <f t="shared" si="55"/>
        <v>9.9403659611992969E-4</v>
      </c>
      <c r="M95" s="25"/>
      <c r="N95" s="28"/>
      <c r="O95" s="25"/>
      <c r="P95" s="28"/>
      <c r="Q95" s="25"/>
      <c r="R95" s="28"/>
      <c r="S95" s="25"/>
      <c r="T95" s="25"/>
      <c r="U95" s="28"/>
      <c r="V95" s="25"/>
      <c r="W95" s="15" t="s">
        <v>141</v>
      </c>
      <c r="X95" s="52"/>
    </row>
    <row r="96" spans="1:24" ht="20.45" customHeight="1">
      <c r="A96" s="10" t="s">
        <v>114</v>
      </c>
      <c r="B96" s="11">
        <v>1.0763888888888891E-2</v>
      </c>
      <c r="C96" s="11">
        <v>3.0671296296296297E-3</v>
      </c>
      <c r="D96" s="11">
        <f t="shared" si="48"/>
        <v>6.2624305555555567E-3</v>
      </c>
      <c r="E96" s="12">
        <v>0.58179999999999998</v>
      </c>
      <c r="F96" s="11">
        <f t="shared" si="49"/>
        <v>7.6678240740740743E-4</v>
      </c>
      <c r="G96" s="11">
        <f t="shared" si="50"/>
        <v>8.3499074074074085E-4</v>
      </c>
      <c r="H96" s="11">
        <f t="shared" si="51"/>
        <v>8.6111111111111121E-4</v>
      </c>
      <c r="I96" s="11">
        <f t="shared" si="52"/>
        <v>8.9783950617283953E-4</v>
      </c>
      <c r="J96" s="11">
        <f t="shared" si="53"/>
        <v>9.0759863123993567E-4</v>
      </c>
      <c r="K96" s="11">
        <f t="shared" si="54"/>
        <v>9.4885311447811464E-4</v>
      </c>
      <c r="L96" s="11">
        <f t="shared" si="55"/>
        <v>9.9403659611992969E-4</v>
      </c>
      <c r="M96" s="25"/>
      <c r="N96" s="28"/>
      <c r="O96" s="25"/>
      <c r="P96" s="28"/>
      <c r="Q96" s="25"/>
      <c r="R96" s="28"/>
      <c r="S96" s="25"/>
      <c r="T96" s="25"/>
      <c r="U96" s="28"/>
      <c r="V96" s="25"/>
      <c r="W96" s="15" t="s">
        <v>141</v>
      </c>
      <c r="X96" s="52"/>
    </row>
    <row r="97" spans="1:24" ht="20.45" customHeight="1">
      <c r="A97" s="10" t="s">
        <v>100</v>
      </c>
      <c r="B97" s="11">
        <v>1.0763888888888889E-2</v>
      </c>
      <c r="C97" s="11">
        <v>3.0671296296296297E-3</v>
      </c>
      <c r="D97" s="11">
        <f t="shared" si="48"/>
        <v>6.2624305555555549E-3</v>
      </c>
      <c r="E97" s="12">
        <v>0.58179999999999998</v>
      </c>
      <c r="F97" s="11">
        <f t="shared" si="49"/>
        <v>7.6678240740740743E-4</v>
      </c>
      <c r="G97" s="11">
        <f t="shared" si="50"/>
        <v>8.3499074074074064E-4</v>
      </c>
      <c r="H97" s="11">
        <f t="shared" si="51"/>
        <v>8.611111111111111E-4</v>
      </c>
      <c r="I97" s="11">
        <f t="shared" si="52"/>
        <v>8.9783950617283931E-4</v>
      </c>
      <c r="J97" s="11">
        <f t="shared" si="53"/>
        <v>9.0759863123993545E-4</v>
      </c>
      <c r="K97" s="11">
        <f t="shared" si="54"/>
        <v>9.4885311447811432E-4</v>
      </c>
      <c r="L97" s="17">
        <f t="shared" si="55"/>
        <v>9.9403659611992947E-4</v>
      </c>
      <c r="M97" s="25"/>
      <c r="N97" s="28"/>
      <c r="O97" s="25"/>
      <c r="P97" s="28"/>
      <c r="Q97" s="25"/>
      <c r="R97" s="28"/>
      <c r="S97" s="25"/>
      <c r="T97" s="25"/>
      <c r="U97" s="28"/>
      <c r="V97" s="25"/>
      <c r="W97" s="15" t="s">
        <v>141</v>
      </c>
      <c r="X97" s="52"/>
    </row>
    <row r="98" spans="1:24" ht="20.45" customHeight="1">
      <c r="A98" s="10" t="s">
        <v>101</v>
      </c>
      <c r="B98" s="11">
        <v>1.1111111111111112E-2</v>
      </c>
      <c r="C98" s="11">
        <v>3.0671296296296297E-3</v>
      </c>
      <c r="D98" s="11">
        <f t="shared" si="48"/>
        <v>6.4644444444444445E-3</v>
      </c>
      <c r="E98" s="12">
        <v>0.58179999999999998</v>
      </c>
      <c r="F98" s="11">
        <f t="shared" si="49"/>
        <v>7.6678240740740743E-4</v>
      </c>
      <c r="G98" s="11">
        <f t="shared" si="50"/>
        <v>8.6192592592592592E-4</v>
      </c>
      <c r="H98" s="11">
        <f t="shared" si="51"/>
        <v>8.8888888888888893E-4</v>
      </c>
      <c r="I98" s="11">
        <f t="shared" si="52"/>
        <v>9.2680207088809239E-4</v>
      </c>
      <c r="J98" s="11">
        <f t="shared" si="53"/>
        <v>9.3687600644122375E-4</v>
      </c>
      <c r="K98" s="11">
        <f t="shared" si="54"/>
        <v>9.7946127946127947E-4</v>
      </c>
      <c r="L98" s="11">
        <f t="shared" si="55"/>
        <v>1.0261022927689596E-3</v>
      </c>
      <c r="M98" s="25"/>
      <c r="N98" s="28"/>
      <c r="O98" s="25"/>
      <c r="P98" s="28"/>
      <c r="Q98" s="25"/>
      <c r="R98" s="28"/>
      <c r="S98" s="25"/>
      <c r="T98" s="25"/>
      <c r="U98" s="28"/>
      <c r="V98" s="25"/>
      <c r="W98" s="15" t="s">
        <v>141</v>
      </c>
      <c r="X98" s="52"/>
    </row>
    <row r="99" spans="1:24" ht="20.45" customHeight="1">
      <c r="A99" s="10" t="s">
        <v>97</v>
      </c>
      <c r="B99" s="11">
        <v>1.0763888888888889E-2</v>
      </c>
      <c r="C99" s="11">
        <v>2.9513888888888888E-3</v>
      </c>
      <c r="D99" s="11">
        <f t="shared" si="48"/>
        <v>6.2624305555555549E-3</v>
      </c>
      <c r="E99" s="12">
        <v>0.58179999999999998</v>
      </c>
      <c r="F99" s="11">
        <f t="shared" si="49"/>
        <v>7.378472222222222E-4</v>
      </c>
      <c r="G99" s="11">
        <f t="shared" si="50"/>
        <v>8.3499074074074064E-4</v>
      </c>
      <c r="H99" s="11">
        <f t="shared" si="51"/>
        <v>8.611111111111111E-4</v>
      </c>
      <c r="I99" s="11">
        <f t="shared" si="52"/>
        <v>8.9783950617283931E-4</v>
      </c>
      <c r="J99" s="11">
        <f t="shared" si="53"/>
        <v>9.0759863123993545E-4</v>
      </c>
      <c r="K99" s="11">
        <f t="shared" si="54"/>
        <v>9.4885311447811432E-4</v>
      </c>
      <c r="L99" s="11">
        <f t="shared" si="55"/>
        <v>9.9403659611992947E-4</v>
      </c>
      <c r="M99" s="25"/>
      <c r="N99" s="28"/>
      <c r="O99" s="25"/>
      <c r="P99" s="28"/>
      <c r="Q99" s="25"/>
      <c r="R99" s="28"/>
      <c r="S99" s="25"/>
      <c r="T99" s="25"/>
      <c r="U99" s="28"/>
      <c r="V99" s="25"/>
      <c r="W99" s="15" t="s">
        <v>141</v>
      </c>
      <c r="X99" s="52"/>
    </row>
    <row r="100" spans="1:24" ht="20.45" customHeight="1">
      <c r="A100" s="10" t="s">
        <v>115</v>
      </c>
      <c r="B100" s="11">
        <v>1.0532407407407407E-2</v>
      </c>
      <c r="C100" s="11">
        <v>2.9513888888888888E-3</v>
      </c>
      <c r="D100" s="11">
        <f t="shared" si="48"/>
        <v>6.1277546296296288E-3</v>
      </c>
      <c r="E100" s="12">
        <v>0.58179999999999998</v>
      </c>
      <c r="F100" s="11">
        <f t="shared" si="49"/>
        <v>7.378472222222222E-4</v>
      </c>
      <c r="G100" s="11">
        <f t="shared" si="50"/>
        <v>8.1703395061728389E-4</v>
      </c>
      <c r="H100" s="11">
        <f t="shared" si="51"/>
        <v>8.4259259259259259E-4</v>
      </c>
      <c r="I100" s="11">
        <f t="shared" si="52"/>
        <v>8.7853112969600415E-4</v>
      </c>
      <c r="J100" s="11">
        <f t="shared" si="53"/>
        <v>8.8808038110574329E-4</v>
      </c>
      <c r="K100" s="11">
        <f t="shared" si="54"/>
        <v>9.2844767115600447E-4</v>
      </c>
      <c r="L100" s="11">
        <f t="shared" si="55"/>
        <v>9.7265946502057604E-4</v>
      </c>
      <c r="M100" s="25"/>
      <c r="N100" s="28"/>
      <c r="O100" s="25"/>
      <c r="P100" s="28"/>
      <c r="Q100" s="25"/>
      <c r="R100" s="28"/>
      <c r="S100" s="25"/>
      <c r="T100" s="25"/>
      <c r="U100" s="28"/>
      <c r="V100" s="25"/>
      <c r="W100" s="15" t="s">
        <v>141</v>
      </c>
      <c r="X100" s="52"/>
    </row>
    <row r="101" spans="1:24" ht="20.45" customHeight="1">
      <c r="A101" s="10" t="s">
        <v>84</v>
      </c>
      <c r="B101" s="11">
        <v>1.0069444444444445E-2</v>
      </c>
      <c r="C101" s="11">
        <v>3.0092592592592593E-3</v>
      </c>
      <c r="D101" s="11">
        <f t="shared" si="48"/>
        <v>5.8584027777777783E-3</v>
      </c>
      <c r="E101" s="12">
        <v>0.58179999999999998</v>
      </c>
      <c r="F101" s="11">
        <f t="shared" si="49"/>
        <v>7.5231481481481482E-4</v>
      </c>
      <c r="G101" s="11">
        <f t="shared" si="50"/>
        <v>7.811203703703705E-4</v>
      </c>
      <c r="H101" s="11">
        <f t="shared" si="51"/>
        <v>8.0555555555555556E-4</v>
      </c>
      <c r="I101" s="11">
        <f t="shared" si="52"/>
        <v>8.3991437674233382E-4</v>
      </c>
      <c r="J101" s="11">
        <f t="shared" si="53"/>
        <v>8.4904388083735917E-4</v>
      </c>
      <c r="K101" s="11">
        <f t="shared" si="54"/>
        <v>8.8763678451178466E-4</v>
      </c>
      <c r="L101" s="11">
        <f t="shared" si="55"/>
        <v>9.2990520282186973E-4</v>
      </c>
      <c r="M101" s="25"/>
      <c r="N101" s="28"/>
      <c r="O101" s="25"/>
      <c r="P101" s="28"/>
      <c r="Q101" s="25"/>
      <c r="R101" s="28"/>
      <c r="S101" s="25"/>
      <c r="T101" s="25"/>
      <c r="U101" s="28"/>
      <c r="V101" s="25"/>
      <c r="W101" s="15" t="s">
        <v>141</v>
      </c>
      <c r="X101" s="52"/>
    </row>
    <row r="102" spans="1:24" ht="20.45" customHeight="1">
      <c r="A102" s="10" t="s">
        <v>116</v>
      </c>
      <c r="B102" s="11">
        <v>1.0243055555555556E-2</v>
      </c>
      <c r="C102" s="11">
        <v>2.9513888888888888E-3</v>
      </c>
      <c r="D102" s="11">
        <f t="shared" si="48"/>
        <v>5.9594097222222218E-3</v>
      </c>
      <c r="E102" s="12">
        <v>0.58179999999999998</v>
      </c>
      <c r="F102" s="11">
        <f t="shared" si="49"/>
        <v>7.378472222222222E-4</v>
      </c>
      <c r="G102" s="11">
        <f t="shared" si="50"/>
        <v>7.9458796296296287E-4</v>
      </c>
      <c r="H102" s="11">
        <f t="shared" si="51"/>
        <v>8.1944444444444447E-4</v>
      </c>
      <c r="I102" s="11">
        <f t="shared" si="52"/>
        <v>8.5439565909996003E-4</v>
      </c>
      <c r="J102" s="11">
        <f t="shared" si="53"/>
        <v>8.636825684380031E-4</v>
      </c>
      <c r="K102" s="11">
        <f t="shared" si="54"/>
        <v>9.0294086700336686E-4</v>
      </c>
      <c r="L102" s="17">
        <f t="shared" si="55"/>
        <v>9.4593805114638445E-4</v>
      </c>
      <c r="M102" s="25"/>
      <c r="N102" s="28"/>
      <c r="O102" s="25"/>
      <c r="P102" s="28"/>
      <c r="Q102" s="25"/>
      <c r="R102" s="28"/>
      <c r="S102" s="25"/>
      <c r="T102" s="25"/>
      <c r="U102" s="28"/>
      <c r="V102" s="25"/>
      <c r="W102" s="15" t="s">
        <v>141</v>
      </c>
      <c r="X102" s="52"/>
    </row>
    <row r="103" spans="1:24" ht="20.45" customHeight="1">
      <c r="A103" s="10" t="s">
        <v>93</v>
      </c>
      <c r="B103" s="11">
        <v>1.0300925925925925E-2</v>
      </c>
      <c r="C103" s="11"/>
      <c r="D103" s="11">
        <f t="shared" si="48"/>
        <v>5.9930787037037027E-3</v>
      </c>
      <c r="E103" s="12">
        <v>0.58179999999999998</v>
      </c>
      <c r="F103" s="11">
        <f t="shared" si="49"/>
        <v>0</v>
      </c>
      <c r="G103" s="11">
        <f t="shared" si="50"/>
        <v>7.9907716049382703E-4</v>
      </c>
      <c r="H103" s="11">
        <f t="shared" si="51"/>
        <v>8.2407407407407397E-4</v>
      </c>
      <c r="I103" s="11">
        <f t="shared" si="52"/>
        <v>8.5922275321916877E-4</v>
      </c>
      <c r="J103" s="11">
        <f t="shared" si="53"/>
        <v>8.6856213097155112E-4</v>
      </c>
      <c r="K103" s="11">
        <f t="shared" si="54"/>
        <v>9.080422278338944E-4</v>
      </c>
      <c r="L103" s="11">
        <f t="shared" si="55"/>
        <v>9.5128233392122272E-4</v>
      </c>
      <c r="M103" s="25"/>
      <c r="N103" s="28"/>
      <c r="O103" s="25"/>
      <c r="P103" s="28"/>
      <c r="Q103" s="25"/>
      <c r="R103" s="28"/>
      <c r="S103" s="25"/>
      <c r="T103" s="25"/>
      <c r="U103" s="28"/>
      <c r="V103" s="25"/>
      <c r="W103" s="15" t="s">
        <v>141</v>
      </c>
      <c r="X103" s="52"/>
    </row>
    <row r="104" spans="1:24" ht="20.45" customHeight="1">
      <c r="A104" s="10" t="s">
        <v>92</v>
      </c>
      <c r="B104" s="11">
        <v>1.0300925925925925E-2</v>
      </c>
      <c r="C104" s="11">
        <v>2.9745370370370373E-3</v>
      </c>
      <c r="D104" s="11">
        <f t="shared" si="48"/>
        <v>5.9930787037037027E-3</v>
      </c>
      <c r="E104" s="12">
        <v>0.58179999999999998</v>
      </c>
      <c r="F104" s="11">
        <f t="shared" si="49"/>
        <v>7.4363425925925931E-4</v>
      </c>
      <c r="G104" s="11">
        <f t="shared" si="50"/>
        <v>7.9907716049382703E-4</v>
      </c>
      <c r="H104" s="11">
        <f t="shared" si="51"/>
        <v>8.2407407407407397E-4</v>
      </c>
      <c r="I104" s="11">
        <f t="shared" si="52"/>
        <v>8.5922275321916877E-4</v>
      </c>
      <c r="J104" s="11">
        <f t="shared" si="53"/>
        <v>8.6856213097155112E-4</v>
      </c>
      <c r="K104" s="11">
        <f t="shared" si="54"/>
        <v>9.080422278338944E-4</v>
      </c>
      <c r="L104" s="11">
        <f t="shared" si="55"/>
        <v>9.5128233392122272E-4</v>
      </c>
      <c r="M104" s="25"/>
      <c r="N104" s="28"/>
      <c r="O104" s="25"/>
      <c r="P104" s="28"/>
      <c r="Q104" s="25"/>
      <c r="R104" s="28"/>
      <c r="S104" s="25"/>
      <c r="T104" s="25"/>
      <c r="U104" s="28"/>
      <c r="V104" s="25"/>
      <c r="W104" s="15" t="s">
        <v>141</v>
      </c>
      <c r="X104" s="52"/>
    </row>
    <row r="105" spans="1:24" ht="20.45" customHeight="1">
      <c r="A105" s="10" t="s">
        <v>85</v>
      </c>
      <c r="B105" s="11">
        <v>1.0300925925925925E-2</v>
      </c>
      <c r="C105" s="11">
        <v>3.0671296296296297E-3</v>
      </c>
      <c r="D105" s="11">
        <f t="shared" si="48"/>
        <v>5.9930787037037027E-3</v>
      </c>
      <c r="E105" s="12">
        <v>0.58179999999999998</v>
      </c>
      <c r="F105" s="11">
        <f t="shared" si="49"/>
        <v>7.6678240740740743E-4</v>
      </c>
      <c r="G105" s="11">
        <f t="shared" si="50"/>
        <v>7.9907716049382703E-4</v>
      </c>
      <c r="H105" s="11">
        <f t="shared" si="51"/>
        <v>8.2407407407407397E-4</v>
      </c>
      <c r="I105" s="11">
        <f t="shared" si="52"/>
        <v>8.5922275321916877E-4</v>
      </c>
      <c r="J105" s="11">
        <f t="shared" si="53"/>
        <v>8.6856213097155112E-4</v>
      </c>
      <c r="K105" s="11">
        <f t="shared" si="54"/>
        <v>9.080422278338944E-4</v>
      </c>
      <c r="L105" s="17">
        <f t="shared" si="55"/>
        <v>9.5128233392122272E-4</v>
      </c>
      <c r="M105" s="25"/>
      <c r="N105" s="28"/>
      <c r="O105" s="25"/>
      <c r="P105" s="28"/>
      <c r="Q105" s="25"/>
      <c r="R105" s="28"/>
      <c r="S105" s="25"/>
      <c r="T105" s="25"/>
      <c r="U105" s="28"/>
      <c r="V105" s="25"/>
      <c r="W105" s="15" t="s">
        <v>141</v>
      </c>
      <c r="X105" s="52"/>
    </row>
    <row r="106" spans="1:24" ht="20.45" customHeight="1">
      <c r="A106" s="10" t="s">
        <v>117</v>
      </c>
      <c r="B106" s="11">
        <v>1.0300925925925925E-2</v>
      </c>
      <c r="C106" s="11">
        <v>3.0671296296296297E-3</v>
      </c>
      <c r="D106" s="11">
        <f t="shared" si="48"/>
        <v>5.9930787037037027E-3</v>
      </c>
      <c r="E106" s="12">
        <v>0.58179999999999998</v>
      </c>
      <c r="F106" s="11">
        <f t="shared" si="49"/>
        <v>7.6678240740740743E-4</v>
      </c>
      <c r="G106" s="11">
        <f t="shared" si="50"/>
        <v>7.9907716049382703E-4</v>
      </c>
      <c r="H106" s="11">
        <f t="shared" si="51"/>
        <v>8.2407407407407397E-4</v>
      </c>
      <c r="I106" s="11">
        <f t="shared" si="52"/>
        <v>8.5922275321916877E-4</v>
      </c>
      <c r="J106" s="11">
        <f t="shared" si="53"/>
        <v>8.6856213097155112E-4</v>
      </c>
      <c r="K106" s="11">
        <f t="shared" si="54"/>
        <v>9.080422278338944E-4</v>
      </c>
      <c r="L106" s="11">
        <f t="shared" si="55"/>
        <v>9.5128233392122272E-4</v>
      </c>
      <c r="M106" s="25"/>
      <c r="N106" s="28"/>
      <c r="O106" s="25"/>
      <c r="P106" s="28"/>
      <c r="Q106" s="25"/>
      <c r="R106" s="28"/>
      <c r="S106" s="25"/>
      <c r="T106" s="25"/>
      <c r="U106" s="28"/>
      <c r="V106" s="25"/>
      <c r="W106" s="15" t="s">
        <v>141</v>
      </c>
      <c r="X106" s="52"/>
    </row>
    <row r="107" spans="1:24" ht="20.45" customHeight="1">
      <c r="A107" s="10" t="s">
        <v>118</v>
      </c>
      <c r="B107" s="11">
        <v>1.0300925925925925E-2</v>
      </c>
      <c r="C107" s="11">
        <v>3.0671296296296297E-3</v>
      </c>
      <c r="D107" s="11">
        <f>B107*E107</f>
        <v>5.9930787037037027E-3</v>
      </c>
      <c r="E107" s="12">
        <v>0.58179999999999998</v>
      </c>
      <c r="F107" s="11">
        <f>C107/4</f>
        <v>7.6678240740740743E-4</v>
      </c>
      <c r="G107" s="11">
        <f>D107/7.5</f>
        <v>7.9907716049382703E-4</v>
      </c>
      <c r="H107" s="11">
        <f>B107/12.5</f>
        <v>8.2407407407407397E-4</v>
      </c>
      <c r="I107" s="11">
        <f>G107/0.93</f>
        <v>8.5922275321916877E-4</v>
      </c>
      <c r="J107" s="11">
        <f>G107/0.92</f>
        <v>8.6856213097155112E-4</v>
      </c>
      <c r="K107" s="11">
        <f>G107/0.88</f>
        <v>9.080422278338944E-4</v>
      </c>
      <c r="L107" s="11">
        <f>G107/0.84</f>
        <v>9.5128233392122272E-4</v>
      </c>
      <c r="M107" s="25"/>
      <c r="N107" s="28"/>
      <c r="O107" s="25"/>
      <c r="P107" s="28"/>
      <c r="Q107" s="25"/>
      <c r="R107" s="28"/>
      <c r="S107" s="25"/>
      <c r="T107" s="25"/>
      <c r="U107" s="28"/>
      <c r="V107" s="25"/>
      <c r="W107" s="15" t="s">
        <v>141</v>
      </c>
      <c r="X107" s="52"/>
    </row>
    <row r="108" spans="1:24" ht="20.45" customHeight="1">
      <c r="A108" s="10" t="s">
        <v>86</v>
      </c>
      <c r="B108" s="11">
        <v>1.0416666666666666E-2</v>
      </c>
      <c r="C108" s="11">
        <v>3.0671296296296297E-3</v>
      </c>
      <c r="D108" s="11">
        <f>B108*E108</f>
        <v>6.0604166666666662E-3</v>
      </c>
      <c r="E108" s="12">
        <v>0.58179999999999998</v>
      </c>
      <c r="F108" s="11">
        <f>C108/4</f>
        <v>7.6678240740740743E-4</v>
      </c>
      <c r="G108" s="11">
        <f>D108/7.5</f>
        <v>8.0805555555555546E-4</v>
      </c>
      <c r="H108" s="11">
        <f>B108/12.5</f>
        <v>8.3333333333333328E-4</v>
      </c>
      <c r="I108" s="11">
        <f>G108/0.93</f>
        <v>8.6887694145758646E-4</v>
      </c>
      <c r="J108" s="11">
        <f>G108/0.92</f>
        <v>8.7832125603864715E-4</v>
      </c>
      <c r="K108" s="11">
        <f>G108/0.88</f>
        <v>9.1824494949494938E-4</v>
      </c>
      <c r="L108" s="11">
        <f>G108/0.84</f>
        <v>9.6197089947089938E-4</v>
      </c>
      <c r="M108" s="25"/>
      <c r="N108" s="28"/>
      <c r="O108" s="25"/>
      <c r="P108" s="28"/>
      <c r="Q108" s="25"/>
      <c r="R108" s="28"/>
      <c r="S108" s="25"/>
      <c r="T108" s="25"/>
      <c r="U108" s="28"/>
      <c r="V108" s="25"/>
      <c r="W108" s="15" t="s">
        <v>141</v>
      </c>
      <c r="X108" s="52"/>
    </row>
    <row r="109" spans="1:24" ht="20.45" customHeight="1">
      <c r="A109" s="10" t="s">
        <v>119</v>
      </c>
      <c r="B109" s="11">
        <v>1.0416666666666666E-2</v>
      </c>
      <c r="C109" s="11"/>
      <c r="D109" s="11">
        <f t="shared" si="48"/>
        <v>6.0604166666666662E-3</v>
      </c>
      <c r="E109" s="12">
        <v>0.58179999999999998</v>
      </c>
      <c r="F109" s="11">
        <f t="shared" si="49"/>
        <v>0</v>
      </c>
      <c r="G109" s="11">
        <f t="shared" si="50"/>
        <v>8.0805555555555546E-4</v>
      </c>
      <c r="H109" s="11">
        <f t="shared" si="51"/>
        <v>8.3333333333333328E-4</v>
      </c>
      <c r="I109" s="11">
        <f t="shared" si="52"/>
        <v>8.6887694145758646E-4</v>
      </c>
      <c r="J109" s="11">
        <f t="shared" si="53"/>
        <v>8.7832125603864715E-4</v>
      </c>
      <c r="K109" s="11">
        <f t="shared" si="54"/>
        <v>9.1824494949494938E-4</v>
      </c>
      <c r="L109" s="11">
        <f t="shared" si="55"/>
        <v>9.6197089947089938E-4</v>
      </c>
      <c r="M109" s="25"/>
      <c r="N109" s="28"/>
      <c r="O109" s="25"/>
      <c r="P109" s="28"/>
      <c r="Q109" s="25"/>
      <c r="R109" s="28"/>
      <c r="S109" s="25"/>
      <c r="T109" s="25"/>
      <c r="U109" s="28"/>
      <c r="V109" s="25"/>
      <c r="W109" s="15" t="s">
        <v>141</v>
      </c>
      <c r="X109" s="52"/>
    </row>
    <row r="110" spans="1:24" ht="20.45" customHeight="1">
      <c r="A110" s="10" t="s">
        <v>120</v>
      </c>
      <c r="B110" s="11">
        <v>1.0416666666666666E-2</v>
      </c>
      <c r="C110" s="11">
        <v>3.1250000000000002E-3</v>
      </c>
      <c r="D110" s="11">
        <f t="shared" si="48"/>
        <v>6.0604166666666662E-3</v>
      </c>
      <c r="E110" s="12">
        <v>0.58179999999999998</v>
      </c>
      <c r="F110" s="11">
        <f t="shared" si="49"/>
        <v>7.8125000000000004E-4</v>
      </c>
      <c r="G110" s="11">
        <f t="shared" si="50"/>
        <v>8.0805555555555546E-4</v>
      </c>
      <c r="H110" s="11">
        <f t="shared" si="51"/>
        <v>8.3333333333333328E-4</v>
      </c>
      <c r="I110" s="11">
        <f t="shared" si="52"/>
        <v>8.6887694145758646E-4</v>
      </c>
      <c r="J110" s="11">
        <f t="shared" si="53"/>
        <v>8.7832125603864715E-4</v>
      </c>
      <c r="K110" s="11">
        <f t="shared" si="54"/>
        <v>9.1824494949494938E-4</v>
      </c>
      <c r="L110" s="11">
        <f t="shared" si="55"/>
        <v>9.6197089947089938E-4</v>
      </c>
      <c r="M110" s="25"/>
      <c r="N110" s="28"/>
      <c r="O110" s="25"/>
      <c r="P110" s="28"/>
      <c r="Q110" s="25"/>
      <c r="R110" s="28"/>
      <c r="S110" s="25"/>
      <c r="T110" s="25"/>
      <c r="U110" s="28"/>
      <c r="V110" s="25"/>
      <c r="W110" s="15" t="s">
        <v>141</v>
      </c>
      <c r="X110" s="52"/>
    </row>
    <row r="111" spans="1:24" ht="20.45" customHeight="1">
      <c r="A111" s="10" t="s">
        <v>121</v>
      </c>
      <c r="B111" s="11">
        <v>1.0416666666666666E-2</v>
      </c>
      <c r="C111" s="11"/>
      <c r="D111" s="11">
        <f>B111*E111</f>
        <v>6.0604166666666662E-3</v>
      </c>
      <c r="E111" s="12">
        <v>0.58179999999999998</v>
      </c>
      <c r="F111" s="11">
        <f>C111/4</f>
        <v>0</v>
      </c>
      <c r="G111" s="11">
        <f>D111/7.5</f>
        <v>8.0805555555555546E-4</v>
      </c>
      <c r="H111" s="11">
        <f>B111/12.5</f>
        <v>8.3333333333333328E-4</v>
      </c>
      <c r="I111" s="11">
        <f>G111/0.93</f>
        <v>8.6887694145758646E-4</v>
      </c>
      <c r="J111" s="11">
        <f>G111/0.92</f>
        <v>8.7832125603864715E-4</v>
      </c>
      <c r="K111" s="11">
        <f>G111/0.88</f>
        <v>9.1824494949494938E-4</v>
      </c>
      <c r="L111" s="11">
        <f>G111/0.84</f>
        <v>9.6197089947089938E-4</v>
      </c>
      <c r="M111" s="25"/>
      <c r="N111" s="28"/>
      <c r="O111" s="25"/>
      <c r="P111" s="28"/>
      <c r="Q111" s="25"/>
      <c r="R111" s="28"/>
      <c r="S111" s="25"/>
      <c r="T111" s="25"/>
      <c r="U111" s="28"/>
      <c r="V111" s="25"/>
      <c r="W111" s="15" t="s">
        <v>141</v>
      </c>
      <c r="X111" s="52"/>
    </row>
    <row r="112" spans="1:24" ht="20.45" customHeight="1">
      <c r="A112" s="10" t="s">
        <v>87</v>
      </c>
      <c r="B112" s="11">
        <v>1.0532407407407407E-2</v>
      </c>
      <c r="C112" s="11">
        <v>2.9745370370370373E-3</v>
      </c>
      <c r="D112" s="11">
        <f t="shared" si="48"/>
        <v>6.1277546296296288E-3</v>
      </c>
      <c r="E112" s="12">
        <v>0.58179999999999998</v>
      </c>
      <c r="F112" s="11">
        <f t="shared" si="49"/>
        <v>7.4363425925925931E-4</v>
      </c>
      <c r="G112" s="11">
        <f t="shared" si="50"/>
        <v>8.1703395061728389E-4</v>
      </c>
      <c r="H112" s="11">
        <f t="shared" si="51"/>
        <v>8.4259259259259259E-4</v>
      </c>
      <c r="I112" s="11">
        <f t="shared" si="52"/>
        <v>8.7853112969600415E-4</v>
      </c>
      <c r="J112" s="11">
        <f t="shared" si="53"/>
        <v>8.8808038110574329E-4</v>
      </c>
      <c r="K112" s="11">
        <f t="shared" si="54"/>
        <v>9.2844767115600447E-4</v>
      </c>
      <c r="L112" s="11">
        <f t="shared" si="55"/>
        <v>9.7265946502057604E-4</v>
      </c>
      <c r="M112" s="25"/>
      <c r="N112" s="28"/>
      <c r="O112" s="25"/>
      <c r="P112" s="28"/>
      <c r="Q112" s="25"/>
      <c r="R112" s="28"/>
      <c r="S112" s="25"/>
      <c r="T112" s="25"/>
      <c r="U112" s="28"/>
      <c r="V112" s="25"/>
      <c r="W112" s="15" t="s">
        <v>141</v>
      </c>
      <c r="X112" s="52"/>
    </row>
    <row r="113" spans="1:24" ht="20.45" customHeight="1">
      <c r="A113" s="10" t="s">
        <v>88</v>
      </c>
      <c r="B113" s="11">
        <v>1.0532407407407407E-2</v>
      </c>
      <c r="C113" s="11">
        <v>3.0671296296296297E-3</v>
      </c>
      <c r="D113" s="11">
        <f t="shared" si="48"/>
        <v>6.1277546296296288E-3</v>
      </c>
      <c r="E113" s="12">
        <v>0.58179999999999998</v>
      </c>
      <c r="F113" s="11">
        <f t="shared" si="49"/>
        <v>7.6678240740740743E-4</v>
      </c>
      <c r="G113" s="11">
        <f t="shared" si="50"/>
        <v>8.1703395061728389E-4</v>
      </c>
      <c r="H113" s="11">
        <f t="shared" si="51"/>
        <v>8.4259259259259259E-4</v>
      </c>
      <c r="I113" s="11">
        <f t="shared" si="52"/>
        <v>8.7853112969600415E-4</v>
      </c>
      <c r="J113" s="11">
        <f t="shared" si="53"/>
        <v>8.8808038110574329E-4</v>
      </c>
      <c r="K113" s="11">
        <f t="shared" si="54"/>
        <v>9.2844767115600447E-4</v>
      </c>
      <c r="L113" s="11">
        <f t="shared" si="55"/>
        <v>9.7265946502057604E-4</v>
      </c>
      <c r="M113" s="25"/>
      <c r="N113" s="28"/>
      <c r="O113" s="25"/>
      <c r="P113" s="28"/>
      <c r="Q113" s="25"/>
      <c r="R113" s="28"/>
      <c r="S113" s="25"/>
      <c r="T113" s="25"/>
      <c r="U113" s="28"/>
      <c r="V113" s="25"/>
      <c r="W113" s="15" t="s">
        <v>141</v>
      </c>
      <c r="X113" s="52"/>
    </row>
    <row r="114" spans="1:24" ht="20.45" customHeight="1">
      <c r="A114" s="10" t="s">
        <v>90</v>
      </c>
      <c r="B114" s="11">
        <v>1.0532407407407407E-2</v>
      </c>
      <c r="C114" s="11">
        <v>3.0671296296296297E-3</v>
      </c>
      <c r="D114" s="11">
        <f>B114*E114</f>
        <v>6.1277546296296288E-3</v>
      </c>
      <c r="E114" s="12">
        <v>0.58179999999999998</v>
      </c>
      <c r="F114" s="11">
        <f>C114/4</f>
        <v>7.6678240740740743E-4</v>
      </c>
      <c r="G114" s="11">
        <f>D114/7.5</f>
        <v>8.1703395061728389E-4</v>
      </c>
      <c r="H114" s="11">
        <f>B114/12.5</f>
        <v>8.4259259259259259E-4</v>
      </c>
      <c r="I114" s="11">
        <f>G114/0.93</f>
        <v>8.7853112969600415E-4</v>
      </c>
      <c r="J114" s="11">
        <f>G114/0.92</f>
        <v>8.8808038110574329E-4</v>
      </c>
      <c r="K114" s="11">
        <f>G114/0.88</f>
        <v>9.2844767115600447E-4</v>
      </c>
      <c r="L114" s="17">
        <f>G114/0.84</f>
        <v>9.7265946502057604E-4</v>
      </c>
      <c r="M114" s="25"/>
      <c r="N114" s="28"/>
      <c r="O114" s="25"/>
      <c r="P114" s="28"/>
      <c r="Q114" s="25"/>
      <c r="R114" s="28"/>
      <c r="S114" s="25"/>
      <c r="T114" s="25"/>
      <c r="U114" s="28"/>
      <c r="V114" s="25"/>
      <c r="W114" s="15" t="s">
        <v>141</v>
      </c>
      <c r="X114" s="52"/>
    </row>
    <row r="115" spans="1:24" ht="20.45" customHeight="1" thickBot="1">
      <c r="A115" s="10" t="s">
        <v>122</v>
      </c>
      <c r="B115" s="11">
        <v>1.0590277777777778E-2</v>
      </c>
      <c r="C115" s="11">
        <v>3.0671296296296297E-3</v>
      </c>
      <c r="D115" s="11">
        <f t="shared" si="48"/>
        <v>6.1614236111111114E-3</v>
      </c>
      <c r="E115" s="12">
        <v>0.58179999999999998</v>
      </c>
      <c r="F115" s="11">
        <f t="shared" si="49"/>
        <v>7.6678240740740743E-4</v>
      </c>
      <c r="G115" s="11">
        <f t="shared" si="50"/>
        <v>8.2152314814814816E-4</v>
      </c>
      <c r="H115" s="11">
        <f t="shared" si="51"/>
        <v>8.472222222222223E-4</v>
      </c>
      <c r="I115" s="11">
        <f t="shared" si="52"/>
        <v>8.8335822381521299E-4</v>
      </c>
      <c r="J115" s="11">
        <f t="shared" si="53"/>
        <v>8.9295994363929141E-4</v>
      </c>
      <c r="K115" s="11">
        <f t="shared" si="54"/>
        <v>9.3354903198653201E-4</v>
      </c>
      <c r="L115" s="11">
        <f t="shared" si="55"/>
        <v>9.7800374779541442E-4</v>
      </c>
      <c r="M115" s="25"/>
      <c r="N115" s="28"/>
      <c r="O115" s="25"/>
      <c r="P115" s="28"/>
      <c r="Q115" s="25"/>
      <c r="R115" s="28"/>
      <c r="S115" s="25"/>
      <c r="T115" s="25"/>
      <c r="U115" s="28"/>
      <c r="V115" s="25"/>
      <c r="W115" s="15" t="s">
        <v>141</v>
      </c>
      <c r="X115" s="52"/>
    </row>
    <row r="116" spans="1:24" ht="20.45" customHeight="1">
      <c r="A116" s="1" t="s">
        <v>144</v>
      </c>
      <c r="B116" s="6"/>
      <c r="C116" s="6"/>
      <c r="D116" s="6"/>
      <c r="E116" s="20"/>
      <c r="F116" s="6"/>
      <c r="G116" s="6"/>
      <c r="H116" s="6"/>
      <c r="I116" s="6"/>
      <c r="J116" s="6"/>
      <c r="K116" s="6"/>
      <c r="L116" s="6"/>
      <c r="M116" s="6"/>
      <c r="N116" s="6"/>
      <c r="O116" s="6"/>
      <c r="P116" s="6"/>
      <c r="Q116" s="6"/>
      <c r="R116" s="6"/>
      <c r="S116" s="6"/>
      <c r="T116" s="6"/>
      <c r="U116" s="6"/>
      <c r="V116" s="23"/>
      <c r="W116" s="35"/>
      <c r="X116" s="52"/>
    </row>
    <row r="117" spans="1:24" ht="20.45" customHeight="1">
      <c r="A117" s="10" t="s">
        <v>123</v>
      </c>
      <c r="B117" s="11">
        <v>1.0590277777777778E-2</v>
      </c>
      <c r="C117" s="11">
        <v>3.1828703703703702E-3</v>
      </c>
      <c r="D117" s="11">
        <f t="shared" si="48"/>
        <v>6.1614236111111114E-3</v>
      </c>
      <c r="E117" s="12">
        <v>0.58179999999999998</v>
      </c>
      <c r="F117" s="11">
        <f t="shared" si="49"/>
        <v>7.9571759259259255E-4</v>
      </c>
      <c r="G117" s="11">
        <f t="shared" si="50"/>
        <v>8.2152314814814816E-4</v>
      </c>
      <c r="H117" s="11">
        <f t="shared" si="51"/>
        <v>8.472222222222223E-4</v>
      </c>
      <c r="I117" s="11">
        <f t="shared" si="52"/>
        <v>8.8335822381521299E-4</v>
      </c>
      <c r="J117" s="11">
        <f t="shared" si="53"/>
        <v>8.9295994363929141E-4</v>
      </c>
      <c r="K117" s="11">
        <f t="shared" si="54"/>
        <v>9.3354903198653201E-4</v>
      </c>
      <c r="L117" s="11">
        <f t="shared" si="55"/>
        <v>9.7800374779541442E-4</v>
      </c>
      <c r="M117" s="25"/>
      <c r="N117" s="28"/>
      <c r="O117" s="25"/>
      <c r="P117" s="28"/>
      <c r="Q117" s="25"/>
      <c r="R117" s="28"/>
      <c r="S117" s="25"/>
      <c r="T117" s="25"/>
      <c r="U117" s="28"/>
      <c r="V117" s="25"/>
      <c r="W117" s="15" t="s">
        <v>141</v>
      </c>
      <c r="X117" s="52"/>
    </row>
    <row r="118" spans="1:24" ht="20.45" customHeight="1">
      <c r="A118" s="10" t="s">
        <v>91</v>
      </c>
      <c r="B118" s="11">
        <v>1.0590277777777778E-2</v>
      </c>
      <c r="C118" s="11">
        <v>3.1249999999999997E-3</v>
      </c>
      <c r="D118" s="11">
        <f t="shared" si="48"/>
        <v>6.1614236111111114E-3</v>
      </c>
      <c r="E118" s="12">
        <v>0.58179999999999998</v>
      </c>
      <c r="F118" s="11">
        <f t="shared" si="49"/>
        <v>7.8124999999999993E-4</v>
      </c>
      <c r="G118" s="11">
        <f t="shared" si="50"/>
        <v>8.2152314814814816E-4</v>
      </c>
      <c r="H118" s="11">
        <f t="shared" si="51"/>
        <v>8.472222222222223E-4</v>
      </c>
      <c r="I118" s="11">
        <f t="shared" si="52"/>
        <v>8.8335822381521299E-4</v>
      </c>
      <c r="J118" s="11">
        <f t="shared" si="53"/>
        <v>8.9295994363929141E-4</v>
      </c>
      <c r="K118" s="11">
        <f t="shared" si="54"/>
        <v>9.3354903198653201E-4</v>
      </c>
      <c r="L118" s="11">
        <f t="shared" si="55"/>
        <v>9.7800374779541442E-4</v>
      </c>
      <c r="M118" s="25"/>
      <c r="N118" s="28"/>
      <c r="O118" s="25"/>
      <c r="P118" s="28"/>
      <c r="Q118" s="25"/>
      <c r="R118" s="28"/>
      <c r="S118" s="25"/>
      <c r="T118" s="25"/>
      <c r="U118" s="28"/>
      <c r="V118" s="25"/>
      <c r="W118" s="15" t="s">
        <v>141</v>
      </c>
      <c r="X118" s="50"/>
    </row>
    <row r="119" spans="1:24" ht="20.45" customHeight="1">
      <c r="A119" s="10" t="s">
        <v>124</v>
      </c>
      <c r="B119" s="11">
        <v>1.0590277777777778E-2</v>
      </c>
      <c r="C119" s="11"/>
      <c r="D119" s="11">
        <f>B119*E119</f>
        <v>6.1614236111111114E-3</v>
      </c>
      <c r="E119" s="12">
        <v>0.58179999999999998</v>
      </c>
      <c r="F119" s="11">
        <f>C119/4</f>
        <v>0</v>
      </c>
      <c r="G119" s="11">
        <f>D119/7.5</f>
        <v>8.2152314814814816E-4</v>
      </c>
      <c r="H119" s="11">
        <f>B119/12.5</f>
        <v>8.472222222222223E-4</v>
      </c>
      <c r="I119" s="11">
        <f>G119/0.93</f>
        <v>8.8335822381521299E-4</v>
      </c>
      <c r="J119" s="11">
        <f>G119/0.92</f>
        <v>8.9295994363929141E-4</v>
      </c>
      <c r="K119" s="11">
        <f>G119/0.88</f>
        <v>9.3354903198653201E-4</v>
      </c>
      <c r="L119" s="11">
        <f>G119/0.84</f>
        <v>9.7800374779541442E-4</v>
      </c>
      <c r="M119" s="25"/>
      <c r="N119" s="28"/>
      <c r="O119" s="25"/>
      <c r="P119" s="28"/>
      <c r="Q119" s="25"/>
      <c r="R119" s="28"/>
      <c r="S119" s="25"/>
      <c r="T119" s="25"/>
      <c r="U119" s="28"/>
      <c r="V119" s="25"/>
      <c r="W119" s="15" t="s">
        <v>141</v>
      </c>
      <c r="X119" s="50"/>
    </row>
    <row r="120" spans="1:24" ht="20.45" customHeight="1">
      <c r="A120" s="10" t="s">
        <v>125</v>
      </c>
      <c r="B120" s="11">
        <v>1.0648148148148148E-2</v>
      </c>
      <c r="C120" s="11"/>
      <c r="D120" s="11">
        <f t="shared" si="48"/>
        <v>6.1950925925925923E-3</v>
      </c>
      <c r="E120" s="12">
        <v>0.58179999999999998</v>
      </c>
      <c r="F120" s="11">
        <f t="shared" si="49"/>
        <v>0</v>
      </c>
      <c r="G120" s="11">
        <f t="shared" si="50"/>
        <v>8.2601234567901232E-4</v>
      </c>
      <c r="H120" s="11">
        <f t="shared" si="51"/>
        <v>8.5185185185185179E-4</v>
      </c>
      <c r="I120" s="11">
        <f t="shared" si="52"/>
        <v>8.8818531793442184E-4</v>
      </c>
      <c r="J120" s="11">
        <f t="shared" si="53"/>
        <v>8.9783950617283942E-4</v>
      </c>
      <c r="K120" s="11">
        <f t="shared" si="54"/>
        <v>9.3865039281705945E-4</v>
      </c>
      <c r="L120" s="11">
        <f t="shared" si="55"/>
        <v>9.833480305702527E-4</v>
      </c>
      <c r="M120" s="25"/>
      <c r="N120" s="28"/>
      <c r="O120" s="25"/>
      <c r="P120" s="28"/>
      <c r="Q120" s="25"/>
      <c r="R120" s="28"/>
      <c r="S120" s="25"/>
      <c r="T120" s="25"/>
      <c r="U120" s="28"/>
      <c r="V120" s="25"/>
      <c r="W120" s="15" t="s">
        <v>141</v>
      </c>
      <c r="X120" s="50"/>
    </row>
    <row r="121" spans="1:24" ht="20.45" customHeight="1">
      <c r="A121" s="10" t="s">
        <v>126</v>
      </c>
      <c r="B121" s="11">
        <v>1.0648148148148148E-2</v>
      </c>
      <c r="C121" s="11"/>
      <c r="D121" s="11">
        <f t="shared" si="48"/>
        <v>6.1950925925925923E-3</v>
      </c>
      <c r="E121" s="12">
        <v>0.58179999999999998</v>
      </c>
      <c r="F121" s="11">
        <f t="shared" si="49"/>
        <v>0</v>
      </c>
      <c r="G121" s="11">
        <f t="shared" si="50"/>
        <v>8.2601234567901232E-4</v>
      </c>
      <c r="H121" s="11">
        <f t="shared" si="51"/>
        <v>8.5185185185185179E-4</v>
      </c>
      <c r="I121" s="11">
        <f t="shared" si="52"/>
        <v>8.8818531793442184E-4</v>
      </c>
      <c r="J121" s="11">
        <f t="shared" si="53"/>
        <v>8.9783950617283942E-4</v>
      </c>
      <c r="K121" s="11">
        <f t="shared" si="54"/>
        <v>9.3865039281705945E-4</v>
      </c>
      <c r="L121" s="11">
        <f t="shared" si="55"/>
        <v>9.833480305702527E-4</v>
      </c>
      <c r="M121" s="25"/>
      <c r="N121" s="28"/>
      <c r="O121" s="25"/>
      <c r="P121" s="28"/>
      <c r="Q121" s="25"/>
      <c r="R121" s="28"/>
      <c r="S121" s="25"/>
      <c r="T121" s="25"/>
      <c r="U121" s="28"/>
      <c r="V121" s="25"/>
      <c r="W121" s="15" t="s">
        <v>141</v>
      </c>
      <c r="X121" s="50"/>
    </row>
    <row r="122" spans="1:24" ht="20.45" customHeight="1">
      <c r="A122" s="10" t="s">
        <v>127</v>
      </c>
      <c r="B122" s="11">
        <v>1.0648148148148148E-2</v>
      </c>
      <c r="C122" s="11">
        <v>2.9513888888888888E-3</v>
      </c>
      <c r="D122" s="11">
        <f>B122*E122</f>
        <v>6.1950925925925923E-3</v>
      </c>
      <c r="E122" s="12">
        <v>0.58179999999999998</v>
      </c>
      <c r="F122" s="11">
        <f>C122/4</f>
        <v>7.378472222222222E-4</v>
      </c>
      <c r="G122" s="11">
        <f>D122/7.5</f>
        <v>8.2601234567901232E-4</v>
      </c>
      <c r="H122" s="11">
        <f>B122/12.5</f>
        <v>8.5185185185185179E-4</v>
      </c>
      <c r="I122" s="11">
        <f>G122/0.93</f>
        <v>8.8818531793442184E-4</v>
      </c>
      <c r="J122" s="11">
        <f>G122/0.92</f>
        <v>8.9783950617283942E-4</v>
      </c>
      <c r="K122" s="11">
        <f>G122/0.88</f>
        <v>9.3865039281705945E-4</v>
      </c>
      <c r="L122" s="11">
        <f>G122/0.84</f>
        <v>9.833480305702527E-4</v>
      </c>
      <c r="M122" s="25"/>
      <c r="N122" s="28"/>
      <c r="O122" s="25"/>
      <c r="P122" s="28"/>
      <c r="Q122" s="25"/>
      <c r="R122" s="28"/>
      <c r="S122" s="25"/>
      <c r="T122" s="25"/>
      <c r="U122" s="28"/>
      <c r="V122" s="25"/>
      <c r="W122" s="15" t="s">
        <v>141</v>
      </c>
      <c r="X122" s="50"/>
    </row>
    <row r="123" spans="1:24" ht="20.45" customHeight="1">
      <c r="A123" s="10" t="s">
        <v>128</v>
      </c>
      <c r="B123" s="11">
        <v>1.0648148148148148E-2</v>
      </c>
      <c r="C123" s="11"/>
      <c r="D123" s="11">
        <f>B123*E123</f>
        <v>6.1950925925925923E-3</v>
      </c>
      <c r="E123" s="12">
        <v>0.58179999999999998</v>
      </c>
      <c r="F123" s="11">
        <f>C123/4</f>
        <v>0</v>
      </c>
      <c r="G123" s="11">
        <f>D123/7.5</f>
        <v>8.2601234567901232E-4</v>
      </c>
      <c r="H123" s="11">
        <f>B123/12.5</f>
        <v>8.5185185185185179E-4</v>
      </c>
      <c r="I123" s="11">
        <f>G123/0.93</f>
        <v>8.8818531793442184E-4</v>
      </c>
      <c r="J123" s="11">
        <f>G123/0.92</f>
        <v>8.9783950617283942E-4</v>
      </c>
      <c r="K123" s="11">
        <f>G123/0.88</f>
        <v>9.3865039281705945E-4</v>
      </c>
      <c r="L123" s="11">
        <f>G123/0.84</f>
        <v>9.833480305702527E-4</v>
      </c>
      <c r="M123" s="25"/>
      <c r="N123" s="28"/>
      <c r="O123" s="25"/>
      <c r="P123" s="28"/>
      <c r="Q123" s="25"/>
      <c r="R123" s="28"/>
      <c r="S123" s="25"/>
      <c r="T123" s="25"/>
      <c r="U123" s="28"/>
      <c r="V123" s="25"/>
      <c r="W123" s="15" t="s">
        <v>141</v>
      </c>
      <c r="X123" s="50"/>
    </row>
    <row r="124" spans="1:24" ht="20.45" customHeight="1">
      <c r="A124" s="10" t="s">
        <v>129</v>
      </c>
      <c r="B124" s="11">
        <v>1.0763888888888891E-2</v>
      </c>
      <c r="C124" s="11">
        <v>3.0092592592592593E-3</v>
      </c>
      <c r="D124" s="11">
        <f>B124*E124</f>
        <v>6.2624305555555567E-3</v>
      </c>
      <c r="E124" s="12">
        <v>0.58179999999999998</v>
      </c>
      <c r="F124" s="11">
        <f>C124/4</f>
        <v>7.5231481481481482E-4</v>
      </c>
      <c r="G124" s="11">
        <f>D124/7.5</f>
        <v>8.3499074074074085E-4</v>
      </c>
      <c r="H124" s="11">
        <f>B124/12.5</f>
        <v>8.6111111111111121E-4</v>
      </c>
      <c r="I124" s="11">
        <f>G124/0.93</f>
        <v>8.9783950617283953E-4</v>
      </c>
      <c r="J124" s="11">
        <f>G124/0.92</f>
        <v>9.0759863123993567E-4</v>
      </c>
      <c r="K124" s="11">
        <f>G124/0.88</f>
        <v>9.4885311447811464E-4</v>
      </c>
      <c r="L124" s="11">
        <f>G124/0.84</f>
        <v>9.9403659611992969E-4</v>
      </c>
      <c r="M124" s="25"/>
      <c r="N124" s="28"/>
      <c r="O124" s="25"/>
      <c r="P124" s="28"/>
      <c r="Q124" s="25"/>
      <c r="R124" s="28"/>
      <c r="S124" s="25"/>
      <c r="T124" s="25"/>
      <c r="U124" s="28"/>
      <c r="V124" s="25"/>
      <c r="W124" s="15" t="s">
        <v>141</v>
      </c>
      <c r="X124" s="50"/>
    </row>
    <row r="125" spans="1:24" ht="20.45" customHeight="1">
      <c r="A125" s="10" t="s">
        <v>130</v>
      </c>
      <c r="B125" s="11">
        <v>1.0763888888888891E-2</v>
      </c>
      <c r="C125" s="11">
        <v>3.1828703703703702E-3</v>
      </c>
      <c r="D125" s="11">
        <f>B125*E125</f>
        <v>6.2624305555555567E-3</v>
      </c>
      <c r="E125" s="12">
        <v>0.58179999999999998</v>
      </c>
      <c r="F125" s="11">
        <f>C125/4</f>
        <v>7.9571759259259255E-4</v>
      </c>
      <c r="G125" s="11">
        <f>D125/7.5</f>
        <v>8.3499074074074085E-4</v>
      </c>
      <c r="H125" s="11">
        <f>B125/12.5</f>
        <v>8.6111111111111121E-4</v>
      </c>
      <c r="I125" s="11">
        <f>G125/0.93</f>
        <v>8.9783950617283953E-4</v>
      </c>
      <c r="J125" s="11">
        <f>G125/0.92</f>
        <v>9.0759863123993567E-4</v>
      </c>
      <c r="K125" s="11">
        <f>G125/0.88</f>
        <v>9.4885311447811464E-4</v>
      </c>
      <c r="L125" s="11">
        <f>G125/0.84</f>
        <v>9.9403659611992969E-4</v>
      </c>
      <c r="M125" s="25"/>
      <c r="N125" s="28"/>
      <c r="O125" s="25"/>
      <c r="P125" s="28"/>
      <c r="Q125" s="25"/>
      <c r="R125" s="28"/>
      <c r="S125" s="25"/>
      <c r="T125" s="25"/>
      <c r="U125" s="28"/>
      <c r="V125" s="25"/>
      <c r="W125" s="15" t="s">
        <v>141</v>
      </c>
      <c r="X125" s="50"/>
    </row>
    <row r="126" spans="1:24" ht="20.45" customHeight="1">
      <c r="A126" s="10" t="s">
        <v>131</v>
      </c>
      <c r="B126" s="11">
        <v>1.0763888888888891E-2</v>
      </c>
      <c r="C126" s="11">
        <v>3.1828703703703702E-3</v>
      </c>
      <c r="D126" s="11">
        <f t="shared" si="48"/>
        <v>6.2624305555555567E-3</v>
      </c>
      <c r="E126" s="12">
        <v>0.58179999999999998</v>
      </c>
      <c r="F126" s="11">
        <f t="shared" si="49"/>
        <v>7.9571759259259255E-4</v>
      </c>
      <c r="G126" s="11">
        <f t="shared" si="50"/>
        <v>8.3499074074074085E-4</v>
      </c>
      <c r="H126" s="11">
        <f t="shared" si="51"/>
        <v>8.6111111111111121E-4</v>
      </c>
      <c r="I126" s="11">
        <f t="shared" si="52"/>
        <v>8.9783950617283953E-4</v>
      </c>
      <c r="J126" s="11">
        <f t="shared" si="53"/>
        <v>9.0759863123993567E-4</v>
      </c>
      <c r="K126" s="11">
        <f t="shared" si="54"/>
        <v>9.4885311447811464E-4</v>
      </c>
      <c r="L126" s="11">
        <f t="shared" si="55"/>
        <v>9.9403659611992969E-4</v>
      </c>
      <c r="M126" s="25"/>
      <c r="N126" s="28"/>
      <c r="O126" s="25"/>
      <c r="P126" s="28"/>
      <c r="Q126" s="25"/>
      <c r="R126" s="28"/>
      <c r="S126" s="25"/>
      <c r="T126" s="25"/>
      <c r="U126" s="28"/>
      <c r="V126" s="25"/>
      <c r="W126" s="15" t="s">
        <v>141</v>
      </c>
      <c r="X126" s="50"/>
    </row>
    <row r="127" spans="1:24" ht="20.45" customHeight="1">
      <c r="A127" s="10" t="s">
        <v>132</v>
      </c>
      <c r="B127" s="11">
        <v>1.0763888888888891E-2</v>
      </c>
      <c r="C127" s="11"/>
      <c r="D127" s="11">
        <f t="shared" si="48"/>
        <v>6.2624305555555567E-3</v>
      </c>
      <c r="E127" s="12">
        <v>0.58179999999999998</v>
      </c>
      <c r="F127" s="11">
        <f t="shared" si="49"/>
        <v>0</v>
      </c>
      <c r="G127" s="11">
        <f t="shared" si="50"/>
        <v>8.3499074074074085E-4</v>
      </c>
      <c r="H127" s="11">
        <f t="shared" si="51"/>
        <v>8.6111111111111121E-4</v>
      </c>
      <c r="I127" s="11">
        <f t="shared" si="52"/>
        <v>8.9783950617283953E-4</v>
      </c>
      <c r="J127" s="11">
        <f t="shared" si="53"/>
        <v>9.0759863123993567E-4</v>
      </c>
      <c r="K127" s="11">
        <f t="shared" si="54"/>
        <v>9.4885311447811464E-4</v>
      </c>
      <c r="L127" s="11">
        <f t="shared" si="55"/>
        <v>9.9403659611992969E-4</v>
      </c>
      <c r="M127" s="25"/>
      <c r="N127" s="28"/>
      <c r="O127" s="25"/>
      <c r="P127" s="28"/>
      <c r="Q127" s="25"/>
      <c r="R127" s="28"/>
      <c r="S127" s="25"/>
      <c r="T127" s="25"/>
      <c r="U127" s="28"/>
      <c r="V127" s="25"/>
      <c r="W127" s="15" t="s">
        <v>141</v>
      </c>
      <c r="X127" s="50"/>
    </row>
    <row r="128" spans="1:24" ht="20.45" customHeight="1">
      <c r="A128" s="10" t="s">
        <v>133</v>
      </c>
      <c r="B128" s="11">
        <v>1.0763888888888891E-2</v>
      </c>
      <c r="C128" s="11">
        <v>3.1250000000000002E-3</v>
      </c>
      <c r="D128" s="11">
        <f t="shared" si="48"/>
        <v>6.2624305555555567E-3</v>
      </c>
      <c r="E128" s="12">
        <v>0.58179999999999998</v>
      </c>
      <c r="F128" s="11">
        <f t="shared" si="49"/>
        <v>7.8125000000000004E-4</v>
      </c>
      <c r="G128" s="11">
        <f t="shared" si="50"/>
        <v>8.3499074074074085E-4</v>
      </c>
      <c r="H128" s="11">
        <f t="shared" si="51"/>
        <v>8.6111111111111121E-4</v>
      </c>
      <c r="I128" s="11">
        <f t="shared" si="52"/>
        <v>8.9783950617283953E-4</v>
      </c>
      <c r="J128" s="11">
        <f t="shared" si="53"/>
        <v>9.0759863123993567E-4</v>
      </c>
      <c r="K128" s="11">
        <f t="shared" si="54"/>
        <v>9.4885311447811464E-4</v>
      </c>
      <c r="L128" s="11">
        <f t="shared" si="55"/>
        <v>9.9403659611992969E-4</v>
      </c>
      <c r="M128" s="25"/>
      <c r="N128" s="28"/>
      <c r="O128" s="25"/>
      <c r="P128" s="28"/>
      <c r="Q128" s="25"/>
      <c r="R128" s="28"/>
      <c r="S128" s="25"/>
      <c r="T128" s="25"/>
      <c r="U128" s="28"/>
      <c r="V128" s="25"/>
      <c r="W128" s="15" t="s">
        <v>141</v>
      </c>
      <c r="X128" s="50"/>
    </row>
    <row r="129" spans="1:24" ht="20.45" customHeight="1">
      <c r="A129" s="10" t="s">
        <v>134</v>
      </c>
      <c r="B129" s="11">
        <v>1.1631944444444445E-2</v>
      </c>
      <c r="C129" s="11"/>
      <c r="D129" s="11">
        <f>B129*E129</f>
        <v>6.7674652777777776E-3</v>
      </c>
      <c r="E129" s="12">
        <v>0.58179999999999998</v>
      </c>
      <c r="F129" s="11">
        <f>C129/4</f>
        <v>0</v>
      </c>
      <c r="G129" s="11">
        <f>D129/7.5</f>
        <v>9.0232870370370369E-4</v>
      </c>
      <c r="H129" s="11">
        <f>B129/12.5</f>
        <v>9.3055555555555556E-4</v>
      </c>
      <c r="I129" s="11">
        <f>G129/0.93</f>
        <v>9.7024591796097167E-4</v>
      </c>
      <c r="J129" s="11">
        <f>G129/0.92</f>
        <v>9.8079206924315621E-4</v>
      </c>
      <c r="K129" s="11">
        <f>G129/0.88</f>
        <v>1.0253735269360269E-3</v>
      </c>
      <c r="L129" s="11">
        <f>G129/0.84</f>
        <v>1.0742008377425045E-3</v>
      </c>
      <c r="M129" s="25"/>
      <c r="N129" s="28"/>
      <c r="O129" s="25"/>
      <c r="P129" s="28"/>
      <c r="Q129" s="25"/>
      <c r="R129" s="28"/>
      <c r="S129" s="25"/>
      <c r="T129" s="25"/>
      <c r="U129" s="28"/>
      <c r="V129" s="25"/>
      <c r="W129" s="15" t="s">
        <v>141</v>
      </c>
      <c r="X129" s="50"/>
    </row>
    <row r="130" spans="1:24" ht="20.45" customHeight="1">
      <c r="A130" s="10" t="s">
        <v>135</v>
      </c>
      <c r="B130" s="11">
        <v>1.1631944444444445E-2</v>
      </c>
      <c r="C130" s="11">
        <v>3.414351851851852E-3</v>
      </c>
      <c r="D130" s="11">
        <f>B130*E130</f>
        <v>6.7674652777777776E-3</v>
      </c>
      <c r="E130" s="12">
        <v>0.58179999999999998</v>
      </c>
      <c r="F130" s="11">
        <f>C130/4</f>
        <v>8.53587962962963E-4</v>
      </c>
      <c r="G130" s="11">
        <f>D130/7.5</f>
        <v>9.0232870370370369E-4</v>
      </c>
      <c r="H130" s="11">
        <f>B130/12.5</f>
        <v>9.3055555555555556E-4</v>
      </c>
      <c r="I130" s="11">
        <f>G130/0.93</f>
        <v>9.7024591796097167E-4</v>
      </c>
      <c r="J130" s="11">
        <f>G130/0.92</f>
        <v>9.8079206924315621E-4</v>
      </c>
      <c r="K130" s="11">
        <f>G130/0.88</f>
        <v>1.0253735269360269E-3</v>
      </c>
      <c r="L130" s="17">
        <f>G130/0.84</f>
        <v>1.0742008377425045E-3</v>
      </c>
      <c r="M130" s="25"/>
      <c r="N130" s="28"/>
      <c r="O130" s="25"/>
      <c r="P130" s="28"/>
      <c r="Q130" s="25"/>
      <c r="R130" s="28"/>
      <c r="S130" s="25"/>
      <c r="T130" s="25"/>
      <c r="U130" s="28"/>
      <c r="V130" s="25"/>
      <c r="W130" s="15" t="s">
        <v>141</v>
      </c>
      <c r="X130" s="50"/>
    </row>
    <row r="131" spans="1:24" ht="20.45" customHeight="1">
      <c r="A131" s="10" t="s">
        <v>136</v>
      </c>
      <c r="B131" s="11">
        <v>1.1111111111111112E-2</v>
      </c>
      <c r="C131" s="11">
        <v>3.1828703703703702E-3</v>
      </c>
      <c r="D131" s="11">
        <f>B131*E131</f>
        <v>6.4644444444444445E-3</v>
      </c>
      <c r="E131" s="12">
        <v>0.58179999999999998</v>
      </c>
      <c r="F131" s="11">
        <f>C131/4</f>
        <v>7.9571759259259255E-4</v>
      </c>
      <c r="G131" s="11">
        <f>D131/7.5</f>
        <v>8.6192592592592592E-4</v>
      </c>
      <c r="H131" s="11">
        <f>B131/12.5</f>
        <v>8.8888888888888893E-4</v>
      </c>
      <c r="I131" s="11">
        <f>G131/0.93</f>
        <v>9.2680207088809239E-4</v>
      </c>
      <c r="J131" s="11">
        <f>G131/0.92</f>
        <v>9.3687600644122375E-4</v>
      </c>
      <c r="K131" s="11">
        <f>G131/0.88</f>
        <v>9.7946127946127947E-4</v>
      </c>
      <c r="L131" s="11">
        <f>G131/0.84</f>
        <v>1.0261022927689596E-3</v>
      </c>
      <c r="M131" s="25"/>
      <c r="N131" s="28"/>
      <c r="O131" s="25"/>
      <c r="P131" s="28"/>
      <c r="Q131" s="25"/>
      <c r="R131" s="28"/>
      <c r="S131" s="25"/>
      <c r="T131" s="25"/>
      <c r="U131" s="28"/>
      <c r="V131" s="25"/>
      <c r="W131" s="15" t="s">
        <v>141</v>
      </c>
      <c r="X131" s="50"/>
    </row>
    <row r="132" spans="1:24" ht="20.45" customHeight="1">
      <c r="A132" s="10" t="s">
        <v>137</v>
      </c>
      <c r="B132" s="11">
        <v>1.0763888888888891E-2</v>
      </c>
      <c r="C132" s="11">
        <v>3.0092592592592593E-3</v>
      </c>
      <c r="D132" s="11">
        <f>B132*E132</f>
        <v>6.2624305555555567E-3</v>
      </c>
      <c r="E132" s="12">
        <v>0.58179999999999998</v>
      </c>
      <c r="F132" s="11">
        <f>C132/4</f>
        <v>7.5231481481481482E-4</v>
      </c>
      <c r="G132" s="11">
        <f>D132/7.5</f>
        <v>8.3499074074074085E-4</v>
      </c>
      <c r="H132" s="11">
        <f>B132/12.5</f>
        <v>8.6111111111111121E-4</v>
      </c>
      <c r="I132" s="11">
        <f>G132/0.93</f>
        <v>8.9783950617283953E-4</v>
      </c>
      <c r="J132" s="11">
        <f>G132/0.92</f>
        <v>9.0759863123993567E-4</v>
      </c>
      <c r="K132" s="11">
        <f>G132/0.88</f>
        <v>9.4885311447811464E-4</v>
      </c>
      <c r="L132" s="11">
        <f>G132/0.84</f>
        <v>9.9403659611992969E-4</v>
      </c>
      <c r="M132" s="25"/>
      <c r="N132" s="28"/>
      <c r="O132" s="25"/>
      <c r="P132" s="28"/>
      <c r="Q132" s="25"/>
      <c r="R132" s="28"/>
      <c r="S132" s="25"/>
      <c r="T132" s="25"/>
      <c r="U132" s="28"/>
      <c r="V132" s="25"/>
      <c r="W132" s="15" t="s">
        <v>141</v>
      </c>
      <c r="X132" s="50"/>
    </row>
    <row r="133" spans="1:24" ht="20.45" customHeight="1">
      <c r="A133" s="10" t="s">
        <v>95</v>
      </c>
      <c r="B133" s="11">
        <v>1.0243055555555556E-2</v>
      </c>
      <c r="C133" s="11">
        <v>2.9513888888888888E-3</v>
      </c>
      <c r="D133" s="11">
        <f>B133*E133</f>
        <v>5.9594097222222218E-3</v>
      </c>
      <c r="E133" s="12">
        <v>0.58179999999999998</v>
      </c>
      <c r="F133" s="11">
        <f>C133/4</f>
        <v>7.378472222222222E-4</v>
      </c>
      <c r="G133" s="11">
        <f>D133/7.5</f>
        <v>7.9458796296296287E-4</v>
      </c>
      <c r="H133" s="11">
        <f>B133/12.5</f>
        <v>8.1944444444444447E-4</v>
      </c>
      <c r="I133" s="11">
        <f>G133/0.93</f>
        <v>8.5439565909996003E-4</v>
      </c>
      <c r="J133" s="11">
        <f>G133/0.92</f>
        <v>8.636825684380031E-4</v>
      </c>
      <c r="K133" s="11">
        <f>G133/0.88</f>
        <v>9.0294086700336686E-4</v>
      </c>
      <c r="L133" s="11">
        <f>G133/0.84</f>
        <v>9.4593805114638445E-4</v>
      </c>
      <c r="M133" s="25"/>
      <c r="N133" s="28"/>
      <c r="O133" s="25"/>
      <c r="P133" s="28"/>
      <c r="Q133" s="25"/>
      <c r="R133" s="28"/>
      <c r="S133" s="25"/>
      <c r="T133" s="25"/>
      <c r="U133" s="28"/>
      <c r="V133" s="25"/>
      <c r="W133" s="15" t="s">
        <v>141</v>
      </c>
      <c r="X133" s="50"/>
    </row>
    <row r="134" spans="1:24" ht="20.45" customHeight="1">
      <c r="A134" s="10"/>
      <c r="B134" s="11"/>
      <c r="C134" s="11"/>
      <c r="D134" s="11"/>
      <c r="E134" s="12"/>
      <c r="F134" s="11"/>
      <c r="G134" s="11"/>
      <c r="H134" s="11"/>
      <c r="I134" s="11"/>
      <c r="J134" s="11"/>
      <c r="K134" s="11"/>
      <c r="L134" s="11"/>
      <c r="M134" s="25"/>
      <c r="N134" s="28"/>
      <c r="O134" s="25"/>
      <c r="P134" s="25"/>
      <c r="Q134" s="25"/>
      <c r="R134" s="25"/>
      <c r="S134" s="25"/>
      <c r="T134" s="25"/>
      <c r="U134" s="28"/>
      <c r="V134" s="25"/>
      <c r="W134" s="15"/>
      <c r="X134" s="50"/>
    </row>
    <row r="135" spans="1:24" ht="20.45" customHeight="1">
      <c r="A135" s="10"/>
      <c r="B135" s="11"/>
      <c r="C135" s="11"/>
      <c r="D135" s="11"/>
      <c r="E135" s="12"/>
      <c r="F135" s="11"/>
      <c r="G135" s="11"/>
      <c r="H135" s="11"/>
      <c r="I135" s="11"/>
      <c r="J135" s="11"/>
      <c r="K135" s="11"/>
      <c r="L135" s="17"/>
      <c r="M135" s="25"/>
      <c r="N135" s="28"/>
      <c r="O135" s="25"/>
      <c r="P135" s="25"/>
      <c r="Q135" s="25"/>
      <c r="R135" s="28"/>
      <c r="S135" s="25"/>
      <c r="T135" s="25"/>
      <c r="U135" s="28"/>
      <c r="V135" s="25"/>
      <c r="W135" s="15"/>
      <c r="X135" s="50"/>
    </row>
    <row r="136" spans="1:24" ht="20.45" customHeight="1">
      <c r="A136" s="10"/>
      <c r="B136" s="11"/>
      <c r="C136" s="11"/>
      <c r="D136" s="11"/>
      <c r="E136" s="12"/>
      <c r="F136" s="11"/>
      <c r="G136" s="11"/>
      <c r="H136" s="11"/>
      <c r="I136" s="11"/>
      <c r="J136" s="11"/>
      <c r="K136" s="11"/>
      <c r="L136" s="11"/>
      <c r="M136" s="25"/>
      <c r="N136" s="28"/>
      <c r="O136" s="25"/>
      <c r="P136" s="25"/>
      <c r="Q136" s="25"/>
      <c r="R136" s="25"/>
      <c r="S136" s="25"/>
      <c r="T136" s="25"/>
      <c r="U136" s="25"/>
      <c r="V136" s="25"/>
      <c r="W136" s="27"/>
      <c r="X136" s="50"/>
    </row>
    <row r="137" spans="1:24" ht="20.45" customHeight="1">
      <c r="A137" s="10"/>
      <c r="B137" s="11"/>
      <c r="C137" s="11"/>
      <c r="D137" s="11"/>
      <c r="E137" s="12"/>
      <c r="F137" s="11"/>
      <c r="G137" s="11"/>
      <c r="H137" s="11"/>
      <c r="I137" s="11"/>
      <c r="J137" s="11"/>
      <c r="K137" s="11"/>
      <c r="L137" s="11"/>
      <c r="M137" s="25"/>
      <c r="N137" s="28"/>
      <c r="O137" s="25"/>
      <c r="P137" s="25"/>
      <c r="Q137" s="28"/>
      <c r="R137" s="28"/>
      <c r="S137" s="25"/>
      <c r="T137" s="25"/>
      <c r="U137" s="28"/>
      <c r="V137" s="25"/>
      <c r="W137" s="15"/>
      <c r="X137" s="50"/>
    </row>
    <row r="138" spans="1:24" ht="20.45" customHeight="1">
      <c r="A138" s="10"/>
      <c r="B138" s="11"/>
      <c r="C138" s="11"/>
      <c r="D138" s="11"/>
      <c r="E138" s="12"/>
      <c r="F138" s="11"/>
      <c r="G138" s="11"/>
      <c r="H138" s="11"/>
      <c r="I138" s="11"/>
      <c r="J138" s="11"/>
      <c r="K138" s="11"/>
      <c r="L138" s="11"/>
      <c r="M138" s="25"/>
      <c r="N138" s="28"/>
      <c r="O138" s="25"/>
      <c r="P138" s="28"/>
      <c r="Q138" s="25"/>
      <c r="R138" s="28"/>
      <c r="S138" s="25"/>
      <c r="T138" s="28"/>
      <c r="U138" s="28"/>
      <c r="V138" s="25"/>
      <c r="W138" s="15"/>
      <c r="X138" s="51"/>
    </row>
    <row r="139" spans="1:24" ht="20.45" customHeight="1">
      <c r="A139" s="10"/>
      <c r="B139" s="11"/>
      <c r="C139" s="11"/>
      <c r="D139" s="11"/>
      <c r="E139" s="12"/>
      <c r="F139" s="11"/>
      <c r="G139" s="11"/>
      <c r="H139" s="11"/>
      <c r="I139" s="11"/>
      <c r="J139" s="11"/>
      <c r="K139" s="11"/>
      <c r="L139" s="11"/>
      <c r="M139" s="25"/>
      <c r="N139" s="28"/>
      <c r="O139" s="25"/>
      <c r="P139" s="25"/>
      <c r="Q139" s="25"/>
      <c r="R139" s="25"/>
      <c r="S139" s="25"/>
      <c r="T139" s="25"/>
      <c r="U139" s="28"/>
      <c r="V139" s="25"/>
      <c r="W139" s="15"/>
      <c r="X139" s="51"/>
    </row>
    <row r="140" spans="1:24" ht="20.45" customHeight="1">
      <c r="A140" s="10"/>
      <c r="B140" s="11"/>
      <c r="C140" s="11"/>
      <c r="D140" s="11"/>
      <c r="E140" s="12"/>
      <c r="F140" s="11"/>
      <c r="G140" s="11"/>
      <c r="H140" s="11"/>
      <c r="I140" s="11"/>
      <c r="J140" s="11"/>
      <c r="K140" s="11"/>
      <c r="L140" s="17"/>
      <c r="M140" s="25"/>
      <c r="N140" s="28"/>
      <c r="O140" s="25"/>
      <c r="P140" s="28"/>
      <c r="Q140" s="25"/>
      <c r="R140" s="28"/>
      <c r="S140" s="25"/>
      <c r="T140" s="25"/>
      <c r="U140" s="28"/>
      <c r="V140" s="28"/>
      <c r="W140" s="27"/>
      <c r="X140" s="51"/>
    </row>
    <row r="141" spans="1:24" ht="20.45" customHeight="1">
      <c r="A141" s="10"/>
      <c r="B141" s="11"/>
      <c r="C141" s="11"/>
      <c r="D141" s="11"/>
      <c r="E141" s="12"/>
      <c r="F141" s="11"/>
      <c r="G141" s="11"/>
      <c r="H141" s="11"/>
      <c r="I141" s="11"/>
      <c r="J141" s="11"/>
      <c r="K141" s="11"/>
      <c r="L141" s="11"/>
      <c r="M141" s="11"/>
      <c r="N141" s="26"/>
      <c r="P141" s="26"/>
      <c r="Q141" s="26"/>
      <c r="R141" s="26"/>
      <c r="S141" s="14"/>
      <c r="T141" s="14"/>
      <c r="U141" s="26"/>
      <c r="V141" s="28"/>
      <c r="W141" s="27"/>
      <c r="X141" s="51"/>
    </row>
    <row r="142" spans="1:24" ht="20.100000000000001" customHeight="1">
      <c r="A142" s="10"/>
      <c r="B142" s="11"/>
      <c r="C142" s="11"/>
      <c r="D142" s="11">
        <f>B142*E142</f>
        <v>0</v>
      </c>
      <c r="E142" s="12"/>
      <c r="F142" s="11">
        <f>C142/4</f>
        <v>0</v>
      </c>
      <c r="G142" s="11">
        <f>D142/7.5</f>
        <v>0</v>
      </c>
      <c r="H142" s="11">
        <f>B142/12.5</f>
        <v>0</v>
      </c>
      <c r="I142" s="11">
        <f>G142/0.93</f>
        <v>0</v>
      </c>
      <c r="J142" s="11">
        <f>G142/0.92</f>
        <v>0</v>
      </c>
      <c r="K142" s="11">
        <f>G142/0.88</f>
        <v>0</v>
      </c>
      <c r="L142" s="17">
        <f>G142/0.84</f>
        <v>0</v>
      </c>
      <c r="M142" s="11"/>
      <c r="N142" s="26"/>
      <c r="P142" s="26"/>
      <c r="Q142" s="26"/>
      <c r="R142" s="26"/>
      <c r="S142" s="14"/>
      <c r="T142" s="14"/>
      <c r="U142" s="26"/>
      <c r="V142" s="38"/>
      <c r="W142" s="31"/>
      <c r="X142" s="51"/>
    </row>
    <row r="143" spans="1:24" ht="20.100000000000001" customHeight="1">
      <c r="A143" s="10"/>
      <c r="B143" s="11"/>
      <c r="C143" s="11"/>
      <c r="D143" s="11">
        <f>B143*E143</f>
        <v>0</v>
      </c>
      <c r="E143" s="12"/>
      <c r="F143" s="11">
        <f>C143/4</f>
        <v>0</v>
      </c>
      <c r="G143" s="11">
        <f>D143/7.5</f>
        <v>0</v>
      </c>
      <c r="H143" s="11">
        <f>B143/12.5</f>
        <v>0</v>
      </c>
      <c r="I143" s="11">
        <f>G143/0.93</f>
        <v>0</v>
      </c>
      <c r="J143" s="11">
        <f>G143/0.92</f>
        <v>0</v>
      </c>
      <c r="K143" s="11">
        <f>G143/0.88</f>
        <v>0</v>
      </c>
      <c r="L143" s="17">
        <f>G143/0.84</f>
        <v>0</v>
      </c>
      <c r="M143" s="11"/>
      <c r="N143" s="26"/>
      <c r="P143" s="26"/>
      <c r="Q143" s="26"/>
      <c r="R143" s="26"/>
      <c r="S143" s="14"/>
      <c r="T143" s="14"/>
      <c r="U143" s="26"/>
      <c r="V143" s="38"/>
      <c r="W143" s="31"/>
      <c r="X143" s="51"/>
    </row>
    <row r="144" spans="1:24" ht="20.100000000000001" customHeight="1">
      <c r="A144" s="10"/>
      <c r="B144" s="11"/>
      <c r="C144" s="11"/>
      <c r="D144" s="11">
        <f>B144*E144</f>
        <v>0</v>
      </c>
      <c r="E144" s="12"/>
      <c r="F144" s="11">
        <f>C144/4</f>
        <v>0</v>
      </c>
      <c r="G144" s="11">
        <f>D144/7.5</f>
        <v>0</v>
      </c>
      <c r="H144" s="11">
        <f>B144/12.5</f>
        <v>0</v>
      </c>
      <c r="I144" s="11">
        <f>G144/0.93</f>
        <v>0</v>
      </c>
      <c r="J144" s="11">
        <f>G144/0.92</f>
        <v>0</v>
      </c>
      <c r="K144" s="11">
        <f>G144/0.88</f>
        <v>0</v>
      </c>
      <c r="L144" s="17">
        <f>G144/0.84</f>
        <v>0</v>
      </c>
      <c r="M144" s="11"/>
      <c r="N144" s="26"/>
      <c r="P144" s="26"/>
      <c r="Q144" s="26"/>
      <c r="R144" s="26"/>
      <c r="S144" s="14"/>
      <c r="T144" s="14"/>
      <c r="U144" s="26"/>
      <c r="V144" s="38"/>
      <c r="W144" s="31"/>
      <c r="X144" s="51"/>
    </row>
  </sheetData>
  <mergeCells count="15">
    <mergeCell ref="X51:X57"/>
    <mergeCell ref="X1:X10"/>
    <mergeCell ref="X11:X20"/>
    <mergeCell ref="X21:X30"/>
    <mergeCell ref="X31:X40"/>
    <mergeCell ref="X41:X50"/>
    <mergeCell ref="X118:X127"/>
    <mergeCell ref="X128:X137"/>
    <mergeCell ref="X138:X144"/>
    <mergeCell ref="X58:X67"/>
    <mergeCell ref="X68:X77"/>
    <mergeCell ref="X78:X87"/>
    <mergeCell ref="X88:X97"/>
    <mergeCell ref="X98:X107"/>
    <mergeCell ref="X108:X117"/>
  </mergeCells>
  <pageMargins left="0.25" right="0.25" top="0.25" bottom="0.25" header="0" footer="0"/>
  <pageSetup scale="95" fitToHeight="0" orientation="landscape"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202BA-1A37-404F-8F80-83632213D404}">
  <sheetPr>
    <pageSetUpPr fitToPage="1"/>
  </sheetPr>
  <dimension ref="A1:Z144"/>
  <sheetViews>
    <sheetView topLeftCell="A69" zoomScale="70" zoomScaleNormal="70" workbookViewId="0">
      <selection activeCell="P113" sqref="P113"/>
    </sheetView>
  </sheetViews>
  <sheetFormatPr defaultColWidth="8.7109375" defaultRowHeight="14.45"/>
  <cols>
    <col min="1" max="1" width="19.5703125" customWidth="1"/>
    <col min="2" max="2" width="8.7109375" style="29" hidden="1" customWidth="1"/>
    <col min="3" max="3" width="10.140625" hidden="1" customWidth="1"/>
    <col min="4" max="4" width="8.7109375" style="29" hidden="1" customWidth="1"/>
    <col min="5" max="5" width="9.28515625" hidden="1" customWidth="1"/>
    <col min="6" max="6" width="8.7109375" hidden="1" customWidth="1"/>
    <col min="7" max="7" width="9.28515625" hidden="1" customWidth="1"/>
    <col min="8" max="9" width="8.7109375" hidden="1" customWidth="1"/>
    <col min="10" max="10" width="10.7109375" hidden="1" customWidth="1"/>
    <col min="11" max="11" width="11.42578125" hidden="1" customWidth="1"/>
    <col min="12" max="12" width="6.140625" hidden="1" customWidth="1"/>
    <col min="13" max="13" width="8.7109375" customWidth="1"/>
    <col min="14" max="19" width="10.140625" customWidth="1"/>
    <col min="20" max="22" width="8.7109375" customWidth="1"/>
    <col min="23" max="23" width="3.42578125" customWidth="1"/>
    <col min="24" max="24" width="20.42578125" customWidth="1"/>
    <col min="25" max="25" width="12.28515625" bestFit="1" customWidth="1"/>
    <col min="26" max="27" width="12.85546875" bestFit="1" customWidth="1"/>
  </cols>
  <sheetData>
    <row r="1" spans="1:26" ht="14.45" customHeight="1">
      <c r="A1" s="1" t="s">
        <v>165</v>
      </c>
      <c r="B1" s="2" t="s">
        <v>1</v>
      </c>
      <c r="C1" s="2" t="s">
        <v>2</v>
      </c>
      <c r="D1" s="2" t="s">
        <v>3</v>
      </c>
      <c r="E1" s="3" t="s">
        <v>4</v>
      </c>
      <c r="F1" s="2" t="s">
        <v>5</v>
      </c>
      <c r="G1" s="2" t="s">
        <v>6</v>
      </c>
      <c r="H1" s="2" t="s">
        <v>7</v>
      </c>
      <c r="I1" s="4" t="s">
        <v>8</v>
      </c>
      <c r="J1" s="2" t="s">
        <v>9</v>
      </c>
      <c r="K1" s="2" t="s">
        <v>10</v>
      </c>
      <c r="L1" s="2" t="s">
        <v>11</v>
      </c>
      <c r="M1" s="6" t="s">
        <v>12</v>
      </c>
      <c r="N1" s="6" t="s">
        <v>155</v>
      </c>
      <c r="O1" s="7" t="s">
        <v>14</v>
      </c>
      <c r="P1" s="8" t="s">
        <v>156</v>
      </c>
      <c r="Q1" s="8" t="s">
        <v>17</v>
      </c>
      <c r="R1" s="7" t="s">
        <v>157</v>
      </c>
      <c r="S1" s="7" t="s">
        <v>158</v>
      </c>
      <c r="T1" s="7" t="s">
        <v>77</v>
      </c>
      <c r="U1" s="7" t="s">
        <v>20</v>
      </c>
      <c r="V1" s="7" t="s">
        <v>21</v>
      </c>
      <c r="W1" s="9" t="s">
        <v>22</v>
      </c>
      <c r="X1" s="52" t="s">
        <v>159</v>
      </c>
    </row>
    <row r="2" spans="1:26" ht="21" customHeight="1">
      <c r="A2" s="10" t="s">
        <v>34</v>
      </c>
      <c r="B2" s="11">
        <v>1.1979166666666667E-2</v>
      </c>
      <c r="C2" s="11">
        <v>3.472222222222222E-3</v>
      </c>
      <c r="D2" s="11">
        <f t="shared" ref="D2:D4" si="0">B2*E2</f>
        <v>6.9694791666666672E-3</v>
      </c>
      <c r="E2" s="12">
        <v>0.58179999999999998</v>
      </c>
      <c r="F2" s="11">
        <f t="shared" ref="F2:F4" si="1">C2/4</f>
        <v>8.6805555555555551E-4</v>
      </c>
      <c r="G2" s="11">
        <f t="shared" ref="G2:G4" si="2">D2/7.5</f>
        <v>9.2926388888888898E-4</v>
      </c>
      <c r="H2" s="11">
        <f t="shared" ref="H2:H4" si="3">B2/12.5</f>
        <v>9.5833333333333339E-4</v>
      </c>
      <c r="I2" s="11">
        <f t="shared" ref="I2:I4" si="4">G2/0.93</f>
        <v>9.9920848267622464E-4</v>
      </c>
      <c r="J2" s="11">
        <f t="shared" ref="J2:J4" si="5">G2/0.92</f>
        <v>1.0100694444444445E-3</v>
      </c>
      <c r="K2" s="11">
        <f t="shared" ref="K2:K4" si="6">G2/0.88</f>
        <v>1.055981691919192E-3</v>
      </c>
      <c r="L2" s="11">
        <f t="shared" ref="L2:L4" si="7">G2/0.84</f>
        <v>1.1062665343915346E-3</v>
      </c>
      <c r="M2" s="25">
        <f>WO2025Jan7108141618222428303234384042444648545658626466687072747668121618202226283234384244[[#This Row],[Thresh]]</f>
        <v>1.055981691919192E-3</v>
      </c>
      <c r="N2" s="28">
        <f>WO2025Jan7108141618222428303234384042444648545658626466687072747668121618202226283234384244[[#This Row],[Thresh]]*2</f>
        <v>2.1119633838383839E-3</v>
      </c>
      <c r="O2" s="25">
        <f>WO2025Jan7108141618222428303234384042444648545658626466687072747668121618202226283234384244[[#This Row],[CV]]</f>
        <v>1.0100694444444445E-3</v>
      </c>
      <c r="P2" s="28">
        <f>WO2025Jan7108141618222428303234384042444648545658626466687072747668121618202226283234384244[[#This Row],[CV]]*2</f>
        <v>2.020138888888889E-3</v>
      </c>
      <c r="Q2" s="25">
        <f>WO2025Jan7108141618222428303234384042444648545658626466687072747668121618202226283234384244[[#This Row],[I]]</f>
        <v>9.5833333333333339E-4</v>
      </c>
      <c r="R2" s="25">
        <f>WO2025Jan7108141618222428303234384042444648545658626466687072747668121618202226283234384244[[#This Row],[I]]*2</f>
        <v>1.9166666666666668E-3</v>
      </c>
      <c r="S2" s="25">
        <f>WO2025Jan7108141618222428303234384042444648545658626466687072747668121618202226283234384244[[#This Row],[VO2]]</f>
        <v>9.2926388888888898E-4</v>
      </c>
      <c r="T2" s="28"/>
      <c r="U2" s="11"/>
      <c r="V2" s="36"/>
      <c r="W2" s="15" t="s">
        <v>26</v>
      </c>
      <c r="X2" s="52"/>
    </row>
    <row r="3" spans="1:26" ht="21" customHeight="1">
      <c r="A3" s="10" t="s">
        <v>24</v>
      </c>
      <c r="B3" s="11">
        <v>1.1979166666666667E-2</v>
      </c>
      <c r="C3" s="11">
        <v>3.5300925925925925E-3</v>
      </c>
      <c r="D3" s="11">
        <f t="shared" si="0"/>
        <v>6.9694791666666672E-3</v>
      </c>
      <c r="E3" s="12">
        <v>0.58179999999999998</v>
      </c>
      <c r="F3" s="11">
        <f t="shared" si="1"/>
        <v>8.8252314814814812E-4</v>
      </c>
      <c r="G3" s="11">
        <f t="shared" si="2"/>
        <v>9.2926388888888898E-4</v>
      </c>
      <c r="H3" s="11">
        <f t="shared" si="3"/>
        <v>9.5833333333333339E-4</v>
      </c>
      <c r="I3" s="11">
        <f t="shared" si="4"/>
        <v>9.9920848267622464E-4</v>
      </c>
      <c r="J3" s="11">
        <f t="shared" si="5"/>
        <v>1.0100694444444445E-3</v>
      </c>
      <c r="K3" s="11">
        <f t="shared" si="6"/>
        <v>1.055981691919192E-3</v>
      </c>
      <c r="L3" s="11">
        <f t="shared" si="7"/>
        <v>1.1062665343915346E-3</v>
      </c>
      <c r="M3" s="25">
        <f>WO2025Jan7108141618222428303234384042444648545658626466687072747668121618202226283234384244[[#This Row],[Thresh]]</f>
        <v>1.055981691919192E-3</v>
      </c>
      <c r="N3" s="28">
        <f>WO2025Jan7108141618222428303234384042444648545658626466687072747668121618202226283234384244[[#This Row],[Thresh]]*2</f>
        <v>2.1119633838383839E-3</v>
      </c>
      <c r="O3" s="25">
        <f>WO2025Jan7108141618222428303234384042444648545658626466687072747668121618202226283234384244[[#This Row],[CV]]</f>
        <v>1.0100694444444445E-3</v>
      </c>
      <c r="P3" s="28">
        <f>WO2025Jan7108141618222428303234384042444648545658626466687072747668121618202226283234384244[[#This Row],[CV]]*2</f>
        <v>2.020138888888889E-3</v>
      </c>
      <c r="Q3" s="25">
        <f>WO2025Jan7108141618222428303234384042444648545658626466687072747668121618202226283234384244[[#This Row],[I]]</f>
        <v>9.5833333333333339E-4</v>
      </c>
      <c r="R3" s="25">
        <f>WO2025Jan7108141618222428303234384042444648545658626466687072747668121618202226283234384244[[#This Row],[I]]*2</f>
        <v>1.9166666666666668E-3</v>
      </c>
      <c r="S3" s="25">
        <f>WO2025Jan7108141618222428303234384042444648545658626466687072747668121618202226283234384244[[#This Row],[VO2]]</f>
        <v>9.2926388888888898E-4</v>
      </c>
      <c r="T3" s="28"/>
      <c r="U3" s="11"/>
      <c r="V3" s="36"/>
      <c r="W3" s="15" t="s">
        <v>26</v>
      </c>
      <c r="X3" s="52"/>
      <c r="Z3" s="16"/>
    </row>
    <row r="4" spans="1:26" ht="21" customHeight="1">
      <c r="A4" s="10" t="s">
        <v>60</v>
      </c>
      <c r="B4" s="11">
        <v>1.2268518518518519E-2</v>
      </c>
      <c r="C4" s="11">
        <v>3.6458333333333334E-3</v>
      </c>
      <c r="D4" s="11">
        <f t="shared" si="0"/>
        <v>7.1378240740740742E-3</v>
      </c>
      <c r="E4" s="12">
        <v>0.58179999999999998</v>
      </c>
      <c r="F4" s="11">
        <f t="shared" si="1"/>
        <v>9.1145833333333335E-4</v>
      </c>
      <c r="G4" s="11">
        <f t="shared" si="2"/>
        <v>9.5170987654320989E-4</v>
      </c>
      <c r="H4" s="11">
        <f t="shared" si="3"/>
        <v>9.8148148148148161E-4</v>
      </c>
      <c r="I4" s="11">
        <f t="shared" si="4"/>
        <v>1.0233439532722685E-3</v>
      </c>
      <c r="J4" s="11">
        <f t="shared" si="5"/>
        <v>1.0344672571121847E-3</v>
      </c>
      <c r="K4" s="11">
        <f t="shared" si="6"/>
        <v>1.0814884960718295E-3</v>
      </c>
      <c r="L4" s="11">
        <f t="shared" si="7"/>
        <v>1.1329879482657262E-3</v>
      </c>
      <c r="M4" s="25">
        <f>WO2025Jan7108141618222428303234384042444648545658626466687072747668121618202226283234384244[[#This Row],[Thresh]]</f>
        <v>1.0814884960718295E-3</v>
      </c>
      <c r="N4" s="28">
        <f>WO2025Jan7108141618222428303234384042444648545658626466687072747668121618202226283234384244[[#This Row],[Thresh]]*2</f>
        <v>2.1629769921436589E-3</v>
      </c>
      <c r="O4" s="25">
        <f>WO2025Jan7108141618222428303234384042444648545658626466687072747668121618202226283234384244[[#This Row],[CV]]</f>
        <v>1.0344672571121847E-3</v>
      </c>
      <c r="P4" s="28">
        <f>WO2025Jan7108141618222428303234384042444648545658626466687072747668121618202226283234384244[[#This Row],[CV]]*2</f>
        <v>2.0689345142243694E-3</v>
      </c>
      <c r="Q4" s="25">
        <f>WO2025Jan7108141618222428303234384042444648545658626466687072747668121618202226283234384244[[#This Row],[I]]</f>
        <v>9.8148148148148161E-4</v>
      </c>
      <c r="R4" s="25">
        <f>WO2025Jan7108141618222428303234384042444648545658626466687072747668121618202226283234384244[[#This Row],[I]]*2</f>
        <v>1.9629629629629632E-3</v>
      </c>
      <c r="S4" s="25">
        <f>WO2025Jan7108141618222428303234384042444648545658626466687072747668121618202226283234384244[[#This Row],[VO2]]</f>
        <v>9.5170987654320989E-4</v>
      </c>
      <c r="T4" s="28"/>
      <c r="U4" s="11"/>
      <c r="V4" s="36"/>
      <c r="W4" s="15" t="s">
        <v>26</v>
      </c>
      <c r="X4" s="52"/>
    </row>
    <row r="5" spans="1:26" ht="21" customHeight="1">
      <c r="A5" s="10" t="s">
        <v>27</v>
      </c>
      <c r="B5" s="11">
        <v>1.2268518518518519E-2</v>
      </c>
      <c r="C5" s="11">
        <v>3.6458333333333334E-3</v>
      </c>
      <c r="D5" s="11">
        <f>B5*E5</f>
        <v>7.1378240740740742E-3</v>
      </c>
      <c r="E5" s="12">
        <v>0.58179999999999998</v>
      </c>
      <c r="F5" s="11">
        <f>C5/4</f>
        <v>9.1145833333333335E-4</v>
      </c>
      <c r="G5" s="11">
        <f>D5/7.5</f>
        <v>9.5170987654320989E-4</v>
      </c>
      <c r="H5" s="11">
        <f>B5/12.5</f>
        <v>9.8148148148148161E-4</v>
      </c>
      <c r="I5" s="11">
        <f>G5/0.93</f>
        <v>1.0233439532722685E-3</v>
      </c>
      <c r="J5" s="11">
        <f>G5/0.92</f>
        <v>1.0344672571121847E-3</v>
      </c>
      <c r="K5" s="11">
        <f>G5/0.88</f>
        <v>1.0814884960718295E-3</v>
      </c>
      <c r="L5" s="11">
        <f>G5/0.84</f>
        <v>1.1329879482657262E-3</v>
      </c>
      <c r="M5" s="25">
        <f>WO2025Jan7108141618222428303234384042444648545658626466687072747668121618202226283234384244[[#This Row],[Thresh]]</f>
        <v>1.0814884960718295E-3</v>
      </c>
      <c r="N5" s="28">
        <f>WO2025Jan7108141618222428303234384042444648545658626466687072747668121618202226283234384244[[#This Row],[Thresh]]*2</f>
        <v>2.1629769921436589E-3</v>
      </c>
      <c r="O5" s="25">
        <f>WO2025Jan7108141618222428303234384042444648545658626466687072747668121618202226283234384244[[#This Row],[CV]]</f>
        <v>1.0344672571121847E-3</v>
      </c>
      <c r="P5" s="28">
        <f>WO2025Jan7108141618222428303234384042444648545658626466687072747668121618202226283234384244[[#This Row],[CV]]*2</f>
        <v>2.0689345142243694E-3</v>
      </c>
      <c r="Q5" s="25">
        <f>WO2025Jan7108141618222428303234384042444648545658626466687072747668121618202226283234384244[[#This Row],[I]]</f>
        <v>9.8148148148148161E-4</v>
      </c>
      <c r="R5" s="25">
        <f>WO2025Jan7108141618222428303234384042444648545658626466687072747668121618202226283234384244[[#This Row],[I]]*2</f>
        <v>1.9629629629629632E-3</v>
      </c>
      <c r="S5" s="25">
        <f>WO2025Jan7108141618222428303234384042444648545658626466687072747668121618202226283234384244[[#This Row],[VO2]]</f>
        <v>9.5170987654320989E-4</v>
      </c>
      <c r="T5" s="28"/>
      <c r="U5" s="11"/>
      <c r="V5" s="36"/>
      <c r="W5" s="15" t="s">
        <v>26</v>
      </c>
      <c r="X5" s="52"/>
    </row>
    <row r="6" spans="1:26" ht="21" customHeight="1">
      <c r="A6" s="10" t="s">
        <v>28</v>
      </c>
      <c r="B6" s="11">
        <v>1.238425925925926E-2</v>
      </c>
      <c r="C6" s="11">
        <v>3.7037037037037038E-3</v>
      </c>
      <c r="D6" s="11">
        <f>B6*E6</f>
        <v>7.2051620370370368E-3</v>
      </c>
      <c r="E6" s="12">
        <v>0.58179999999999998</v>
      </c>
      <c r="F6" s="11">
        <f>C6/4</f>
        <v>9.2592592592592596E-4</v>
      </c>
      <c r="G6" s="11">
        <f>D6/7.5</f>
        <v>9.6068827160493821E-4</v>
      </c>
      <c r="H6" s="11">
        <f>B6/12.5</f>
        <v>9.9074074074074082E-4</v>
      </c>
      <c r="I6" s="11">
        <f>G6/0.93</f>
        <v>1.0329981415106862E-3</v>
      </c>
      <c r="J6" s="11">
        <f>G6/0.92</f>
        <v>1.0442263821792807E-3</v>
      </c>
      <c r="K6" s="11">
        <f>G6/0.88</f>
        <v>1.0916912177328843E-3</v>
      </c>
      <c r="L6" s="11">
        <f>G6/0.84</f>
        <v>1.1436765138154027E-3</v>
      </c>
      <c r="M6" s="25">
        <f>WO2025Jan7108141618222428303234384042444648545658626466687072747668121618202226283234384244[[#This Row],[Thresh]]</f>
        <v>1.0916912177328843E-3</v>
      </c>
      <c r="N6" s="28">
        <f>WO2025Jan7108141618222428303234384042444648545658626466687072747668121618202226283234384244[[#This Row],[Thresh]]*2</f>
        <v>2.1833824354657687E-3</v>
      </c>
      <c r="O6" s="25">
        <f>WO2025Jan7108141618222428303234384042444648545658626466687072747668121618202226283234384244[[#This Row],[CV]]</f>
        <v>1.0442263821792807E-3</v>
      </c>
      <c r="P6" s="28">
        <f>WO2025Jan7108141618222428303234384042444648545658626466687072747668121618202226283234384244[[#This Row],[CV]]*2</f>
        <v>2.0884527643585614E-3</v>
      </c>
      <c r="Q6" s="25">
        <f>WO2025Jan7108141618222428303234384042444648545658626466687072747668121618202226283234384244[[#This Row],[I]]</f>
        <v>9.9074074074074082E-4</v>
      </c>
      <c r="R6" s="25">
        <f>WO2025Jan7108141618222428303234384042444648545658626466687072747668121618202226283234384244[[#This Row],[I]]*2</f>
        <v>1.9814814814814816E-3</v>
      </c>
      <c r="S6" s="25">
        <f>WO2025Jan7108141618222428303234384042444648545658626466687072747668121618202226283234384244[[#This Row],[VO2]]</f>
        <v>9.6068827160493821E-4</v>
      </c>
      <c r="T6" s="28"/>
      <c r="U6" s="11"/>
      <c r="V6" s="36"/>
      <c r="W6" s="15" t="s">
        <v>26</v>
      </c>
      <c r="X6" s="52"/>
    </row>
    <row r="7" spans="1:26" ht="21" customHeight="1">
      <c r="A7" s="10" t="s">
        <v>55</v>
      </c>
      <c r="B7" s="11">
        <v>1.238425925925926E-2</v>
      </c>
      <c r="C7" s="11">
        <v>3.5879629629629629E-3</v>
      </c>
      <c r="D7" s="11">
        <f>B7*E7</f>
        <v>7.2051620370370368E-3</v>
      </c>
      <c r="E7" s="12">
        <v>0.58179999999999998</v>
      </c>
      <c r="F7" s="11">
        <f>C7/4</f>
        <v>8.9699074074074073E-4</v>
      </c>
      <c r="G7" s="11">
        <f>D7/7.5</f>
        <v>9.6068827160493821E-4</v>
      </c>
      <c r="H7" s="11">
        <f>B7/12.5</f>
        <v>9.9074074074074082E-4</v>
      </c>
      <c r="I7" s="11">
        <f>G7/0.93</f>
        <v>1.0329981415106862E-3</v>
      </c>
      <c r="J7" s="11">
        <f>G7/0.92</f>
        <v>1.0442263821792807E-3</v>
      </c>
      <c r="K7" s="11">
        <f>G7/0.88</f>
        <v>1.0916912177328843E-3</v>
      </c>
      <c r="L7" s="11">
        <f>G7/0.84</f>
        <v>1.1436765138154027E-3</v>
      </c>
      <c r="M7" s="25">
        <f>WO2025Jan7108141618222428303234384042444648545658626466687072747668121618202226283234384244[[#This Row],[Thresh]]</f>
        <v>1.0916912177328843E-3</v>
      </c>
      <c r="N7" s="28">
        <f>WO2025Jan7108141618222428303234384042444648545658626466687072747668121618202226283234384244[[#This Row],[Thresh]]*2</f>
        <v>2.1833824354657687E-3</v>
      </c>
      <c r="O7" s="25">
        <f>WO2025Jan7108141618222428303234384042444648545658626466687072747668121618202226283234384244[[#This Row],[CV]]</f>
        <v>1.0442263821792807E-3</v>
      </c>
      <c r="P7" s="28">
        <f>WO2025Jan7108141618222428303234384042444648545658626466687072747668121618202226283234384244[[#This Row],[CV]]*2</f>
        <v>2.0884527643585614E-3</v>
      </c>
      <c r="Q7" s="25">
        <f>WO2025Jan7108141618222428303234384042444648545658626466687072747668121618202226283234384244[[#This Row],[I]]</f>
        <v>9.9074074074074082E-4</v>
      </c>
      <c r="R7" s="25">
        <f>WO2025Jan7108141618222428303234384042444648545658626466687072747668121618202226283234384244[[#This Row],[I]]*2</f>
        <v>1.9814814814814816E-3</v>
      </c>
      <c r="S7" s="25">
        <f>WO2025Jan7108141618222428303234384042444648545658626466687072747668121618202226283234384244[[#This Row],[VO2]]</f>
        <v>9.6068827160493821E-4</v>
      </c>
      <c r="T7" s="28"/>
      <c r="U7" s="11"/>
      <c r="V7" s="36"/>
      <c r="W7" s="18" t="s">
        <v>26</v>
      </c>
      <c r="X7" s="52"/>
    </row>
    <row r="8" spans="1:26" ht="21" customHeight="1">
      <c r="A8" s="10" t="s">
        <v>29</v>
      </c>
      <c r="B8" s="11">
        <v>1.238425925925926E-2</v>
      </c>
      <c r="C8" s="11">
        <v>3.8194444444444443E-3</v>
      </c>
      <c r="D8" s="11">
        <f>B8*E8</f>
        <v>7.2051620370370368E-3</v>
      </c>
      <c r="E8" s="12">
        <v>0.58179999999999998</v>
      </c>
      <c r="F8" s="11">
        <f>C8/4</f>
        <v>9.5486111111111108E-4</v>
      </c>
      <c r="G8" s="11">
        <f>D8/7.5</f>
        <v>9.6068827160493821E-4</v>
      </c>
      <c r="H8" s="11">
        <f>B8/12.5</f>
        <v>9.9074074074074082E-4</v>
      </c>
      <c r="I8" s="11">
        <f>G8/0.93</f>
        <v>1.0329981415106862E-3</v>
      </c>
      <c r="J8" s="11">
        <f>G8/0.92</f>
        <v>1.0442263821792807E-3</v>
      </c>
      <c r="K8" s="11">
        <f>G8/0.88</f>
        <v>1.0916912177328843E-3</v>
      </c>
      <c r="L8" s="11">
        <f>G8/0.84</f>
        <v>1.1436765138154027E-3</v>
      </c>
      <c r="M8" s="25">
        <f>WO2025Jan7108141618222428303234384042444648545658626466687072747668121618202226283234384244[[#This Row],[Thresh]]</f>
        <v>1.0916912177328843E-3</v>
      </c>
      <c r="N8" s="28">
        <f>WO2025Jan7108141618222428303234384042444648545658626466687072747668121618202226283234384244[[#This Row],[Thresh]]*2</f>
        <v>2.1833824354657687E-3</v>
      </c>
      <c r="O8" s="25">
        <f>WO2025Jan7108141618222428303234384042444648545658626466687072747668121618202226283234384244[[#This Row],[CV]]</f>
        <v>1.0442263821792807E-3</v>
      </c>
      <c r="P8" s="28">
        <f>WO2025Jan7108141618222428303234384042444648545658626466687072747668121618202226283234384244[[#This Row],[CV]]*2</f>
        <v>2.0884527643585614E-3</v>
      </c>
      <c r="Q8" s="25">
        <f>WO2025Jan7108141618222428303234384042444648545658626466687072747668121618202226283234384244[[#This Row],[I]]</f>
        <v>9.9074074074074082E-4</v>
      </c>
      <c r="R8" s="25">
        <f>WO2025Jan7108141618222428303234384042444648545658626466687072747668121618202226283234384244[[#This Row],[I]]*2</f>
        <v>1.9814814814814816E-3</v>
      </c>
      <c r="S8" s="25">
        <f>WO2025Jan7108141618222428303234384042444648545658626466687072747668121618202226283234384244[[#This Row],[VO2]]</f>
        <v>9.6068827160493821E-4</v>
      </c>
      <c r="T8" s="28"/>
      <c r="U8" s="11"/>
      <c r="V8" s="36"/>
      <c r="W8" s="18" t="s">
        <v>26</v>
      </c>
      <c r="X8" s="52"/>
    </row>
    <row r="9" spans="1:26" ht="21" customHeight="1">
      <c r="A9" s="10" t="s">
        <v>30</v>
      </c>
      <c r="B9" s="11">
        <v>1.238425925925926E-2</v>
      </c>
      <c r="C9" s="11">
        <v>3.6458333333333334E-3</v>
      </c>
      <c r="D9" s="11">
        <f>B9*E9</f>
        <v>7.2051620370370368E-3</v>
      </c>
      <c r="E9" s="12">
        <v>0.58179999999999998</v>
      </c>
      <c r="F9" s="11">
        <f>C9/4</f>
        <v>9.1145833333333335E-4</v>
      </c>
      <c r="G9" s="11">
        <f>D9/7.5</f>
        <v>9.6068827160493821E-4</v>
      </c>
      <c r="H9" s="11">
        <f>B9/12.5</f>
        <v>9.9074074074074082E-4</v>
      </c>
      <c r="I9" s="11">
        <f>G9/0.93</f>
        <v>1.0329981415106862E-3</v>
      </c>
      <c r="J9" s="11">
        <f>G9/0.92</f>
        <v>1.0442263821792807E-3</v>
      </c>
      <c r="K9" s="11">
        <f>G9/0.88</f>
        <v>1.0916912177328843E-3</v>
      </c>
      <c r="L9" s="11">
        <f>G9/0.84</f>
        <v>1.1436765138154027E-3</v>
      </c>
      <c r="M9" s="25">
        <f>WO2025Jan7108141618222428303234384042444648545658626466687072747668121618202226283234384244[[#This Row],[Thresh]]</f>
        <v>1.0916912177328843E-3</v>
      </c>
      <c r="N9" s="28">
        <f>WO2025Jan7108141618222428303234384042444648545658626466687072747668121618202226283234384244[[#This Row],[Thresh]]*2</f>
        <v>2.1833824354657687E-3</v>
      </c>
      <c r="O9" s="25">
        <f>WO2025Jan7108141618222428303234384042444648545658626466687072747668121618202226283234384244[[#This Row],[CV]]</f>
        <v>1.0442263821792807E-3</v>
      </c>
      <c r="P9" s="28">
        <f>WO2025Jan7108141618222428303234384042444648545658626466687072747668121618202226283234384244[[#This Row],[CV]]*2</f>
        <v>2.0884527643585614E-3</v>
      </c>
      <c r="Q9" s="25">
        <f>WO2025Jan7108141618222428303234384042444648545658626466687072747668121618202226283234384244[[#This Row],[I]]</f>
        <v>9.9074074074074082E-4</v>
      </c>
      <c r="R9" s="25">
        <f>WO2025Jan7108141618222428303234384042444648545658626466687072747668121618202226283234384244[[#This Row],[I]]*2</f>
        <v>1.9814814814814816E-3</v>
      </c>
      <c r="S9" s="25">
        <f>WO2025Jan7108141618222428303234384042444648545658626466687072747668121618202226283234384244[[#This Row],[VO2]]</f>
        <v>9.6068827160493821E-4</v>
      </c>
      <c r="T9" s="28"/>
      <c r="U9" s="11"/>
      <c r="V9" s="36"/>
      <c r="W9" s="15" t="s">
        <v>26</v>
      </c>
      <c r="X9" s="52"/>
    </row>
    <row r="10" spans="1:26" ht="21" customHeight="1">
      <c r="A10" s="39"/>
      <c r="B10" s="40"/>
      <c r="C10" s="40"/>
      <c r="D10" s="40"/>
      <c r="E10" s="41"/>
      <c r="F10" s="40"/>
      <c r="G10" s="40"/>
      <c r="H10" s="40"/>
      <c r="I10" s="40"/>
      <c r="J10" s="40"/>
      <c r="K10" s="40"/>
      <c r="L10" s="40"/>
      <c r="M10" s="40" t="s">
        <v>39</v>
      </c>
      <c r="N10" s="40"/>
      <c r="O10" s="40"/>
      <c r="P10" s="40"/>
      <c r="Q10" s="40"/>
      <c r="R10" s="40"/>
      <c r="S10" s="40"/>
      <c r="T10" s="40"/>
      <c r="U10" s="40"/>
      <c r="V10" s="40"/>
      <c r="W10" s="42"/>
      <c r="X10" s="52"/>
    </row>
    <row r="11" spans="1:26" ht="21" customHeight="1">
      <c r="A11" s="19"/>
      <c r="B11" s="6"/>
      <c r="C11" s="6"/>
      <c r="D11" s="6"/>
      <c r="E11" s="20"/>
      <c r="F11" s="6"/>
      <c r="G11" s="6"/>
      <c r="H11" s="6"/>
      <c r="I11" s="6"/>
      <c r="J11" s="6"/>
      <c r="K11" s="6"/>
      <c r="L11" s="6"/>
      <c r="M11" s="6" t="s">
        <v>12</v>
      </c>
      <c r="N11" s="6" t="s">
        <v>13</v>
      </c>
      <c r="O11" s="6" t="s">
        <v>155</v>
      </c>
      <c r="P11" s="6" t="s">
        <v>166</v>
      </c>
      <c r="Q11" s="6" t="s">
        <v>167</v>
      </c>
      <c r="R11" s="6"/>
      <c r="S11" s="6"/>
      <c r="T11" s="6"/>
      <c r="U11" s="6"/>
      <c r="V11" s="6"/>
      <c r="W11" s="35"/>
      <c r="X11" s="52" t="s">
        <v>168</v>
      </c>
    </row>
    <row r="12" spans="1:26" ht="21" customHeight="1">
      <c r="A12" s="10" t="s">
        <v>47</v>
      </c>
      <c r="B12" s="11">
        <v>1.3020833333333334E-2</v>
      </c>
      <c r="C12" s="11">
        <v>3.7037037037037038E-3</v>
      </c>
      <c r="D12" s="11">
        <f>B12*E12</f>
        <v>7.5755208333333334E-3</v>
      </c>
      <c r="E12" s="12">
        <v>0.58179999999999998</v>
      </c>
      <c r="F12" s="11">
        <f>C12/4</f>
        <v>9.2592592592592596E-4</v>
      </c>
      <c r="G12" s="11">
        <f>D12/7.5</f>
        <v>1.0100694444444445E-3</v>
      </c>
      <c r="H12" s="11">
        <f>B12/12.5</f>
        <v>1.0416666666666667E-3</v>
      </c>
      <c r="I12" s="11">
        <f>G12/0.93</f>
        <v>1.0860961768219832E-3</v>
      </c>
      <c r="J12" s="11">
        <f>G12/0.92</f>
        <v>1.0979015700483092E-3</v>
      </c>
      <c r="K12" s="11">
        <f>G12/0.88</f>
        <v>1.1478061868686869E-3</v>
      </c>
      <c r="L12" s="11">
        <f>G12/0.84</f>
        <v>1.2024636243386244E-3</v>
      </c>
      <c r="M12" s="25">
        <f>WO2025Jan7108141618222428303234384042444648545658626466687072747668121618202226283234384244[[#This Row],[Thresh]]</f>
        <v>1.1478061868686869E-3</v>
      </c>
      <c r="N12" s="28">
        <f>WO2025Jan7108141618222428303234384042444648545658626466687072747668121618202226283234384244[[#This Row],[Thresh]]*2.5</f>
        <v>2.8695154671717171E-3</v>
      </c>
      <c r="O12" s="25">
        <f>WO2025Jan7108141618222428303234384042444648545658626466687072747668121618202226283234384244[[#This Row],[Thresh]]*2</f>
        <v>2.2956123737373738E-3</v>
      </c>
      <c r="P12" s="28">
        <f>(WO2025Jan7108141618222428303234384042444648545658626466687072747668121618202226283234384244[[#This Row],[R]]-0.0000115740740740741)/2</f>
        <v>4.5717592592592592E-4</v>
      </c>
      <c r="Q12" s="25">
        <f>WO2025Jan7108141618222428303234384042444648545658626466687072747668121618202226283234384244[[#This Row],[800 CV]]*1.5</f>
        <v>6.8576388888888886E-4</v>
      </c>
      <c r="R12" s="25"/>
      <c r="S12" s="25"/>
      <c r="T12" s="28"/>
      <c r="U12" s="11"/>
      <c r="V12" s="36"/>
      <c r="W12" s="15" t="s">
        <v>48</v>
      </c>
      <c r="X12" s="52"/>
    </row>
    <row r="13" spans="1:26" ht="21" customHeight="1">
      <c r="A13" s="10"/>
      <c r="B13" s="11"/>
      <c r="C13" s="11"/>
      <c r="D13" s="11"/>
      <c r="E13" s="12"/>
      <c r="F13" s="11"/>
      <c r="G13" s="11"/>
      <c r="H13" s="11"/>
      <c r="I13" s="11"/>
      <c r="J13" s="11"/>
      <c r="K13" s="11"/>
      <c r="L13" s="11"/>
      <c r="M13" s="13"/>
      <c r="N13" s="11"/>
      <c r="O13" s="11"/>
      <c r="P13" s="11"/>
      <c r="Q13" s="14"/>
      <c r="R13" s="11"/>
      <c r="S13" s="14"/>
      <c r="T13" s="14"/>
      <c r="U13" s="14"/>
      <c r="V13" s="17"/>
      <c r="W13" s="18"/>
      <c r="X13" s="52"/>
    </row>
    <row r="14" spans="1:26" ht="21" customHeight="1">
      <c r="A14" s="19"/>
      <c r="B14" s="6"/>
      <c r="C14" s="6"/>
      <c r="D14" s="6"/>
      <c r="E14" s="20"/>
      <c r="F14" s="6"/>
      <c r="G14" s="6"/>
      <c r="H14" s="6"/>
      <c r="I14" s="6"/>
      <c r="J14" s="6"/>
      <c r="K14" s="6"/>
      <c r="L14" s="6"/>
      <c r="M14" s="6"/>
      <c r="N14" s="6"/>
      <c r="O14" s="6"/>
      <c r="P14" s="6"/>
      <c r="Q14" s="6"/>
      <c r="R14" s="6"/>
      <c r="S14" s="6"/>
      <c r="T14" s="6"/>
      <c r="U14" s="6"/>
      <c r="V14" s="6"/>
      <c r="W14" s="35"/>
      <c r="X14" s="52"/>
    </row>
    <row r="15" spans="1:26" ht="21" customHeight="1">
      <c r="A15" s="10" t="s">
        <v>51</v>
      </c>
      <c r="B15" s="11">
        <v>1.2615740740740742E-2</v>
      </c>
      <c r="C15" s="11">
        <v>3.5879629629629629E-3</v>
      </c>
      <c r="D15" s="11">
        <f>B15*E15</f>
        <v>7.3398379629629629E-3</v>
      </c>
      <c r="E15" s="12">
        <v>0.58179999999999998</v>
      </c>
      <c r="F15" s="11">
        <f>C15/4</f>
        <v>8.9699074074074073E-4</v>
      </c>
      <c r="G15" s="11">
        <f>D15/7.5</f>
        <v>9.7864506172839496E-4</v>
      </c>
      <c r="H15" s="11">
        <f>B15/12.5</f>
        <v>1.0092592592592592E-3</v>
      </c>
      <c r="I15" s="11">
        <f>G15/0.93</f>
        <v>1.0523065179875214E-3</v>
      </c>
      <c r="J15" s="11">
        <f>G15/0.92</f>
        <v>1.0637446323134728E-3</v>
      </c>
      <c r="K15" s="11">
        <f>G15/0.88</f>
        <v>1.1120966610549943E-3</v>
      </c>
      <c r="L15" s="11">
        <f>G15/0.84</f>
        <v>1.165053644914756E-3</v>
      </c>
      <c r="M15" s="25"/>
      <c r="N15" s="28"/>
      <c r="O15" s="25"/>
      <c r="P15" s="28"/>
      <c r="Q15" s="25"/>
      <c r="R15" s="25"/>
      <c r="S15" s="25"/>
      <c r="T15" s="28"/>
      <c r="U15" s="11"/>
      <c r="V15" s="36"/>
      <c r="W15" s="15" t="s">
        <v>52</v>
      </c>
      <c r="X15" s="52"/>
    </row>
    <row r="16" spans="1:26" ht="21" customHeight="1">
      <c r="A16" s="10" t="s">
        <v>57</v>
      </c>
      <c r="B16" s="11"/>
      <c r="C16" s="11"/>
      <c r="D16" s="11"/>
      <c r="E16" s="12"/>
      <c r="F16" s="11"/>
      <c r="G16" s="11"/>
      <c r="H16" s="11"/>
      <c r="I16" s="11"/>
      <c r="J16" s="11"/>
      <c r="K16" s="11"/>
      <c r="L16" s="11"/>
      <c r="M16" s="25"/>
      <c r="N16" s="28"/>
      <c r="O16" s="25"/>
      <c r="P16" s="28"/>
      <c r="Q16" s="25"/>
      <c r="R16" s="28"/>
      <c r="S16" s="28"/>
      <c r="T16" s="11"/>
      <c r="U16" s="11"/>
      <c r="V16" s="11"/>
      <c r="W16" s="15" t="s">
        <v>52</v>
      </c>
      <c r="X16" s="52"/>
    </row>
    <row r="17" spans="1:24" ht="21" customHeight="1">
      <c r="A17" s="10" t="s">
        <v>53</v>
      </c>
      <c r="B17" s="11">
        <v>1.2731481481481481E-2</v>
      </c>
      <c r="C17" s="11">
        <v>3.7615740740740739E-3</v>
      </c>
      <c r="D17" s="11">
        <f>B17*E17</f>
        <v>7.4071759259259256E-3</v>
      </c>
      <c r="E17" s="12">
        <v>0.58179999999999998</v>
      </c>
      <c r="F17" s="11">
        <f>C17/4</f>
        <v>9.4039351851851847E-4</v>
      </c>
      <c r="G17" s="11">
        <f>D17/7.5</f>
        <v>9.8762345679012349E-4</v>
      </c>
      <c r="H17" s="11">
        <f>B17/12.5</f>
        <v>1.0185185185185184E-3</v>
      </c>
      <c r="I17" s="11">
        <f>G17/0.93</f>
        <v>1.0619607062259391E-3</v>
      </c>
      <c r="J17" s="11">
        <f>G17/0.92</f>
        <v>1.073503757380569E-3</v>
      </c>
      <c r="K17" s="11">
        <f>G17/0.88</f>
        <v>1.1222993827160494E-3</v>
      </c>
      <c r="L17" s="11">
        <f>G17/0.84</f>
        <v>1.1757422104644328E-3</v>
      </c>
      <c r="M17" s="25"/>
      <c r="N17" s="28"/>
      <c r="O17" s="25"/>
      <c r="P17" s="28"/>
      <c r="Q17" s="25"/>
      <c r="R17" s="25"/>
      <c r="S17" s="25"/>
      <c r="T17" s="28"/>
      <c r="U17" s="25"/>
      <c r="V17" s="25"/>
      <c r="W17" s="18" t="s">
        <v>52</v>
      </c>
      <c r="X17" s="52"/>
    </row>
    <row r="18" spans="1:24" ht="21" customHeight="1">
      <c r="A18" s="10" t="s">
        <v>58</v>
      </c>
      <c r="B18" s="11">
        <v>1.3020833333333334E-2</v>
      </c>
      <c r="C18" s="11">
        <v>4.1087962962962962E-3</v>
      </c>
      <c r="D18" s="11">
        <f>B18*E18</f>
        <v>7.5755208333333334E-3</v>
      </c>
      <c r="E18" s="12">
        <v>0.58179999999999998</v>
      </c>
      <c r="F18" s="11">
        <f>C18/4</f>
        <v>1.027199074074074E-3</v>
      </c>
      <c r="G18" s="11">
        <f>D18/7.5</f>
        <v>1.0100694444444445E-3</v>
      </c>
      <c r="H18" s="11">
        <f>B18/12.5</f>
        <v>1.0416666666666667E-3</v>
      </c>
      <c r="I18" s="11">
        <f>G18/0.93</f>
        <v>1.0860961768219832E-3</v>
      </c>
      <c r="J18" s="11">
        <f>G18/0.92</f>
        <v>1.0979015700483092E-3</v>
      </c>
      <c r="K18" s="11">
        <f>G18/0.88</f>
        <v>1.1478061868686869E-3</v>
      </c>
      <c r="L18" s="11">
        <f>G18/0.84</f>
        <v>1.2024636243386244E-3</v>
      </c>
      <c r="M18" s="25"/>
      <c r="N18" s="28"/>
      <c r="O18" s="25"/>
      <c r="P18" s="28"/>
      <c r="Q18" s="25"/>
      <c r="R18" s="25"/>
      <c r="S18" s="25"/>
      <c r="T18" s="28"/>
      <c r="U18" s="11"/>
      <c r="V18" s="36"/>
      <c r="W18" s="15" t="s">
        <v>52</v>
      </c>
      <c r="X18" s="52"/>
    </row>
    <row r="19" spans="1:24" ht="21" customHeight="1">
      <c r="A19" s="10" t="s">
        <v>59</v>
      </c>
      <c r="B19" s="11">
        <v>1.2500000000000001E-2</v>
      </c>
      <c r="C19" s="11">
        <v>3.7037037037037038E-3</v>
      </c>
      <c r="D19" s="11">
        <f>B19*E19</f>
        <v>7.2725000000000003E-3</v>
      </c>
      <c r="E19" s="12">
        <v>0.58179999999999998</v>
      </c>
      <c r="F19" s="11">
        <f>C19/4</f>
        <v>9.2592592592592596E-4</v>
      </c>
      <c r="G19" s="11">
        <f>D19/7.5</f>
        <v>9.6966666666666675E-4</v>
      </c>
      <c r="H19" s="11">
        <f>B19/12.5</f>
        <v>1E-3</v>
      </c>
      <c r="I19" s="11">
        <f>G19/0.93</f>
        <v>1.0426523297491039E-3</v>
      </c>
      <c r="J19" s="11">
        <f>G19/0.92</f>
        <v>1.0539855072463768E-3</v>
      </c>
      <c r="K19" s="11">
        <f>G19/0.88</f>
        <v>1.1018939393939394E-3</v>
      </c>
      <c r="L19" s="17">
        <f>G19/0.84</f>
        <v>1.1543650793650795E-3</v>
      </c>
      <c r="M19" s="25"/>
      <c r="N19" s="28"/>
      <c r="O19" s="25"/>
      <c r="P19" s="28"/>
      <c r="Q19" s="25"/>
      <c r="R19" s="25"/>
      <c r="S19" s="25"/>
      <c r="T19" s="28"/>
      <c r="U19" s="11"/>
      <c r="V19" s="36"/>
      <c r="W19" s="15" t="s">
        <v>52</v>
      </c>
      <c r="X19" s="52"/>
    </row>
    <row r="20" spans="1:24" ht="21" customHeight="1">
      <c r="A20" s="10" t="s">
        <v>61</v>
      </c>
      <c r="B20" s="11">
        <v>1.4583333333333334E-2</v>
      </c>
      <c r="C20" s="11">
        <v>4.3981481481481484E-3</v>
      </c>
      <c r="D20" s="11">
        <f>B20*E20</f>
        <v>8.4845833333333336E-3</v>
      </c>
      <c r="E20" s="12">
        <v>0.58179999999999998</v>
      </c>
      <c r="F20" s="11">
        <f>C20/4</f>
        <v>1.0995370370370371E-3</v>
      </c>
      <c r="G20" s="11">
        <f>D20/7.5</f>
        <v>1.1312777777777777E-3</v>
      </c>
      <c r="H20" s="11">
        <f>B20/12.5</f>
        <v>1.1666666666666668E-3</v>
      </c>
      <c r="I20" s="11">
        <f>G20/0.93</f>
        <v>1.2164277180406211E-3</v>
      </c>
      <c r="J20" s="11">
        <f>G20/0.92</f>
        <v>1.2296497584541061E-3</v>
      </c>
      <c r="K20" s="11">
        <f>G20/0.88</f>
        <v>1.2855429292929293E-3</v>
      </c>
      <c r="L20" s="11">
        <f>G20/0.84</f>
        <v>1.3467592592592591E-3</v>
      </c>
      <c r="M20" s="25"/>
      <c r="N20" s="28"/>
      <c r="O20" s="25"/>
      <c r="P20" s="25"/>
      <c r="Q20" s="25"/>
      <c r="R20" s="25"/>
      <c r="S20" s="28"/>
      <c r="T20" s="28"/>
      <c r="U20" s="28"/>
      <c r="V20" s="28"/>
      <c r="W20" s="15"/>
      <c r="X20" s="52"/>
    </row>
    <row r="21" spans="1:24" ht="21" customHeight="1">
      <c r="A21" s="10"/>
      <c r="B21" s="11"/>
      <c r="C21" s="11"/>
      <c r="D21" s="11"/>
      <c r="E21" s="12"/>
      <c r="F21" s="11"/>
      <c r="G21" s="11"/>
      <c r="H21" s="11"/>
      <c r="I21" s="11"/>
      <c r="J21" s="11"/>
      <c r="K21" s="11"/>
      <c r="L21" s="11"/>
      <c r="M21" s="25"/>
      <c r="N21" s="28"/>
      <c r="O21" s="25"/>
      <c r="P21" s="28"/>
      <c r="Q21" s="25"/>
      <c r="R21" s="25"/>
      <c r="S21" s="25"/>
      <c r="T21" s="28"/>
      <c r="U21" s="11"/>
      <c r="V21" s="36"/>
      <c r="W21" s="15"/>
      <c r="X21" s="52" t="s">
        <v>169</v>
      </c>
    </row>
    <row r="22" spans="1:24" ht="21" customHeight="1">
      <c r="A22" s="10"/>
      <c r="B22" s="11"/>
      <c r="C22" s="11"/>
      <c r="D22" s="11"/>
      <c r="E22" s="12"/>
      <c r="F22" s="11"/>
      <c r="G22" s="11"/>
      <c r="H22" s="11"/>
      <c r="I22" s="11"/>
      <c r="J22" s="11"/>
      <c r="K22" s="11"/>
      <c r="L22" s="11"/>
      <c r="M22" s="25"/>
      <c r="N22" s="28"/>
      <c r="O22" s="25"/>
      <c r="P22" s="11"/>
      <c r="Q22" s="14"/>
      <c r="R22" s="11"/>
      <c r="S22" s="14"/>
      <c r="T22" s="14"/>
      <c r="U22" s="14"/>
      <c r="V22" s="17"/>
      <c r="W22" s="18"/>
      <c r="X22" s="52"/>
    </row>
    <row r="23" spans="1:24" ht="21" customHeight="1">
      <c r="A23" s="10"/>
      <c r="B23" s="11"/>
      <c r="C23" s="11"/>
      <c r="D23" s="11"/>
      <c r="E23" s="12"/>
      <c r="F23" s="11"/>
      <c r="G23" s="11"/>
      <c r="H23" s="11"/>
      <c r="I23" s="11"/>
      <c r="J23" s="11"/>
      <c r="K23" s="11"/>
      <c r="L23" s="11"/>
      <c r="M23" s="14"/>
      <c r="N23" s="11"/>
      <c r="O23" s="14"/>
      <c r="P23" s="11"/>
      <c r="Q23" s="14"/>
      <c r="R23" s="11"/>
      <c r="S23" s="14"/>
      <c r="T23" s="14"/>
      <c r="U23" s="14"/>
      <c r="V23" s="11"/>
      <c r="W23" s="15"/>
      <c r="X23" s="52"/>
    </row>
    <row r="24" spans="1:24" ht="21" customHeight="1">
      <c r="A24" s="10"/>
      <c r="B24" s="11"/>
      <c r="C24" s="11"/>
      <c r="D24" s="11"/>
      <c r="E24" s="12"/>
      <c r="F24" s="11"/>
      <c r="G24" s="11"/>
      <c r="H24" s="11"/>
      <c r="I24" s="11"/>
      <c r="J24" s="11"/>
      <c r="K24" s="11"/>
      <c r="L24" s="17"/>
      <c r="M24" s="14"/>
      <c r="N24" s="11"/>
      <c r="O24" s="11"/>
      <c r="P24" s="11"/>
      <c r="Q24" s="14"/>
      <c r="R24" s="11"/>
      <c r="S24" s="14"/>
      <c r="T24" s="11"/>
      <c r="U24" s="11"/>
      <c r="V24" s="11"/>
      <c r="W24" s="15"/>
      <c r="X24" s="52"/>
    </row>
    <row r="25" spans="1:24" ht="21" customHeight="1">
      <c r="A25" s="10"/>
      <c r="B25" s="11"/>
      <c r="C25" s="11"/>
      <c r="D25" s="11"/>
      <c r="E25" s="12"/>
      <c r="F25" s="11"/>
      <c r="G25" s="11"/>
      <c r="H25" s="11"/>
      <c r="I25" s="11"/>
      <c r="J25" s="11"/>
      <c r="K25" s="11"/>
      <c r="L25" s="11"/>
      <c r="M25" s="13"/>
      <c r="N25" s="11"/>
      <c r="O25" s="11"/>
      <c r="P25" s="11"/>
      <c r="Q25" s="14"/>
      <c r="R25" s="11"/>
      <c r="S25" s="14"/>
      <c r="T25" s="14"/>
      <c r="U25" s="14"/>
      <c r="V25" s="17"/>
      <c r="W25" s="18"/>
      <c r="X25" s="52"/>
    </row>
    <row r="26" spans="1:24" ht="21" customHeight="1">
      <c r="A26" s="10"/>
      <c r="B26" s="11"/>
      <c r="C26" s="11"/>
      <c r="D26" s="11"/>
      <c r="E26" s="12"/>
      <c r="F26" s="11"/>
      <c r="G26" s="11"/>
      <c r="H26" s="11"/>
      <c r="I26" s="11"/>
      <c r="J26" s="11"/>
      <c r="K26" s="11"/>
      <c r="L26" s="11"/>
      <c r="M26" s="13"/>
      <c r="N26" s="11"/>
      <c r="O26" s="11"/>
      <c r="P26" s="11"/>
      <c r="Q26" s="14"/>
      <c r="R26" s="11"/>
      <c r="S26" s="14"/>
      <c r="T26" s="14"/>
      <c r="U26" s="14"/>
      <c r="V26" s="17"/>
      <c r="W26" s="18"/>
      <c r="X26" s="52"/>
    </row>
    <row r="27" spans="1:24" ht="21" customHeight="1">
      <c r="A27" s="10"/>
      <c r="B27" s="11"/>
      <c r="C27" s="11"/>
      <c r="D27" s="11"/>
      <c r="E27" s="12"/>
      <c r="F27" s="11"/>
      <c r="G27" s="11"/>
      <c r="H27" s="11"/>
      <c r="I27" s="11"/>
      <c r="J27" s="11"/>
      <c r="K27" s="11"/>
      <c r="L27" s="11"/>
      <c r="M27" s="13"/>
      <c r="N27" s="11"/>
      <c r="O27" s="11"/>
      <c r="P27" s="11"/>
      <c r="Q27" s="14"/>
      <c r="R27" s="11"/>
      <c r="S27" s="14"/>
      <c r="T27" s="14"/>
      <c r="U27" s="14"/>
      <c r="V27" s="17"/>
      <c r="W27" s="18"/>
      <c r="X27" s="52"/>
    </row>
    <row r="28" spans="1:24" ht="21" customHeight="1">
      <c r="A28" s="10"/>
      <c r="B28" s="11"/>
      <c r="C28" s="11"/>
      <c r="D28" s="11"/>
      <c r="E28" s="12"/>
      <c r="F28" s="11"/>
      <c r="G28" s="11"/>
      <c r="H28" s="11"/>
      <c r="I28" s="11"/>
      <c r="J28" s="11"/>
      <c r="K28" s="11"/>
      <c r="L28" s="11"/>
      <c r="M28" s="14"/>
      <c r="N28" s="11"/>
      <c r="O28" s="14"/>
      <c r="P28" s="11"/>
      <c r="Q28" s="14"/>
      <c r="R28" s="11"/>
      <c r="S28" s="14"/>
      <c r="T28" s="14"/>
      <c r="U28" s="14"/>
      <c r="V28" s="11"/>
      <c r="W28" s="15"/>
      <c r="X28" s="52"/>
    </row>
    <row r="29" spans="1:24" ht="21" customHeight="1" thickBot="1">
      <c r="A29" s="10"/>
      <c r="B29" s="11"/>
      <c r="C29" s="11"/>
      <c r="D29" s="11"/>
      <c r="E29" s="12"/>
      <c r="F29" s="11"/>
      <c r="G29" s="11"/>
      <c r="H29" s="11"/>
      <c r="I29" s="11"/>
      <c r="J29" s="11"/>
      <c r="K29" s="11"/>
      <c r="L29" s="11"/>
      <c r="M29" s="45"/>
      <c r="N29" s="11"/>
      <c r="O29" s="11"/>
      <c r="P29" s="11"/>
      <c r="Q29" s="14"/>
      <c r="R29" s="11"/>
      <c r="S29" s="14"/>
      <c r="T29" s="11"/>
      <c r="U29" s="14"/>
      <c r="V29" s="17"/>
      <c r="W29" s="18"/>
      <c r="X29" s="52"/>
    </row>
    <row r="30" spans="1:24" ht="21" customHeight="1">
      <c r="A30" s="1" t="s">
        <v>165</v>
      </c>
      <c r="B30" s="6"/>
      <c r="C30" s="6"/>
      <c r="D30" s="6"/>
      <c r="E30" s="20"/>
      <c r="F30" s="6"/>
      <c r="G30" s="6"/>
      <c r="H30" s="6"/>
      <c r="I30" s="6"/>
      <c r="J30" s="6"/>
      <c r="K30" s="6"/>
      <c r="L30" s="6"/>
      <c r="M30" s="6"/>
      <c r="N30" s="6"/>
      <c r="O30" s="6"/>
      <c r="P30" s="6"/>
      <c r="Q30" s="6"/>
      <c r="R30" s="6"/>
      <c r="S30" s="6"/>
      <c r="T30" s="6"/>
      <c r="U30" s="6"/>
      <c r="V30" s="21"/>
      <c r="W30" s="35"/>
      <c r="X30" s="52"/>
    </row>
    <row r="31" spans="1:24" ht="21" customHeight="1">
      <c r="A31" s="10" t="s">
        <v>36</v>
      </c>
      <c r="B31" s="11">
        <v>1.2615740740740742E-2</v>
      </c>
      <c r="C31" s="11">
        <v>3.6458333333333334E-3</v>
      </c>
      <c r="D31" s="11">
        <f>B31*E31</f>
        <v>7.3398379629629629E-3</v>
      </c>
      <c r="E31" s="12">
        <v>0.58179999999999998</v>
      </c>
      <c r="F31" s="11">
        <f>C31/4</f>
        <v>9.1145833333333335E-4</v>
      </c>
      <c r="G31" s="11">
        <f>D31/7.5</f>
        <v>9.7864506172839496E-4</v>
      </c>
      <c r="H31" s="11">
        <f>B31/12.5</f>
        <v>1.0092592592592592E-3</v>
      </c>
      <c r="I31" s="11">
        <f>G31/0.93</f>
        <v>1.0523065179875214E-3</v>
      </c>
      <c r="J31" s="11">
        <f>G31/0.92</f>
        <v>1.0637446323134728E-3</v>
      </c>
      <c r="K31" s="11">
        <f>G31/0.88</f>
        <v>1.1120966610549943E-3</v>
      </c>
      <c r="L31" s="11">
        <f>G31/0.84</f>
        <v>1.165053644914756E-3</v>
      </c>
      <c r="M31" s="25"/>
      <c r="N31" s="28"/>
      <c r="O31" s="25"/>
      <c r="P31" s="28"/>
      <c r="Q31" s="25"/>
      <c r="R31" s="25"/>
      <c r="S31" s="25"/>
      <c r="T31" s="28"/>
      <c r="U31" s="11"/>
      <c r="V31" s="36"/>
      <c r="W31" s="15" t="s">
        <v>141</v>
      </c>
      <c r="X31" s="52"/>
    </row>
    <row r="32" spans="1:24" ht="21" customHeight="1">
      <c r="A32" s="10" t="s">
        <v>50</v>
      </c>
      <c r="B32" s="11">
        <v>1.3020833333333334E-2</v>
      </c>
      <c r="C32" s="11">
        <v>3.7037037037037038E-3</v>
      </c>
      <c r="D32" s="11">
        <f t="shared" ref="D32" si="8">B32*E32</f>
        <v>7.5755208333333334E-3</v>
      </c>
      <c r="E32" s="12">
        <v>0.58179999999999998</v>
      </c>
      <c r="F32" s="11">
        <f t="shared" ref="F32" si="9">C32/4</f>
        <v>9.2592592592592596E-4</v>
      </c>
      <c r="G32" s="11">
        <f t="shared" ref="G32" si="10">D32/7.5</f>
        <v>1.0100694444444445E-3</v>
      </c>
      <c r="H32" s="11">
        <f t="shared" ref="H32" si="11">B32/12.5</f>
        <v>1.0416666666666667E-3</v>
      </c>
      <c r="I32" s="11">
        <f t="shared" ref="I32" si="12">G32/0.93</f>
        <v>1.0860961768219832E-3</v>
      </c>
      <c r="J32" s="11">
        <f t="shared" ref="J32" si="13">G32/0.92</f>
        <v>1.0979015700483092E-3</v>
      </c>
      <c r="K32" s="11">
        <f t="shared" ref="K32" si="14">G32/0.88</f>
        <v>1.1478061868686869E-3</v>
      </c>
      <c r="L32" s="11">
        <f t="shared" ref="L32" si="15">G32/0.84</f>
        <v>1.2024636243386244E-3</v>
      </c>
      <c r="M32" s="25"/>
      <c r="N32" s="28"/>
      <c r="O32" s="25"/>
      <c r="P32" s="28"/>
      <c r="Q32" s="25"/>
      <c r="R32" s="25"/>
      <c r="S32" s="25"/>
      <c r="T32" s="28"/>
      <c r="U32" s="11"/>
      <c r="V32" s="36"/>
      <c r="W32" s="15" t="s">
        <v>141</v>
      </c>
      <c r="X32" s="52"/>
    </row>
    <row r="33" spans="1:24" ht="21" customHeight="1">
      <c r="A33" s="10" t="s">
        <v>38</v>
      </c>
      <c r="B33" s="11">
        <v>1.238425925925926E-2</v>
      </c>
      <c r="C33" s="11">
        <v>3.5300925925925925E-3</v>
      </c>
      <c r="D33" s="11">
        <f>B33*E33</f>
        <v>7.2051620370370368E-3</v>
      </c>
      <c r="E33" s="12">
        <v>0.58179999999999998</v>
      </c>
      <c r="F33" s="11">
        <f>C33/4</f>
        <v>8.8252314814814812E-4</v>
      </c>
      <c r="G33" s="11">
        <f>D33/7.5</f>
        <v>9.6068827160493821E-4</v>
      </c>
      <c r="H33" s="11">
        <f>B33/12.5</f>
        <v>9.9074074074074082E-4</v>
      </c>
      <c r="I33" s="11">
        <f>G33/0.93</f>
        <v>1.0329981415106862E-3</v>
      </c>
      <c r="J33" s="11">
        <f>G33/0.92</f>
        <v>1.0442263821792807E-3</v>
      </c>
      <c r="K33" s="11">
        <f>G33/0.88</f>
        <v>1.0916912177328843E-3</v>
      </c>
      <c r="L33" s="11">
        <f>G33/0.84</f>
        <v>1.1436765138154027E-3</v>
      </c>
      <c r="M33" s="25"/>
      <c r="N33" s="28"/>
      <c r="O33" s="25"/>
      <c r="P33" s="28"/>
      <c r="Q33" s="25"/>
      <c r="R33" s="25"/>
      <c r="S33" s="25"/>
      <c r="T33" s="28"/>
      <c r="U33" s="11"/>
      <c r="V33" s="36"/>
      <c r="W33" s="15" t="s">
        <v>141</v>
      </c>
      <c r="X33" s="52"/>
    </row>
    <row r="34" spans="1:24" ht="21" customHeight="1">
      <c r="A34" s="10" t="s">
        <v>31</v>
      </c>
      <c r="B34" s="11">
        <v>1.238425925925926E-2</v>
      </c>
      <c r="C34" s="11">
        <v>3.7037037037037038E-3</v>
      </c>
      <c r="D34" s="11">
        <f>B34*E34</f>
        <v>7.2051620370370368E-3</v>
      </c>
      <c r="E34" s="12">
        <v>0.58179999999999998</v>
      </c>
      <c r="F34" s="11">
        <f>C34/4</f>
        <v>9.2592592592592596E-4</v>
      </c>
      <c r="G34" s="11">
        <f>D34/7.5</f>
        <v>9.6068827160493821E-4</v>
      </c>
      <c r="H34" s="11">
        <f>B34/12.5</f>
        <v>9.9074074074074082E-4</v>
      </c>
      <c r="I34" s="11">
        <f>G34/0.93</f>
        <v>1.0329981415106862E-3</v>
      </c>
      <c r="J34" s="11">
        <f>G34/0.92</f>
        <v>1.0442263821792807E-3</v>
      </c>
      <c r="K34" s="11">
        <f>G34/0.88</f>
        <v>1.0916912177328843E-3</v>
      </c>
      <c r="L34" s="11">
        <f>G34/0.84</f>
        <v>1.1436765138154027E-3</v>
      </c>
      <c r="M34" s="25"/>
      <c r="N34" s="28"/>
      <c r="O34" s="25"/>
      <c r="P34" s="28"/>
      <c r="Q34" s="25"/>
      <c r="R34" s="25"/>
      <c r="S34" s="25"/>
      <c r="T34" s="28"/>
      <c r="U34" s="11"/>
      <c r="V34" s="36"/>
      <c r="W34" s="15" t="s">
        <v>141</v>
      </c>
      <c r="X34" s="52"/>
    </row>
    <row r="35" spans="1:24" ht="21" customHeight="1">
      <c r="A35" s="10" t="s">
        <v>62</v>
      </c>
      <c r="B35" s="11">
        <v>1.238425925925926E-2</v>
      </c>
      <c r="C35" s="11">
        <v>3.6458333333333334E-3</v>
      </c>
      <c r="D35" s="11">
        <f>B35*E35</f>
        <v>7.2051620370370368E-3</v>
      </c>
      <c r="E35" s="12">
        <v>0.58179999999999998</v>
      </c>
      <c r="F35" s="11">
        <f>C35/4</f>
        <v>9.1145833333333335E-4</v>
      </c>
      <c r="G35" s="11">
        <f>D35/7.5</f>
        <v>9.6068827160493821E-4</v>
      </c>
      <c r="H35" s="11">
        <f>B35/12.5</f>
        <v>9.9074074074074082E-4</v>
      </c>
      <c r="I35" s="11">
        <f>G35/0.93</f>
        <v>1.0329981415106862E-3</v>
      </c>
      <c r="J35" s="11">
        <f>G35/0.92</f>
        <v>1.0442263821792807E-3</v>
      </c>
      <c r="K35" s="11">
        <f>G35/0.88</f>
        <v>1.0916912177328843E-3</v>
      </c>
      <c r="L35" s="11">
        <f>G35/0.84</f>
        <v>1.1436765138154027E-3</v>
      </c>
      <c r="M35" s="25"/>
      <c r="N35" s="28"/>
      <c r="O35" s="25"/>
      <c r="P35" s="28"/>
      <c r="Q35" s="25"/>
      <c r="R35" s="25"/>
      <c r="S35" s="25"/>
      <c r="T35" s="28"/>
      <c r="U35" s="11"/>
      <c r="V35" s="36"/>
      <c r="W35" s="15" t="s">
        <v>141</v>
      </c>
      <c r="X35" s="52"/>
    </row>
    <row r="36" spans="1:24" ht="21" customHeight="1">
      <c r="A36" s="10" t="s">
        <v>63</v>
      </c>
      <c r="B36" s="11">
        <v>1.2615740740740742E-2</v>
      </c>
      <c r="C36" s="11">
        <v>3.7037037037037038E-3</v>
      </c>
      <c r="D36" s="11">
        <f>B36*E36</f>
        <v>7.3398379629629629E-3</v>
      </c>
      <c r="E36" s="12">
        <v>0.58179999999999998</v>
      </c>
      <c r="F36" s="11">
        <f>C36/4</f>
        <v>9.2592592592592596E-4</v>
      </c>
      <c r="G36" s="11">
        <f>D36/7.5</f>
        <v>9.7864506172839496E-4</v>
      </c>
      <c r="H36" s="11">
        <f>B36/12.5</f>
        <v>1.0092592592592592E-3</v>
      </c>
      <c r="I36" s="11">
        <f>G36/0.93</f>
        <v>1.0523065179875214E-3</v>
      </c>
      <c r="J36" s="11">
        <f>G36/0.92</f>
        <v>1.0637446323134728E-3</v>
      </c>
      <c r="K36" s="11">
        <f>G36/0.88</f>
        <v>1.1120966610549943E-3</v>
      </c>
      <c r="L36" s="11">
        <f>G36/0.84</f>
        <v>1.165053644914756E-3</v>
      </c>
      <c r="M36" s="25"/>
      <c r="N36" s="28"/>
      <c r="O36" s="25"/>
      <c r="P36" s="28"/>
      <c r="Q36" s="25"/>
      <c r="R36" s="25"/>
      <c r="S36" s="25"/>
      <c r="T36" s="28"/>
      <c r="U36" s="11"/>
      <c r="V36" s="36"/>
      <c r="W36" s="15" t="s">
        <v>141</v>
      </c>
      <c r="X36" s="52"/>
    </row>
    <row r="37" spans="1:24" ht="21" customHeight="1">
      <c r="A37" s="10" t="s">
        <v>64</v>
      </c>
      <c r="B37" s="11">
        <v>1.2615740740740742E-2</v>
      </c>
      <c r="C37" s="11">
        <v>3.5879629629629629E-3</v>
      </c>
      <c r="D37" s="11">
        <f>B37*E37</f>
        <v>7.3398379629629629E-3</v>
      </c>
      <c r="E37" s="12">
        <v>0.58179999999999998</v>
      </c>
      <c r="F37" s="11">
        <f>C37/4</f>
        <v>8.9699074074074073E-4</v>
      </c>
      <c r="G37" s="11">
        <f>D37/7.5</f>
        <v>9.7864506172839496E-4</v>
      </c>
      <c r="H37" s="11">
        <f>B37/12.5</f>
        <v>1.0092592592592592E-3</v>
      </c>
      <c r="I37" s="11">
        <f>G37/0.93</f>
        <v>1.0523065179875214E-3</v>
      </c>
      <c r="J37" s="11">
        <f>G37/0.92</f>
        <v>1.0637446323134728E-3</v>
      </c>
      <c r="K37" s="11">
        <f>G37/0.88</f>
        <v>1.1120966610549943E-3</v>
      </c>
      <c r="L37" s="11">
        <f>G37/0.84</f>
        <v>1.165053644914756E-3</v>
      </c>
      <c r="M37" s="25"/>
      <c r="N37" s="28"/>
      <c r="O37" s="25"/>
      <c r="P37" s="28"/>
      <c r="Q37" s="25"/>
      <c r="R37" s="25"/>
      <c r="S37" s="25"/>
      <c r="T37" s="28"/>
      <c r="U37" s="11"/>
      <c r="V37" s="36"/>
      <c r="W37" s="15" t="s">
        <v>141</v>
      </c>
      <c r="X37" s="52"/>
    </row>
    <row r="38" spans="1:24" ht="21" customHeight="1">
      <c r="A38" s="10" t="s">
        <v>49</v>
      </c>
      <c r="B38" s="11">
        <v>1.2731481481481481E-2</v>
      </c>
      <c r="C38" s="11">
        <v>3.5879629629629629E-3</v>
      </c>
      <c r="D38" s="11">
        <f t="shared" ref="D38:D46" si="16">B38*E38</f>
        <v>7.4071759259259256E-3</v>
      </c>
      <c r="E38" s="12">
        <v>0.58179999999999998</v>
      </c>
      <c r="F38" s="11">
        <f t="shared" ref="F38:F46" si="17">C38/4</f>
        <v>8.9699074074074073E-4</v>
      </c>
      <c r="G38" s="11">
        <f t="shared" ref="G38:G46" si="18">D38/7.5</f>
        <v>9.8762345679012349E-4</v>
      </c>
      <c r="H38" s="11">
        <f t="shared" ref="H38:H46" si="19">B38/12.5</f>
        <v>1.0185185185185184E-3</v>
      </c>
      <c r="I38" s="11">
        <f t="shared" ref="I38:I46" si="20">G38/0.93</f>
        <v>1.0619607062259391E-3</v>
      </c>
      <c r="J38" s="11">
        <f t="shared" ref="J38:J46" si="21">G38/0.92</f>
        <v>1.073503757380569E-3</v>
      </c>
      <c r="K38" s="11">
        <f t="shared" ref="K38:K46" si="22">G38/0.88</f>
        <v>1.1222993827160494E-3</v>
      </c>
      <c r="L38" s="11">
        <f t="shared" ref="L38:L46" si="23">G38/0.84</f>
        <v>1.1757422104644328E-3</v>
      </c>
      <c r="M38" s="25"/>
      <c r="N38" s="28"/>
      <c r="O38" s="25"/>
      <c r="P38" s="28"/>
      <c r="Q38" s="25"/>
      <c r="R38" s="25"/>
      <c r="S38" s="25"/>
      <c r="T38" s="28"/>
      <c r="U38" s="11"/>
      <c r="V38" s="36"/>
      <c r="W38" s="15" t="s">
        <v>141</v>
      </c>
      <c r="X38" s="52"/>
    </row>
    <row r="39" spans="1:24" ht="21" customHeight="1">
      <c r="A39" s="10" t="s">
        <v>65</v>
      </c>
      <c r="B39" s="11">
        <v>1.2731481481481481E-2</v>
      </c>
      <c r="C39" s="11">
        <v>3.8194444444444443E-3</v>
      </c>
      <c r="D39" s="11">
        <f t="shared" si="16"/>
        <v>7.4071759259259256E-3</v>
      </c>
      <c r="E39" s="12">
        <v>0.58179999999999998</v>
      </c>
      <c r="F39" s="11">
        <f t="shared" si="17"/>
        <v>9.5486111111111108E-4</v>
      </c>
      <c r="G39" s="11">
        <f t="shared" si="18"/>
        <v>9.8762345679012349E-4</v>
      </c>
      <c r="H39" s="11">
        <f t="shared" si="19"/>
        <v>1.0185185185185184E-3</v>
      </c>
      <c r="I39" s="11">
        <f t="shared" si="20"/>
        <v>1.0619607062259391E-3</v>
      </c>
      <c r="J39" s="11">
        <f t="shared" si="21"/>
        <v>1.073503757380569E-3</v>
      </c>
      <c r="K39" s="11">
        <f t="shared" si="22"/>
        <v>1.1222993827160494E-3</v>
      </c>
      <c r="L39" s="11">
        <f t="shared" si="23"/>
        <v>1.1757422104644328E-3</v>
      </c>
      <c r="M39" s="25"/>
      <c r="N39" s="28"/>
      <c r="O39" s="25"/>
      <c r="P39" s="28"/>
      <c r="Q39" s="25"/>
      <c r="R39" s="25"/>
      <c r="S39" s="25"/>
      <c r="T39" s="28"/>
      <c r="U39" s="11"/>
      <c r="V39" s="36"/>
      <c r="W39" s="15" t="s">
        <v>141</v>
      </c>
      <c r="X39" s="52"/>
    </row>
    <row r="40" spans="1:24" ht="21" customHeight="1">
      <c r="A40" s="10" t="s">
        <v>66</v>
      </c>
      <c r="B40" s="11">
        <v>1.2731481481481481E-2</v>
      </c>
      <c r="C40" s="11">
        <v>3.6458333333333334E-3</v>
      </c>
      <c r="D40" s="11">
        <f>B40*E40</f>
        <v>7.4071759259259256E-3</v>
      </c>
      <c r="E40" s="12">
        <v>0.58179999999999998</v>
      </c>
      <c r="F40" s="11">
        <f>C40/4</f>
        <v>9.1145833333333335E-4</v>
      </c>
      <c r="G40" s="11">
        <f>D40/7.5</f>
        <v>9.8762345679012349E-4</v>
      </c>
      <c r="H40" s="11">
        <f>B40/12.5</f>
        <v>1.0185185185185184E-3</v>
      </c>
      <c r="I40" s="11">
        <f>G40/0.93</f>
        <v>1.0619607062259391E-3</v>
      </c>
      <c r="J40" s="11">
        <f>G40/0.92</f>
        <v>1.073503757380569E-3</v>
      </c>
      <c r="K40" s="11">
        <f>G40/0.88</f>
        <v>1.1222993827160494E-3</v>
      </c>
      <c r="L40" s="17">
        <f>G40/0.84</f>
        <v>1.1757422104644328E-3</v>
      </c>
      <c r="M40" s="25"/>
      <c r="N40" s="28"/>
      <c r="O40" s="25"/>
      <c r="P40" s="28"/>
      <c r="Q40" s="25"/>
      <c r="R40" s="25"/>
      <c r="S40" s="25"/>
      <c r="T40" s="28"/>
      <c r="U40" s="11"/>
      <c r="V40" s="36"/>
      <c r="W40" s="15" t="s">
        <v>141</v>
      </c>
      <c r="X40" s="52"/>
    </row>
    <row r="41" spans="1:24" ht="21" customHeight="1">
      <c r="A41" s="10" t="s">
        <v>67</v>
      </c>
      <c r="B41" s="11">
        <v>1.3020833333333334E-2</v>
      </c>
      <c r="C41" s="11">
        <v>3.8194444444444443E-3</v>
      </c>
      <c r="D41" s="11">
        <f>B41*E41</f>
        <v>7.5755208333333334E-3</v>
      </c>
      <c r="E41" s="12">
        <v>0.58179999999999998</v>
      </c>
      <c r="F41" s="11">
        <f>C41/4</f>
        <v>9.5486111111111108E-4</v>
      </c>
      <c r="G41" s="11">
        <f>D41/7.5</f>
        <v>1.0100694444444445E-3</v>
      </c>
      <c r="H41" s="11">
        <f>B41/12.5</f>
        <v>1.0416666666666667E-3</v>
      </c>
      <c r="I41" s="11">
        <f>G41/0.93</f>
        <v>1.0860961768219832E-3</v>
      </c>
      <c r="J41" s="11">
        <f>G41/0.92</f>
        <v>1.0979015700483092E-3</v>
      </c>
      <c r="K41" s="11">
        <f>G41/0.88</f>
        <v>1.1478061868686869E-3</v>
      </c>
      <c r="L41" s="11">
        <f>G41/0.84</f>
        <v>1.2024636243386244E-3</v>
      </c>
      <c r="M41" s="25"/>
      <c r="N41" s="28"/>
      <c r="O41" s="25"/>
      <c r="P41" s="28"/>
      <c r="Q41" s="25"/>
      <c r="R41" s="25"/>
      <c r="S41" s="25"/>
      <c r="T41" s="28"/>
      <c r="U41" s="11"/>
      <c r="V41" s="36"/>
      <c r="W41" s="15" t="s">
        <v>141</v>
      </c>
      <c r="X41" s="52"/>
    </row>
    <row r="42" spans="1:24" ht="21" customHeight="1">
      <c r="A42" s="10" t="s">
        <v>68</v>
      </c>
      <c r="B42" s="11">
        <v>1.3020833333333334E-2</v>
      </c>
      <c r="C42" s="11">
        <v>3.9351851851851848E-3</v>
      </c>
      <c r="D42" s="11">
        <f>B42*E42</f>
        <v>7.5755208333333334E-3</v>
      </c>
      <c r="E42" s="12">
        <v>0.58179999999999998</v>
      </c>
      <c r="F42" s="11">
        <f>C42/4</f>
        <v>9.837962962962962E-4</v>
      </c>
      <c r="G42" s="11">
        <f>D42/7.5</f>
        <v>1.0100694444444445E-3</v>
      </c>
      <c r="H42" s="11">
        <f>B42/12.5</f>
        <v>1.0416666666666667E-3</v>
      </c>
      <c r="I42" s="11">
        <f>G42/0.93</f>
        <v>1.0860961768219832E-3</v>
      </c>
      <c r="J42" s="11">
        <f>G42/0.92</f>
        <v>1.0979015700483092E-3</v>
      </c>
      <c r="K42" s="11">
        <f>G42/0.88</f>
        <v>1.1478061868686869E-3</v>
      </c>
      <c r="L42" s="11">
        <f>G42/0.84</f>
        <v>1.2024636243386244E-3</v>
      </c>
      <c r="M42" s="25"/>
      <c r="N42" s="28"/>
      <c r="O42" s="25"/>
      <c r="P42" s="28"/>
      <c r="Q42" s="25"/>
      <c r="R42" s="25"/>
      <c r="S42" s="25"/>
      <c r="T42" s="28"/>
      <c r="U42" s="11"/>
      <c r="V42" s="36"/>
      <c r="W42" s="15" t="s">
        <v>141</v>
      </c>
      <c r="X42" s="52"/>
    </row>
    <row r="43" spans="1:24" ht="21" customHeight="1">
      <c r="A43" s="10" t="s">
        <v>69</v>
      </c>
      <c r="B43" s="11">
        <v>1.3541666666666667E-2</v>
      </c>
      <c r="C43" s="11">
        <v>4.0509259259259257E-3</v>
      </c>
      <c r="D43" s="11">
        <f t="shared" si="16"/>
        <v>7.8785416666666674E-3</v>
      </c>
      <c r="E43" s="12">
        <v>0.58179999999999998</v>
      </c>
      <c r="F43" s="11">
        <f t="shared" si="17"/>
        <v>1.0127314814814814E-3</v>
      </c>
      <c r="G43" s="11">
        <f t="shared" si="18"/>
        <v>1.0504722222222224E-3</v>
      </c>
      <c r="H43" s="11">
        <f t="shared" si="19"/>
        <v>1.0833333333333333E-3</v>
      </c>
      <c r="I43" s="11">
        <f t="shared" si="20"/>
        <v>1.1295400238948627E-3</v>
      </c>
      <c r="J43" s="11">
        <f t="shared" si="21"/>
        <v>1.1418176328502417E-3</v>
      </c>
      <c r="K43" s="11">
        <f t="shared" si="22"/>
        <v>1.1937184343434346E-3</v>
      </c>
      <c r="L43" s="11">
        <f t="shared" si="23"/>
        <v>1.2505621693121695E-3</v>
      </c>
      <c r="M43" s="25"/>
      <c r="N43" s="28"/>
      <c r="O43" s="25"/>
      <c r="P43" s="28"/>
      <c r="Q43" s="25"/>
      <c r="R43" s="25"/>
      <c r="S43" s="25"/>
      <c r="T43" s="28"/>
      <c r="U43" s="11"/>
      <c r="V43" s="36"/>
      <c r="W43" s="15" t="s">
        <v>141</v>
      </c>
      <c r="X43" s="52"/>
    </row>
    <row r="44" spans="1:24" ht="21" customHeight="1">
      <c r="A44" s="10" t="s">
        <v>70</v>
      </c>
      <c r="B44" s="11">
        <v>1.3541666666666667E-2</v>
      </c>
      <c r="C44" s="11">
        <v>4.0509259259259257E-3</v>
      </c>
      <c r="D44" s="11">
        <f t="shared" si="16"/>
        <v>7.8785416666666674E-3</v>
      </c>
      <c r="E44" s="12">
        <v>0.58179999999999998</v>
      </c>
      <c r="F44" s="11">
        <f t="shared" si="17"/>
        <v>1.0127314814814814E-3</v>
      </c>
      <c r="G44" s="11">
        <f t="shared" si="18"/>
        <v>1.0504722222222224E-3</v>
      </c>
      <c r="H44" s="11">
        <f t="shared" si="19"/>
        <v>1.0833333333333333E-3</v>
      </c>
      <c r="I44" s="11">
        <f t="shared" si="20"/>
        <v>1.1295400238948627E-3</v>
      </c>
      <c r="J44" s="11">
        <f t="shared" si="21"/>
        <v>1.1418176328502417E-3</v>
      </c>
      <c r="K44" s="11">
        <f t="shared" si="22"/>
        <v>1.1937184343434346E-3</v>
      </c>
      <c r="L44" s="11">
        <f t="shared" si="23"/>
        <v>1.2505621693121695E-3</v>
      </c>
      <c r="M44" s="25"/>
      <c r="N44" s="28"/>
      <c r="O44" s="25"/>
      <c r="P44" s="28"/>
      <c r="Q44" s="25"/>
      <c r="R44" s="25"/>
      <c r="S44" s="25"/>
      <c r="T44" s="28"/>
      <c r="U44" s="11"/>
      <c r="V44" s="36"/>
      <c r="W44" s="15" t="s">
        <v>141</v>
      </c>
      <c r="X44" s="52"/>
    </row>
    <row r="45" spans="1:24" ht="21" customHeight="1">
      <c r="A45" s="10" t="s">
        <v>71</v>
      </c>
      <c r="B45" s="11">
        <v>1.3541666666666667E-2</v>
      </c>
      <c r="C45" s="11">
        <v>4.0509259259259257E-3</v>
      </c>
      <c r="D45" s="11">
        <f>B45*E45</f>
        <v>7.8785416666666674E-3</v>
      </c>
      <c r="E45" s="12">
        <v>0.58179999999999998</v>
      </c>
      <c r="F45" s="11">
        <f>C45/4</f>
        <v>1.0127314814814814E-3</v>
      </c>
      <c r="G45" s="11">
        <f>D45/7.5</f>
        <v>1.0504722222222224E-3</v>
      </c>
      <c r="H45" s="11">
        <f>B45/12.5</f>
        <v>1.0833333333333333E-3</v>
      </c>
      <c r="I45" s="11">
        <f>G45/0.93</f>
        <v>1.1295400238948627E-3</v>
      </c>
      <c r="J45" s="11">
        <f>G45/0.92</f>
        <v>1.1418176328502417E-3</v>
      </c>
      <c r="K45" s="11">
        <f>G45/0.88</f>
        <v>1.1937184343434346E-3</v>
      </c>
      <c r="L45" s="11">
        <f>G45/0.84</f>
        <v>1.2505621693121695E-3</v>
      </c>
      <c r="M45" s="25"/>
      <c r="N45" s="28"/>
      <c r="O45" s="25"/>
      <c r="P45" s="28"/>
      <c r="Q45" s="25"/>
      <c r="R45" s="25"/>
      <c r="S45" s="25"/>
      <c r="T45" s="28"/>
      <c r="U45" s="11"/>
      <c r="V45" s="36"/>
      <c r="W45" s="15" t="s">
        <v>141</v>
      </c>
      <c r="X45" s="52"/>
    </row>
    <row r="46" spans="1:24" ht="21" customHeight="1">
      <c r="A46" s="10" t="s">
        <v>72</v>
      </c>
      <c r="B46" s="11">
        <v>1.3541666666666667E-2</v>
      </c>
      <c r="C46" s="11">
        <v>4.0509259259259257E-3</v>
      </c>
      <c r="D46" s="11">
        <f t="shared" si="16"/>
        <v>7.8785416666666674E-3</v>
      </c>
      <c r="E46" s="12">
        <v>0.58179999999999998</v>
      </c>
      <c r="F46" s="11">
        <f t="shared" si="17"/>
        <v>1.0127314814814814E-3</v>
      </c>
      <c r="G46" s="11">
        <f t="shared" si="18"/>
        <v>1.0504722222222224E-3</v>
      </c>
      <c r="H46" s="11">
        <f t="shared" si="19"/>
        <v>1.0833333333333333E-3</v>
      </c>
      <c r="I46" s="11">
        <f t="shared" si="20"/>
        <v>1.1295400238948627E-3</v>
      </c>
      <c r="J46" s="11">
        <f t="shared" si="21"/>
        <v>1.1418176328502417E-3</v>
      </c>
      <c r="K46" s="11">
        <f t="shared" si="22"/>
        <v>1.1937184343434346E-3</v>
      </c>
      <c r="L46" s="11">
        <f t="shared" si="23"/>
        <v>1.2505621693121695E-3</v>
      </c>
      <c r="M46" s="25"/>
      <c r="N46" s="28"/>
      <c r="O46" s="25"/>
      <c r="P46" s="28"/>
      <c r="Q46" s="25"/>
      <c r="R46" s="25"/>
      <c r="S46" s="25"/>
      <c r="T46" s="28"/>
      <c r="U46" s="11"/>
      <c r="V46" s="36"/>
      <c r="W46" s="15" t="s">
        <v>141</v>
      </c>
      <c r="X46" s="52"/>
    </row>
    <row r="47" spans="1:24" ht="21" customHeight="1">
      <c r="A47" s="10" t="s">
        <v>73</v>
      </c>
      <c r="B47" s="11">
        <v>1.3888888888888888E-2</v>
      </c>
      <c r="C47" s="11">
        <v>4.3981481481481484E-3</v>
      </c>
      <c r="D47" s="11">
        <f>B47*E47</f>
        <v>8.0805555555555544E-3</v>
      </c>
      <c r="E47" s="12">
        <v>0.58179999999999998</v>
      </c>
      <c r="F47" s="11">
        <f>C47/4</f>
        <v>1.0995370370370371E-3</v>
      </c>
      <c r="G47" s="11">
        <f>D47/7.5</f>
        <v>1.0774074074074074E-3</v>
      </c>
      <c r="H47" s="11">
        <f>B47/12.5</f>
        <v>1.1111111111111111E-3</v>
      </c>
      <c r="I47" s="11">
        <f>G47/0.93</f>
        <v>1.1585025886101153E-3</v>
      </c>
      <c r="J47" s="11">
        <f>G47/0.92</f>
        <v>1.1710950080515297E-3</v>
      </c>
      <c r="K47" s="11">
        <f>G47/0.88</f>
        <v>1.2243265993265992E-3</v>
      </c>
      <c r="L47" s="11">
        <f>G47/0.84</f>
        <v>1.2826278659611992E-3</v>
      </c>
      <c r="M47" s="25"/>
      <c r="N47" s="28"/>
      <c r="O47" s="25"/>
      <c r="P47" s="28"/>
      <c r="Q47" s="25"/>
      <c r="R47" s="25"/>
      <c r="S47" s="25"/>
      <c r="T47" s="28"/>
      <c r="U47" s="11"/>
      <c r="V47" s="36"/>
      <c r="W47" s="15" t="s">
        <v>141</v>
      </c>
      <c r="X47" s="52"/>
    </row>
    <row r="48" spans="1:24" ht="21" customHeight="1">
      <c r="A48" s="10" t="s">
        <v>74</v>
      </c>
      <c r="B48" s="11">
        <v>1.3020833333333334E-2</v>
      </c>
      <c r="C48" s="11">
        <v>3.7037037037037038E-3</v>
      </c>
      <c r="D48" s="11">
        <f>B48*E48</f>
        <v>7.5755208333333334E-3</v>
      </c>
      <c r="E48" s="12">
        <v>0.58179999999999998</v>
      </c>
      <c r="F48" s="11">
        <f>C48/4</f>
        <v>9.2592592592592596E-4</v>
      </c>
      <c r="G48" s="11">
        <f>D48/7.5</f>
        <v>1.0100694444444445E-3</v>
      </c>
      <c r="H48" s="11">
        <f>B48/12.5</f>
        <v>1.0416666666666667E-3</v>
      </c>
      <c r="I48" s="11">
        <f>G48/0.93</f>
        <v>1.0860961768219832E-3</v>
      </c>
      <c r="J48" s="11">
        <f>G48/0.92</f>
        <v>1.0979015700483092E-3</v>
      </c>
      <c r="K48" s="11">
        <f>G48/0.88</f>
        <v>1.1478061868686869E-3</v>
      </c>
      <c r="L48" s="11">
        <f>G48/0.84</f>
        <v>1.2024636243386244E-3</v>
      </c>
      <c r="M48" s="25"/>
      <c r="N48" s="28"/>
      <c r="O48" s="25"/>
      <c r="P48" s="28"/>
      <c r="Q48" s="25"/>
      <c r="R48" s="25"/>
      <c r="S48" s="25"/>
      <c r="T48" s="28"/>
      <c r="U48" s="11"/>
      <c r="V48" s="36"/>
      <c r="W48" s="15" t="s">
        <v>141</v>
      </c>
      <c r="X48" s="52"/>
    </row>
    <row r="49" spans="1:24" ht="21" customHeight="1">
      <c r="A49" s="10" t="s">
        <v>75</v>
      </c>
      <c r="B49" s="11">
        <v>1.3541666666666667E-2</v>
      </c>
      <c r="C49" s="11">
        <v>3.8194444444444443E-3</v>
      </c>
      <c r="D49" s="11">
        <f>B49*E49</f>
        <v>7.8785416666666674E-3</v>
      </c>
      <c r="E49" s="12">
        <v>0.58179999999999998</v>
      </c>
      <c r="F49" s="11">
        <f>C49/4</f>
        <v>9.5486111111111108E-4</v>
      </c>
      <c r="G49" s="11">
        <f>D49/7.5</f>
        <v>1.0504722222222224E-3</v>
      </c>
      <c r="H49" s="11">
        <f>B49/12.5</f>
        <v>1.0833333333333333E-3</v>
      </c>
      <c r="I49" s="11">
        <f>G49/0.93</f>
        <v>1.1295400238948627E-3</v>
      </c>
      <c r="J49" s="11">
        <f>G49/0.92</f>
        <v>1.1418176328502417E-3</v>
      </c>
      <c r="K49" s="11">
        <f>G49/0.88</f>
        <v>1.1937184343434346E-3</v>
      </c>
      <c r="L49" s="11">
        <f>G49/0.84</f>
        <v>1.2505621693121695E-3</v>
      </c>
      <c r="M49" s="25"/>
      <c r="N49" s="28"/>
      <c r="O49" s="25"/>
      <c r="P49" s="28"/>
      <c r="Q49" s="25"/>
      <c r="R49" s="25"/>
      <c r="S49" s="25"/>
      <c r="T49" s="28"/>
      <c r="U49" s="11"/>
      <c r="V49" s="36"/>
      <c r="W49" s="15" t="s">
        <v>141</v>
      </c>
      <c r="X49" s="52"/>
    </row>
    <row r="50" spans="1:24" ht="21" customHeight="1">
      <c r="A50" s="10" t="s">
        <v>76</v>
      </c>
      <c r="B50" s="11">
        <v>1.3541666666666667E-2</v>
      </c>
      <c r="C50" s="11">
        <v>4.0509259259259257E-3</v>
      </c>
      <c r="D50" s="11">
        <f>B50*E50</f>
        <v>7.8785416666666674E-3</v>
      </c>
      <c r="E50" s="12">
        <v>0.58179999999999998</v>
      </c>
      <c r="F50" s="11">
        <f>C50/4</f>
        <v>1.0127314814814814E-3</v>
      </c>
      <c r="G50" s="11">
        <f>D50/7.5</f>
        <v>1.0504722222222224E-3</v>
      </c>
      <c r="H50" s="11">
        <f>B50/12.5</f>
        <v>1.0833333333333333E-3</v>
      </c>
      <c r="I50" s="11">
        <f>G50/0.93</f>
        <v>1.1295400238948627E-3</v>
      </c>
      <c r="J50" s="11">
        <f>G50/0.92</f>
        <v>1.1418176328502417E-3</v>
      </c>
      <c r="K50" s="11">
        <f>G50/0.88</f>
        <v>1.1937184343434346E-3</v>
      </c>
      <c r="L50" s="11">
        <f>G50/0.84</f>
        <v>1.2505621693121695E-3</v>
      </c>
      <c r="M50" s="25"/>
      <c r="N50" s="28"/>
      <c r="O50" s="25"/>
      <c r="P50" s="28"/>
      <c r="Q50" s="25"/>
      <c r="R50" s="25"/>
      <c r="S50" s="25"/>
      <c r="T50" s="28"/>
      <c r="U50" s="11"/>
      <c r="V50" s="36"/>
      <c r="W50" s="15" t="s">
        <v>141</v>
      </c>
      <c r="X50" s="52"/>
    </row>
    <row r="51" spans="1:24" ht="21" customHeight="1">
      <c r="A51" s="10"/>
      <c r="B51" s="11"/>
      <c r="C51" s="11"/>
      <c r="D51" s="11"/>
      <c r="E51" s="12"/>
      <c r="F51" s="11"/>
      <c r="G51" s="11"/>
      <c r="H51" s="11"/>
      <c r="I51" s="11"/>
      <c r="J51" s="11"/>
      <c r="K51" s="11"/>
      <c r="L51" s="11"/>
      <c r="M51" s="45"/>
      <c r="N51" s="11"/>
      <c r="O51" s="11"/>
      <c r="P51" s="11"/>
      <c r="Q51" s="14"/>
      <c r="R51" s="11"/>
      <c r="S51" s="14"/>
      <c r="T51" s="11"/>
      <c r="U51" s="14"/>
      <c r="V51" s="17"/>
      <c r="W51" s="18"/>
      <c r="X51" s="52"/>
    </row>
    <row r="52" spans="1:24" ht="21" customHeight="1">
      <c r="A52" s="10"/>
      <c r="B52" s="11"/>
      <c r="C52" s="11"/>
      <c r="D52" s="11"/>
      <c r="E52" s="12"/>
      <c r="F52" s="11"/>
      <c r="G52" s="11"/>
      <c r="H52" s="11"/>
      <c r="I52" s="11"/>
      <c r="J52" s="11"/>
      <c r="K52" s="11"/>
      <c r="L52" s="11"/>
      <c r="M52" s="14"/>
      <c r="O52" s="14"/>
      <c r="P52" s="11"/>
      <c r="Q52" s="14"/>
      <c r="R52" s="11"/>
      <c r="S52" s="14"/>
      <c r="T52" s="14"/>
      <c r="U52" s="14"/>
      <c r="V52" s="11"/>
      <c r="W52" s="15"/>
      <c r="X52" s="52"/>
    </row>
    <row r="53" spans="1:24" ht="21" customHeight="1">
      <c r="A53" s="39"/>
      <c r="B53" s="40"/>
      <c r="C53" s="40"/>
      <c r="D53" s="40"/>
      <c r="E53" s="41"/>
      <c r="F53" s="40"/>
      <c r="G53" s="40"/>
      <c r="H53" s="40"/>
      <c r="I53" s="40"/>
      <c r="J53" s="40"/>
      <c r="K53" s="40"/>
      <c r="L53" s="40"/>
      <c r="M53" s="40"/>
      <c r="N53" s="40"/>
      <c r="O53" s="40"/>
      <c r="P53" s="40"/>
      <c r="Q53" s="40"/>
      <c r="R53" s="40"/>
      <c r="S53" s="40"/>
      <c r="T53" s="40"/>
      <c r="U53" s="40"/>
      <c r="V53" s="40"/>
      <c r="W53" s="42"/>
      <c r="X53" s="52"/>
    </row>
    <row r="54" spans="1:24" ht="21" customHeight="1">
      <c r="A54" s="39"/>
      <c r="B54" s="40"/>
      <c r="C54" s="40"/>
      <c r="D54" s="40"/>
      <c r="E54" s="41"/>
      <c r="F54" s="40"/>
      <c r="G54" s="40"/>
      <c r="H54" s="40"/>
      <c r="I54" s="40"/>
      <c r="J54" s="40"/>
      <c r="K54" s="40"/>
      <c r="L54" s="40"/>
      <c r="M54" s="40"/>
      <c r="N54" s="40"/>
      <c r="O54" s="40"/>
      <c r="P54" s="40"/>
      <c r="Q54" s="40"/>
      <c r="R54" s="40"/>
      <c r="S54" s="40"/>
      <c r="T54" s="40"/>
      <c r="U54" s="40"/>
      <c r="V54" s="40"/>
      <c r="W54" s="42"/>
      <c r="X54" s="52"/>
    </row>
    <row r="55" spans="1:24" ht="21" customHeight="1">
      <c r="A55" s="10"/>
      <c r="B55" s="11"/>
      <c r="C55" s="11"/>
      <c r="D55" s="11"/>
      <c r="E55" s="12"/>
      <c r="F55" s="11"/>
      <c r="G55" s="11"/>
      <c r="H55" s="11"/>
      <c r="I55" s="11"/>
      <c r="J55" s="11"/>
      <c r="K55" s="11"/>
      <c r="L55" s="11"/>
      <c r="M55" s="13"/>
      <c r="N55" s="11"/>
      <c r="O55" s="14"/>
      <c r="P55" s="11"/>
      <c r="Q55" s="14"/>
      <c r="R55" s="11"/>
      <c r="S55" s="14"/>
      <c r="T55" s="14"/>
      <c r="U55" s="14"/>
      <c r="V55" s="11"/>
      <c r="W55" s="18"/>
      <c r="X55" s="52"/>
    </row>
    <row r="56" spans="1:24" ht="21" customHeight="1">
      <c r="A56" s="10"/>
      <c r="B56" s="11"/>
      <c r="C56" s="11"/>
      <c r="D56" s="11"/>
      <c r="E56" s="12"/>
      <c r="F56" s="11"/>
      <c r="G56" s="11"/>
      <c r="H56" s="11"/>
      <c r="I56" s="11"/>
      <c r="J56" s="11"/>
      <c r="K56" s="11"/>
      <c r="L56" s="11"/>
      <c r="M56" s="13"/>
      <c r="N56" s="11"/>
      <c r="O56" s="11"/>
      <c r="P56" s="11"/>
      <c r="Q56" s="14"/>
      <c r="R56" s="11"/>
      <c r="S56" s="14"/>
      <c r="T56" s="14"/>
      <c r="U56" s="14"/>
      <c r="V56" s="17"/>
      <c r="W56" s="18"/>
      <c r="X56" s="52"/>
    </row>
    <row r="57" spans="1:24" ht="21" customHeight="1" thickBot="1">
      <c r="A57" s="10"/>
      <c r="B57" s="11"/>
      <c r="C57" s="11"/>
      <c r="D57" s="11"/>
      <c r="E57" s="12"/>
      <c r="F57" s="11"/>
      <c r="G57" s="11"/>
      <c r="H57" s="11"/>
      <c r="I57" s="11"/>
      <c r="J57" s="11"/>
      <c r="K57" s="11"/>
      <c r="L57" s="11"/>
      <c r="M57" s="13"/>
      <c r="N57" s="11"/>
      <c r="O57" s="11"/>
      <c r="P57" s="11"/>
      <c r="Q57" s="14"/>
      <c r="R57" s="11"/>
      <c r="S57" s="14"/>
      <c r="T57" s="14"/>
      <c r="U57" s="14"/>
      <c r="V57" s="17"/>
      <c r="W57" s="18"/>
      <c r="X57" s="52"/>
    </row>
    <row r="58" spans="1:24" ht="20.45" customHeight="1">
      <c r="A58" s="1" t="s">
        <v>165</v>
      </c>
      <c r="B58" s="2" t="s">
        <v>1</v>
      </c>
      <c r="C58" s="2" t="s">
        <v>2</v>
      </c>
      <c r="D58" s="2" t="s">
        <v>3</v>
      </c>
      <c r="E58" s="3" t="s">
        <v>4</v>
      </c>
      <c r="F58" s="2" t="s">
        <v>5</v>
      </c>
      <c r="G58" s="2" t="s">
        <v>6</v>
      </c>
      <c r="H58" s="2" t="s">
        <v>7</v>
      </c>
      <c r="I58" s="4" t="s">
        <v>8</v>
      </c>
      <c r="J58" s="2" t="s">
        <v>9</v>
      </c>
      <c r="K58" s="2" t="s">
        <v>10</v>
      </c>
      <c r="L58" s="2" t="s">
        <v>11</v>
      </c>
      <c r="M58" s="6" t="s">
        <v>12</v>
      </c>
      <c r="N58" s="6" t="s">
        <v>13</v>
      </c>
      <c r="O58" s="7" t="s">
        <v>14</v>
      </c>
      <c r="P58" s="8" t="s">
        <v>161</v>
      </c>
      <c r="Q58" s="8" t="s">
        <v>158</v>
      </c>
      <c r="R58" s="7" t="s">
        <v>148</v>
      </c>
      <c r="S58" s="7" t="s">
        <v>149</v>
      </c>
      <c r="T58" s="7" t="s">
        <v>150</v>
      </c>
      <c r="U58" s="7" t="s">
        <v>77</v>
      </c>
      <c r="V58" s="8" t="s">
        <v>21</v>
      </c>
      <c r="W58" s="24" t="s">
        <v>22</v>
      </c>
      <c r="X58" s="52" t="s">
        <v>170</v>
      </c>
    </row>
    <row r="59" spans="1:24" ht="20.45" customHeight="1">
      <c r="A59" s="10" t="s">
        <v>79</v>
      </c>
      <c r="B59" s="11">
        <v>9.8379629629629633E-3</v>
      </c>
      <c r="C59" s="11">
        <v>2.9745370370370373E-3</v>
      </c>
      <c r="D59" s="11">
        <f t="shared" ref="D59:D66" si="24">B59*E59</f>
        <v>5.7237268518518522E-3</v>
      </c>
      <c r="E59" s="12">
        <v>0.58179999999999998</v>
      </c>
      <c r="F59" s="11">
        <f t="shared" ref="F59:F66" si="25">C59/4</f>
        <v>7.4363425925925931E-4</v>
      </c>
      <c r="G59" s="11">
        <f t="shared" ref="G59:G66" si="26">D59/7.5</f>
        <v>7.6316358024691364E-4</v>
      </c>
      <c r="H59" s="11">
        <f t="shared" ref="H59:H66" si="27">B59/12.5</f>
        <v>7.8703703703703705E-4</v>
      </c>
      <c r="I59" s="11">
        <f t="shared" ref="I59:I66" si="28">G59/0.93</f>
        <v>8.2060600026549854E-4</v>
      </c>
      <c r="J59" s="11">
        <f t="shared" ref="J59:J66" si="29">G59/0.92</f>
        <v>8.29525630703167E-4</v>
      </c>
      <c r="K59" s="11">
        <f t="shared" ref="K59:K66" si="30">G59/0.88</f>
        <v>8.6723134118967459E-4</v>
      </c>
      <c r="L59" s="11">
        <f t="shared" ref="L59:L66" si="31">G59/0.84</f>
        <v>9.085280717225163E-4</v>
      </c>
      <c r="M59" s="25">
        <f>WO2025Jan7men119151719232529313335394143454749555759636567697173757779131719212327293335394345[[#This Row],[Thresh]]</f>
        <v>8.6723134118967459E-4</v>
      </c>
      <c r="N59" s="28">
        <f>WO2025Jan7men119151719232529313335394143454749555759636567697173757779131719212327293335394345[[#This Row],[Thresh]]*2.5</f>
        <v>2.1680783529741867E-3</v>
      </c>
      <c r="O59" s="25">
        <f>WO2025Jan7men119151719232529313335394143454749555759636567697173757779131719212327293335394345[[#This Row],[CV]]</f>
        <v>8.29525630703167E-4</v>
      </c>
      <c r="P59" s="28">
        <f>WO2025Jan7men119151719232529313335394143454749555759636567697173757779131719212327293335394345[[#This Row],[CV]]*2.5</f>
        <v>2.0738140767579175E-3</v>
      </c>
      <c r="Q59" s="25">
        <f>WO2025Jan7men119151719232529313335394143454749555759636567697173757779131719212327293335394345[[#This Row],[VO2]]</f>
        <v>7.6316358024691364E-4</v>
      </c>
      <c r="R59" s="25"/>
      <c r="S59" s="25"/>
      <c r="T59" s="25"/>
      <c r="U59" s="28"/>
      <c r="V59" s="25"/>
      <c r="W59" s="15" t="s">
        <v>26</v>
      </c>
      <c r="X59" s="52"/>
    </row>
    <row r="60" spans="1:24" ht="20.45" customHeight="1">
      <c r="A60" s="10" t="s">
        <v>109</v>
      </c>
      <c r="B60" s="11">
        <v>9.8379629629629633E-3</v>
      </c>
      <c r="C60" s="11">
        <v>2.9745370370370373E-3</v>
      </c>
      <c r="D60" s="11">
        <f t="shared" si="24"/>
        <v>5.7237268518518522E-3</v>
      </c>
      <c r="E60" s="12">
        <v>0.58179999999999998</v>
      </c>
      <c r="F60" s="11">
        <f t="shared" si="25"/>
        <v>7.4363425925925931E-4</v>
      </c>
      <c r="G60" s="11">
        <f t="shared" si="26"/>
        <v>7.6316358024691364E-4</v>
      </c>
      <c r="H60" s="11">
        <f t="shared" si="27"/>
        <v>7.8703703703703705E-4</v>
      </c>
      <c r="I60" s="11">
        <f t="shared" si="28"/>
        <v>8.2060600026549854E-4</v>
      </c>
      <c r="J60" s="11">
        <f t="shared" si="29"/>
        <v>8.29525630703167E-4</v>
      </c>
      <c r="K60" s="11">
        <f t="shared" si="30"/>
        <v>8.6723134118967459E-4</v>
      </c>
      <c r="L60" s="11">
        <f t="shared" si="31"/>
        <v>9.085280717225163E-4</v>
      </c>
      <c r="M60" s="25">
        <f>WO2025Jan7men119151719232529313335394143454749555759636567697173757779131719212327293335394345[[#This Row],[Thresh]]</f>
        <v>8.6723134118967459E-4</v>
      </c>
      <c r="N60" s="28">
        <f>WO2025Jan7men119151719232529313335394143454749555759636567697173757779131719212327293335394345[[#This Row],[Thresh]]*2.5</f>
        <v>2.1680783529741867E-3</v>
      </c>
      <c r="O60" s="25">
        <f>WO2025Jan7men119151719232529313335394143454749555759636567697173757779131719212327293335394345[[#This Row],[CV]]</f>
        <v>8.29525630703167E-4</v>
      </c>
      <c r="P60" s="28">
        <f>WO2025Jan7men119151719232529313335394143454749555759636567697173757779131719212327293335394345[[#This Row],[CV]]*2.5</f>
        <v>2.0738140767579175E-3</v>
      </c>
      <c r="Q60" s="25">
        <f>WO2025Jan7men119151719232529313335394143454749555759636567697173757779131719212327293335394345[[#This Row],[VO2]]</f>
        <v>7.6316358024691364E-4</v>
      </c>
      <c r="R60" s="25"/>
      <c r="S60" s="25"/>
      <c r="T60" s="25"/>
      <c r="U60" s="28"/>
      <c r="V60" s="25"/>
      <c r="W60" s="15" t="s">
        <v>26</v>
      </c>
      <c r="X60" s="52"/>
    </row>
    <row r="61" spans="1:24" ht="20.45" customHeight="1">
      <c r="A61" s="10" t="s">
        <v>80</v>
      </c>
      <c r="B61" s="11">
        <v>9.8379629629629633E-3</v>
      </c>
      <c r="C61" s="11">
        <v>2.8587962962962963E-3</v>
      </c>
      <c r="D61" s="11">
        <f t="shared" si="24"/>
        <v>5.7237268518518522E-3</v>
      </c>
      <c r="E61" s="12">
        <v>0.58179999999999998</v>
      </c>
      <c r="F61" s="11">
        <f t="shared" si="25"/>
        <v>7.1469907407407409E-4</v>
      </c>
      <c r="G61" s="11">
        <f t="shared" si="26"/>
        <v>7.6316358024691364E-4</v>
      </c>
      <c r="H61" s="11">
        <f t="shared" si="27"/>
        <v>7.8703703703703705E-4</v>
      </c>
      <c r="I61" s="11">
        <f t="shared" si="28"/>
        <v>8.2060600026549854E-4</v>
      </c>
      <c r="J61" s="11">
        <f t="shared" si="29"/>
        <v>8.29525630703167E-4</v>
      </c>
      <c r="K61" s="11">
        <f t="shared" si="30"/>
        <v>8.6723134118967459E-4</v>
      </c>
      <c r="L61" s="11">
        <f t="shared" si="31"/>
        <v>9.085280717225163E-4</v>
      </c>
      <c r="M61" s="25">
        <f>WO2025Jan7men119151719232529313335394143454749555759636567697173757779131719212327293335394345[[#This Row],[Thresh]]</f>
        <v>8.6723134118967459E-4</v>
      </c>
      <c r="N61" s="28">
        <f>WO2025Jan7men119151719232529313335394143454749555759636567697173757779131719212327293335394345[[#This Row],[Thresh]]*2.5</f>
        <v>2.1680783529741867E-3</v>
      </c>
      <c r="O61" s="25">
        <f>WO2025Jan7men119151719232529313335394143454749555759636567697173757779131719212327293335394345[[#This Row],[CV]]</f>
        <v>8.29525630703167E-4</v>
      </c>
      <c r="P61" s="28">
        <f>WO2025Jan7men119151719232529313335394143454749555759636567697173757779131719212327293335394345[[#This Row],[CV]]*2.5</f>
        <v>2.0738140767579175E-3</v>
      </c>
      <c r="Q61" s="25">
        <f>WO2025Jan7men119151719232529313335394143454749555759636567697173757779131719212327293335394345[[#This Row],[VO2]]</f>
        <v>7.6316358024691364E-4</v>
      </c>
      <c r="R61" s="25"/>
      <c r="S61" s="25"/>
      <c r="T61" s="25"/>
      <c r="U61" s="28"/>
      <c r="V61" s="25"/>
      <c r="W61" s="15" t="s">
        <v>26</v>
      </c>
      <c r="X61" s="52"/>
    </row>
    <row r="62" spans="1:24" ht="20.45" customHeight="1">
      <c r="A62" s="10" t="s">
        <v>81</v>
      </c>
      <c r="B62" s="11">
        <v>9.9537037037037042E-3</v>
      </c>
      <c r="C62" s="11">
        <v>2.9745370370370373E-3</v>
      </c>
      <c r="D62" s="11">
        <f t="shared" si="24"/>
        <v>5.7910648148148149E-3</v>
      </c>
      <c r="E62" s="12">
        <v>0.58179999999999998</v>
      </c>
      <c r="F62" s="11">
        <f t="shared" si="25"/>
        <v>7.4363425925925931E-4</v>
      </c>
      <c r="G62" s="11">
        <f t="shared" si="26"/>
        <v>7.7214197530864196E-4</v>
      </c>
      <c r="H62" s="11">
        <f t="shared" si="27"/>
        <v>7.9629629629629636E-4</v>
      </c>
      <c r="I62" s="11">
        <f t="shared" si="28"/>
        <v>8.3026018850391602E-4</v>
      </c>
      <c r="J62" s="11">
        <f t="shared" si="29"/>
        <v>8.3928475577026292E-4</v>
      </c>
      <c r="K62" s="11">
        <f t="shared" si="30"/>
        <v>8.7743406285072947E-4</v>
      </c>
      <c r="L62" s="11">
        <f t="shared" si="31"/>
        <v>9.1921663727219285E-4</v>
      </c>
      <c r="M62" s="25">
        <f>WO2025Jan7men119151719232529313335394143454749555759636567697173757779131719212327293335394345[[#This Row],[Thresh]]</f>
        <v>8.7743406285072947E-4</v>
      </c>
      <c r="N62" s="28">
        <f>WO2025Jan7men119151719232529313335394143454749555759636567697173757779131719212327293335394345[[#This Row],[Thresh]]*2.5</f>
        <v>2.1935851571268238E-3</v>
      </c>
      <c r="O62" s="25">
        <f>WO2025Jan7men119151719232529313335394143454749555759636567697173757779131719212327293335394345[[#This Row],[CV]]</f>
        <v>8.3928475577026292E-4</v>
      </c>
      <c r="P62" s="28">
        <f>WO2025Jan7men119151719232529313335394143454749555759636567697173757779131719212327293335394345[[#This Row],[CV]]*2.5</f>
        <v>2.0982118894256573E-3</v>
      </c>
      <c r="Q62" s="25">
        <f>WO2025Jan7men119151719232529313335394143454749555759636567697173757779131719212327293335394345[[#This Row],[VO2]]</f>
        <v>7.7214197530864196E-4</v>
      </c>
      <c r="R62" s="25"/>
      <c r="S62" s="25"/>
      <c r="T62" s="25"/>
      <c r="U62" s="28"/>
      <c r="V62" s="25"/>
      <c r="W62" s="15" t="s">
        <v>26</v>
      </c>
      <c r="X62" s="52"/>
    </row>
    <row r="63" spans="1:24" ht="20.45" customHeight="1">
      <c r="A63" s="10" t="s">
        <v>82</v>
      </c>
      <c r="B63" s="11">
        <v>9.9537037037037042E-3</v>
      </c>
      <c r="C63" s="11">
        <v>2.8935185185185188E-3</v>
      </c>
      <c r="D63" s="11">
        <f t="shared" si="24"/>
        <v>5.7910648148148149E-3</v>
      </c>
      <c r="E63" s="12">
        <v>0.58179999999999998</v>
      </c>
      <c r="F63" s="11">
        <f t="shared" si="25"/>
        <v>7.233796296296297E-4</v>
      </c>
      <c r="G63" s="11">
        <f t="shared" si="26"/>
        <v>7.7214197530864196E-4</v>
      </c>
      <c r="H63" s="11">
        <f t="shared" si="27"/>
        <v>7.9629629629629636E-4</v>
      </c>
      <c r="I63" s="11">
        <f t="shared" si="28"/>
        <v>8.3026018850391602E-4</v>
      </c>
      <c r="J63" s="11">
        <f t="shared" si="29"/>
        <v>8.3928475577026292E-4</v>
      </c>
      <c r="K63" s="11">
        <f t="shared" si="30"/>
        <v>8.7743406285072947E-4</v>
      </c>
      <c r="L63" s="11">
        <f t="shared" si="31"/>
        <v>9.1921663727219285E-4</v>
      </c>
      <c r="M63" s="25">
        <f>WO2025Jan7men119151719232529313335394143454749555759636567697173757779131719212327293335394345[[#This Row],[Thresh]]</f>
        <v>8.7743406285072947E-4</v>
      </c>
      <c r="N63" s="28">
        <f>WO2025Jan7men119151719232529313335394143454749555759636567697173757779131719212327293335394345[[#This Row],[Thresh]]*2.5</f>
        <v>2.1935851571268238E-3</v>
      </c>
      <c r="O63" s="25">
        <f>WO2025Jan7men119151719232529313335394143454749555759636567697173757779131719212327293335394345[[#This Row],[CV]]</f>
        <v>8.3928475577026292E-4</v>
      </c>
      <c r="P63" s="28">
        <f>WO2025Jan7men119151719232529313335394143454749555759636567697173757779131719212327293335394345[[#This Row],[CV]]*2.5</f>
        <v>2.0982118894256573E-3</v>
      </c>
      <c r="Q63" s="25">
        <f>WO2025Jan7men119151719232529313335394143454749555759636567697173757779131719212327293335394345[[#This Row],[VO2]]</f>
        <v>7.7214197530864196E-4</v>
      </c>
      <c r="R63" s="25"/>
      <c r="S63" s="25"/>
      <c r="T63" s="25"/>
      <c r="U63" s="28"/>
      <c r="V63" s="25"/>
      <c r="W63" s="15" t="s">
        <v>26</v>
      </c>
      <c r="X63" s="52"/>
    </row>
    <row r="64" spans="1:24" ht="20.45" customHeight="1">
      <c r="A64" s="10" t="s">
        <v>110</v>
      </c>
      <c r="B64" s="11">
        <v>1.0069444444444445E-2</v>
      </c>
      <c r="C64" s="11">
        <v>2.8935185185185184E-3</v>
      </c>
      <c r="D64" s="11">
        <f t="shared" si="24"/>
        <v>5.8584027777777783E-3</v>
      </c>
      <c r="E64" s="12">
        <v>0.58179999999999998</v>
      </c>
      <c r="F64" s="11">
        <f t="shared" si="25"/>
        <v>7.2337962962962959E-4</v>
      </c>
      <c r="G64" s="11">
        <f t="shared" si="26"/>
        <v>7.811203703703705E-4</v>
      </c>
      <c r="H64" s="11">
        <f t="shared" si="27"/>
        <v>8.0555555555555556E-4</v>
      </c>
      <c r="I64" s="11">
        <f t="shared" si="28"/>
        <v>8.3991437674233382E-4</v>
      </c>
      <c r="J64" s="11">
        <f t="shared" si="29"/>
        <v>8.4904388083735917E-4</v>
      </c>
      <c r="K64" s="11">
        <f t="shared" si="30"/>
        <v>8.8763678451178466E-4</v>
      </c>
      <c r="L64" s="11">
        <f t="shared" si="31"/>
        <v>9.2990520282186973E-4</v>
      </c>
      <c r="M64" s="25">
        <f>WO2025Jan7men119151719232529313335394143454749555759636567697173757779131719212327293335394345[[#This Row],[Thresh]]</f>
        <v>8.8763678451178466E-4</v>
      </c>
      <c r="N64" s="28">
        <f>WO2025Jan7men119151719232529313335394143454749555759636567697173757779131719212327293335394345[[#This Row],[Thresh]]*2.5</f>
        <v>2.2190919612794617E-3</v>
      </c>
      <c r="O64" s="25">
        <f>WO2025Jan7men119151719232529313335394143454749555759636567697173757779131719212327293335394345[[#This Row],[CV]]</f>
        <v>8.4904388083735917E-4</v>
      </c>
      <c r="P64" s="28">
        <f>WO2025Jan7men119151719232529313335394143454749555759636567697173757779131719212327293335394345[[#This Row],[CV]]*2.5</f>
        <v>2.1226097020933979E-3</v>
      </c>
      <c r="Q64" s="25">
        <f>WO2025Jan7men119151719232529313335394143454749555759636567697173757779131719212327293335394345[[#This Row],[VO2]]</f>
        <v>7.811203703703705E-4</v>
      </c>
      <c r="R64" s="25"/>
      <c r="S64" s="25"/>
      <c r="T64" s="25"/>
      <c r="U64" s="28"/>
      <c r="V64" s="25"/>
      <c r="W64" s="15" t="s">
        <v>26</v>
      </c>
      <c r="X64" s="52"/>
    </row>
    <row r="65" spans="1:24" ht="20.45" customHeight="1">
      <c r="A65" s="10" t="s">
        <v>83</v>
      </c>
      <c r="B65" s="11">
        <v>1.0069444444444445E-2</v>
      </c>
      <c r="C65" s="11">
        <v>3.0671296296296297E-3</v>
      </c>
      <c r="D65" s="11">
        <f t="shared" si="24"/>
        <v>5.8584027777777783E-3</v>
      </c>
      <c r="E65" s="12">
        <v>0.58179999999999998</v>
      </c>
      <c r="F65" s="11">
        <f t="shared" si="25"/>
        <v>7.6678240740740743E-4</v>
      </c>
      <c r="G65" s="11">
        <f t="shared" si="26"/>
        <v>7.811203703703705E-4</v>
      </c>
      <c r="H65" s="11">
        <f t="shared" si="27"/>
        <v>8.0555555555555556E-4</v>
      </c>
      <c r="I65" s="11">
        <f t="shared" si="28"/>
        <v>8.3991437674233382E-4</v>
      </c>
      <c r="J65" s="11">
        <f t="shared" si="29"/>
        <v>8.4904388083735917E-4</v>
      </c>
      <c r="K65" s="11">
        <f t="shared" si="30"/>
        <v>8.8763678451178466E-4</v>
      </c>
      <c r="L65" s="11">
        <f t="shared" si="31"/>
        <v>9.2990520282186973E-4</v>
      </c>
      <c r="M65" s="25">
        <f>WO2025Jan7men119151719232529313335394143454749555759636567697173757779131719212327293335394345[[#This Row],[Thresh]]</f>
        <v>8.8763678451178466E-4</v>
      </c>
      <c r="N65" s="28">
        <f>WO2025Jan7men119151719232529313335394143454749555759636567697173757779131719212327293335394345[[#This Row],[Thresh]]*2.5</f>
        <v>2.2190919612794617E-3</v>
      </c>
      <c r="O65" s="25">
        <f>WO2025Jan7men119151719232529313335394143454749555759636567697173757779131719212327293335394345[[#This Row],[CV]]</f>
        <v>8.4904388083735917E-4</v>
      </c>
      <c r="P65" s="28">
        <f>WO2025Jan7men119151719232529313335394143454749555759636567697173757779131719212327293335394345[[#This Row],[CV]]*2.5</f>
        <v>2.1226097020933979E-3</v>
      </c>
      <c r="Q65" s="25">
        <f>WO2025Jan7men119151719232529313335394143454749555759636567697173757779131719212327293335394345[[#This Row],[VO2]]</f>
        <v>7.811203703703705E-4</v>
      </c>
      <c r="R65" s="25"/>
      <c r="S65" s="25"/>
      <c r="T65" s="25"/>
      <c r="U65" s="28"/>
      <c r="V65" s="25"/>
      <c r="W65" s="15" t="s">
        <v>26</v>
      </c>
      <c r="X65" s="52"/>
    </row>
    <row r="66" spans="1:24" ht="20.45" customHeight="1">
      <c r="A66" s="10" t="s">
        <v>111</v>
      </c>
      <c r="B66" s="11">
        <v>1.0069444444444445E-2</v>
      </c>
      <c r="C66" s="11">
        <v>3.0092592592592588E-3</v>
      </c>
      <c r="D66" s="11">
        <f t="shared" si="24"/>
        <v>5.8584027777777783E-3</v>
      </c>
      <c r="E66" s="12">
        <v>0.58179999999999998</v>
      </c>
      <c r="F66" s="11">
        <f t="shared" si="25"/>
        <v>7.5231481481481471E-4</v>
      </c>
      <c r="G66" s="11">
        <f t="shared" si="26"/>
        <v>7.811203703703705E-4</v>
      </c>
      <c r="H66" s="11">
        <f t="shared" si="27"/>
        <v>8.0555555555555556E-4</v>
      </c>
      <c r="I66" s="11">
        <f t="shared" si="28"/>
        <v>8.3991437674233382E-4</v>
      </c>
      <c r="J66" s="11">
        <f t="shared" si="29"/>
        <v>8.4904388083735917E-4</v>
      </c>
      <c r="K66" s="11">
        <f t="shared" si="30"/>
        <v>8.8763678451178466E-4</v>
      </c>
      <c r="L66" s="11">
        <f t="shared" si="31"/>
        <v>9.2990520282186973E-4</v>
      </c>
      <c r="M66" s="25">
        <f>WO2025Jan7men119151719232529313335394143454749555759636567697173757779131719212327293335394345[[#This Row],[Thresh]]</f>
        <v>8.8763678451178466E-4</v>
      </c>
      <c r="N66" s="28">
        <f>WO2025Jan7men119151719232529313335394143454749555759636567697173757779131719212327293335394345[[#This Row],[Thresh]]*2.5</f>
        <v>2.2190919612794617E-3</v>
      </c>
      <c r="O66" s="25">
        <f>WO2025Jan7men119151719232529313335394143454749555759636567697173757779131719212327293335394345[[#This Row],[CV]]</f>
        <v>8.4904388083735917E-4</v>
      </c>
      <c r="P66" s="28">
        <f>WO2025Jan7men119151719232529313335394143454749555759636567697173757779131719212327293335394345[[#This Row],[CV]]*2.5</f>
        <v>2.1226097020933979E-3</v>
      </c>
      <c r="Q66" s="25">
        <f>WO2025Jan7men119151719232529313335394143454749555759636567697173757779131719212327293335394345[[#This Row],[VO2]]</f>
        <v>7.811203703703705E-4</v>
      </c>
      <c r="R66" s="25"/>
      <c r="S66" s="25"/>
      <c r="T66" s="25"/>
      <c r="U66" s="28"/>
      <c r="V66" s="25"/>
      <c r="W66" s="15" t="s">
        <v>26</v>
      </c>
      <c r="X66" s="52"/>
    </row>
    <row r="67" spans="1:24" ht="20.45" customHeight="1">
      <c r="A67" s="10"/>
      <c r="B67" s="11"/>
      <c r="C67" s="11"/>
      <c r="D67" s="11"/>
      <c r="E67" s="12"/>
      <c r="F67" s="11"/>
      <c r="G67" s="11"/>
      <c r="H67" s="11"/>
      <c r="I67" s="11"/>
      <c r="J67" s="11"/>
      <c r="K67" s="11"/>
      <c r="L67" s="11"/>
      <c r="M67" s="25"/>
      <c r="N67" s="28"/>
      <c r="O67" s="25"/>
      <c r="P67" s="25"/>
      <c r="Q67" s="25"/>
      <c r="R67" s="28"/>
      <c r="S67" s="25"/>
      <c r="T67" s="25"/>
      <c r="U67" s="28"/>
      <c r="V67" s="25"/>
      <c r="W67" s="15"/>
      <c r="X67" s="52"/>
    </row>
    <row r="68" spans="1:24" ht="20.45" customHeight="1">
      <c r="A68" s="19"/>
      <c r="B68" s="6"/>
      <c r="C68" s="6"/>
      <c r="D68" s="6"/>
      <c r="E68" s="20"/>
      <c r="F68" s="6"/>
      <c r="G68" s="6"/>
      <c r="H68" s="6"/>
      <c r="I68" s="6"/>
      <c r="J68" s="6"/>
      <c r="K68" s="6"/>
      <c r="L68" s="6"/>
      <c r="M68" s="6" t="s">
        <v>12</v>
      </c>
      <c r="N68" s="6" t="s">
        <v>13</v>
      </c>
      <c r="O68" s="6" t="s">
        <v>155</v>
      </c>
      <c r="P68" s="6" t="s">
        <v>166</v>
      </c>
      <c r="Q68" s="6" t="s">
        <v>167</v>
      </c>
      <c r="R68" s="6"/>
      <c r="S68" s="6"/>
      <c r="T68" s="6"/>
      <c r="U68" s="6"/>
      <c r="V68" s="23"/>
      <c r="W68" s="35"/>
      <c r="X68" s="52" t="s">
        <v>171</v>
      </c>
    </row>
    <row r="69" spans="1:24" ht="20.45" customHeight="1">
      <c r="A69" s="10" t="s">
        <v>94</v>
      </c>
      <c r="B69" s="11">
        <v>1.0416666666666666E-2</v>
      </c>
      <c r="C69" s="11">
        <v>2.8935185185185188E-3</v>
      </c>
      <c r="D69" s="11">
        <f>B69*E69</f>
        <v>6.0604166666666662E-3</v>
      </c>
      <c r="E69" s="12">
        <v>0.58179999999999998</v>
      </c>
      <c r="F69" s="11">
        <f>C69/4</f>
        <v>7.233796296296297E-4</v>
      </c>
      <c r="G69" s="11">
        <f>D69/7.5</f>
        <v>8.0805555555555546E-4</v>
      </c>
      <c r="H69" s="11">
        <f>B69/12.5</f>
        <v>8.3333333333333328E-4</v>
      </c>
      <c r="I69" s="11">
        <f>G69/0.93</f>
        <v>8.6887694145758646E-4</v>
      </c>
      <c r="J69" s="11">
        <f>G69/0.92</f>
        <v>8.7832125603864715E-4</v>
      </c>
      <c r="K69" s="11">
        <f>G69/0.88</f>
        <v>9.1824494949494938E-4</v>
      </c>
      <c r="L69" s="17">
        <f>G69/0.84</f>
        <v>9.6197089947089938E-4</v>
      </c>
      <c r="M69" s="25">
        <f>WO2025Jan7men119151719232529313335394143454749555759636567697173757779131719212327293335394345[[#This Row],[Thresh]]</f>
        <v>9.1824494949494938E-4</v>
      </c>
      <c r="N69" s="28">
        <f>WO2025Jan7men119151719232529313335394143454749555759636567697173757779131719212327293335394345[[#This Row],[Thresh]]*2.5</f>
        <v>2.2956123737373733E-3</v>
      </c>
      <c r="O69" s="25">
        <f>WO2025Jan7men119151719232529313335394143454749555759636567697173757779131719212327293335394345[[#This Row],[Thresh]]*2</f>
        <v>1.8364898989898988E-3</v>
      </c>
      <c r="P69" s="28">
        <f>(WO2025Jan7men119151719232529313335394143454749555759636567697173757779131719212327293335394345[[#This Row],[R]]-0.0000115740740740741)/2</f>
        <v>3.5590277777777779E-4</v>
      </c>
      <c r="Q69" s="25">
        <f>WO2025Jan7men119151719232529313335394143454749555759636567697173757779131719212327293335394345[[#This Row],[1k CV]]*1.5</f>
        <v>5.3385416666666663E-4</v>
      </c>
      <c r="R69" s="28"/>
      <c r="S69" s="25"/>
      <c r="T69" s="25"/>
      <c r="U69" s="28"/>
      <c r="V69" s="25"/>
      <c r="W69" s="15" t="s">
        <v>48</v>
      </c>
      <c r="X69" s="52"/>
    </row>
    <row r="70" spans="1:24" ht="20.45" customHeight="1">
      <c r="A70" s="10" t="s">
        <v>96</v>
      </c>
      <c r="B70" s="11">
        <v>1.0648148148148148E-2</v>
      </c>
      <c r="C70" s="11">
        <v>2.9513888888888888E-3</v>
      </c>
      <c r="D70" s="11">
        <f>B70*E70</f>
        <v>6.1950925925925923E-3</v>
      </c>
      <c r="E70" s="12">
        <v>0.58179999999999998</v>
      </c>
      <c r="F70" s="11">
        <f>C70/4</f>
        <v>7.378472222222222E-4</v>
      </c>
      <c r="G70" s="11">
        <f>D70/7.5</f>
        <v>8.2601234567901232E-4</v>
      </c>
      <c r="H70" s="11">
        <f>B70/12.5</f>
        <v>8.5185185185185179E-4</v>
      </c>
      <c r="I70" s="11">
        <f>G70/0.93</f>
        <v>8.8818531793442184E-4</v>
      </c>
      <c r="J70" s="11">
        <f>G70/0.92</f>
        <v>8.9783950617283942E-4</v>
      </c>
      <c r="K70" s="11">
        <f>G70/0.88</f>
        <v>9.3865039281705945E-4</v>
      </c>
      <c r="L70" s="17">
        <f>G70/0.84</f>
        <v>9.833480305702527E-4</v>
      </c>
      <c r="M70" s="25">
        <f>WO2025Jan7men119151719232529313335394143454749555759636567697173757779131719212327293335394345[[#This Row],[Thresh]]</f>
        <v>9.3865039281705945E-4</v>
      </c>
      <c r="N70" s="28">
        <f>WO2025Jan7men119151719232529313335394143454749555759636567697173757779131719212327293335394345[[#This Row],[Thresh]]*2.5</f>
        <v>2.3466259820426488E-3</v>
      </c>
      <c r="O70" s="25">
        <f>WO2025Jan7men119151719232529313335394143454749555759636567697173757779131719212327293335394345[[#This Row],[Thresh]]*2</f>
        <v>1.8773007856341189E-3</v>
      </c>
      <c r="P70" s="28">
        <f>(WO2025Jan7men119151719232529313335394143454749555759636567697173757779131719212327293335394345[[#This Row],[R]]-0.0000115740740740741)/2</f>
        <v>3.6313657407407405E-4</v>
      </c>
      <c r="Q70" s="25">
        <f>WO2025Jan7men119151719232529313335394143454749555759636567697173757779131719212327293335394345[[#This Row],[1k CV]]*1.5</f>
        <v>5.4470486111111104E-4</v>
      </c>
      <c r="R70" s="28"/>
      <c r="S70" s="25"/>
      <c r="T70" s="25"/>
      <c r="U70" s="28"/>
      <c r="V70" s="25"/>
      <c r="W70" s="15" t="s">
        <v>48</v>
      </c>
      <c r="X70" s="52"/>
    </row>
    <row r="71" spans="1:24" ht="20.45" customHeight="1">
      <c r="A71" s="10" t="s">
        <v>98</v>
      </c>
      <c r="B71" s="11">
        <v>1.1111111111111112E-2</v>
      </c>
      <c r="C71" s="11">
        <v>3.0671296296296297E-3</v>
      </c>
      <c r="D71" s="11">
        <f t="shared" ref="D71:D74" si="32">B71*E71</f>
        <v>6.4644444444444445E-3</v>
      </c>
      <c r="E71" s="12">
        <v>0.58179999999999998</v>
      </c>
      <c r="F71" s="11">
        <f t="shared" ref="F71:F74" si="33">C71/4</f>
        <v>7.6678240740740743E-4</v>
      </c>
      <c r="G71" s="11">
        <f t="shared" ref="G71:G74" si="34">D71/7.5</f>
        <v>8.6192592592592592E-4</v>
      </c>
      <c r="H71" s="11">
        <f t="shared" ref="H71:H74" si="35">B71/12.5</f>
        <v>8.8888888888888893E-4</v>
      </c>
      <c r="I71" s="11">
        <f t="shared" ref="I71:I74" si="36">G71/0.93</f>
        <v>9.2680207088809239E-4</v>
      </c>
      <c r="J71" s="11">
        <f t="shared" ref="J71:J74" si="37">G71/0.92</f>
        <v>9.3687600644122375E-4</v>
      </c>
      <c r="K71" s="11">
        <f t="shared" ref="K71:K74" si="38">G71/0.88</f>
        <v>9.7946127946127947E-4</v>
      </c>
      <c r="L71" s="11">
        <f t="shared" ref="L71:L74" si="39">G71/0.84</f>
        <v>1.0261022927689596E-3</v>
      </c>
      <c r="M71" s="25">
        <f>WO2025Jan7men119151719232529313335394143454749555759636567697173757779131719212327293335394345[[#This Row],[Thresh]]</f>
        <v>9.7946127946127947E-4</v>
      </c>
      <c r="N71" s="28">
        <f>WO2025Jan7men119151719232529313335394143454749555759636567697173757779131719212327293335394345[[#This Row],[Thresh]]*2.5</f>
        <v>2.4486531986531988E-3</v>
      </c>
      <c r="O71" s="25">
        <f>WO2025Jan7men119151719232529313335394143454749555759636567697173757779131719212327293335394345[[#This Row],[Thresh]]*2</f>
        <v>1.9589225589225589E-3</v>
      </c>
      <c r="P71" s="28">
        <f>(WO2025Jan7men119151719232529313335394143454749555759636567697173757779131719212327293335394345[[#This Row],[R]]-0.0000115740740740741)/2</f>
        <v>3.7760416666666666E-4</v>
      </c>
      <c r="Q71" s="25">
        <f>WO2025Jan7men119151719232529313335394143454749555759636567697173757779131719212327293335394345[[#This Row],[1k CV]]*1.5</f>
        <v>5.6640624999999996E-4</v>
      </c>
      <c r="R71" s="28"/>
      <c r="S71" s="25"/>
      <c r="T71" s="25"/>
      <c r="U71" s="28"/>
      <c r="V71" s="25"/>
      <c r="W71" s="27" t="s">
        <v>48</v>
      </c>
      <c r="X71" s="52"/>
    </row>
    <row r="72" spans="1:24" ht="20.45" customHeight="1">
      <c r="A72" s="10" t="s">
        <v>103</v>
      </c>
      <c r="B72" s="11">
        <v>1.1111111111111112E-2</v>
      </c>
      <c r="C72" s="11">
        <v>3.0671296296296297E-3</v>
      </c>
      <c r="D72" s="11">
        <f t="shared" si="32"/>
        <v>6.4644444444444445E-3</v>
      </c>
      <c r="E72" s="12">
        <v>0.58179999999999998</v>
      </c>
      <c r="F72" s="11">
        <f t="shared" si="33"/>
        <v>7.6678240740740743E-4</v>
      </c>
      <c r="G72" s="11">
        <f t="shared" si="34"/>
        <v>8.6192592592592592E-4</v>
      </c>
      <c r="H72" s="11">
        <f t="shared" si="35"/>
        <v>8.8888888888888893E-4</v>
      </c>
      <c r="I72" s="11">
        <f t="shared" si="36"/>
        <v>9.2680207088809239E-4</v>
      </c>
      <c r="J72" s="11">
        <f t="shared" si="37"/>
        <v>9.3687600644122375E-4</v>
      </c>
      <c r="K72" s="11">
        <f t="shared" si="38"/>
        <v>9.7946127946127947E-4</v>
      </c>
      <c r="L72" s="17">
        <f t="shared" si="39"/>
        <v>1.0261022927689596E-3</v>
      </c>
      <c r="M72" s="25">
        <f>WO2025Jan7men119151719232529313335394143454749555759636567697173757779131719212327293335394345[[#This Row],[Thresh]]</f>
        <v>9.7946127946127947E-4</v>
      </c>
      <c r="N72" s="28">
        <f>WO2025Jan7men119151719232529313335394143454749555759636567697173757779131719212327293335394345[[#This Row],[Thresh]]*2.5</f>
        <v>2.4486531986531988E-3</v>
      </c>
      <c r="O72" s="25">
        <f>WO2025Jan7men119151719232529313335394143454749555759636567697173757779131719212327293335394345[[#This Row],[Thresh]]*2</f>
        <v>1.9589225589225589E-3</v>
      </c>
      <c r="P72" s="28">
        <f>(WO2025Jan7men119151719232529313335394143454749555759636567697173757779131719212327293335394345[[#This Row],[R]]-0.0000115740740740741)/2</f>
        <v>3.7760416666666666E-4</v>
      </c>
      <c r="Q72" s="25">
        <f>WO2025Jan7men119151719232529313335394143454749555759636567697173757779131719212327293335394345[[#This Row],[1k CV]]*1.5</f>
        <v>5.6640624999999996E-4</v>
      </c>
      <c r="R72" s="28"/>
      <c r="S72" s="25"/>
      <c r="T72" s="25"/>
      <c r="U72" s="28"/>
      <c r="V72" s="25"/>
      <c r="W72" s="15" t="s">
        <v>48</v>
      </c>
      <c r="X72" s="52"/>
    </row>
    <row r="73" spans="1:24" ht="20.45" customHeight="1">
      <c r="A73" s="10" t="s">
        <v>99</v>
      </c>
      <c r="B73" s="11">
        <v>1.1458333333333333E-2</v>
      </c>
      <c r="C73" s="11">
        <v>3.0092592592592593E-3</v>
      </c>
      <c r="D73" s="11">
        <f>B73*E73</f>
        <v>6.6664583333333324E-3</v>
      </c>
      <c r="E73" s="12">
        <v>0.58179999999999998</v>
      </c>
      <c r="F73" s="11">
        <f>C73/4</f>
        <v>7.5231481481481482E-4</v>
      </c>
      <c r="G73" s="11">
        <f>D73/7.5</f>
        <v>8.8886111111111099E-4</v>
      </c>
      <c r="H73" s="11">
        <f>B73/12.5</f>
        <v>9.1666666666666665E-4</v>
      </c>
      <c r="I73" s="11">
        <f>G73/0.93</f>
        <v>9.5576463560334514E-4</v>
      </c>
      <c r="J73" s="11">
        <f>G73/0.92</f>
        <v>9.6615338164251195E-4</v>
      </c>
      <c r="K73" s="11">
        <f>G73/0.88</f>
        <v>1.0100694444444443E-3</v>
      </c>
      <c r="L73" s="11">
        <f>G73/0.84</f>
        <v>1.0581679894179892E-3</v>
      </c>
      <c r="M73" s="25">
        <f>WO2025Jan7men119151719232529313335394143454749555759636567697173757779131719212327293335394345[[#This Row],[Thresh]]</f>
        <v>1.0100694444444443E-3</v>
      </c>
      <c r="N73" s="28">
        <f>WO2025Jan7men119151719232529313335394143454749555759636567697173757779131719212327293335394345[[#This Row],[Thresh]]*2.5</f>
        <v>2.5251736111111108E-3</v>
      </c>
      <c r="O73" s="25">
        <f>WO2025Jan7men119151719232529313335394143454749555759636567697173757779131719212327293335394345[[#This Row],[Thresh]]*2</f>
        <v>2.0201388888888886E-3</v>
      </c>
      <c r="P73" s="28">
        <f>(WO2025Jan7men119151719232529313335394143454749555759636567697173757779131719212327293335394345[[#This Row],[R]]-0.0000115740740740741)/2</f>
        <v>3.7037037037037035E-4</v>
      </c>
      <c r="Q73" s="25">
        <f>WO2025Jan7men119151719232529313335394143454749555759636567697173757779131719212327293335394345[[#This Row],[1k CV]]*1.5</f>
        <v>5.5555555555555556E-4</v>
      </c>
      <c r="R73" s="28"/>
      <c r="S73" s="25"/>
      <c r="T73" s="25"/>
      <c r="U73" s="28"/>
      <c r="V73" s="25"/>
      <c r="W73" s="27" t="s">
        <v>48</v>
      </c>
      <c r="X73" s="52"/>
    </row>
    <row r="74" spans="1:24" ht="20.45" customHeight="1">
      <c r="A74" s="10" t="s">
        <v>104</v>
      </c>
      <c r="B74" s="11">
        <v>1.1458333333333333E-2</v>
      </c>
      <c r="C74" s="11">
        <v>3.2986111111111111E-3</v>
      </c>
      <c r="D74" s="11">
        <f t="shared" si="32"/>
        <v>6.6664583333333324E-3</v>
      </c>
      <c r="E74" s="12">
        <v>0.58179999999999998</v>
      </c>
      <c r="F74" s="11">
        <f t="shared" si="33"/>
        <v>8.2465277777777778E-4</v>
      </c>
      <c r="G74" s="11">
        <f t="shared" si="34"/>
        <v>8.8886111111111099E-4</v>
      </c>
      <c r="H74" s="11">
        <f t="shared" si="35"/>
        <v>9.1666666666666665E-4</v>
      </c>
      <c r="I74" s="11">
        <f t="shared" si="36"/>
        <v>9.5576463560334514E-4</v>
      </c>
      <c r="J74" s="11">
        <f t="shared" si="37"/>
        <v>9.6615338164251195E-4</v>
      </c>
      <c r="K74" s="11">
        <f t="shared" si="38"/>
        <v>1.0100694444444443E-3</v>
      </c>
      <c r="L74" s="11">
        <f t="shared" si="39"/>
        <v>1.0581679894179892E-3</v>
      </c>
      <c r="M74" s="25">
        <f>WO2025Jan7men119151719232529313335394143454749555759636567697173757779131719212327293335394345[[#This Row],[Thresh]]</f>
        <v>1.0100694444444443E-3</v>
      </c>
      <c r="N74" s="28">
        <f>WO2025Jan7men119151719232529313335394143454749555759636567697173757779131719212327293335394345[[#This Row],[Thresh]]*2.5</f>
        <v>2.5251736111111108E-3</v>
      </c>
      <c r="O74" s="25">
        <f>WO2025Jan7men119151719232529313335394143454749555759636567697173757779131719212327293335394345[[#This Row],[Thresh]]*2</f>
        <v>2.0201388888888886E-3</v>
      </c>
      <c r="P74" s="28">
        <f>(WO2025Jan7men119151719232529313335394143454749555759636567697173757779131719212327293335394345[[#This Row],[R]]-0.0000115740740740741)/2</f>
        <v>4.0653935185185183E-4</v>
      </c>
      <c r="Q74" s="25">
        <f>WO2025Jan7men119151719232529313335394143454749555759636567697173757779131719212327293335394345[[#This Row],[1k CV]]*1.5</f>
        <v>6.0980902777777769E-4</v>
      </c>
      <c r="R74" s="28"/>
      <c r="S74" s="25"/>
      <c r="T74" s="25"/>
      <c r="U74" s="28"/>
      <c r="V74" s="25"/>
      <c r="W74" s="15" t="s">
        <v>48</v>
      </c>
      <c r="X74" s="52"/>
    </row>
    <row r="75" spans="1:24" ht="20.45" customHeight="1">
      <c r="A75" s="10"/>
      <c r="B75" s="11"/>
      <c r="C75" s="11"/>
      <c r="D75" s="11"/>
      <c r="E75" s="12"/>
      <c r="F75" s="11"/>
      <c r="G75" s="11"/>
      <c r="H75" s="11"/>
      <c r="I75" s="11"/>
      <c r="J75" s="11"/>
      <c r="K75" s="11"/>
      <c r="L75" s="11"/>
      <c r="M75" s="25"/>
      <c r="N75" s="28"/>
      <c r="O75" s="25"/>
      <c r="P75" s="25"/>
      <c r="Q75" s="25"/>
      <c r="R75" s="28"/>
      <c r="S75" s="25"/>
      <c r="T75" s="25"/>
      <c r="U75" s="28"/>
      <c r="V75" s="25"/>
      <c r="W75" s="15"/>
      <c r="X75" s="52"/>
    </row>
    <row r="76" spans="1:24" ht="20.45" customHeight="1">
      <c r="A76" s="19"/>
      <c r="B76" s="6"/>
      <c r="C76" s="6"/>
      <c r="D76" s="6"/>
      <c r="E76" s="20"/>
      <c r="F76" s="6"/>
      <c r="G76" s="6"/>
      <c r="H76" s="6"/>
      <c r="I76" s="6"/>
      <c r="J76" s="6"/>
      <c r="K76" s="6"/>
      <c r="L76" s="6"/>
      <c r="M76" s="6" t="s">
        <v>172</v>
      </c>
      <c r="N76" s="6"/>
      <c r="O76" s="6"/>
      <c r="P76" s="6"/>
      <c r="Q76" s="6"/>
      <c r="R76" s="6"/>
      <c r="S76" s="6"/>
      <c r="T76" s="6"/>
      <c r="U76" s="6"/>
      <c r="V76" s="23"/>
      <c r="W76" s="35"/>
      <c r="X76" s="52"/>
    </row>
    <row r="77" spans="1:24" ht="20.45" customHeight="1">
      <c r="A77" s="10" t="s">
        <v>105</v>
      </c>
      <c r="B77" s="11">
        <v>1.0648148148148148E-2</v>
      </c>
      <c r="C77" s="11">
        <v>2.9745370370370373E-3</v>
      </c>
      <c r="D77" s="11">
        <f>B77*E77</f>
        <v>6.1950925925925923E-3</v>
      </c>
      <c r="E77" s="12">
        <v>0.58179999999999998</v>
      </c>
      <c r="F77" s="11">
        <f>C77/4</f>
        <v>7.4363425925925931E-4</v>
      </c>
      <c r="G77" s="11">
        <f>D77/7.5</f>
        <v>8.2601234567901232E-4</v>
      </c>
      <c r="H77" s="11">
        <f>B77/12.5</f>
        <v>8.5185185185185179E-4</v>
      </c>
      <c r="I77" s="11">
        <f>G77/0.93</f>
        <v>8.8818531793442184E-4</v>
      </c>
      <c r="J77" s="11">
        <f>G77/0.92</f>
        <v>8.9783950617283942E-4</v>
      </c>
      <c r="K77" s="11">
        <f>G77/0.88</f>
        <v>9.3865039281705945E-4</v>
      </c>
      <c r="L77" s="11">
        <f>G77/0.84</f>
        <v>9.833480305702527E-4</v>
      </c>
      <c r="M77" s="25">
        <f>WO2025Jan7men119151719232529313335394143454749555759636567697173757779131719212327293335394345[[#This Row],[Thresh]]</f>
        <v>9.3865039281705945E-4</v>
      </c>
      <c r="N77" s="28"/>
      <c r="O77" s="25"/>
      <c r="P77" s="25"/>
      <c r="Q77" s="25"/>
      <c r="R77" s="25"/>
      <c r="S77" s="25"/>
      <c r="T77" s="25"/>
      <c r="U77" s="28"/>
      <c r="V77" s="25"/>
      <c r="W77" s="15" t="s">
        <v>35</v>
      </c>
      <c r="X77" s="52"/>
    </row>
    <row r="78" spans="1:24" ht="20.45" customHeight="1">
      <c r="A78" s="10"/>
      <c r="B78" s="11"/>
      <c r="C78" s="11"/>
      <c r="D78" s="11"/>
      <c r="E78" s="12"/>
      <c r="F78" s="11"/>
      <c r="G78" s="11"/>
      <c r="H78" s="11"/>
      <c r="I78" s="11"/>
      <c r="J78" s="11"/>
      <c r="K78" s="11"/>
      <c r="L78" s="11"/>
      <c r="M78" s="25"/>
      <c r="N78" s="28"/>
      <c r="O78" s="25"/>
      <c r="P78" s="28"/>
      <c r="Q78" s="25"/>
      <c r="R78" s="28"/>
      <c r="S78" s="25"/>
      <c r="T78" s="28"/>
      <c r="U78" s="28"/>
      <c r="V78" s="25"/>
      <c r="W78" s="15"/>
      <c r="X78" s="52" t="s">
        <v>168</v>
      </c>
    </row>
    <row r="79" spans="1:24" ht="20.45" customHeight="1">
      <c r="A79" s="19"/>
      <c r="B79" s="6"/>
      <c r="C79" s="6"/>
      <c r="D79" s="6"/>
      <c r="E79" s="20"/>
      <c r="F79" s="6"/>
      <c r="G79" s="6"/>
      <c r="H79" s="6"/>
      <c r="I79" s="6"/>
      <c r="J79" s="6"/>
      <c r="K79" s="6"/>
      <c r="L79" s="6"/>
      <c r="M79" s="6"/>
      <c r="N79" s="6"/>
      <c r="O79" s="6"/>
      <c r="P79" s="6"/>
      <c r="Q79" s="6"/>
      <c r="R79" s="6"/>
      <c r="S79" s="6"/>
      <c r="T79" s="6"/>
      <c r="U79" s="6"/>
      <c r="V79" s="23"/>
      <c r="W79" s="35"/>
      <c r="X79" s="52"/>
    </row>
    <row r="80" spans="1:24" ht="20.45" customHeight="1">
      <c r="A80" s="10" t="s">
        <v>112</v>
      </c>
      <c r="B80" s="11">
        <v>1.0243055555555556E-2</v>
      </c>
      <c r="C80" s="11">
        <v>2.8587962962962963E-3</v>
      </c>
      <c r="D80" s="11">
        <f>B80*E80</f>
        <v>5.9594097222222218E-3</v>
      </c>
      <c r="E80" s="12">
        <v>0.58179999999999998</v>
      </c>
      <c r="F80" s="11">
        <f>C80/4</f>
        <v>7.1469907407407409E-4</v>
      </c>
      <c r="G80" s="11">
        <f>D80/7.5</f>
        <v>7.9458796296296287E-4</v>
      </c>
      <c r="H80" s="11">
        <f>B80/12.5</f>
        <v>8.1944444444444447E-4</v>
      </c>
      <c r="I80" s="11">
        <f>G80/0.93</f>
        <v>8.5439565909996003E-4</v>
      </c>
      <c r="J80" s="11">
        <f>G80/0.92</f>
        <v>8.636825684380031E-4</v>
      </c>
      <c r="K80" s="11">
        <f>G80/0.88</f>
        <v>9.0294086700336686E-4</v>
      </c>
      <c r="L80" s="11">
        <f>G80/0.84</f>
        <v>9.4593805114638445E-4</v>
      </c>
      <c r="M80" s="25"/>
      <c r="N80" s="28"/>
      <c r="O80" s="25"/>
      <c r="P80" s="28"/>
      <c r="Q80" s="25"/>
      <c r="R80" s="28"/>
      <c r="S80" s="25"/>
      <c r="T80" s="25"/>
      <c r="U80" s="28"/>
      <c r="V80" s="25"/>
      <c r="W80" s="15" t="s">
        <v>52</v>
      </c>
      <c r="X80" s="52"/>
    </row>
    <row r="81" spans="1:24" ht="20.45" customHeight="1">
      <c r="A81" s="10" t="s">
        <v>106</v>
      </c>
      <c r="B81" s="11">
        <v>1.0590277777777778E-2</v>
      </c>
      <c r="C81" s="11">
        <v>2.9745370370370373E-3</v>
      </c>
      <c r="D81" s="11">
        <f>B81*E81</f>
        <v>6.1614236111111114E-3</v>
      </c>
      <c r="E81" s="12">
        <v>0.58179999999999998</v>
      </c>
      <c r="F81" s="11">
        <f>C81/4</f>
        <v>7.4363425925925931E-4</v>
      </c>
      <c r="G81" s="11">
        <f>D81/7.5</f>
        <v>8.2152314814814816E-4</v>
      </c>
      <c r="H81" s="11">
        <f>B81/12.5</f>
        <v>8.472222222222223E-4</v>
      </c>
      <c r="I81" s="11">
        <f>G81/0.93</f>
        <v>8.8335822381521299E-4</v>
      </c>
      <c r="J81" s="11">
        <f>G81/0.92</f>
        <v>8.9295994363929141E-4</v>
      </c>
      <c r="K81" s="11">
        <f>G81/0.88</f>
        <v>9.3354903198653201E-4</v>
      </c>
      <c r="L81" s="11">
        <f>G81/0.84</f>
        <v>9.7800374779541442E-4</v>
      </c>
      <c r="M81" s="25"/>
      <c r="N81" s="28"/>
      <c r="O81" s="25"/>
      <c r="P81" s="28"/>
      <c r="Q81" s="25"/>
      <c r="R81" s="28"/>
      <c r="S81" s="25"/>
      <c r="T81" s="25"/>
      <c r="U81" s="28"/>
      <c r="V81" s="25"/>
      <c r="W81" s="15" t="s">
        <v>52</v>
      </c>
      <c r="X81" s="52"/>
    </row>
    <row r="82" spans="1:24" ht="20.45" customHeight="1">
      <c r="A82" s="10" t="s">
        <v>107</v>
      </c>
      <c r="B82" s="11">
        <v>1.1111111111111112E-2</v>
      </c>
      <c r="C82" s="11">
        <v>3.2407407407407406E-3</v>
      </c>
      <c r="D82" s="11">
        <f t="shared" ref="D82:D84" si="40">B82*E82</f>
        <v>6.4644444444444445E-3</v>
      </c>
      <c r="E82" s="12">
        <v>0.58179999999999998</v>
      </c>
      <c r="F82" s="11">
        <f t="shared" ref="F82:F84" si="41">C82/4</f>
        <v>8.1018518518518516E-4</v>
      </c>
      <c r="G82" s="11">
        <f t="shared" ref="G82:G84" si="42">D82/7.5</f>
        <v>8.6192592592592592E-4</v>
      </c>
      <c r="H82" s="11">
        <f t="shared" ref="H82:H84" si="43">B82/12.5</f>
        <v>8.8888888888888893E-4</v>
      </c>
      <c r="I82" s="11">
        <f t="shared" ref="I82:I84" si="44">G82/0.93</f>
        <v>9.2680207088809239E-4</v>
      </c>
      <c r="J82" s="11">
        <f t="shared" ref="J82:J84" si="45">G82/0.92</f>
        <v>9.3687600644122375E-4</v>
      </c>
      <c r="K82" s="11">
        <f t="shared" ref="K82:K84" si="46">G82/0.88</f>
        <v>9.7946127946127947E-4</v>
      </c>
      <c r="L82" s="11">
        <f t="shared" ref="L82:L84" si="47">G82/0.84</f>
        <v>1.0261022927689596E-3</v>
      </c>
      <c r="M82" s="25"/>
      <c r="N82" s="28"/>
      <c r="O82" s="25"/>
      <c r="P82" s="25"/>
      <c r="Q82" s="25"/>
      <c r="R82" s="28"/>
      <c r="S82" s="25"/>
      <c r="T82" s="25"/>
      <c r="U82" s="28"/>
      <c r="V82" s="28"/>
      <c r="W82" s="15" t="s">
        <v>52</v>
      </c>
      <c r="X82" s="52"/>
    </row>
    <row r="83" spans="1:24" ht="20.45" customHeight="1">
      <c r="A83" s="10" t="s">
        <v>164</v>
      </c>
      <c r="B83" s="11">
        <v>1.1342592592592593E-2</v>
      </c>
      <c r="C83" s="11">
        <v>3.2407407407407406E-3</v>
      </c>
      <c r="D83" s="11">
        <f t="shared" si="40"/>
        <v>6.5991203703703706E-3</v>
      </c>
      <c r="E83" s="12">
        <v>0.58179999999999998</v>
      </c>
      <c r="F83" s="11">
        <f t="shared" si="41"/>
        <v>8.1018518518518516E-4</v>
      </c>
      <c r="G83" s="11">
        <f t="shared" si="42"/>
        <v>8.7988271604938278E-4</v>
      </c>
      <c r="H83" s="11">
        <f t="shared" si="43"/>
        <v>9.0740740740740745E-4</v>
      </c>
      <c r="I83" s="11">
        <f t="shared" si="44"/>
        <v>9.4611044736492766E-4</v>
      </c>
      <c r="J83" s="11">
        <f t="shared" si="45"/>
        <v>9.5639425657541603E-4</v>
      </c>
      <c r="K83" s="11">
        <f t="shared" si="46"/>
        <v>9.9986672278338943E-4</v>
      </c>
      <c r="L83" s="11">
        <f t="shared" si="47"/>
        <v>1.0474794238683129E-3</v>
      </c>
      <c r="M83" s="25"/>
      <c r="N83" s="28"/>
      <c r="O83" s="25"/>
      <c r="P83" s="28"/>
      <c r="Q83" s="28"/>
      <c r="R83" s="11"/>
      <c r="S83" s="14"/>
      <c r="T83" s="14"/>
      <c r="U83" s="26"/>
      <c r="V83" s="28"/>
      <c r="W83" s="27" t="s">
        <v>52</v>
      </c>
      <c r="X83" s="52"/>
    </row>
    <row r="84" spans="1:24" ht="20.45" customHeight="1">
      <c r="A84" s="10" t="s">
        <v>108</v>
      </c>
      <c r="B84" s="11">
        <v>1.0763888888888891E-2</v>
      </c>
      <c r="C84" s="11">
        <v>3.0671296296296297E-3</v>
      </c>
      <c r="D84" s="11">
        <f t="shared" si="40"/>
        <v>6.2624305555555567E-3</v>
      </c>
      <c r="E84" s="12">
        <v>0.58179999999999998</v>
      </c>
      <c r="F84" s="11">
        <f t="shared" si="41"/>
        <v>7.6678240740740743E-4</v>
      </c>
      <c r="G84" s="11">
        <f t="shared" si="42"/>
        <v>8.3499074074074085E-4</v>
      </c>
      <c r="H84" s="11">
        <f t="shared" si="43"/>
        <v>8.6111111111111121E-4</v>
      </c>
      <c r="I84" s="11">
        <f t="shared" si="44"/>
        <v>8.9783950617283953E-4</v>
      </c>
      <c r="J84" s="11">
        <f t="shared" si="45"/>
        <v>9.0759863123993567E-4</v>
      </c>
      <c r="K84" s="11">
        <f t="shared" si="46"/>
        <v>9.4885311447811464E-4</v>
      </c>
      <c r="L84" s="11">
        <f t="shared" si="47"/>
        <v>9.9403659611992969E-4</v>
      </c>
      <c r="M84" s="25"/>
      <c r="N84" s="28"/>
      <c r="O84" s="25"/>
      <c r="P84" s="28"/>
      <c r="Q84" s="25"/>
      <c r="R84" s="28"/>
      <c r="S84" s="25"/>
      <c r="T84" s="25"/>
      <c r="U84" s="28"/>
      <c r="V84" s="28"/>
      <c r="W84" s="15" t="s">
        <v>52</v>
      </c>
      <c r="X84" s="52"/>
    </row>
    <row r="85" spans="1:24" ht="20.45" customHeight="1">
      <c r="A85" s="10"/>
      <c r="B85" s="11"/>
      <c r="C85" s="11"/>
      <c r="D85" s="11"/>
      <c r="E85" s="12"/>
      <c r="F85" s="11"/>
      <c r="G85" s="11"/>
      <c r="H85" s="11"/>
      <c r="I85" s="11"/>
      <c r="J85" s="11"/>
      <c r="K85" s="11"/>
      <c r="L85" s="17"/>
      <c r="M85" s="11"/>
      <c r="N85" s="26"/>
      <c r="P85" s="26"/>
      <c r="Q85" s="26"/>
      <c r="R85" s="26"/>
      <c r="S85" s="14"/>
      <c r="T85" s="14"/>
      <c r="U85" s="26"/>
      <c r="V85" s="38"/>
      <c r="W85" s="31"/>
      <c r="X85" s="52"/>
    </row>
    <row r="86" spans="1:24" ht="20.45" customHeight="1" thickBot="1">
      <c r="A86" s="10"/>
      <c r="B86" s="11"/>
      <c r="C86" s="11"/>
      <c r="D86" s="11"/>
      <c r="E86" s="12"/>
      <c r="F86" s="11"/>
      <c r="G86" s="11"/>
      <c r="H86" s="11"/>
      <c r="I86" s="11"/>
      <c r="J86" s="11"/>
      <c r="K86" s="11"/>
      <c r="L86" s="11"/>
      <c r="M86" s="25"/>
      <c r="N86" s="28"/>
      <c r="O86" s="25"/>
      <c r="P86" s="25"/>
      <c r="Q86" s="25"/>
      <c r="R86" s="25"/>
      <c r="S86" s="25"/>
      <c r="T86" s="25"/>
      <c r="U86" s="28"/>
      <c r="V86" s="25"/>
      <c r="W86" s="15"/>
      <c r="X86" s="52"/>
    </row>
    <row r="87" spans="1:24" ht="20.45" customHeight="1">
      <c r="A87" s="1" t="s">
        <v>165</v>
      </c>
      <c r="B87" s="6"/>
      <c r="C87" s="6"/>
      <c r="D87" s="6"/>
      <c r="E87" s="20"/>
      <c r="F87" s="6"/>
      <c r="G87" s="6"/>
      <c r="H87" s="6"/>
      <c r="I87" s="6"/>
      <c r="J87" s="6"/>
      <c r="K87" s="6"/>
      <c r="L87" s="6"/>
      <c r="M87" s="6"/>
      <c r="N87" s="6"/>
      <c r="O87" s="6"/>
      <c r="P87" s="6"/>
      <c r="Q87" s="6"/>
      <c r="R87" s="6"/>
      <c r="S87" s="6"/>
      <c r="T87" s="6"/>
      <c r="U87" s="6"/>
      <c r="V87" s="23"/>
      <c r="W87" s="35"/>
      <c r="X87" s="52"/>
    </row>
    <row r="88" spans="1:24" ht="20.45" customHeight="1">
      <c r="A88" s="10" t="s">
        <v>102</v>
      </c>
      <c r="B88" s="11">
        <v>1.1458333333333333E-2</v>
      </c>
      <c r="C88" s="11">
        <v>3.0671296296296297E-3</v>
      </c>
      <c r="D88" s="11">
        <f t="shared" ref="D88:D99" si="48">B88*E88</f>
        <v>6.6664583333333324E-3</v>
      </c>
      <c r="E88" s="12">
        <v>0.58179999999999998</v>
      </c>
      <c r="F88" s="11">
        <f t="shared" ref="F88:F99" si="49">C88/4</f>
        <v>7.6678240740740743E-4</v>
      </c>
      <c r="G88" s="11">
        <f t="shared" ref="G88:G99" si="50">D88/7.5</f>
        <v>8.8886111111111099E-4</v>
      </c>
      <c r="H88" s="11">
        <f t="shared" ref="H88:H99" si="51">B88/12.5</f>
        <v>9.1666666666666665E-4</v>
      </c>
      <c r="I88" s="11">
        <f t="shared" ref="I88:I99" si="52">G88/0.93</f>
        <v>9.5576463560334514E-4</v>
      </c>
      <c r="J88" s="11">
        <f t="shared" ref="J88:J99" si="53">G88/0.92</f>
        <v>9.6615338164251195E-4</v>
      </c>
      <c r="K88" s="11">
        <f t="shared" ref="K88:K99" si="54">G88/0.88</f>
        <v>1.0100694444444443E-3</v>
      </c>
      <c r="L88" s="11">
        <f t="shared" ref="L88:L99" si="55">G88/0.84</f>
        <v>1.0581679894179892E-3</v>
      </c>
      <c r="M88" s="25"/>
      <c r="N88" s="28"/>
      <c r="O88" s="25"/>
      <c r="P88" s="28"/>
      <c r="Q88" s="25"/>
      <c r="R88" s="28"/>
      <c r="S88" s="25"/>
      <c r="T88" s="25"/>
      <c r="U88" s="28"/>
      <c r="V88" s="25"/>
      <c r="W88" s="15" t="s">
        <v>141</v>
      </c>
      <c r="X88" s="52" t="s">
        <v>169</v>
      </c>
    </row>
    <row r="89" spans="1:24" ht="20.45" customHeight="1">
      <c r="A89" s="10" t="s">
        <v>113</v>
      </c>
      <c r="B89" s="11">
        <v>1.0763888888888891E-2</v>
      </c>
      <c r="C89" s="11">
        <v>3.2986111111111111E-3</v>
      </c>
      <c r="D89" s="11">
        <f t="shared" si="48"/>
        <v>6.2624305555555567E-3</v>
      </c>
      <c r="E89" s="12">
        <v>0.58179999999999998</v>
      </c>
      <c r="F89" s="11">
        <f t="shared" si="49"/>
        <v>8.2465277777777778E-4</v>
      </c>
      <c r="G89" s="11">
        <f t="shared" si="50"/>
        <v>8.3499074074074085E-4</v>
      </c>
      <c r="H89" s="11">
        <f t="shared" si="51"/>
        <v>8.6111111111111121E-4</v>
      </c>
      <c r="I89" s="11">
        <f t="shared" si="52"/>
        <v>8.9783950617283953E-4</v>
      </c>
      <c r="J89" s="11">
        <f t="shared" si="53"/>
        <v>9.0759863123993567E-4</v>
      </c>
      <c r="K89" s="11">
        <f t="shared" si="54"/>
        <v>9.4885311447811464E-4</v>
      </c>
      <c r="L89" s="11">
        <f t="shared" si="55"/>
        <v>9.9403659611992969E-4</v>
      </c>
      <c r="M89" s="25"/>
      <c r="N89" s="28"/>
      <c r="O89" s="25"/>
      <c r="P89" s="28"/>
      <c r="Q89" s="25"/>
      <c r="R89" s="28"/>
      <c r="S89" s="25"/>
      <c r="T89" s="25"/>
      <c r="U89" s="28"/>
      <c r="V89" s="25"/>
      <c r="W89" s="15" t="s">
        <v>141</v>
      </c>
      <c r="X89" s="52"/>
    </row>
    <row r="90" spans="1:24" ht="20.45" customHeight="1">
      <c r="A90" s="10" t="s">
        <v>114</v>
      </c>
      <c r="B90" s="11">
        <v>1.0763888888888891E-2</v>
      </c>
      <c r="C90" s="11">
        <v>3.0671296296296297E-3</v>
      </c>
      <c r="D90" s="11">
        <f t="shared" si="48"/>
        <v>6.2624305555555567E-3</v>
      </c>
      <c r="E90" s="12">
        <v>0.58179999999999998</v>
      </c>
      <c r="F90" s="11">
        <f t="shared" si="49"/>
        <v>7.6678240740740743E-4</v>
      </c>
      <c r="G90" s="11">
        <f t="shared" si="50"/>
        <v>8.3499074074074085E-4</v>
      </c>
      <c r="H90" s="11">
        <f t="shared" si="51"/>
        <v>8.6111111111111121E-4</v>
      </c>
      <c r="I90" s="11">
        <f t="shared" si="52"/>
        <v>8.9783950617283953E-4</v>
      </c>
      <c r="J90" s="11">
        <f t="shared" si="53"/>
        <v>9.0759863123993567E-4</v>
      </c>
      <c r="K90" s="11">
        <f t="shared" si="54"/>
        <v>9.4885311447811464E-4</v>
      </c>
      <c r="L90" s="11">
        <f t="shared" si="55"/>
        <v>9.9403659611992969E-4</v>
      </c>
      <c r="M90" s="25"/>
      <c r="N90" s="28"/>
      <c r="O90" s="25"/>
      <c r="P90" s="28"/>
      <c r="Q90" s="25"/>
      <c r="R90" s="28"/>
      <c r="S90" s="25"/>
      <c r="T90" s="25"/>
      <c r="U90" s="28"/>
      <c r="V90" s="25"/>
      <c r="W90" s="15" t="s">
        <v>141</v>
      </c>
      <c r="X90" s="52"/>
    </row>
    <row r="91" spans="1:24" ht="20.45" customHeight="1">
      <c r="A91" s="10" t="s">
        <v>100</v>
      </c>
      <c r="B91" s="11">
        <v>1.0763888888888889E-2</v>
      </c>
      <c r="C91" s="11">
        <v>3.0671296296296297E-3</v>
      </c>
      <c r="D91" s="11">
        <f t="shared" si="48"/>
        <v>6.2624305555555549E-3</v>
      </c>
      <c r="E91" s="12">
        <v>0.58179999999999998</v>
      </c>
      <c r="F91" s="11">
        <f t="shared" si="49"/>
        <v>7.6678240740740743E-4</v>
      </c>
      <c r="G91" s="11">
        <f t="shared" si="50"/>
        <v>8.3499074074074064E-4</v>
      </c>
      <c r="H91" s="11">
        <f t="shared" si="51"/>
        <v>8.611111111111111E-4</v>
      </c>
      <c r="I91" s="11">
        <f t="shared" si="52"/>
        <v>8.9783950617283931E-4</v>
      </c>
      <c r="J91" s="11">
        <f t="shared" si="53"/>
        <v>9.0759863123993545E-4</v>
      </c>
      <c r="K91" s="11">
        <f t="shared" si="54"/>
        <v>9.4885311447811432E-4</v>
      </c>
      <c r="L91" s="17">
        <f t="shared" si="55"/>
        <v>9.9403659611992947E-4</v>
      </c>
      <c r="M91" s="25"/>
      <c r="N91" s="28"/>
      <c r="O91" s="25"/>
      <c r="P91" s="28"/>
      <c r="Q91" s="25"/>
      <c r="R91" s="28"/>
      <c r="S91" s="25"/>
      <c r="T91" s="25"/>
      <c r="U91" s="28"/>
      <c r="V91" s="25"/>
      <c r="W91" s="15" t="s">
        <v>141</v>
      </c>
      <c r="X91" s="52"/>
    </row>
    <row r="92" spans="1:24" ht="20.45" customHeight="1">
      <c r="A92" s="10" t="s">
        <v>101</v>
      </c>
      <c r="B92" s="11">
        <v>1.1111111111111112E-2</v>
      </c>
      <c r="C92" s="11">
        <v>3.0671296296296297E-3</v>
      </c>
      <c r="D92" s="11">
        <f t="shared" si="48"/>
        <v>6.4644444444444445E-3</v>
      </c>
      <c r="E92" s="12">
        <v>0.58179999999999998</v>
      </c>
      <c r="F92" s="11">
        <f t="shared" si="49"/>
        <v>7.6678240740740743E-4</v>
      </c>
      <c r="G92" s="11">
        <f t="shared" si="50"/>
        <v>8.6192592592592592E-4</v>
      </c>
      <c r="H92" s="11">
        <f t="shared" si="51"/>
        <v>8.8888888888888893E-4</v>
      </c>
      <c r="I92" s="11">
        <f t="shared" si="52"/>
        <v>9.2680207088809239E-4</v>
      </c>
      <c r="J92" s="11">
        <f t="shared" si="53"/>
        <v>9.3687600644122375E-4</v>
      </c>
      <c r="K92" s="11">
        <f t="shared" si="54"/>
        <v>9.7946127946127947E-4</v>
      </c>
      <c r="L92" s="11">
        <f t="shared" si="55"/>
        <v>1.0261022927689596E-3</v>
      </c>
      <c r="M92" s="25"/>
      <c r="N92" s="28"/>
      <c r="O92" s="25"/>
      <c r="P92" s="28"/>
      <c r="Q92" s="25"/>
      <c r="R92" s="28"/>
      <c r="S92" s="25"/>
      <c r="T92" s="25"/>
      <c r="U92" s="28"/>
      <c r="V92" s="25"/>
      <c r="W92" s="15" t="s">
        <v>141</v>
      </c>
      <c r="X92" s="52"/>
    </row>
    <row r="93" spans="1:24" ht="20.45" customHeight="1">
      <c r="A93" s="10" t="s">
        <v>97</v>
      </c>
      <c r="B93" s="11">
        <v>1.0763888888888889E-2</v>
      </c>
      <c r="C93" s="11">
        <v>2.9513888888888888E-3</v>
      </c>
      <c r="D93" s="11">
        <f t="shared" si="48"/>
        <v>6.2624305555555549E-3</v>
      </c>
      <c r="E93" s="12">
        <v>0.58179999999999998</v>
      </c>
      <c r="F93" s="11">
        <f t="shared" si="49"/>
        <v>7.378472222222222E-4</v>
      </c>
      <c r="G93" s="11">
        <f t="shared" si="50"/>
        <v>8.3499074074074064E-4</v>
      </c>
      <c r="H93" s="11">
        <f t="shared" si="51"/>
        <v>8.611111111111111E-4</v>
      </c>
      <c r="I93" s="11">
        <f t="shared" si="52"/>
        <v>8.9783950617283931E-4</v>
      </c>
      <c r="J93" s="11">
        <f t="shared" si="53"/>
        <v>9.0759863123993545E-4</v>
      </c>
      <c r="K93" s="11">
        <f t="shared" si="54"/>
        <v>9.4885311447811432E-4</v>
      </c>
      <c r="L93" s="11">
        <f t="shared" si="55"/>
        <v>9.9403659611992947E-4</v>
      </c>
      <c r="M93" s="25"/>
      <c r="N93" s="28"/>
      <c r="O93" s="25"/>
      <c r="P93" s="28"/>
      <c r="Q93" s="25"/>
      <c r="R93" s="28"/>
      <c r="S93" s="25"/>
      <c r="T93" s="25"/>
      <c r="U93" s="28"/>
      <c r="V93" s="25"/>
      <c r="W93" s="15" t="s">
        <v>141</v>
      </c>
      <c r="X93" s="52"/>
    </row>
    <row r="94" spans="1:24" ht="20.45" customHeight="1">
      <c r="A94" s="10" t="s">
        <v>115</v>
      </c>
      <c r="B94" s="11">
        <v>1.0532407407407407E-2</v>
      </c>
      <c r="C94" s="11">
        <v>2.9513888888888888E-3</v>
      </c>
      <c r="D94" s="11">
        <f t="shared" si="48"/>
        <v>6.1277546296296288E-3</v>
      </c>
      <c r="E94" s="12">
        <v>0.58179999999999998</v>
      </c>
      <c r="F94" s="11">
        <f t="shared" si="49"/>
        <v>7.378472222222222E-4</v>
      </c>
      <c r="G94" s="11">
        <f t="shared" si="50"/>
        <v>8.1703395061728389E-4</v>
      </c>
      <c r="H94" s="11">
        <f t="shared" si="51"/>
        <v>8.4259259259259259E-4</v>
      </c>
      <c r="I94" s="11">
        <f t="shared" si="52"/>
        <v>8.7853112969600415E-4</v>
      </c>
      <c r="J94" s="11">
        <f t="shared" si="53"/>
        <v>8.8808038110574329E-4</v>
      </c>
      <c r="K94" s="11">
        <f t="shared" si="54"/>
        <v>9.2844767115600447E-4</v>
      </c>
      <c r="L94" s="11">
        <f t="shared" si="55"/>
        <v>9.7265946502057604E-4</v>
      </c>
      <c r="M94" s="25"/>
      <c r="N94" s="28"/>
      <c r="O94" s="25"/>
      <c r="P94" s="28"/>
      <c r="Q94" s="25"/>
      <c r="R94" s="28"/>
      <c r="S94" s="25"/>
      <c r="T94" s="25"/>
      <c r="U94" s="28"/>
      <c r="V94" s="25"/>
      <c r="W94" s="15" t="s">
        <v>141</v>
      </c>
      <c r="X94" s="52"/>
    </row>
    <row r="95" spans="1:24" ht="20.45" customHeight="1">
      <c r="A95" s="10" t="s">
        <v>84</v>
      </c>
      <c r="B95" s="11">
        <v>1.0069444444444445E-2</v>
      </c>
      <c r="C95" s="11">
        <v>3.0092592592592593E-3</v>
      </c>
      <c r="D95" s="11">
        <f t="shared" si="48"/>
        <v>5.8584027777777783E-3</v>
      </c>
      <c r="E95" s="12">
        <v>0.58179999999999998</v>
      </c>
      <c r="F95" s="11">
        <f t="shared" si="49"/>
        <v>7.5231481481481482E-4</v>
      </c>
      <c r="G95" s="11">
        <f t="shared" si="50"/>
        <v>7.811203703703705E-4</v>
      </c>
      <c r="H95" s="11">
        <f t="shared" si="51"/>
        <v>8.0555555555555556E-4</v>
      </c>
      <c r="I95" s="11">
        <f t="shared" si="52"/>
        <v>8.3991437674233382E-4</v>
      </c>
      <c r="J95" s="11">
        <f t="shared" si="53"/>
        <v>8.4904388083735917E-4</v>
      </c>
      <c r="K95" s="11">
        <f t="shared" si="54"/>
        <v>8.8763678451178466E-4</v>
      </c>
      <c r="L95" s="11">
        <f t="shared" si="55"/>
        <v>9.2990520282186973E-4</v>
      </c>
      <c r="M95" s="25"/>
      <c r="N95" s="28"/>
      <c r="O95" s="25"/>
      <c r="P95" s="28"/>
      <c r="Q95" s="25"/>
      <c r="R95" s="28"/>
      <c r="S95" s="25"/>
      <c r="T95" s="25"/>
      <c r="U95" s="28"/>
      <c r="V95" s="25"/>
      <c r="W95" s="15" t="s">
        <v>141</v>
      </c>
      <c r="X95" s="52"/>
    </row>
    <row r="96" spans="1:24" ht="20.45" customHeight="1">
      <c r="A96" s="10" t="s">
        <v>116</v>
      </c>
      <c r="B96" s="11">
        <v>1.0243055555555556E-2</v>
      </c>
      <c r="C96" s="11">
        <v>2.9513888888888888E-3</v>
      </c>
      <c r="D96" s="11">
        <f t="shared" si="48"/>
        <v>5.9594097222222218E-3</v>
      </c>
      <c r="E96" s="12">
        <v>0.58179999999999998</v>
      </c>
      <c r="F96" s="11">
        <f t="shared" si="49"/>
        <v>7.378472222222222E-4</v>
      </c>
      <c r="G96" s="11">
        <f t="shared" si="50"/>
        <v>7.9458796296296287E-4</v>
      </c>
      <c r="H96" s="11">
        <f t="shared" si="51"/>
        <v>8.1944444444444447E-4</v>
      </c>
      <c r="I96" s="11">
        <f t="shared" si="52"/>
        <v>8.5439565909996003E-4</v>
      </c>
      <c r="J96" s="11">
        <f t="shared" si="53"/>
        <v>8.636825684380031E-4</v>
      </c>
      <c r="K96" s="11">
        <f t="shared" si="54"/>
        <v>9.0294086700336686E-4</v>
      </c>
      <c r="L96" s="17">
        <f t="shared" si="55"/>
        <v>9.4593805114638445E-4</v>
      </c>
      <c r="M96" s="25"/>
      <c r="N96" s="28"/>
      <c r="O96" s="25"/>
      <c r="P96" s="28"/>
      <c r="Q96" s="25"/>
      <c r="R96" s="28"/>
      <c r="S96" s="25"/>
      <c r="T96" s="25"/>
      <c r="U96" s="28"/>
      <c r="V96" s="25"/>
      <c r="W96" s="15" t="s">
        <v>141</v>
      </c>
      <c r="X96" s="52"/>
    </row>
    <row r="97" spans="1:24" ht="20.45" customHeight="1">
      <c r="A97" s="10" t="s">
        <v>93</v>
      </c>
      <c r="B97" s="11">
        <v>1.0300925925925925E-2</v>
      </c>
      <c r="C97" s="11"/>
      <c r="D97" s="11">
        <f t="shared" si="48"/>
        <v>5.9930787037037027E-3</v>
      </c>
      <c r="E97" s="12">
        <v>0.58179999999999998</v>
      </c>
      <c r="F97" s="11">
        <f t="shared" si="49"/>
        <v>0</v>
      </c>
      <c r="G97" s="11">
        <f t="shared" si="50"/>
        <v>7.9907716049382703E-4</v>
      </c>
      <c r="H97" s="11">
        <f t="shared" si="51"/>
        <v>8.2407407407407397E-4</v>
      </c>
      <c r="I97" s="11">
        <f t="shared" si="52"/>
        <v>8.5922275321916877E-4</v>
      </c>
      <c r="J97" s="11">
        <f t="shared" si="53"/>
        <v>8.6856213097155112E-4</v>
      </c>
      <c r="K97" s="11">
        <f t="shared" si="54"/>
        <v>9.080422278338944E-4</v>
      </c>
      <c r="L97" s="11">
        <f t="shared" si="55"/>
        <v>9.5128233392122272E-4</v>
      </c>
      <c r="M97" s="25"/>
      <c r="N97" s="28"/>
      <c r="O97" s="25"/>
      <c r="P97" s="28"/>
      <c r="Q97" s="25"/>
      <c r="R97" s="28"/>
      <c r="S97" s="25"/>
      <c r="T97" s="25"/>
      <c r="U97" s="28"/>
      <c r="V97" s="25"/>
      <c r="W97" s="15" t="s">
        <v>141</v>
      </c>
      <c r="X97" s="52"/>
    </row>
    <row r="98" spans="1:24" ht="20.45" customHeight="1">
      <c r="A98" s="10" t="s">
        <v>92</v>
      </c>
      <c r="B98" s="11">
        <v>1.0300925925925925E-2</v>
      </c>
      <c r="C98" s="11">
        <v>2.9745370370370373E-3</v>
      </c>
      <c r="D98" s="11">
        <f t="shared" si="48"/>
        <v>5.9930787037037027E-3</v>
      </c>
      <c r="E98" s="12">
        <v>0.58179999999999998</v>
      </c>
      <c r="F98" s="11">
        <f t="shared" si="49"/>
        <v>7.4363425925925931E-4</v>
      </c>
      <c r="G98" s="11">
        <f t="shared" si="50"/>
        <v>7.9907716049382703E-4</v>
      </c>
      <c r="H98" s="11">
        <f t="shared" si="51"/>
        <v>8.2407407407407397E-4</v>
      </c>
      <c r="I98" s="11">
        <f t="shared" si="52"/>
        <v>8.5922275321916877E-4</v>
      </c>
      <c r="J98" s="11">
        <f t="shared" si="53"/>
        <v>8.6856213097155112E-4</v>
      </c>
      <c r="K98" s="11">
        <f t="shared" si="54"/>
        <v>9.080422278338944E-4</v>
      </c>
      <c r="L98" s="11">
        <f t="shared" si="55"/>
        <v>9.5128233392122272E-4</v>
      </c>
      <c r="M98" s="25"/>
      <c r="N98" s="28"/>
      <c r="O98" s="25"/>
      <c r="P98" s="28"/>
      <c r="Q98" s="25"/>
      <c r="R98" s="28"/>
      <c r="S98" s="25"/>
      <c r="T98" s="25"/>
      <c r="U98" s="28"/>
      <c r="V98" s="25"/>
      <c r="W98" s="15" t="s">
        <v>141</v>
      </c>
      <c r="X98" s="52"/>
    </row>
    <row r="99" spans="1:24" ht="20.45" customHeight="1">
      <c r="A99" s="10" t="s">
        <v>85</v>
      </c>
      <c r="B99" s="11">
        <v>1.0300925925925925E-2</v>
      </c>
      <c r="C99" s="11">
        <v>3.0671296296296297E-3</v>
      </c>
      <c r="D99" s="11">
        <f t="shared" si="48"/>
        <v>5.9930787037037027E-3</v>
      </c>
      <c r="E99" s="12">
        <v>0.58179999999999998</v>
      </c>
      <c r="F99" s="11">
        <f t="shared" si="49"/>
        <v>7.6678240740740743E-4</v>
      </c>
      <c r="G99" s="11">
        <f t="shared" si="50"/>
        <v>7.9907716049382703E-4</v>
      </c>
      <c r="H99" s="11">
        <f t="shared" si="51"/>
        <v>8.2407407407407397E-4</v>
      </c>
      <c r="I99" s="11">
        <f t="shared" si="52"/>
        <v>8.5922275321916877E-4</v>
      </c>
      <c r="J99" s="11">
        <f t="shared" si="53"/>
        <v>8.6856213097155112E-4</v>
      </c>
      <c r="K99" s="11">
        <f t="shared" si="54"/>
        <v>9.080422278338944E-4</v>
      </c>
      <c r="L99" s="17">
        <f t="shared" si="55"/>
        <v>9.5128233392122272E-4</v>
      </c>
      <c r="M99" s="25"/>
      <c r="N99" s="28"/>
      <c r="O99" s="25"/>
      <c r="P99" s="28"/>
      <c r="Q99" s="25"/>
      <c r="R99" s="28"/>
      <c r="S99" s="25"/>
      <c r="T99" s="25"/>
      <c r="U99" s="28"/>
      <c r="V99" s="25"/>
      <c r="W99" s="15" t="s">
        <v>141</v>
      </c>
      <c r="X99" s="52"/>
    </row>
    <row r="100" spans="1:24" ht="20.45" customHeight="1">
      <c r="A100" s="10" t="s">
        <v>117</v>
      </c>
      <c r="B100" s="11">
        <v>1.0300925925925925E-2</v>
      </c>
      <c r="C100" s="11">
        <v>3.0671296296296297E-3</v>
      </c>
      <c r="D100" s="11">
        <f t="shared" ref="D100:D122" si="56">B100*E100</f>
        <v>5.9930787037037027E-3</v>
      </c>
      <c r="E100" s="12">
        <v>0.58179999999999998</v>
      </c>
      <c r="F100" s="11">
        <f t="shared" ref="F100:F122" si="57">C100/4</f>
        <v>7.6678240740740743E-4</v>
      </c>
      <c r="G100" s="11">
        <f t="shared" ref="G100:G122" si="58">D100/7.5</f>
        <v>7.9907716049382703E-4</v>
      </c>
      <c r="H100" s="11">
        <f t="shared" ref="H100:H122" si="59">B100/12.5</f>
        <v>8.2407407407407397E-4</v>
      </c>
      <c r="I100" s="11">
        <f t="shared" ref="I100:I122" si="60">G100/0.93</f>
        <v>8.5922275321916877E-4</v>
      </c>
      <c r="J100" s="11">
        <f t="shared" ref="J100:J122" si="61">G100/0.92</f>
        <v>8.6856213097155112E-4</v>
      </c>
      <c r="K100" s="11">
        <f t="shared" ref="K100:K122" si="62">G100/0.88</f>
        <v>9.080422278338944E-4</v>
      </c>
      <c r="L100" s="11">
        <f t="shared" ref="L100:L122" si="63">G100/0.84</f>
        <v>9.5128233392122272E-4</v>
      </c>
      <c r="M100" s="25"/>
      <c r="N100" s="28"/>
      <c r="O100" s="25"/>
      <c r="P100" s="28"/>
      <c r="Q100" s="25"/>
      <c r="R100" s="28"/>
      <c r="S100" s="25"/>
      <c r="T100" s="25"/>
      <c r="U100" s="28"/>
      <c r="V100" s="25"/>
      <c r="W100" s="15" t="s">
        <v>141</v>
      </c>
      <c r="X100" s="52"/>
    </row>
    <row r="101" spans="1:24" ht="20.45" customHeight="1">
      <c r="A101" s="10" t="s">
        <v>118</v>
      </c>
      <c r="B101" s="11">
        <v>1.0300925925925925E-2</v>
      </c>
      <c r="C101" s="11">
        <v>3.0671296296296297E-3</v>
      </c>
      <c r="D101" s="11">
        <f>B101*E101</f>
        <v>5.9930787037037027E-3</v>
      </c>
      <c r="E101" s="12">
        <v>0.58179999999999998</v>
      </c>
      <c r="F101" s="11">
        <f>C101/4</f>
        <v>7.6678240740740743E-4</v>
      </c>
      <c r="G101" s="11">
        <f>D101/7.5</f>
        <v>7.9907716049382703E-4</v>
      </c>
      <c r="H101" s="11">
        <f>B101/12.5</f>
        <v>8.2407407407407397E-4</v>
      </c>
      <c r="I101" s="11">
        <f>G101/0.93</f>
        <v>8.5922275321916877E-4</v>
      </c>
      <c r="J101" s="11">
        <f>G101/0.92</f>
        <v>8.6856213097155112E-4</v>
      </c>
      <c r="K101" s="11">
        <f>G101/0.88</f>
        <v>9.080422278338944E-4</v>
      </c>
      <c r="L101" s="11">
        <f>G101/0.84</f>
        <v>9.5128233392122272E-4</v>
      </c>
      <c r="M101" s="25"/>
      <c r="N101" s="28"/>
      <c r="O101" s="25"/>
      <c r="P101" s="28"/>
      <c r="Q101" s="25"/>
      <c r="R101" s="28"/>
      <c r="S101" s="25"/>
      <c r="T101" s="25"/>
      <c r="U101" s="28"/>
      <c r="V101" s="25"/>
      <c r="W101" s="15" t="s">
        <v>141</v>
      </c>
      <c r="X101" s="52"/>
    </row>
    <row r="102" spans="1:24" ht="20.45" customHeight="1">
      <c r="A102" s="10" t="s">
        <v>86</v>
      </c>
      <c r="B102" s="11">
        <v>1.0416666666666666E-2</v>
      </c>
      <c r="C102" s="11">
        <v>3.0671296296296297E-3</v>
      </c>
      <c r="D102" s="11">
        <f>B102*E102</f>
        <v>6.0604166666666662E-3</v>
      </c>
      <c r="E102" s="12">
        <v>0.58179999999999998</v>
      </c>
      <c r="F102" s="11">
        <f>C102/4</f>
        <v>7.6678240740740743E-4</v>
      </c>
      <c r="G102" s="11">
        <f>D102/7.5</f>
        <v>8.0805555555555546E-4</v>
      </c>
      <c r="H102" s="11">
        <f>B102/12.5</f>
        <v>8.3333333333333328E-4</v>
      </c>
      <c r="I102" s="11">
        <f>G102/0.93</f>
        <v>8.6887694145758646E-4</v>
      </c>
      <c r="J102" s="11">
        <f>G102/0.92</f>
        <v>8.7832125603864715E-4</v>
      </c>
      <c r="K102" s="11">
        <f>G102/0.88</f>
        <v>9.1824494949494938E-4</v>
      </c>
      <c r="L102" s="11">
        <f>G102/0.84</f>
        <v>9.6197089947089938E-4</v>
      </c>
      <c r="M102" s="25"/>
      <c r="N102" s="28"/>
      <c r="O102" s="25"/>
      <c r="P102" s="28"/>
      <c r="Q102" s="25"/>
      <c r="R102" s="28"/>
      <c r="S102" s="25"/>
      <c r="T102" s="25"/>
      <c r="U102" s="28"/>
      <c r="V102" s="25"/>
      <c r="W102" s="15" t="s">
        <v>141</v>
      </c>
      <c r="X102" s="52"/>
    </row>
    <row r="103" spans="1:24" ht="20.45" customHeight="1">
      <c r="A103" s="10" t="s">
        <v>119</v>
      </c>
      <c r="B103" s="11">
        <v>1.0416666666666666E-2</v>
      </c>
      <c r="C103" s="11"/>
      <c r="D103" s="11">
        <f t="shared" si="56"/>
        <v>6.0604166666666662E-3</v>
      </c>
      <c r="E103" s="12">
        <v>0.58179999999999998</v>
      </c>
      <c r="F103" s="11">
        <f t="shared" si="57"/>
        <v>0</v>
      </c>
      <c r="G103" s="11">
        <f t="shared" si="58"/>
        <v>8.0805555555555546E-4</v>
      </c>
      <c r="H103" s="11">
        <f t="shared" si="59"/>
        <v>8.3333333333333328E-4</v>
      </c>
      <c r="I103" s="11">
        <f t="shared" si="60"/>
        <v>8.6887694145758646E-4</v>
      </c>
      <c r="J103" s="11">
        <f t="shared" si="61"/>
        <v>8.7832125603864715E-4</v>
      </c>
      <c r="K103" s="11">
        <f t="shared" si="62"/>
        <v>9.1824494949494938E-4</v>
      </c>
      <c r="L103" s="11">
        <f t="shared" si="63"/>
        <v>9.6197089947089938E-4</v>
      </c>
      <c r="M103" s="25"/>
      <c r="N103" s="28"/>
      <c r="O103" s="25"/>
      <c r="P103" s="28"/>
      <c r="Q103" s="25"/>
      <c r="R103" s="28"/>
      <c r="S103" s="25"/>
      <c r="T103" s="25"/>
      <c r="U103" s="28"/>
      <c r="V103" s="25"/>
      <c r="W103" s="15" t="s">
        <v>141</v>
      </c>
      <c r="X103" s="52"/>
    </row>
    <row r="104" spans="1:24" ht="20.45" customHeight="1">
      <c r="A104" s="10" t="s">
        <v>120</v>
      </c>
      <c r="B104" s="11">
        <v>1.0416666666666666E-2</v>
      </c>
      <c r="C104" s="11">
        <v>3.1250000000000002E-3</v>
      </c>
      <c r="D104" s="11">
        <f t="shared" si="56"/>
        <v>6.0604166666666662E-3</v>
      </c>
      <c r="E104" s="12">
        <v>0.58179999999999998</v>
      </c>
      <c r="F104" s="11">
        <f t="shared" si="57"/>
        <v>7.8125000000000004E-4</v>
      </c>
      <c r="G104" s="11">
        <f t="shared" si="58"/>
        <v>8.0805555555555546E-4</v>
      </c>
      <c r="H104" s="11">
        <f t="shared" si="59"/>
        <v>8.3333333333333328E-4</v>
      </c>
      <c r="I104" s="11">
        <f t="shared" si="60"/>
        <v>8.6887694145758646E-4</v>
      </c>
      <c r="J104" s="11">
        <f t="shared" si="61"/>
        <v>8.7832125603864715E-4</v>
      </c>
      <c r="K104" s="11">
        <f t="shared" si="62"/>
        <v>9.1824494949494938E-4</v>
      </c>
      <c r="L104" s="11">
        <f t="shared" si="63"/>
        <v>9.6197089947089938E-4</v>
      </c>
      <c r="M104" s="25"/>
      <c r="N104" s="28"/>
      <c r="O104" s="25"/>
      <c r="P104" s="28"/>
      <c r="Q104" s="25"/>
      <c r="R104" s="28"/>
      <c r="S104" s="25"/>
      <c r="T104" s="25"/>
      <c r="U104" s="28"/>
      <c r="V104" s="25"/>
      <c r="W104" s="15" t="s">
        <v>141</v>
      </c>
      <c r="X104" s="52"/>
    </row>
    <row r="105" spans="1:24" ht="20.45" customHeight="1">
      <c r="A105" s="10" t="s">
        <v>121</v>
      </c>
      <c r="B105" s="11">
        <v>1.0416666666666666E-2</v>
      </c>
      <c r="C105" s="11"/>
      <c r="D105" s="11">
        <f>B105*E105</f>
        <v>6.0604166666666662E-3</v>
      </c>
      <c r="E105" s="12">
        <v>0.58179999999999998</v>
      </c>
      <c r="F105" s="11">
        <f>C105/4</f>
        <v>0</v>
      </c>
      <c r="G105" s="11">
        <f>D105/7.5</f>
        <v>8.0805555555555546E-4</v>
      </c>
      <c r="H105" s="11">
        <f>B105/12.5</f>
        <v>8.3333333333333328E-4</v>
      </c>
      <c r="I105" s="11">
        <f>G105/0.93</f>
        <v>8.6887694145758646E-4</v>
      </c>
      <c r="J105" s="11">
        <f>G105/0.92</f>
        <v>8.7832125603864715E-4</v>
      </c>
      <c r="K105" s="11">
        <f>G105/0.88</f>
        <v>9.1824494949494938E-4</v>
      </c>
      <c r="L105" s="11">
        <f>G105/0.84</f>
        <v>9.6197089947089938E-4</v>
      </c>
      <c r="M105" s="25"/>
      <c r="N105" s="28"/>
      <c r="O105" s="25"/>
      <c r="P105" s="28"/>
      <c r="Q105" s="25"/>
      <c r="R105" s="28"/>
      <c r="S105" s="25"/>
      <c r="T105" s="25"/>
      <c r="U105" s="28"/>
      <c r="V105" s="25"/>
      <c r="W105" s="15" t="s">
        <v>141</v>
      </c>
      <c r="X105" s="52"/>
    </row>
    <row r="106" spans="1:24" ht="20.45" customHeight="1">
      <c r="A106" s="10" t="s">
        <v>87</v>
      </c>
      <c r="B106" s="11">
        <v>1.0532407407407407E-2</v>
      </c>
      <c r="C106" s="11">
        <v>2.9745370370370373E-3</v>
      </c>
      <c r="D106" s="11">
        <f t="shared" si="56"/>
        <v>6.1277546296296288E-3</v>
      </c>
      <c r="E106" s="12">
        <v>0.58179999999999998</v>
      </c>
      <c r="F106" s="11">
        <f t="shared" si="57"/>
        <v>7.4363425925925931E-4</v>
      </c>
      <c r="G106" s="11">
        <f t="shared" si="58"/>
        <v>8.1703395061728389E-4</v>
      </c>
      <c r="H106" s="11">
        <f t="shared" si="59"/>
        <v>8.4259259259259259E-4</v>
      </c>
      <c r="I106" s="11">
        <f t="shared" si="60"/>
        <v>8.7853112969600415E-4</v>
      </c>
      <c r="J106" s="11">
        <f t="shared" si="61"/>
        <v>8.8808038110574329E-4</v>
      </c>
      <c r="K106" s="11">
        <f t="shared" si="62"/>
        <v>9.2844767115600447E-4</v>
      </c>
      <c r="L106" s="11">
        <f t="shared" si="63"/>
        <v>9.7265946502057604E-4</v>
      </c>
      <c r="M106" s="25"/>
      <c r="N106" s="28"/>
      <c r="O106" s="25"/>
      <c r="P106" s="28"/>
      <c r="Q106" s="25"/>
      <c r="R106" s="28"/>
      <c r="S106" s="25"/>
      <c r="T106" s="25"/>
      <c r="U106" s="28"/>
      <c r="V106" s="25"/>
      <c r="W106" s="15" t="s">
        <v>141</v>
      </c>
      <c r="X106" s="52"/>
    </row>
    <row r="107" spans="1:24" ht="20.45" customHeight="1">
      <c r="A107" s="10" t="s">
        <v>88</v>
      </c>
      <c r="B107" s="11">
        <v>1.0532407407407407E-2</v>
      </c>
      <c r="C107" s="11">
        <v>3.0671296296296297E-3</v>
      </c>
      <c r="D107" s="11">
        <f t="shared" si="56"/>
        <v>6.1277546296296288E-3</v>
      </c>
      <c r="E107" s="12">
        <v>0.58179999999999998</v>
      </c>
      <c r="F107" s="11">
        <f t="shared" si="57"/>
        <v>7.6678240740740743E-4</v>
      </c>
      <c r="G107" s="11">
        <f t="shared" si="58"/>
        <v>8.1703395061728389E-4</v>
      </c>
      <c r="H107" s="11">
        <f t="shared" si="59"/>
        <v>8.4259259259259259E-4</v>
      </c>
      <c r="I107" s="11">
        <f t="shared" si="60"/>
        <v>8.7853112969600415E-4</v>
      </c>
      <c r="J107" s="11">
        <f t="shared" si="61"/>
        <v>8.8808038110574329E-4</v>
      </c>
      <c r="K107" s="11">
        <f t="shared" si="62"/>
        <v>9.2844767115600447E-4</v>
      </c>
      <c r="L107" s="11">
        <f t="shared" si="63"/>
        <v>9.7265946502057604E-4</v>
      </c>
      <c r="M107" s="25"/>
      <c r="N107" s="28"/>
      <c r="O107" s="25"/>
      <c r="P107" s="28"/>
      <c r="Q107" s="25"/>
      <c r="R107" s="28"/>
      <c r="S107" s="25"/>
      <c r="T107" s="25"/>
      <c r="U107" s="28"/>
      <c r="V107" s="25"/>
      <c r="W107" s="15" t="s">
        <v>141</v>
      </c>
      <c r="X107" s="52"/>
    </row>
    <row r="108" spans="1:24" ht="20.45" customHeight="1">
      <c r="A108" s="10" t="s">
        <v>90</v>
      </c>
      <c r="B108" s="11">
        <v>1.0532407407407407E-2</v>
      </c>
      <c r="C108" s="11">
        <v>3.0671296296296297E-3</v>
      </c>
      <c r="D108" s="11">
        <f>B108*E108</f>
        <v>6.1277546296296288E-3</v>
      </c>
      <c r="E108" s="12">
        <v>0.58179999999999998</v>
      </c>
      <c r="F108" s="11">
        <f>C108/4</f>
        <v>7.6678240740740743E-4</v>
      </c>
      <c r="G108" s="11">
        <f>D108/7.5</f>
        <v>8.1703395061728389E-4</v>
      </c>
      <c r="H108" s="11">
        <f>B108/12.5</f>
        <v>8.4259259259259259E-4</v>
      </c>
      <c r="I108" s="11">
        <f>G108/0.93</f>
        <v>8.7853112969600415E-4</v>
      </c>
      <c r="J108" s="11">
        <f>G108/0.92</f>
        <v>8.8808038110574329E-4</v>
      </c>
      <c r="K108" s="11">
        <f>G108/0.88</f>
        <v>9.2844767115600447E-4</v>
      </c>
      <c r="L108" s="17">
        <f>G108/0.84</f>
        <v>9.7265946502057604E-4</v>
      </c>
      <c r="M108" s="25"/>
      <c r="N108" s="28"/>
      <c r="O108" s="25"/>
      <c r="P108" s="28"/>
      <c r="Q108" s="25"/>
      <c r="R108" s="28"/>
      <c r="S108" s="25"/>
      <c r="T108" s="25"/>
      <c r="U108" s="28"/>
      <c r="V108" s="25"/>
      <c r="W108" s="15" t="s">
        <v>141</v>
      </c>
      <c r="X108" s="52"/>
    </row>
    <row r="109" spans="1:24" ht="20.45" customHeight="1">
      <c r="A109" s="10" t="s">
        <v>122</v>
      </c>
      <c r="B109" s="11">
        <v>1.0590277777777778E-2</v>
      </c>
      <c r="C109" s="11">
        <v>3.0671296296296297E-3</v>
      </c>
      <c r="D109" s="11">
        <f t="shared" si="56"/>
        <v>6.1614236111111114E-3</v>
      </c>
      <c r="E109" s="12">
        <v>0.58179999999999998</v>
      </c>
      <c r="F109" s="11">
        <f t="shared" si="57"/>
        <v>7.6678240740740743E-4</v>
      </c>
      <c r="G109" s="11">
        <f t="shared" si="58"/>
        <v>8.2152314814814816E-4</v>
      </c>
      <c r="H109" s="11">
        <f t="shared" si="59"/>
        <v>8.472222222222223E-4</v>
      </c>
      <c r="I109" s="11">
        <f t="shared" si="60"/>
        <v>8.8335822381521299E-4</v>
      </c>
      <c r="J109" s="11">
        <f t="shared" si="61"/>
        <v>8.9295994363929141E-4</v>
      </c>
      <c r="K109" s="11">
        <f t="shared" si="62"/>
        <v>9.3354903198653201E-4</v>
      </c>
      <c r="L109" s="11">
        <f t="shared" si="63"/>
        <v>9.7800374779541442E-4</v>
      </c>
      <c r="M109" s="25"/>
      <c r="N109" s="28"/>
      <c r="O109" s="25"/>
      <c r="P109" s="28"/>
      <c r="Q109" s="25"/>
      <c r="R109" s="28"/>
      <c r="S109" s="25"/>
      <c r="T109" s="25"/>
      <c r="U109" s="28"/>
      <c r="V109" s="25"/>
      <c r="W109" s="15" t="s">
        <v>141</v>
      </c>
      <c r="X109" s="52"/>
    </row>
    <row r="110" spans="1:24" ht="20.45" customHeight="1">
      <c r="A110" s="10" t="s">
        <v>123</v>
      </c>
      <c r="B110" s="11">
        <v>1.0590277777777778E-2</v>
      </c>
      <c r="C110" s="11">
        <v>3.1828703703703702E-3</v>
      </c>
      <c r="D110" s="11">
        <f t="shared" si="56"/>
        <v>6.1614236111111114E-3</v>
      </c>
      <c r="E110" s="12">
        <v>0.58179999999999998</v>
      </c>
      <c r="F110" s="11">
        <f t="shared" si="57"/>
        <v>7.9571759259259255E-4</v>
      </c>
      <c r="G110" s="11">
        <f t="shared" si="58"/>
        <v>8.2152314814814816E-4</v>
      </c>
      <c r="H110" s="11">
        <f t="shared" si="59"/>
        <v>8.472222222222223E-4</v>
      </c>
      <c r="I110" s="11">
        <f t="shared" si="60"/>
        <v>8.8335822381521299E-4</v>
      </c>
      <c r="J110" s="11">
        <f t="shared" si="61"/>
        <v>8.9295994363929141E-4</v>
      </c>
      <c r="K110" s="11">
        <f t="shared" si="62"/>
        <v>9.3354903198653201E-4</v>
      </c>
      <c r="L110" s="11">
        <f t="shared" si="63"/>
        <v>9.7800374779541442E-4</v>
      </c>
      <c r="M110" s="25"/>
      <c r="N110" s="28"/>
      <c r="O110" s="25"/>
      <c r="P110" s="28"/>
      <c r="Q110" s="25"/>
      <c r="R110" s="28"/>
      <c r="S110" s="25"/>
      <c r="T110" s="25"/>
      <c r="U110" s="28"/>
      <c r="V110" s="25"/>
      <c r="W110" s="15" t="s">
        <v>141</v>
      </c>
      <c r="X110" s="52"/>
    </row>
    <row r="111" spans="1:24" ht="20.45" customHeight="1">
      <c r="A111" s="10" t="s">
        <v>91</v>
      </c>
      <c r="B111" s="11">
        <v>1.0590277777777778E-2</v>
      </c>
      <c r="C111" s="11">
        <v>3.1249999999999997E-3</v>
      </c>
      <c r="D111" s="11">
        <f t="shared" si="56"/>
        <v>6.1614236111111114E-3</v>
      </c>
      <c r="E111" s="12">
        <v>0.58179999999999998</v>
      </c>
      <c r="F111" s="11">
        <f t="shared" si="57"/>
        <v>7.8124999999999993E-4</v>
      </c>
      <c r="G111" s="11">
        <f t="shared" si="58"/>
        <v>8.2152314814814816E-4</v>
      </c>
      <c r="H111" s="11">
        <f t="shared" si="59"/>
        <v>8.472222222222223E-4</v>
      </c>
      <c r="I111" s="11">
        <f t="shared" si="60"/>
        <v>8.8335822381521299E-4</v>
      </c>
      <c r="J111" s="11">
        <f t="shared" si="61"/>
        <v>8.9295994363929141E-4</v>
      </c>
      <c r="K111" s="11">
        <f t="shared" si="62"/>
        <v>9.3354903198653201E-4</v>
      </c>
      <c r="L111" s="11">
        <f t="shared" si="63"/>
        <v>9.7800374779541442E-4</v>
      </c>
      <c r="M111" s="25"/>
      <c r="N111" s="28"/>
      <c r="O111" s="25"/>
      <c r="P111" s="28"/>
      <c r="Q111" s="25"/>
      <c r="R111" s="28"/>
      <c r="S111" s="25"/>
      <c r="T111" s="25"/>
      <c r="U111" s="28"/>
      <c r="V111" s="25"/>
      <c r="W111" s="15" t="s">
        <v>141</v>
      </c>
      <c r="X111" s="52"/>
    </row>
    <row r="112" spans="1:24" ht="20.45" customHeight="1">
      <c r="A112" s="10" t="s">
        <v>124</v>
      </c>
      <c r="B112" s="11">
        <v>1.0590277777777778E-2</v>
      </c>
      <c r="C112" s="11"/>
      <c r="D112" s="11">
        <f>B112*E112</f>
        <v>6.1614236111111114E-3</v>
      </c>
      <c r="E112" s="12">
        <v>0.58179999999999998</v>
      </c>
      <c r="F112" s="11">
        <f>C112/4</f>
        <v>0</v>
      </c>
      <c r="G112" s="11">
        <f>D112/7.5</f>
        <v>8.2152314814814816E-4</v>
      </c>
      <c r="H112" s="11">
        <f>B112/12.5</f>
        <v>8.472222222222223E-4</v>
      </c>
      <c r="I112" s="11">
        <f>G112/0.93</f>
        <v>8.8335822381521299E-4</v>
      </c>
      <c r="J112" s="11">
        <f>G112/0.92</f>
        <v>8.9295994363929141E-4</v>
      </c>
      <c r="K112" s="11">
        <f>G112/0.88</f>
        <v>9.3354903198653201E-4</v>
      </c>
      <c r="L112" s="11">
        <f>G112/0.84</f>
        <v>9.7800374779541442E-4</v>
      </c>
      <c r="M112" s="25"/>
      <c r="N112" s="28"/>
      <c r="O112" s="25"/>
      <c r="P112" s="28"/>
      <c r="Q112" s="25"/>
      <c r="R112" s="28"/>
      <c r="S112" s="25"/>
      <c r="T112" s="25"/>
      <c r="U112" s="28"/>
      <c r="V112" s="25"/>
      <c r="W112" s="15" t="s">
        <v>141</v>
      </c>
      <c r="X112" s="52"/>
    </row>
    <row r="113" spans="1:24" ht="20.45" customHeight="1">
      <c r="A113" s="10" t="s">
        <v>125</v>
      </c>
      <c r="B113" s="11">
        <v>1.0648148148148148E-2</v>
      </c>
      <c r="C113" s="11"/>
      <c r="D113" s="11">
        <f t="shared" si="56"/>
        <v>6.1950925925925923E-3</v>
      </c>
      <c r="E113" s="12">
        <v>0.58179999999999998</v>
      </c>
      <c r="F113" s="11">
        <f t="shared" si="57"/>
        <v>0</v>
      </c>
      <c r="G113" s="11">
        <f t="shared" si="58"/>
        <v>8.2601234567901232E-4</v>
      </c>
      <c r="H113" s="11">
        <f t="shared" si="59"/>
        <v>8.5185185185185179E-4</v>
      </c>
      <c r="I113" s="11">
        <f t="shared" si="60"/>
        <v>8.8818531793442184E-4</v>
      </c>
      <c r="J113" s="11">
        <f t="shared" si="61"/>
        <v>8.9783950617283942E-4</v>
      </c>
      <c r="K113" s="11">
        <f t="shared" si="62"/>
        <v>9.3865039281705945E-4</v>
      </c>
      <c r="L113" s="11">
        <f t="shared" si="63"/>
        <v>9.833480305702527E-4</v>
      </c>
      <c r="M113" s="25"/>
      <c r="N113" s="28"/>
      <c r="O113" s="25"/>
      <c r="P113" s="28"/>
      <c r="Q113" s="25"/>
      <c r="R113" s="28"/>
      <c r="S113" s="25"/>
      <c r="T113" s="25"/>
      <c r="U113" s="28"/>
      <c r="V113" s="25"/>
      <c r="W113" s="15" t="s">
        <v>141</v>
      </c>
      <c r="X113" s="52"/>
    </row>
    <row r="114" spans="1:24" ht="20.45" customHeight="1">
      <c r="A114" s="10" t="s">
        <v>126</v>
      </c>
      <c r="B114" s="11">
        <v>1.0648148148148148E-2</v>
      </c>
      <c r="C114" s="11"/>
      <c r="D114" s="11">
        <f t="shared" si="56"/>
        <v>6.1950925925925923E-3</v>
      </c>
      <c r="E114" s="12">
        <v>0.58179999999999998</v>
      </c>
      <c r="F114" s="11">
        <f t="shared" si="57"/>
        <v>0</v>
      </c>
      <c r="G114" s="11">
        <f t="shared" si="58"/>
        <v>8.2601234567901232E-4</v>
      </c>
      <c r="H114" s="11">
        <f t="shared" si="59"/>
        <v>8.5185185185185179E-4</v>
      </c>
      <c r="I114" s="11">
        <f t="shared" si="60"/>
        <v>8.8818531793442184E-4</v>
      </c>
      <c r="J114" s="11">
        <f t="shared" si="61"/>
        <v>8.9783950617283942E-4</v>
      </c>
      <c r="K114" s="11">
        <f t="shared" si="62"/>
        <v>9.3865039281705945E-4</v>
      </c>
      <c r="L114" s="11">
        <f t="shared" si="63"/>
        <v>9.833480305702527E-4</v>
      </c>
      <c r="M114" s="25"/>
      <c r="N114" s="28"/>
      <c r="O114" s="25"/>
      <c r="P114" s="28"/>
      <c r="Q114" s="25"/>
      <c r="R114" s="28"/>
      <c r="S114" s="25"/>
      <c r="T114" s="25"/>
      <c r="U114" s="28"/>
      <c r="V114" s="25"/>
      <c r="W114" s="15" t="s">
        <v>141</v>
      </c>
      <c r="X114" s="52"/>
    </row>
    <row r="115" spans="1:24" ht="20.45" customHeight="1" thickBot="1">
      <c r="A115" s="10" t="s">
        <v>127</v>
      </c>
      <c r="B115" s="11">
        <v>1.0648148148148148E-2</v>
      </c>
      <c r="C115" s="11">
        <v>2.9513888888888888E-3</v>
      </c>
      <c r="D115" s="11">
        <f>B115*E115</f>
        <v>6.1950925925925923E-3</v>
      </c>
      <c r="E115" s="12">
        <v>0.58179999999999998</v>
      </c>
      <c r="F115" s="11">
        <f>C115/4</f>
        <v>7.378472222222222E-4</v>
      </c>
      <c r="G115" s="11">
        <f>D115/7.5</f>
        <v>8.2601234567901232E-4</v>
      </c>
      <c r="H115" s="11">
        <f>B115/12.5</f>
        <v>8.5185185185185179E-4</v>
      </c>
      <c r="I115" s="11">
        <f>G115/0.93</f>
        <v>8.8818531793442184E-4</v>
      </c>
      <c r="J115" s="11">
        <f>G115/0.92</f>
        <v>8.9783950617283942E-4</v>
      </c>
      <c r="K115" s="11">
        <f>G115/0.88</f>
        <v>9.3865039281705945E-4</v>
      </c>
      <c r="L115" s="11">
        <f>G115/0.84</f>
        <v>9.833480305702527E-4</v>
      </c>
      <c r="M115" s="25"/>
      <c r="N115" s="28"/>
      <c r="O115" s="25"/>
      <c r="P115" s="28"/>
      <c r="Q115" s="25"/>
      <c r="R115" s="28"/>
      <c r="S115" s="25"/>
      <c r="T115" s="25"/>
      <c r="U115" s="28"/>
      <c r="V115" s="25"/>
      <c r="W115" s="15" t="s">
        <v>141</v>
      </c>
      <c r="X115" s="52"/>
    </row>
    <row r="116" spans="1:24" ht="20.45" customHeight="1">
      <c r="A116" s="1" t="s">
        <v>165</v>
      </c>
      <c r="B116" s="6"/>
      <c r="C116" s="6"/>
      <c r="D116" s="6"/>
      <c r="E116" s="20"/>
      <c r="F116" s="6"/>
      <c r="G116" s="6"/>
      <c r="H116" s="6"/>
      <c r="I116" s="6"/>
      <c r="J116" s="6"/>
      <c r="K116" s="6"/>
      <c r="L116" s="6"/>
      <c r="M116" s="6"/>
      <c r="N116" s="6"/>
      <c r="O116" s="6"/>
      <c r="P116" s="6"/>
      <c r="Q116" s="6"/>
      <c r="R116" s="6"/>
      <c r="S116" s="6"/>
      <c r="T116" s="6"/>
      <c r="U116" s="6"/>
      <c r="V116" s="23"/>
      <c r="W116" s="35"/>
      <c r="X116" s="52"/>
    </row>
    <row r="117" spans="1:24" ht="20.45" customHeight="1">
      <c r="A117" s="10" t="s">
        <v>128</v>
      </c>
      <c r="B117" s="11">
        <v>1.0648148148148148E-2</v>
      </c>
      <c r="C117" s="11"/>
      <c r="D117" s="11">
        <f>B117*E117</f>
        <v>6.1950925925925923E-3</v>
      </c>
      <c r="E117" s="12">
        <v>0.58179999999999998</v>
      </c>
      <c r="F117" s="11">
        <f>C117/4</f>
        <v>0</v>
      </c>
      <c r="G117" s="11">
        <f>D117/7.5</f>
        <v>8.2601234567901232E-4</v>
      </c>
      <c r="H117" s="11">
        <f>B117/12.5</f>
        <v>8.5185185185185179E-4</v>
      </c>
      <c r="I117" s="11">
        <f>G117/0.93</f>
        <v>8.8818531793442184E-4</v>
      </c>
      <c r="J117" s="11">
        <f>G117/0.92</f>
        <v>8.9783950617283942E-4</v>
      </c>
      <c r="K117" s="11">
        <f>G117/0.88</f>
        <v>9.3865039281705945E-4</v>
      </c>
      <c r="L117" s="11">
        <f>G117/0.84</f>
        <v>9.833480305702527E-4</v>
      </c>
      <c r="M117" s="25"/>
      <c r="N117" s="28"/>
      <c r="O117" s="25"/>
      <c r="P117" s="28"/>
      <c r="Q117" s="25"/>
      <c r="R117" s="28"/>
      <c r="S117" s="25"/>
      <c r="T117" s="25"/>
      <c r="U117" s="28"/>
      <c r="V117" s="25"/>
      <c r="W117" s="15" t="s">
        <v>141</v>
      </c>
      <c r="X117" s="52"/>
    </row>
    <row r="118" spans="1:24" ht="20.45" customHeight="1">
      <c r="A118" s="10" t="s">
        <v>129</v>
      </c>
      <c r="B118" s="11">
        <v>1.0763888888888891E-2</v>
      </c>
      <c r="C118" s="11">
        <v>3.0092592592592593E-3</v>
      </c>
      <c r="D118" s="11">
        <f>B118*E118</f>
        <v>6.2624305555555567E-3</v>
      </c>
      <c r="E118" s="12">
        <v>0.58179999999999998</v>
      </c>
      <c r="F118" s="11">
        <f>C118/4</f>
        <v>7.5231481481481482E-4</v>
      </c>
      <c r="G118" s="11">
        <f>D118/7.5</f>
        <v>8.3499074074074085E-4</v>
      </c>
      <c r="H118" s="11">
        <f>B118/12.5</f>
        <v>8.6111111111111121E-4</v>
      </c>
      <c r="I118" s="11">
        <f>G118/0.93</f>
        <v>8.9783950617283953E-4</v>
      </c>
      <c r="J118" s="11">
        <f>G118/0.92</f>
        <v>9.0759863123993567E-4</v>
      </c>
      <c r="K118" s="11">
        <f>G118/0.88</f>
        <v>9.4885311447811464E-4</v>
      </c>
      <c r="L118" s="11">
        <f>G118/0.84</f>
        <v>9.9403659611992969E-4</v>
      </c>
      <c r="M118" s="25"/>
      <c r="N118" s="28"/>
      <c r="O118" s="25"/>
      <c r="P118" s="28"/>
      <c r="Q118" s="25"/>
      <c r="R118" s="28"/>
      <c r="S118" s="25"/>
      <c r="T118" s="25"/>
      <c r="U118" s="28"/>
      <c r="V118" s="25"/>
      <c r="W118" s="15" t="s">
        <v>141</v>
      </c>
      <c r="X118" s="50"/>
    </row>
    <row r="119" spans="1:24" ht="20.45" customHeight="1">
      <c r="A119" s="10" t="s">
        <v>130</v>
      </c>
      <c r="B119" s="11">
        <v>1.0763888888888891E-2</v>
      </c>
      <c r="C119" s="11">
        <v>3.1828703703703702E-3</v>
      </c>
      <c r="D119" s="11">
        <f>B119*E119</f>
        <v>6.2624305555555567E-3</v>
      </c>
      <c r="E119" s="12">
        <v>0.58179999999999998</v>
      </c>
      <c r="F119" s="11">
        <f>C119/4</f>
        <v>7.9571759259259255E-4</v>
      </c>
      <c r="G119" s="11">
        <f>D119/7.5</f>
        <v>8.3499074074074085E-4</v>
      </c>
      <c r="H119" s="11">
        <f>B119/12.5</f>
        <v>8.6111111111111121E-4</v>
      </c>
      <c r="I119" s="11">
        <f>G119/0.93</f>
        <v>8.9783950617283953E-4</v>
      </c>
      <c r="J119" s="11">
        <f>G119/0.92</f>
        <v>9.0759863123993567E-4</v>
      </c>
      <c r="K119" s="11">
        <f>G119/0.88</f>
        <v>9.4885311447811464E-4</v>
      </c>
      <c r="L119" s="11">
        <f>G119/0.84</f>
        <v>9.9403659611992969E-4</v>
      </c>
      <c r="M119" s="25"/>
      <c r="N119" s="28"/>
      <c r="O119" s="25"/>
      <c r="P119" s="28"/>
      <c r="Q119" s="25"/>
      <c r="R119" s="28"/>
      <c r="S119" s="25"/>
      <c r="T119" s="25"/>
      <c r="U119" s="28"/>
      <c r="V119" s="25"/>
      <c r="W119" s="15" t="s">
        <v>141</v>
      </c>
      <c r="X119" s="50"/>
    </row>
    <row r="120" spans="1:24" ht="20.45" customHeight="1">
      <c r="A120" s="10" t="s">
        <v>131</v>
      </c>
      <c r="B120" s="11">
        <v>1.0763888888888891E-2</v>
      </c>
      <c r="C120" s="11">
        <v>3.1828703703703702E-3</v>
      </c>
      <c r="D120" s="11">
        <f t="shared" si="56"/>
        <v>6.2624305555555567E-3</v>
      </c>
      <c r="E120" s="12">
        <v>0.58179999999999998</v>
      </c>
      <c r="F120" s="11">
        <f t="shared" si="57"/>
        <v>7.9571759259259255E-4</v>
      </c>
      <c r="G120" s="11">
        <f t="shared" si="58"/>
        <v>8.3499074074074085E-4</v>
      </c>
      <c r="H120" s="11">
        <f t="shared" si="59"/>
        <v>8.6111111111111121E-4</v>
      </c>
      <c r="I120" s="11">
        <f t="shared" si="60"/>
        <v>8.9783950617283953E-4</v>
      </c>
      <c r="J120" s="11">
        <f t="shared" si="61"/>
        <v>9.0759863123993567E-4</v>
      </c>
      <c r="K120" s="11">
        <f t="shared" si="62"/>
        <v>9.4885311447811464E-4</v>
      </c>
      <c r="L120" s="11">
        <f t="shared" si="63"/>
        <v>9.9403659611992969E-4</v>
      </c>
      <c r="M120" s="25"/>
      <c r="N120" s="28"/>
      <c r="O120" s="25"/>
      <c r="P120" s="28"/>
      <c r="Q120" s="25"/>
      <c r="R120" s="28"/>
      <c r="S120" s="25"/>
      <c r="T120" s="25"/>
      <c r="U120" s="28"/>
      <c r="V120" s="25"/>
      <c r="W120" s="15" t="s">
        <v>141</v>
      </c>
      <c r="X120" s="50"/>
    </row>
    <row r="121" spans="1:24" ht="20.45" customHeight="1">
      <c r="A121" s="10" t="s">
        <v>132</v>
      </c>
      <c r="B121" s="11">
        <v>1.0763888888888891E-2</v>
      </c>
      <c r="C121" s="11"/>
      <c r="D121" s="11">
        <f t="shared" si="56"/>
        <v>6.2624305555555567E-3</v>
      </c>
      <c r="E121" s="12">
        <v>0.58179999999999998</v>
      </c>
      <c r="F121" s="11">
        <f t="shared" si="57"/>
        <v>0</v>
      </c>
      <c r="G121" s="11">
        <f t="shared" si="58"/>
        <v>8.3499074074074085E-4</v>
      </c>
      <c r="H121" s="11">
        <f t="shared" si="59"/>
        <v>8.6111111111111121E-4</v>
      </c>
      <c r="I121" s="11">
        <f t="shared" si="60"/>
        <v>8.9783950617283953E-4</v>
      </c>
      <c r="J121" s="11">
        <f t="shared" si="61"/>
        <v>9.0759863123993567E-4</v>
      </c>
      <c r="K121" s="11">
        <f t="shared" si="62"/>
        <v>9.4885311447811464E-4</v>
      </c>
      <c r="L121" s="11">
        <f t="shared" si="63"/>
        <v>9.9403659611992969E-4</v>
      </c>
      <c r="M121" s="25"/>
      <c r="N121" s="28"/>
      <c r="O121" s="25"/>
      <c r="P121" s="28"/>
      <c r="Q121" s="25"/>
      <c r="R121" s="28"/>
      <c r="S121" s="25"/>
      <c r="T121" s="25"/>
      <c r="U121" s="28"/>
      <c r="V121" s="25"/>
      <c r="W121" s="15" t="s">
        <v>141</v>
      </c>
      <c r="X121" s="50"/>
    </row>
    <row r="122" spans="1:24" ht="20.45" customHeight="1">
      <c r="A122" s="10" t="s">
        <v>133</v>
      </c>
      <c r="B122" s="11">
        <v>1.0763888888888891E-2</v>
      </c>
      <c r="C122" s="11">
        <v>3.1250000000000002E-3</v>
      </c>
      <c r="D122" s="11">
        <f t="shared" si="56"/>
        <v>6.2624305555555567E-3</v>
      </c>
      <c r="E122" s="12">
        <v>0.58179999999999998</v>
      </c>
      <c r="F122" s="11">
        <f t="shared" si="57"/>
        <v>7.8125000000000004E-4</v>
      </c>
      <c r="G122" s="11">
        <f t="shared" si="58"/>
        <v>8.3499074074074085E-4</v>
      </c>
      <c r="H122" s="11">
        <f t="shared" si="59"/>
        <v>8.6111111111111121E-4</v>
      </c>
      <c r="I122" s="11">
        <f t="shared" si="60"/>
        <v>8.9783950617283953E-4</v>
      </c>
      <c r="J122" s="11">
        <f t="shared" si="61"/>
        <v>9.0759863123993567E-4</v>
      </c>
      <c r="K122" s="11">
        <f t="shared" si="62"/>
        <v>9.4885311447811464E-4</v>
      </c>
      <c r="L122" s="11">
        <f t="shared" si="63"/>
        <v>9.9403659611992969E-4</v>
      </c>
      <c r="M122" s="25"/>
      <c r="N122" s="28"/>
      <c r="O122" s="25"/>
      <c r="P122" s="28"/>
      <c r="Q122" s="25"/>
      <c r="R122" s="28"/>
      <c r="S122" s="25"/>
      <c r="T122" s="25"/>
      <c r="U122" s="28"/>
      <c r="V122" s="25"/>
      <c r="W122" s="15" t="s">
        <v>141</v>
      </c>
      <c r="X122" s="50"/>
    </row>
    <row r="123" spans="1:24" ht="20.45" customHeight="1">
      <c r="A123" s="10" t="s">
        <v>134</v>
      </c>
      <c r="B123" s="11">
        <v>1.1631944444444445E-2</v>
      </c>
      <c r="C123" s="11"/>
      <c r="D123" s="11">
        <f>B123*E123</f>
        <v>6.7674652777777776E-3</v>
      </c>
      <c r="E123" s="12">
        <v>0.58179999999999998</v>
      </c>
      <c r="F123" s="11">
        <f>C123/4</f>
        <v>0</v>
      </c>
      <c r="G123" s="11">
        <f>D123/7.5</f>
        <v>9.0232870370370369E-4</v>
      </c>
      <c r="H123" s="11">
        <f>B123/12.5</f>
        <v>9.3055555555555556E-4</v>
      </c>
      <c r="I123" s="11">
        <f>G123/0.93</f>
        <v>9.7024591796097167E-4</v>
      </c>
      <c r="J123" s="11">
        <f>G123/0.92</f>
        <v>9.8079206924315621E-4</v>
      </c>
      <c r="K123" s="11">
        <f>G123/0.88</f>
        <v>1.0253735269360269E-3</v>
      </c>
      <c r="L123" s="11">
        <f>G123/0.84</f>
        <v>1.0742008377425045E-3</v>
      </c>
      <c r="M123" s="25"/>
      <c r="N123" s="28"/>
      <c r="O123" s="25"/>
      <c r="P123" s="28"/>
      <c r="Q123" s="25"/>
      <c r="R123" s="28"/>
      <c r="S123" s="25"/>
      <c r="T123" s="25"/>
      <c r="U123" s="28"/>
      <c r="V123" s="25"/>
      <c r="W123" s="15" t="s">
        <v>141</v>
      </c>
      <c r="X123" s="50"/>
    </row>
    <row r="124" spans="1:24" ht="20.45" customHeight="1">
      <c r="A124" s="10" t="s">
        <v>135</v>
      </c>
      <c r="B124" s="11">
        <v>1.1631944444444445E-2</v>
      </c>
      <c r="C124" s="11">
        <v>3.414351851851852E-3</v>
      </c>
      <c r="D124" s="11">
        <f>B124*E124</f>
        <v>6.7674652777777776E-3</v>
      </c>
      <c r="E124" s="12">
        <v>0.58179999999999998</v>
      </c>
      <c r="F124" s="11">
        <f>C124/4</f>
        <v>8.53587962962963E-4</v>
      </c>
      <c r="G124" s="11">
        <f>D124/7.5</f>
        <v>9.0232870370370369E-4</v>
      </c>
      <c r="H124" s="11">
        <f>B124/12.5</f>
        <v>9.3055555555555556E-4</v>
      </c>
      <c r="I124" s="11">
        <f>G124/0.93</f>
        <v>9.7024591796097167E-4</v>
      </c>
      <c r="J124" s="11">
        <f>G124/0.92</f>
        <v>9.8079206924315621E-4</v>
      </c>
      <c r="K124" s="11">
        <f>G124/0.88</f>
        <v>1.0253735269360269E-3</v>
      </c>
      <c r="L124" s="17">
        <f>G124/0.84</f>
        <v>1.0742008377425045E-3</v>
      </c>
      <c r="M124" s="25"/>
      <c r="N124" s="28"/>
      <c r="O124" s="25"/>
      <c r="P124" s="28"/>
      <c r="Q124" s="25"/>
      <c r="R124" s="28"/>
      <c r="S124" s="25"/>
      <c r="T124" s="25"/>
      <c r="U124" s="28"/>
      <c r="V124" s="25"/>
      <c r="W124" s="15" t="s">
        <v>141</v>
      </c>
      <c r="X124" s="50"/>
    </row>
    <row r="125" spans="1:24" ht="20.45" customHeight="1">
      <c r="A125" s="10" t="s">
        <v>136</v>
      </c>
      <c r="B125" s="11">
        <v>1.1111111111111112E-2</v>
      </c>
      <c r="C125" s="11">
        <v>3.1828703703703702E-3</v>
      </c>
      <c r="D125" s="11">
        <f>B125*E125</f>
        <v>6.4644444444444445E-3</v>
      </c>
      <c r="E125" s="12">
        <v>0.58179999999999998</v>
      </c>
      <c r="F125" s="11">
        <f>C125/4</f>
        <v>7.9571759259259255E-4</v>
      </c>
      <c r="G125" s="11">
        <f>D125/7.5</f>
        <v>8.6192592592592592E-4</v>
      </c>
      <c r="H125" s="11">
        <f>B125/12.5</f>
        <v>8.8888888888888893E-4</v>
      </c>
      <c r="I125" s="11">
        <f>G125/0.93</f>
        <v>9.2680207088809239E-4</v>
      </c>
      <c r="J125" s="11">
        <f>G125/0.92</f>
        <v>9.3687600644122375E-4</v>
      </c>
      <c r="K125" s="11">
        <f>G125/0.88</f>
        <v>9.7946127946127947E-4</v>
      </c>
      <c r="L125" s="11">
        <f>G125/0.84</f>
        <v>1.0261022927689596E-3</v>
      </c>
      <c r="M125" s="25"/>
      <c r="N125" s="28"/>
      <c r="O125" s="25"/>
      <c r="P125" s="28"/>
      <c r="Q125" s="25"/>
      <c r="R125" s="28"/>
      <c r="S125" s="25"/>
      <c r="T125" s="25"/>
      <c r="U125" s="28"/>
      <c r="V125" s="25"/>
      <c r="W125" s="15" t="s">
        <v>141</v>
      </c>
      <c r="X125" s="50"/>
    </row>
    <row r="126" spans="1:24" ht="20.45" customHeight="1">
      <c r="A126" s="10" t="s">
        <v>137</v>
      </c>
      <c r="B126" s="11">
        <v>1.0763888888888891E-2</v>
      </c>
      <c r="C126" s="11">
        <v>3.0092592592592593E-3</v>
      </c>
      <c r="D126" s="11">
        <f>B126*E126</f>
        <v>6.2624305555555567E-3</v>
      </c>
      <c r="E126" s="12">
        <v>0.58179999999999998</v>
      </c>
      <c r="F126" s="11">
        <f>C126/4</f>
        <v>7.5231481481481482E-4</v>
      </c>
      <c r="G126" s="11">
        <f>D126/7.5</f>
        <v>8.3499074074074085E-4</v>
      </c>
      <c r="H126" s="11">
        <f>B126/12.5</f>
        <v>8.6111111111111121E-4</v>
      </c>
      <c r="I126" s="11">
        <f>G126/0.93</f>
        <v>8.9783950617283953E-4</v>
      </c>
      <c r="J126" s="11">
        <f>G126/0.92</f>
        <v>9.0759863123993567E-4</v>
      </c>
      <c r="K126" s="11">
        <f>G126/0.88</f>
        <v>9.4885311447811464E-4</v>
      </c>
      <c r="L126" s="11">
        <f>G126/0.84</f>
        <v>9.9403659611992969E-4</v>
      </c>
      <c r="M126" s="25"/>
      <c r="N126" s="28"/>
      <c r="O126" s="25"/>
      <c r="P126" s="28"/>
      <c r="Q126" s="25"/>
      <c r="R126" s="28"/>
      <c r="S126" s="25"/>
      <c r="T126" s="25"/>
      <c r="U126" s="28"/>
      <c r="V126" s="25"/>
      <c r="W126" s="15" t="s">
        <v>141</v>
      </c>
      <c r="X126" s="50"/>
    </row>
    <row r="127" spans="1:24" ht="20.45" customHeight="1">
      <c r="A127" s="10" t="s">
        <v>95</v>
      </c>
      <c r="B127" s="11">
        <v>1.0243055555555556E-2</v>
      </c>
      <c r="C127" s="11">
        <v>2.9513888888888888E-3</v>
      </c>
      <c r="D127" s="11">
        <f>B127*E127</f>
        <v>5.9594097222222218E-3</v>
      </c>
      <c r="E127" s="12">
        <v>0.58179999999999998</v>
      </c>
      <c r="F127" s="11">
        <f>C127/4</f>
        <v>7.378472222222222E-4</v>
      </c>
      <c r="G127" s="11">
        <f>D127/7.5</f>
        <v>7.9458796296296287E-4</v>
      </c>
      <c r="H127" s="11">
        <f>B127/12.5</f>
        <v>8.1944444444444447E-4</v>
      </c>
      <c r="I127" s="11">
        <f>G127/0.93</f>
        <v>8.5439565909996003E-4</v>
      </c>
      <c r="J127" s="11">
        <f>G127/0.92</f>
        <v>8.636825684380031E-4</v>
      </c>
      <c r="K127" s="11">
        <f>G127/0.88</f>
        <v>9.0294086700336686E-4</v>
      </c>
      <c r="L127" s="11">
        <f>G127/0.84</f>
        <v>9.4593805114638445E-4</v>
      </c>
      <c r="M127" s="25"/>
      <c r="N127" s="28"/>
      <c r="O127" s="25"/>
      <c r="P127" s="28"/>
      <c r="Q127" s="25"/>
      <c r="R127" s="28"/>
      <c r="S127" s="25"/>
      <c r="T127" s="25"/>
      <c r="U127" s="28"/>
      <c r="V127" s="25"/>
      <c r="W127" s="15" t="s">
        <v>141</v>
      </c>
      <c r="X127" s="50"/>
    </row>
    <row r="128" spans="1:24" ht="20.45" customHeight="1">
      <c r="A128" s="10"/>
      <c r="B128" s="11"/>
      <c r="C128" s="11"/>
      <c r="D128" s="11"/>
      <c r="E128" s="12"/>
      <c r="F128" s="11"/>
      <c r="G128" s="11"/>
      <c r="H128" s="11"/>
      <c r="I128" s="11"/>
      <c r="J128" s="11"/>
      <c r="K128" s="11"/>
      <c r="L128" s="11"/>
      <c r="M128" s="25"/>
      <c r="N128" s="28"/>
      <c r="O128" s="25"/>
      <c r="P128" s="25"/>
      <c r="Q128" s="25"/>
      <c r="R128" s="25"/>
      <c r="S128" s="25"/>
      <c r="T128" s="25"/>
      <c r="U128" s="28"/>
      <c r="V128" s="25"/>
      <c r="W128" s="15"/>
      <c r="X128" s="50"/>
    </row>
    <row r="129" spans="1:24" ht="20.45" customHeight="1">
      <c r="A129" s="10"/>
      <c r="B129" s="11"/>
      <c r="C129" s="11"/>
      <c r="D129" s="11"/>
      <c r="E129" s="12"/>
      <c r="F129" s="11"/>
      <c r="G129" s="11"/>
      <c r="H129" s="11"/>
      <c r="I129" s="11"/>
      <c r="J129" s="11"/>
      <c r="K129" s="11"/>
      <c r="L129" s="17"/>
      <c r="M129" s="25"/>
      <c r="N129" s="28"/>
      <c r="O129" s="25"/>
      <c r="P129" s="25"/>
      <c r="Q129" s="25"/>
      <c r="R129" s="28"/>
      <c r="S129" s="25"/>
      <c r="T129" s="25"/>
      <c r="U129" s="28"/>
      <c r="V129" s="25"/>
      <c r="W129" s="15"/>
      <c r="X129" s="50"/>
    </row>
    <row r="130" spans="1:24" ht="20.45" customHeight="1">
      <c r="A130" s="10"/>
      <c r="B130" s="11"/>
      <c r="C130" s="11"/>
      <c r="D130" s="11"/>
      <c r="E130" s="12"/>
      <c r="F130" s="11"/>
      <c r="G130" s="11"/>
      <c r="H130" s="11"/>
      <c r="I130" s="11"/>
      <c r="J130" s="11"/>
      <c r="K130" s="11"/>
      <c r="L130" s="11"/>
      <c r="M130" s="25"/>
      <c r="N130" s="28"/>
      <c r="O130" s="25"/>
      <c r="P130" s="25"/>
      <c r="Q130" s="25"/>
      <c r="R130" s="25"/>
      <c r="S130" s="25"/>
      <c r="T130" s="25"/>
      <c r="U130" s="25"/>
      <c r="V130" s="25"/>
      <c r="W130" s="27"/>
      <c r="X130" s="50"/>
    </row>
    <row r="131" spans="1:24" ht="20.45" customHeight="1">
      <c r="A131" s="10"/>
      <c r="B131" s="11"/>
      <c r="C131" s="11"/>
      <c r="D131" s="11"/>
      <c r="E131" s="12"/>
      <c r="F131" s="11"/>
      <c r="G131" s="11"/>
      <c r="H131" s="11"/>
      <c r="I131" s="11"/>
      <c r="J131" s="11"/>
      <c r="K131" s="11"/>
      <c r="L131" s="11"/>
      <c r="M131" s="25"/>
      <c r="N131" s="28"/>
      <c r="O131" s="25"/>
      <c r="P131" s="28"/>
      <c r="Q131" s="25"/>
      <c r="R131" s="28"/>
      <c r="S131" s="25"/>
      <c r="T131" s="25"/>
      <c r="U131" s="28"/>
      <c r="V131" s="28"/>
      <c r="W131" s="27"/>
      <c r="X131" s="50"/>
    </row>
    <row r="132" spans="1:24" ht="20.45" customHeight="1">
      <c r="A132" s="10"/>
      <c r="B132" s="11"/>
      <c r="C132" s="11"/>
      <c r="D132" s="11"/>
      <c r="E132" s="12"/>
      <c r="F132" s="11"/>
      <c r="G132" s="11"/>
      <c r="H132" s="11"/>
      <c r="I132" s="11"/>
      <c r="J132" s="11"/>
      <c r="K132" s="11"/>
      <c r="L132" s="17"/>
      <c r="M132" s="25"/>
      <c r="N132" s="28"/>
      <c r="O132" s="25"/>
      <c r="P132" s="25"/>
      <c r="Q132" s="25"/>
      <c r="R132" s="25"/>
      <c r="S132" s="25"/>
      <c r="T132" s="25"/>
      <c r="U132" s="28"/>
      <c r="V132" s="25"/>
      <c r="W132" s="15"/>
      <c r="X132" s="50"/>
    </row>
    <row r="133" spans="1:24" ht="20.45" customHeight="1">
      <c r="A133" s="10"/>
      <c r="B133" s="11"/>
      <c r="C133" s="11"/>
      <c r="D133" s="11"/>
      <c r="E133" s="12"/>
      <c r="F133" s="11"/>
      <c r="G133" s="11"/>
      <c r="H133" s="11"/>
      <c r="I133" s="11"/>
      <c r="J133" s="11"/>
      <c r="K133" s="11"/>
      <c r="L133" s="11"/>
      <c r="M133" s="25"/>
      <c r="N133" s="28"/>
      <c r="O133" s="25"/>
      <c r="P133" s="25"/>
      <c r="Q133" s="25"/>
      <c r="R133" s="25"/>
      <c r="S133" s="25"/>
      <c r="T133" s="25"/>
      <c r="U133" s="28"/>
      <c r="V133" s="25"/>
      <c r="W133" s="15"/>
      <c r="X133" s="50"/>
    </row>
    <row r="134" spans="1:24" ht="20.45" customHeight="1">
      <c r="A134" s="10"/>
      <c r="B134" s="11"/>
      <c r="C134" s="11"/>
      <c r="D134" s="11"/>
      <c r="E134" s="12"/>
      <c r="F134" s="11"/>
      <c r="G134" s="11"/>
      <c r="H134" s="11"/>
      <c r="I134" s="11"/>
      <c r="J134" s="11"/>
      <c r="K134" s="11"/>
      <c r="L134" s="11"/>
      <c r="M134" s="25"/>
      <c r="N134" s="28"/>
      <c r="O134" s="25"/>
      <c r="P134" s="25"/>
      <c r="Q134" s="28"/>
      <c r="R134" s="28"/>
      <c r="S134" s="25"/>
      <c r="T134" s="25"/>
      <c r="U134" s="28"/>
      <c r="V134" s="25"/>
      <c r="W134" s="15"/>
      <c r="X134" s="50"/>
    </row>
    <row r="135" spans="1:24" ht="20.45" customHeight="1">
      <c r="A135" s="10"/>
      <c r="B135" s="11"/>
      <c r="C135" s="11"/>
      <c r="D135" s="11"/>
      <c r="E135" s="12"/>
      <c r="F135" s="11"/>
      <c r="G135" s="11"/>
      <c r="H135" s="11"/>
      <c r="I135" s="11"/>
      <c r="J135" s="11"/>
      <c r="K135" s="11"/>
      <c r="L135" s="17"/>
      <c r="M135" s="25"/>
      <c r="N135" s="28"/>
      <c r="O135" s="25"/>
      <c r="P135" s="25"/>
      <c r="Q135" s="25"/>
      <c r="R135" s="25"/>
      <c r="S135" s="25"/>
      <c r="T135" s="25"/>
      <c r="U135" s="28"/>
      <c r="V135" s="25"/>
      <c r="W135" s="15"/>
      <c r="X135" s="50"/>
    </row>
    <row r="136" spans="1:24" ht="20.45" customHeight="1">
      <c r="A136" s="10"/>
      <c r="B136" s="11"/>
      <c r="C136" s="11"/>
      <c r="D136" s="11"/>
      <c r="E136" s="12"/>
      <c r="F136" s="11"/>
      <c r="G136" s="11"/>
      <c r="H136" s="11"/>
      <c r="I136" s="11"/>
      <c r="J136" s="11"/>
      <c r="K136" s="11"/>
      <c r="L136" s="11"/>
      <c r="M136" s="25"/>
      <c r="N136" s="28"/>
      <c r="O136" s="25"/>
      <c r="P136" s="25"/>
      <c r="Q136" s="25"/>
      <c r="R136" s="28"/>
      <c r="S136" s="25"/>
      <c r="T136" s="25"/>
      <c r="U136" s="28"/>
      <c r="V136" s="25"/>
      <c r="W136" s="15"/>
      <c r="X136" s="50"/>
    </row>
    <row r="137" spans="1:24" ht="20.45" customHeight="1">
      <c r="A137" s="10"/>
      <c r="B137" s="11"/>
      <c r="C137" s="11"/>
      <c r="D137" s="11"/>
      <c r="E137" s="12"/>
      <c r="F137" s="11"/>
      <c r="G137" s="11"/>
      <c r="H137" s="11"/>
      <c r="I137" s="11"/>
      <c r="J137" s="11"/>
      <c r="K137" s="11"/>
      <c r="L137" s="11"/>
      <c r="M137" s="25"/>
      <c r="N137" s="28"/>
      <c r="O137" s="25"/>
      <c r="P137" s="25"/>
      <c r="Q137" s="28"/>
      <c r="R137" s="28"/>
      <c r="S137" s="25"/>
      <c r="T137" s="25"/>
      <c r="U137" s="28"/>
      <c r="V137" s="25"/>
      <c r="W137" s="15"/>
      <c r="X137" s="50"/>
    </row>
    <row r="138" spans="1:24" ht="20.45" customHeight="1">
      <c r="A138" s="10"/>
      <c r="B138" s="11"/>
      <c r="C138" s="11"/>
      <c r="D138" s="11"/>
      <c r="E138" s="12"/>
      <c r="F138" s="11"/>
      <c r="G138" s="11"/>
      <c r="H138" s="11"/>
      <c r="I138" s="11"/>
      <c r="J138" s="11"/>
      <c r="K138" s="11"/>
      <c r="L138" s="11"/>
      <c r="M138" s="25"/>
      <c r="N138" s="28"/>
      <c r="O138" s="25"/>
      <c r="P138" s="28"/>
      <c r="Q138" s="25"/>
      <c r="R138" s="28"/>
      <c r="S138" s="25"/>
      <c r="T138" s="28"/>
      <c r="U138" s="28"/>
      <c r="V138" s="25"/>
      <c r="W138" s="15"/>
      <c r="X138" s="51"/>
    </row>
    <row r="139" spans="1:24" ht="20.45" customHeight="1">
      <c r="A139" s="10"/>
      <c r="B139" s="11"/>
      <c r="C139" s="11"/>
      <c r="D139" s="11"/>
      <c r="E139" s="12"/>
      <c r="F139" s="11"/>
      <c r="G139" s="11"/>
      <c r="H139" s="11"/>
      <c r="I139" s="11"/>
      <c r="J139" s="11"/>
      <c r="K139" s="11"/>
      <c r="L139" s="11"/>
      <c r="M139" s="25"/>
      <c r="N139" s="28"/>
      <c r="O139" s="25"/>
      <c r="P139" s="25"/>
      <c r="Q139" s="25"/>
      <c r="R139" s="25"/>
      <c r="S139" s="25"/>
      <c r="T139" s="25"/>
      <c r="U139" s="28"/>
      <c r="V139" s="25"/>
      <c r="W139" s="15"/>
      <c r="X139" s="51"/>
    </row>
    <row r="140" spans="1:24" ht="20.45" customHeight="1">
      <c r="A140" s="10"/>
      <c r="B140" s="11"/>
      <c r="C140" s="11"/>
      <c r="D140" s="11"/>
      <c r="E140" s="12"/>
      <c r="F140" s="11"/>
      <c r="G140" s="11"/>
      <c r="H140" s="11"/>
      <c r="I140" s="11"/>
      <c r="J140" s="11"/>
      <c r="K140" s="11"/>
      <c r="L140" s="17"/>
      <c r="M140" s="25"/>
      <c r="N140" s="28"/>
      <c r="O140" s="25"/>
      <c r="P140" s="28"/>
      <c r="Q140" s="25"/>
      <c r="R140" s="28"/>
      <c r="S140" s="25"/>
      <c r="T140" s="25"/>
      <c r="U140" s="28"/>
      <c r="V140" s="28"/>
      <c r="W140" s="27"/>
      <c r="X140" s="51"/>
    </row>
    <row r="141" spans="1:24" ht="20.45" customHeight="1">
      <c r="A141" s="10"/>
      <c r="B141" s="11"/>
      <c r="C141" s="11"/>
      <c r="D141" s="11"/>
      <c r="E141" s="12"/>
      <c r="F141" s="11"/>
      <c r="G141" s="11"/>
      <c r="H141" s="11"/>
      <c r="I141" s="11"/>
      <c r="J141" s="11"/>
      <c r="K141" s="11"/>
      <c r="L141" s="11"/>
      <c r="M141" s="11"/>
      <c r="N141" s="26"/>
      <c r="P141" s="26"/>
      <c r="Q141" s="26"/>
      <c r="R141" s="26"/>
      <c r="S141" s="14"/>
      <c r="T141" s="14"/>
      <c r="U141" s="26"/>
      <c r="V141" s="28"/>
      <c r="W141" s="27"/>
      <c r="X141" s="51"/>
    </row>
    <row r="142" spans="1:24" ht="20.100000000000001" customHeight="1">
      <c r="A142" s="10"/>
      <c r="B142" s="11"/>
      <c r="C142" s="11"/>
      <c r="D142" s="11">
        <f>B142*E142</f>
        <v>0</v>
      </c>
      <c r="E142" s="12"/>
      <c r="F142" s="11">
        <f>C142/4</f>
        <v>0</v>
      </c>
      <c r="G142" s="11">
        <f>D142/7.5</f>
        <v>0</v>
      </c>
      <c r="H142" s="11">
        <f>B142/12.5</f>
        <v>0</v>
      </c>
      <c r="I142" s="11">
        <f>G142/0.93</f>
        <v>0</v>
      </c>
      <c r="J142" s="11">
        <f>G142/0.92</f>
        <v>0</v>
      </c>
      <c r="K142" s="11">
        <f>G142/0.88</f>
        <v>0</v>
      </c>
      <c r="L142" s="17">
        <f>G142/0.84</f>
        <v>0</v>
      </c>
      <c r="M142" s="11"/>
      <c r="N142" s="26"/>
      <c r="P142" s="26"/>
      <c r="Q142" s="26"/>
      <c r="R142" s="26"/>
      <c r="S142" s="14"/>
      <c r="T142" s="14"/>
      <c r="U142" s="26"/>
      <c r="V142" s="38"/>
      <c r="W142" s="31"/>
      <c r="X142" s="51"/>
    </row>
    <row r="143" spans="1:24" ht="20.100000000000001" customHeight="1">
      <c r="A143" s="10"/>
      <c r="B143" s="11"/>
      <c r="C143" s="11"/>
      <c r="D143" s="11">
        <f>B143*E143</f>
        <v>0</v>
      </c>
      <c r="E143" s="12"/>
      <c r="F143" s="11">
        <f>C143/4</f>
        <v>0</v>
      </c>
      <c r="G143" s="11">
        <f>D143/7.5</f>
        <v>0</v>
      </c>
      <c r="H143" s="11">
        <f>B143/12.5</f>
        <v>0</v>
      </c>
      <c r="I143" s="11">
        <f>G143/0.93</f>
        <v>0</v>
      </c>
      <c r="J143" s="11">
        <f>G143/0.92</f>
        <v>0</v>
      </c>
      <c r="K143" s="11">
        <f>G143/0.88</f>
        <v>0</v>
      </c>
      <c r="L143" s="17">
        <f>G143/0.84</f>
        <v>0</v>
      </c>
      <c r="M143" s="11"/>
      <c r="N143" s="26"/>
      <c r="P143" s="26"/>
      <c r="Q143" s="26"/>
      <c r="R143" s="26"/>
      <c r="S143" s="14"/>
      <c r="T143" s="14"/>
      <c r="U143" s="26"/>
      <c r="V143" s="38"/>
      <c r="W143" s="31"/>
      <c r="X143" s="51"/>
    </row>
    <row r="144" spans="1:24" ht="20.100000000000001" customHeight="1">
      <c r="A144" s="10"/>
      <c r="B144" s="11"/>
      <c r="C144" s="11"/>
      <c r="D144" s="11">
        <f>B144*E144</f>
        <v>0</v>
      </c>
      <c r="E144" s="12"/>
      <c r="F144" s="11">
        <f>C144/4</f>
        <v>0</v>
      </c>
      <c r="G144" s="11">
        <f>D144/7.5</f>
        <v>0</v>
      </c>
      <c r="H144" s="11">
        <f>B144/12.5</f>
        <v>0</v>
      </c>
      <c r="I144" s="11">
        <f>G144/0.93</f>
        <v>0</v>
      </c>
      <c r="J144" s="11">
        <f>G144/0.92</f>
        <v>0</v>
      </c>
      <c r="K144" s="11">
        <f>G144/0.88</f>
        <v>0</v>
      </c>
      <c r="L144" s="17">
        <f>G144/0.84</f>
        <v>0</v>
      </c>
      <c r="M144" s="11"/>
      <c r="N144" s="26"/>
      <c r="P144" s="26"/>
      <c r="Q144" s="26"/>
      <c r="R144" s="26"/>
      <c r="S144" s="14"/>
      <c r="T144" s="14"/>
      <c r="U144" s="26"/>
      <c r="V144" s="38"/>
      <c r="W144" s="31"/>
      <c r="X144" s="51"/>
    </row>
  </sheetData>
  <mergeCells count="15">
    <mergeCell ref="X118:X127"/>
    <mergeCell ref="X128:X137"/>
    <mergeCell ref="X138:X144"/>
    <mergeCell ref="X58:X67"/>
    <mergeCell ref="X68:X77"/>
    <mergeCell ref="X78:X87"/>
    <mergeCell ref="X88:X97"/>
    <mergeCell ref="X98:X107"/>
    <mergeCell ref="X108:X117"/>
    <mergeCell ref="X51:X57"/>
    <mergeCell ref="X1:X10"/>
    <mergeCell ref="X11:X20"/>
    <mergeCell ref="X21:X30"/>
    <mergeCell ref="X31:X40"/>
    <mergeCell ref="X41:X50"/>
  </mergeCells>
  <pageMargins left="0.25" right="0.25" top="0.25" bottom="0.25" header="0" footer="0"/>
  <pageSetup scale="95" fitToHeight="0" orientation="landscape" r:id="rId1"/>
  <tableParts count="2">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A7838-FF91-4F6A-A720-B315D1A43F26}">
  <sheetPr>
    <pageSetUpPr fitToPage="1"/>
  </sheetPr>
  <dimension ref="A1:Z144"/>
  <sheetViews>
    <sheetView topLeftCell="A45" zoomScale="70" zoomScaleNormal="70" workbookViewId="0">
      <selection activeCell="V20" sqref="V20"/>
    </sheetView>
  </sheetViews>
  <sheetFormatPr defaultColWidth="8.7109375" defaultRowHeight="14.45"/>
  <cols>
    <col min="1" max="1" width="19.5703125" customWidth="1"/>
    <col min="2" max="2" width="8.7109375" style="29" hidden="1" customWidth="1"/>
    <col min="3" max="3" width="10.140625" hidden="1" customWidth="1"/>
    <col min="4" max="4" width="8.7109375" style="29" hidden="1" customWidth="1"/>
    <col min="5" max="5" width="9.28515625" hidden="1" customWidth="1"/>
    <col min="6" max="6" width="8.7109375" hidden="1" customWidth="1"/>
    <col min="7" max="7" width="9.28515625" hidden="1" customWidth="1"/>
    <col min="8" max="9" width="8.7109375" hidden="1" customWidth="1"/>
    <col min="10" max="10" width="10.7109375" hidden="1" customWidth="1"/>
    <col min="11" max="11" width="11.42578125" hidden="1" customWidth="1"/>
    <col min="12" max="12" width="6.140625" hidden="1" customWidth="1"/>
    <col min="13" max="13" width="8.7109375" customWidth="1"/>
    <col min="14" max="19" width="10.140625" customWidth="1"/>
    <col min="20" max="22" width="8.7109375" customWidth="1"/>
    <col min="23" max="23" width="3.42578125" customWidth="1"/>
    <col min="24" max="24" width="20.42578125" customWidth="1"/>
    <col min="25" max="25" width="12.28515625" bestFit="1" customWidth="1"/>
    <col min="26" max="27" width="12.85546875" bestFit="1" customWidth="1"/>
  </cols>
  <sheetData>
    <row r="1" spans="1:26" ht="14.45" customHeight="1">
      <c r="A1" s="1" t="s">
        <v>173</v>
      </c>
      <c r="B1" s="2" t="s">
        <v>1</v>
      </c>
      <c r="C1" s="2" t="s">
        <v>2</v>
      </c>
      <c r="D1" s="2" t="s">
        <v>3</v>
      </c>
      <c r="E1" s="3" t="s">
        <v>4</v>
      </c>
      <c r="F1" s="2" t="s">
        <v>5</v>
      </c>
      <c r="G1" s="2" t="s">
        <v>6</v>
      </c>
      <c r="H1" s="2" t="s">
        <v>7</v>
      </c>
      <c r="I1" s="4" t="s">
        <v>8</v>
      </c>
      <c r="J1" s="2" t="s">
        <v>9</v>
      </c>
      <c r="K1" s="2" t="s">
        <v>10</v>
      </c>
      <c r="L1" s="2" t="s">
        <v>11</v>
      </c>
      <c r="M1" s="6" t="s">
        <v>12</v>
      </c>
      <c r="N1" s="6" t="s">
        <v>174</v>
      </c>
      <c r="O1" s="7" t="s">
        <v>14</v>
      </c>
      <c r="P1" s="8" t="s">
        <v>175</v>
      </c>
      <c r="Q1" s="8" t="s">
        <v>153</v>
      </c>
      <c r="R1" s="7" t="s">
        <v>148</v>
      </c>
      <c r="S1" s="7" t="s">
        <v>149</v>
      </c>
      <c r="T1" s="7" t="s">
        <v>77</v>
      </c>
      <c r="U1" s="7" t="s">
        <v>20</v>
      </c>
      <c r="V1" s="7" t="s">
        <v>21</v>
      </c>
      <c r="W1" s="9" t="s">
        <v>22</v>
      </c>
      <c r="X1" s="52" t="s">
        <v>176</v>
      </c>
    </row>
    <row r="2" spans="1:26" ht="21" customHeight="1">
      <c r="A2" s="10" t="s">
        <v>34</v>
      </c>
      <c r="B2" s="11">
        <v>1.1979166666666667E-2</v>
      </c>
      <c r="C2" s="11">
        <v>3.472222222222222E-3</v>
      </c>
      <c r="D2" s="11">
        <f t="shared" ref="D2:D4" si="0">B2*E2</f>
        <v>6.9694791666666672E-3</v>
      </c>
      <c r="E2" s="12">
        <v>0.58179999999999998</v>
      </c>
      <c r="F2" s="11">
        <f t="shared" ref="F2:F4" si="1">C2/4</f>
        <v>8.6805555555555551E-4</v>
      </c>
      <c r="G2" s="11">
        <f t="shared" ref="G2:G4" si="2">D2/7.5</f>
        <v>9.2926388888888898E-4</v>
      </c>
      <c r="H2" s="11">
        <f t="shared" ref="H2:H4" si="3">B2/12.5</f>
        <v>9.5833333333333339E-4</v>
      </c>
      <c r="I2" s="11">
        <f t="shared" ref="I2:I4" si="4">G2/0.93</f>
        <v>9.9920848267622464E-4</v>
      </c>
      <c r="J2" s="11">
        <f t="shared" ref="J2:J4" si="5">G2/0.92</f>
        <v>1.0100694444444445E-3</v>
      </c>
      <c r="K2" s="11">
        <f t="shared" ref="K2:K4" si="6">G2/0.88</f>
        <v>1.055981691919192E-3</v>
      </c>
      <c r="L2" s="11">
        <f t="shared" ref="L2:L4" si="7">G2/0.84</f>
        <v>1.1062665343915346E-3</v>
      </c>
      <c r="M2" s="25">
        <f>WO2025Jan71081416182224283032343840424446485456586264666870727476681216182022262832343842[[#This Row],[Thresh]]</f>
        <v>1.055981691919192E-3</v>
      </c>
      <c r="N2" s="28">
        <f>WO2025Jan71081416182224283032343840424446485456586264666870727476681216182022262832343842[[#This Row],[Thresh]]*3</f>
        <v>3.1679450757575757E-3</v>
      </c>
      <c r="O2" s="25">
        <f>WO2025Jan71081416182224283032343840424446485456586264666870727476681216182022262832343842[[#This Row],[CV]]</f>
        <v>1.0100694444444445E-3</v>
      </c>
      <c r="P2" s="28">
        <f>WO2025Jan71081416182224283032343840424446485456586264666870727476681216182022262832343842[[#This Row],[CV]]*3</f>
        <v>3.0302083333333335E-3</v>
      </c>
      <c r="Q2" s="25">
        <f>WO2025Jan71081416182224283032343840424446485456586264666870727476681216182022262832343842[[#This Row],[R]]/2</f>
        <v>4.3402777777777775E-4</v>
      </c>
      <c r="R2" s="25"/>
      <c r="S2" s="25"/>
      <c r="T2" s="28"/>
      <c r="U2" s="11"/>
      <c r="V2" s="36"/>
      <c r="W2" s="15" t="s">
        <v>26</v>
      </c>
      <c r="X2" s="52"/>
    </row>
    <row r="3" spans="1:26" ht="21" customHeight="1">
      <c r="A3" s="10" t="s">
        <v>24</v>
      </c>
      <c r="B3" s="11">
        <v>1.1979166666666667E-2</v>
      </c>
      <c r="C3" s="11">
        <v>3.5300925925925925E-3</v>
      </c>
      <c r="D3" s="11">
        <f t="shared" si="0"/>
        <v>6.9694791666666672E-3</v>
      </c>
      <c r="E3" s="12">
        <v>0.58179999999999998</v>
      </c>
      <c r="F3" s="11">
        <f t="shared" si="1"/>
        <v>8.8252314814814812E-4</v>
      </c>
      <c r="G3" s="11">
        <f t="shared" si="2"/>
        <v>9.2926388888888898E-4</v>
      </c>
      <c r="H3" s="11">
        <f t="shared" si="3"/>
        <v>9.5833333333333339E-4</v>
      </c>
      <c r="I3" s="11">
        <f t="shared" si="4"/>
        <v>9.9920848267622464E-4</v>
      </c>
      <c r="J3" s="11">
        <f t="shared" si="5"/>
        <v>1.0100694444444445E-3</v>
      </c>
      <c r="K3" s="11">
        <f t="shared" si="6"/>
        <v>1.055981691919192E-3</v>
      </c>
      <c r="L3" s="11">
        <f t="shared" si="7"/>
        <v>1.1062665343915346E-3</v>
      </c>
      <c r="M3" s="25">
        <f>WO2025Jan71081416182224283032343840424446485456586264666870727476681216182022262832343842[[#This Row],[Thresh]]</f>
        <v>1.055981691919192E-3</v>
      </c>
      <c r="N3" s="28">
        <f>WO2025Jan71081416182224283032343840424446485456586264666870727476681216182022262832343842[[#This Row],[Thresh]]*3</f>
        <v>3.1679450757575757E-3</v>
      </c>
      <c r="O3" s="25">
        <f>WO2025Jan71081416182224283032343840424446485456586264666870727476681216182022262832343842[[#This Row],[CV]]</f>
        <v>1.0100694444444445E-3</v>
      </c>
      <c r="P3" s="28">
        <f>WO2025Jan71081416182224283032343840424446485456586264666870727476681216182022262832343842[[#This Row],[CV]]*3</f>
        <v>3.0302083333333335E-3</v>
      </c>
      <c r="Q3" s="25">
        <f>WO2025Jan71081416182224283032343840424446485456586264666870727476681216182022262832343842[[#This Row],[R]]/2</f>
        <v>4.4126157407407406E-4</v>
      </c>
      <c r="R3" s="25"/>
      <c r="S3" s="25"/>
      <c r="T3" s="28"/>
      <c r="U3" s="11"/>
      <c r="V3" s="36"/>
      <c r="W3" s="15" t="s">
        <v>26</v>
      </c>
      <c r="X3" s="52"/>
      <c r="Z3" s="16"/>
    </row>
    <row r="4" spans="1:26" ht="21" customHeight="1">
      <c r="A4" s="10" t="s">
        <v>60</v>
      </c>
      <c r="B4" s="11">
        <v>1.2268518518518519E-2</v>
      </c>
      <c r="C4" s="11">
        <v>3.6458333333333334E-3</v>
      </c>
      <c r="D4" s="11">
        <f t="shared" si="0"/>
        <v>7.1378240740740742E-3</v>
      </c>
      <c r="E4" s="12">
        <v>0.58179999999999998</v>
      </c>
      <c r="F4" s="11">
        <f t="shared" si="1"/>
        <v>9.1145833333333335E-4</v>
      </c>
      <c r="G4" s="11">
        <f t="shared" si="2"/>
        <v>9.5170987654320989E-4</v>
      </c>
      <c r="H4" s="11">
        <f t="shared" si="3"/>
        <v>9.8148148148148161E-4</v>
      </c>
      <c r="I4" s="11">
        <f t="shared" si="4"/>
        <v>1.0233439532722685E-3</v>
      </c>
      <c r="J4" s="11">
        <f t="shared" si="5"/>
        <v>1.0344672571121847E-3</v>
      </c>
      <c r="K4" s="11">
        <f t="shared" si="6"/>
        <v>1.0814884960718295E-3</v>
      </c>
      <c r="L4" s="11">
        <f t="shared" si="7"/>
        <v>1.1329879482657262E-3</v>
      </c>
      <c r="M4" s="25">
        <f>WO2025Jan71081416182224283032343840424446485456586264666870727476681216182022262832343842[[#This Row],[Thresh]]</f>
        <v>1.0814884960718295E-3</v>
      </c>
      <c r="N4" s="28">
        <f>WO2025Jan71081416182224283032343840424446485456586264666870727476681216182022262832343842[[#This Row],[Thresh]]*3</f>
        <v>3.2444654882154882E-3</v>
      </c>
      <c r="O4" s="25">
        <f>WO2025Jan71081416182224283032343840424446485456586264666870727476681216182022262832343842[[#This Row],[CV]]</f>
        <v>1.0344672571121847E-3</v>
      </c>
      <c r="P4" s="28">
        <f>WO2025Jan71081416182224283032343840424446485456586264666870727476681216182022262832343842[[#This Row],[CV]]*3</f>
        <v>3.1034017713365541E-3</v>
      </c>
      <c r="Q4" s="25">
        <f>WO2025Jan71081416182224283032343840424446485456586264666870727476681216182022262832343842[[#This Row],[R]]/2</f>
        <v>4.5572916666666667E-4</v>
      </c>
      <c r="R4" s="25"/>
      <c r="S4" s="25"/>
      <c r="T4" s="28"/>
      <c r="U4" s="11"/>
      <c r="V4" s="36"/>
      <c r="W4" s="15" t="s">
        <v>26</v>
      </c>
      <c r="X4" s="52"/>
    </row>
    <row r="5" spans="1:26" ht="21" customHeight="1">
      <c r="A5" s="10" t="s">
        <v>27</v>
      </c>
      <c r="B5" s="11">
        <v>1.2268518518518519E-2</v>
      </c>
      <c r="C5" s="11">
        <v>3.6458333333333334E-3</v>
      </c>
      <c r="D5" s="11">
        <f>B5*E5</f>
        <v>7.1378240740740742E-3</v>
      </c>
      <c r="E5" s="12">
        <v>0.58179999999999998</v>
      </c>
      <c r="F5" s="11">
        <f>C5/4</f>
        <v>9.1145833333333335E-4</v>
      </c>
      <c r="G5" s="11">
        <f>D5/7.5</f>
        <v>9.5170987654320989E-4</v>
      </c>
      <c r="H5" s="11">
        <f>B5/12.5</f>
        <v>9.8148148148148161E-4</v>
      </c>
      <c r="I5" s="11">
        <f>G5/0.93</f>
        <v>1.0233439532722685E-3</v>
      </c>
      <c r="J5" s="11">
        <f>G5/0.92</f>
        <v>1.0344672571121847E-3</v>
      </c>
      <c r="K5" s="11">
        <f>G5/0.88</f>
        <v>1.0814884960718295E-3</v>
      </c>
      <c r="L5" s="11">
        <f>G5/0.84</f>
        <v>1.1329879482657262E-3</v>
      </c>
      <c r="M5" s="25">
        <f>WO2025Jan71081416182224283032343840424446485456586264666870727476681216182022262832343842[[#This Row],[Thresh]]</f>
        <v>1.0814884960718295E-3</v>
      </c>
      <c r="N5" s="28">
        <f>WO2025Jan71081416182224283032343840424446485456586264666870727476681216182022262832343842[[#This Row],[Thresh]]*3</f>
        <v>3.2444654882154882E-3</v>
      </c>
      <c r="O5" s="25">
        <f>WO2025Jan71081416182224283032343840424446485456586264666870727476681216182022262832343842[[#This Row],[CV]]</f>
        <v>1.0344672571121847E-3</v>
      </c>
      <c r="P5" s="28">
        <f>WO2025Jan71081416182224283032343840424446485456586264666870727476681216182022262832343842[[#This Row],[CV]]*3</f>
        <v>3.1034017713365541E-3</v>
      </c>
      <c r="Q5" s="25">
        <f>WO2025Jan71081416182224283032343840424446485456586264666870727476681216182022262832343842[[#This Row],[R]]/2</f>
        <v>4.5572916666666667E-4</v>
      </c>
      <c r="R5" s="25"/>
      <c r="S5" s="25"/>
      <c r="T5" s="28"/>
      <c r="U5" s="11"/>
      <c r="V5" s="36"/>
      <c r="W5" s="15" t="s">
        <v>26</v>
      </c>
      <c r="X5" s="52"/>
    </row>
    <row r="6" spans="1:26" ht="21" customHeight="1">
      <c r="A6" s="10" t="s">
        <v>28</v>
      </c>
      <c r="B6" s="11">
        <v>1.238425925925926E-2</v>
      </c>
      <c r="C6" s="11">
        <v>3.7037037037037038E-3</v>
      </c>
      <c r="D6" s="11">
        <f>B6*E6</f>
        <v>7.2051620370370368E-3</v>
      </c>
      <c r="E6" s="12">
        <v>0.58179999999999998</v>
      </c>
      <c r="F6" s="11">
        <f>C6/4</f>
        <v>9.2592592592592596E-4</v>
      </c>
      <c r="G6" s="11">
        <f>D6/7.5</f>
        <v>9.6068827160493821E-4</v>
      </c>
      <c r="H6" s="11">
        <f>B6/12.5</f>
        <v>9.9074074074074082E-4</v>
      </c>
      <c r="I6" s="11">
        <f>G6/0.93</f>
        <v>1.0329981415106862E-3</v>
      </c>
      <c r="J6" s="11">
        <f>G6/0.92</f>
        <v>1.0442263821792807E-3</v>
      </c>
      <c r="K6" s="11">
        <f>G6/0.88</f>
        <v>1.0916912177328843E-3</v>
      </c>
      <c r="L6" s="11">
        <f>G6/0.84</f>
        <v>1.1436765138154027E-3</v>
      </c>
      <c r="M6" s="25">
        <f>WO2025Jan71081416182224283032343840424446485456586264666870727476681216182022262832343842[[#This Row],[Thresh]]</f>
        <v>1.0916912177328843E-3</v>
      </c>
      <c r="N6" s="28">
        <f>WO2025Jan71081416182224283032343840424446485456586264666870727476681216182022262832343842[[#This Row],[Thresh]]*3</f>
        <v>3.275073653198653E-3</v>
      </c>
      <c r="O6" s="25">
        <f>WO2025Jan71081416182224283032343840424446485456586264666870727476681216182022262832343842[[#This Row],[CV]]</f>
        <v>1.0442263821792807E-3</v>
      </c>
      <c r="P6" s="28">
        <f>WO2025Jan71081416182224283032343840424446485456586264666870727476681216182022262832343842[[#This Row],[CV]]*3</f>
        <v>3.1326791465378419E-3</v>
      </c>
      <c r="Q6" s="25">
        <f>WO2025Jan71081416182224283032343840424446485456586264666870727476681216182022262832343842[[#This Row],[R]]/2</f>
        <v>4.6296296296296298E-4</v>
      </c>
      <c r="R6" s="25"/>
      <c r="S6" s="25"/>
      <c r="T6" s="28"/>
      <c r="U6" s="11"/>
      <c r="V6" s="36"/>
      <c r="W6" s="15" t="s">
        <v>26</v>
      </c>
      <c r="X6" s="52"/>
    </row>
    <row r="7" spans="1:26" ht="21" customHeight="1">
      <c r="A7" s="10" t="s">
        <v>55</v>
      </c>
      <c r="B7" s="11">
        <v>1.238425925925926E-2</v>
      </c>
      <c r="C7" s="11">
        <v>3.5879629629629629E-3</v>
      </c>
      <c r="D7" s="11">
        <f>B7*E7</f>
        <v>7.2051620370370368E-3</v>
      </c>
      <c r="E7" s="12">
        <v>0.58179999999999998</v>
      </c>
      <c r="F7" s="11">
        <f>C7/4</f>
        <v>8.9699074074074073E-4</v>
      </c>
      <c r="G7" s="11">
        <f>D7/7.5</f>
        <v>9.6068827160493821E-4</v>
      </c>
      <c r="H7" s="11">
        <f>B7/12.5</f>
        <v>9.9074074074074082E-4</v>
      </c>
      <c r="I7" s="11">
        <f>G7/0.93</f>
        <v>1.0329981415106862E-3</v>
      </c>
      <c r="J7" s="11">
        <f>G7/0.92</f>
        <v>1.0442263821792807E-3</v>
      </c>
      <c r="K7" s="11">
        <f>G7/0.88</f>
        <v>1.0916912177328843E-3</v>
      </c>
      <c r="L7" s="11">
        <f>G7/0.84</f>
        <v>1.1436765138154027E-3</v>
      </c>
      <c r="M7" s="25">
        <f>WO2025Jan71081416182224283032343840424446485456586264666870727476681216182022262832343842[[#This Row],[Thresh]]</f>
        <v>1.0916912177328843E-3</v>
      </c>
      <c r="N7" s="28">
        <f>WO2025Jan71081416182224283032343840424446485456586264666870727476681216182022262832343842[[#This Row],[Thresh]]*3</f>
        <v>3.275073653198653E-3</v>
      </c>
      <c r="O7" s="25">
        <f>WO2025Jan71081416182224283032343840424446485456586264666870727476681216182022262832343842[[#This Row],[CV]]</f>
        <v>1.0442263821792807E-3</v>
      </c>
      <c r="P7" s="28">
        <f>WO2025Jan71081416182224283032343840424446485456586264666870727476681216182022262832343842[[#This Row],[CV]]*3</f>
        <v>3.1326791465378419E-3</v>
      </c>
      <c r="Q7" s="25">
        <f>WO2025Jan71081416182224283032343840424446485456586264666870727476681216182022262832343842[[#This Row],[R]]/2</f>
        <v>4.4849537037037037E-4</v>
      </c>
      <c r="R7" s="25"/>
      <c r="S7" s="25"/>
      <c r="T7" s="28"/>
      <c r="U7" s="11"/>
      <c r="V7" s="36"/>
      <c r="W7" s="18" t="s">
        <v>26</v>
      </c>
      <c r="X7" s="52"/>
    </row>
    <row r="8" spans="1:26" ht="21" customHeight="1">
      <c r="A8" s="10" t="s">
        <v>29</v>
      </c>
      <c r="B8" s="11">
        <v>1.238425925925926E-2</v>
      </c>
      <c r="C8" s="11">
        <v>3.8194444444444443E-3</v>
      </c>
      <c r="D8" s="11">
        <f>B8*E8</f>
        <v>7.2051620370370368E-3</v>
      </c>
      <c r="E8" s="12">
        <v>0.58179999999999998</v>
      </c>
      <c r="F8" s="11">
        <f>C8/4</f>
        <v>9.5486111111111108E-4</v>
      </c>
      <c r="G8" s="11">
        <f>D8/7.5</f>
        <v>9.6068827160493821E-4</v>
      </c>
      <c r="H8" s="11">
        <f>B8/12.5</f>
        <v>9.9074074074074082E-4</v>
      </c>
      <c r="I8" s="11">
        <f>G8/0.93</f>
        <v>1.0329981415106862E-3</v>
      </c>
      <c r="J8" s="11">
        <f>G8/0.92</f>
        <v>1.0442263821792807E-3</v>
      </c>
      <c r="K8" s="11">
        <f>G8/0.88</f>
        <v>1.0916912177328843E-3</v>
      </c>
      <c r="L8" s="11">
        <f>G8/0.84</f>
        <v>1.1436765138154027E-3</v>
      </c>
      <c r="M8" s="25">
        <f>WO2025Jan71081416182224283032343840424446485456586264666870727476681216182022262832343842[[#This Row],[Thresh]]</f>
        <v>1.0916912177328843E-3</v>
      </c>
      <c r="N8" s="28">
        <f>WO2025Jan71081416182224283032343840424446485456586264666870727476681216182022262832343842[[#This Row],[Thresh]]*3</f>
        <v>3.275073653198653E-3</v>
      </c>
      <c r="O8" s="25">
        <f>WO2025Jan71081416182224283032343840424446485456586264666870727476681216182022262832343842[[#This Row],[CV]]</f>
        <v>1.0442263821792807E-3</v>
      </c>
      <c r="P8" s="28">
        <f>WO2025Jan71081416182224283032343840424446485456586264666870727476681216182022262832343842[[#This Row],[CV]]*3</f>
        <v>3.1326791465378419E-3</v>
      </c>
      <c r="Q8" s="25">
        <f>WO2025Jan71081416182224283032343840424446485456586264666870727476681216182022262832343842[[#This Row],[R]]/2</f>
        <v>4.7743055555555554E-4</v>
      </c>
      <c r="R8" s="25"/>
      <c r="S8" s="25"/>
      <c r="T8" s="28"/>
      <c r="U8" s="11"/>
      <c r="V8" s="36"/>
      <c r="W8" s="18" t="s">
        <v>26</v>
      </c>
      <c r="X8" s="52"/>
    </row>
    <row r="9" spans="1:26" ht="21" customHeight="1">
      <c r="A9" s="10" t="s">
        <v>30</v>
      </c>
      <c r="B9" s="11">
        <v>1.238425925925926E-2</v>
      </c>
      <c r="C9" s="11">
        <v>3.6458333333333334E-3</v>
      </c>
      <c r="D9" s="11">
        <f>B9*E9</f>
        <v>7.2051620370370368E-3</v>
      </c>
      <c r="E9" s="12">
        <v>0.58179999999999998</v>
      </c>
      <c r="F9" s="11">
        <f>C9/4</f>
        <v>9.1145833333333335E-4</v>
      </c>
      <c r="G9" s="11">
        <f>D9/7.5</f>
        <v>9.6068827160493821E-4</v>
      </c>
      <c r="H9" s="11">
        <f>B9/12.5</f>
        <v>9.9074074074074082E-4</v>
      </c>
      <c r="I9" s="11">
        <f>G9/0.93</f>
        <v>1.0329981415106862E-3</v>
      </c>
      <c r="J9" s="11">
        <f>G9/0.92</f>
        <v>1.0442263821792807E-3</v>
      </c>
      <c r="K9" s="11">
        <f>G9/0.88</f>
        <v>1.0916912177328843E-3</v>
      </c>
      <c r="L9" s="11">
        <f>G9/0.84</f>
        <v>1.1436765138154027E-3</v>
      </c>
      <c r="M9" s="25">
        <f>WO2025Jan71081416182224283032343840424446485456586264666870727476681216182022262832343842[[#This Row],[Thresh]]</f>
        <v>1.0916912177328843E-3</v>
      </c>
      <c r="N9" s="28">
        <f>WO2025Jan71081416182224283032343840424446485456586264666870727476681216182022262832343842[[#This Row],[Thresh]]*3</f>
        <v>3.275073653198653E-3</v>
      </c>
      <c r="O9" s="25">
        <f>WO2025Jan71081416182224283032343840424446485456586264666870727476681216182022262832343842[[#This Row],[CV]]</f>
        <v>1.0442263821792807E-3</v>
      </c>
      <c r="P9" s="28">
        <f>WO2025Jan71081416182224283032343840424446485456586264666870727476681216182022262832343842[[#This Row],[CV]]*3</f>
        <v>3.1326791465378419E-3</v>
      </c>
      <c r="Q9" s="25">
        <f>WO2025Jan71081416182224283032343840424446485456586264666870727476681216182022262832343842[[#This Row],[R]]/2</f>
        <v>4.5572916666666667E-4</v>
      </c>
      <c r="R9" s="25"/>
      <c r="S9" s="25"/>
      <c r="T9" s="28"/>
      <c r="U9" s="11"/>
      <c r="V9" s="36"/>
      <c r="W9" s="15" t="s">
        <v>26</v>
      </c>
      <c r="X9" s="52"/>
    </row>
    <row r="10" spans="1:26" ht="21" customHeight="1">
      <c r="A10" s="39"/>
      <c r="B10" s="40"/>
      <c r="C10" s="40"/>
      <c r="D10" s="40"/>
      <c r="E10" s="41"/>
      <c r="F10" s="40"/>
      <c r="G10" s="40"/>
      <c r="H10" s="40"/>
      <c r="I10" s="40"/>
      <c r="J10" s="40"/>
      <c r="K10" s="40"/>
      <c r="L10" s="40"/>
      <c r="M10" s="40" t="s">
        <v>39</v>
      </c>
      <c r="N10" s="40"/>
      <c r="O10" s="40"/>
      <c r="P10" s="40"/>
      <c r="Q10" s="40"/>
      <c r="R10" s="40"/>
      <c r="S10" s="40"/>
      <c r="T10" s="40"/>
      <c r="U10" s="40"/>
      <c r="V10" s="40"/>
      <c r="W10" s="42"/>
      <c r="X10" s="52"/>
    </row>
    <row r="11" spans="1:26" ht="21" customHeight="1">
      <c r="A11" s="19"/>
      <c r="B11" s="6"/>
      <c r="C11" s="6"/>
      <c r="D11" s="6"/>
      <c r="E11" s="20"/>
      <c r="F11" s="6"/>
      <c r="G11" s="6"/>
      <c r="H11" s="6"/>
      <c r="I11" s="6"/>
      <c r="J11" s="6"/>
      <c r="K11" s="6"/>
      <c r="L11" s="6"/>
      <c r="M11" s="6" t="s">
        <v>12</v>
      </c>
      <c r="N11" s="6" t="s">
        <v>155</v>
      </c>
      <c r="O11" s="6" t="s">
        <v>14</v>
      </c>
      <c r="P11" s="6" t="s">
        <v>15</v>
      </c>
      <c r="Q11" s="6" t="s">
        <v>158</v>
      </c>
      <c r="R11" s="6" t="s">
        <v>177</v>
      </c>
      <c r="S11" s="6" t="s">
        <v>32</v>
      </c>
      <c r="T11" s="6"/>
      <c r="U11" s="6"/>
      <c r="V11" s="6"/>
      <c r="W11" s="35"/>
      <c r="X11" s="52" t="s">
        <v>178</v>
      </c>
    </row>
    <row r="12" spans="1:26" ht="21" customHeight="1">
      <c r="A12" s="10" t="s">
        <v>36</v>
      </c>
      <c r="B12" s="11">
        <v>1.2615740740740742E-2</v>
      </c>
      <c r="C12" s="11">
        <v>3.6458333333333334E-3</v>
      </c>
      <c r="D12" s="11">
        <f>B12*E12</f>
        <v>7.3398379629629629E-3</v>
      </c>
      <c r="E12" s="12">
        <v>0.58179999999999998</v>
      </c>
      <c r="F12" s="11">
        <f>C12/4</f>
        <v>9.1145833333333335E-4</v>
      </c>
      <c r="G12" s="11">
        <f>D12/7.5</f>
        <v>9.7864506172839496E-4</v>
      </c>
      <c r="H12" s="11">
        <f>B12/12.5</f>
        <v>1.0092592592592592E-3</v>
      </c>
      <c r="I12" s="11">
        <f>G12/0.93</f>
        <v>1.0523065179875214E-3</v>
      </c>
      <c r="J12" s="11">
        <f>G12/0.92</f>
        <v>1.0637446323134728E-3</v>
      </c>
      <c r="K12" s="11">
        <f>G12/0.88</f>
        <v>1.1120966610549943E-3</v>
      </c>
      <c r="L12" s="11">
        <f>G12/0.84</f>
        <v>1.165053644914756E-3</v>
      </c>
      <c r="M12" s="25">
        <f>WO2025Jan71081416182224283032343840424446485456586264666870727476681216182022262832343842[[#This Row],[Thresh]]</f>
        <v>1.1120966610549943E-3</v>
      </c>
      <c r="N12" s="28">
        <f>WO2025Jan71081416182224283032343840424446485456586264666870727476681216182022262832343842[[#This Row],[Thresh]]*2</f>
        <v>2.2241933221099886E-3</v>
      </c>
      <c r="O12" s="25">
        <f>WO2025Jan71081416182224283032343840424446485456586264666870727476681216182022262832343842[[#This Row],[CV]]</f>
        <v>1.0637446323134728E-3</v>
      </c>
      <c r="P12" s="28">
        <f>WO2025Jan71081416182224283032343840424446485456586264666870727476681216182022262832343842[[#This Row],[CV]]*1.5</f>
        <v>1.5956169484702093E-3</v>
      </c>
      <c r="Q12" s="25">
        <f>WO2025Jan71081416182224283032343840424446485456586264666870727476681216182022262832343842[[#This Row],[VO2]]</f>
        <v>9.7864506172839496E-4</v>
      </c>
      <c r="R12" s="25">
        <f>WO2025Jan71081416182224283032343840424446485456586264666870727476681216182022262832343842[[#This Row],[VO2]]*1.5</f>
        <v>1.4679675925925923E-3</v>
      </c>
      <c r="S12" s="25">
        <f>WO2025Jan71081416182224283032343840424446485456586264666870727476681216182022262832343842[[#This Row],[R]]</f>
        <v>9.1145833333333335E-4</v>
      </c>
      <c r="T12" s="28"/>
      <c r="U12" s="11"/>
      <c r="V12" s="36"/>
      <c r="W12" s="15" t="s">
        <v>48</v>
      </c>
      <c r="X12" s="52"/>
    </row>
    <row r="13" spans="1:26" ht="21" customHeight="1">
      <c r="A13" s="10" t="s">
        <v>50</v>
      </c>
      <c r="B13" s="11">
        <v>1.3020833333333334E-2</v>
      </c>
      <c r="C13" s="11">
        <v>3.7037037037037038E-3</v>
      </c>
      <c r="D13" s="11">
        <f t="shared" ref="D13:D14" si="8">B13*E13</f>
        <v>7.5755208333333334E-3</v>
      </c>
      <c r="E13" s="12">
        <v>0.58179999999999998</v>
      </c>
      <c r="F13" s="11">
        <f t="shared" ref="F13:F14" si="9">C13/4</f>
        <v>9.2592592592592596E-4</v>
      </c>
      <c r="G13" s="11">
        <f t="shared" ref="G13:G14" si="10">D13/7.5</f>
        <v>1.0100694444444445E-3</v>
      </c>
      <c r="H13" s="11">
        <f t="shared" ref="H13:H14" si="11">B13/12.5</f>
        <v>1.0416666666666667E-3</v>
      </c>
      <c r="I13" s="11">
        <f t="shared" ref="I13:I14" si="12">G13/0.93</f>
        <v>1.0860961768219832E-3</v>
      </c>
      <c r="J13" s="11">
        <f t="shared" ref="J13:J14" si="13">G13/0.92</f>
        <v>1.0979015700483092E-3</v>
      </c>
      <c r="K13" s="11">
        <f t="shared" ref="K13:K14" si="14">G13/0.88</f>
        <v>1.1478061868686869E-3</v>
      </c>
      <c r="L13" s="11">
        <f t="shared" ref="L13:L14" si="15">G13/0.84</f>
        <v>1.2024636243386244E-3</v>
      </c>
      <c r="M13" s="25">
        <f>WO2025Jan71081416182224283032343840424446485456586264666870727476681216182022262832343842[[#This Row],[Thresh]]</f>
        <v>1.1478061868686869E-3</v>
      </c>
      <c r="N13" s="28">
        <f>WO2025Jan71081416182224283032343840424446485456586264666870727476681216182022262832343842[[#This Row],[Thresh]]*2</f>
        <v>2.2956123737373738E-3</v>
      </c>
      <c r="O13" s="25">
        <f>WO2025Jan71081416182224283032343840424446485456586264666870727476681216182022262832343842[[#This Row],[CV]]</f>
        <v>1.0979015700483092E-3</v>
      </c>
      <c r="P13" s="28">
        <f>WO2025Jan71081416182224283032343840424446485456586264666870727476681216182022262832343842[[#This Row],[CV]]*1.5</f>
        <v>1.6468523550724639E-3</v>
      </c>
      <c r="Q13" s="25">
        <f>WO2025Jan71081416182224283032343840424446485456586264666870727476681216182022262832343842[[#This Row],[VO2]]</f>
        <v>1.0100694444444445E-3</v>
      </c>
      <c r="R13" s="25">
        <f>WO2025Jan71081416182224283032343840424446485456586264666870727476681216182022262832343842[[#This Row],[VO2]]*1.5</f>
        <v>1.5151041666666668E-3</v>
      </c>
      <c r="S13" s="25">
        <f>WO2025Jan71081416182224283032343840424446485456586264666870727476681216182022262832343842[[#This Row],[R]]</f>
        <v>9.2592592592592596E-4</v>
      </c>
      <c r="T13" s="28"/>
      <c r="U13" s="11"/>
      <c r="V13" s="36"/>
      <c r="W13" s="15" t="s">
        <v>48</v>
      </c>
      <c r="X13" s="52"/>
    </row>
    <row r="14" spans="1:26" ht="21" customHeight="1">
      <c r="A14" s="10" t="s">
        <v>47</v>
      </c>
      <c r="B14" s="11">
        <v>1.3020833333333334E-2</v>
      </c>
      <c r="C14" s="11">
        <v>3.7037037037037038E-3</v>
      </c>
      <c r="D14" s="11">
        <f t="shared" si="8"/>
        <v>7.5755208333333334E-3</v>
      </c>
      <c r="E14" s="12">
        <v>0.58179999999999998</v>
      </c>
      <c r="F14" s="11">
        <f t="shared" si="9"/>
        <v>9.2592592592592596E-4</v>
      </c>
      <c r="G14" s="11">
        <f t="shared" si="10"/>
        <v>1.0100694444444445E-3</v>
      </c>
      <c r="H14" s="11">
        <f t="shared" si="11"/>
        <v>1.0416666666666667E-3</v>
      </c>
      <c r="I14" s="11">
        <f t="shared" si="12"/>
        <v>1.0860961768219832E-3</v>
      </c>
      <c r="J14" s="11">
        <f t="shared" si="13"/>
        <v>1.0979015700483092E-3</v>
      </c>
      <c r="K14" s="11">
        <f t="shared" si="14"/>
        <v>1.1478061868686869E-3</v>
      </c>
      <c r="L14" s="11">
        <f t="shared" si="15"/>
        <v>1.2024636243386244E-3</v>
      </c>
      <c r="M14" s="25">
        <f>WO2025Jan71081416182224283032343840424446485456586264666870727476681216182022262832343842[[#This Row],[Thresh]]</f>
        <v>1.1478061868686869E-3</v>
      </c>
      <c r="N14" s="28">
        <f>WO2025Jan71081416182224283032343840424446485456586264666870727476681216182022262832343842[[#This Row],[Thresh]]*2</f>
        <v>2.2956123737373738E-3</v>
      </c>
      <c r="O14" s="25">
        <f>WO2025Jan71081416182224283032343840424446485456586264666870727476681216182022262832343842[[#This Row],[CV]]</f>
        <v>1.0979015700483092E-3</v>
      </c>
      <c r="P14" s="28">
        <f>WO2025Jan71081416182224283032343840424446485456586264666870727476681216182022262832343842[[#This Row],[CV]]*1.5</f>
        <v>1.6468523550724639E-3</v>
      </c>
      <c r="Q14" s="25">
        <f>WO2025Jan71081416182224283032343840424446485456586264666870727476681216182022262832343842[[#This Row],[VO2]]</f>
        <v>1.0100694444444445E-3</v>
      </c>
      <c r="R14" s="25">
        <f>WO2025Jan71081416182224283032343840424446485456586264666870727476681216182022262832343842[[#This Row],[VO2]]*1.5</f>
        <v>1.5151041666666668E-3</v>
      </c>
      <c r="S14" s="25">
        <f>WO2025Jan71081416182224283032343840424446485456586264666870727476681216182022262832343842[[#This Row],[R]]</f>
        <v>9.2592592592592596E-4</v>
      </c>
      <c r="T14" s="28"/>
      <c r="U14" s="11"/>
      <c r="V14" s="36"/>
      <c r="W14" s="15" t="s">
        <v>48</v>
      </c>
      <c r="X14" s="52"/>
    </row>
    <row r="15" spans="1:26" ht="21" customHeight="1">
      <c r="A15" s="10"/>
      <c r="B15" s="11"/>
      <c r="C15" s="11"/>
      <c r="D15" s="11"/>
      <c r="E15" s="12"/>
      <c r="F15" s="11"/>
      <c r="G15" s="11"/>
      <c r="H15" s="11"/>
      <c r="I15" s="11"/>
      <c r="J15" s="11"/>
      <c r="K15" s="11"/>
      <c r="L15" s="11"/>
      <c r="M15" s="13"/>
      <c r="N15" s="11"/>
      <c r="O15" s="11"/>
      <c r="P15" s="11"/>
      <c r="Q15" s="14"/>
      <c r="R15" s="11"/>
      <c r="S15" s="14"/>
      <c r="T15" s="14"/>
      <c r="U15" s="14"/>
      <c r="V15" s="17"/>
      <c r="W15" s="18"/>
      <c r="X15" s="52"/>
    </row>
    <row r="16" spans="1:26" ht="21" customHeight="1">
      <c r="A16" s="19"/>
      <c r="B16" s="6"/>
      <c r="C16" s="6"/>
      <c r="D16" s="6"/>
      <c r="E16" s="20"/>
      <c r="F16" s="6"/>
      <c r="G16" s="6"/>
      <c r="H16" s="6"/>
      <c r="I16" s="6"/>
      <c r="J16" s="6"/>
      <c r="K16" s="6"/>
      <c r="L16" s="6"/>
      <c r="M16" s="6"/>
      <c r="N16" s="6"/>
      <c r="O16" s="6"/>
      <c r="P16" s="6"/>
      <c r="Q16" s="6"/>
      <c r="R16" s="6"/>
      <c r="S16" s="6"/>
      <c r="T16" s="6"/>
      <c r="U16" s="6"/>
      <c r="V16" s="6"/>
      <c r="W16" s="35"/>
      <c r="X16" s="52"/>
    </row>
    <row r="17" spans="1:24" ht="21" customHeight="1">
      <c r="A17" s="10" t="s">
        <v>51</v>
      </c>
      <c r="B17" s="11">
        <v>1.2615740740740742E-2</v>
      </c>
      <c r="C17" s="11">
        <v>3.5879629629629629E-3</v>
      </c>
      <c r="D17" s="11">
        <f>B17*E17</f>
        <v>7.3398379629629629E-3</v>
      </c>
      <c r="E17" s="12">
        <v>0.58179999999999998</v>
      </c>
      <c r="F17" s="11">
        <f>C17/4</f>
        <v>8.9699074074074073E-4</v>
      </c>
      <c r="G17" s="11">
        <f>D17/7.5</f>
        <v>9.7864506172839496E-4</v>
      </c>
      <c r="H17" s="11">
        <f>B17/12.5</f>
        <v>1.0092592592592592E-3</v>
      </c>
      <c r="I17" s="11">
        <f>G17/0.93</f>
        <v>1.0523065179875214E-3</v>
      </c>
      <c r="J17" s="11">
        <f>G17/0.92</f>
        <v>1.0637446323134728E-3</v>
      </c>
      <c r="K17" s="11">
        <f>G17/0.88</f>
        <v>1.1120966610549943E-3</v>
      </c>
      <c r="L17" s="11">
        <f>G17/0.84</f>
        <v>1.165053644914756E-3</v>
      </c>
      <c r="M17" s="25"/>
      <c r="N17" s="28"/>
      <c r="O17" s="25"/>
      <c r="P17" s="28"/>
      <c r="Q17" s="25"/>
      <c r="R17" s="25"/>
      <c r="S17" s="25"/>
      <c r="T17" s="28"/>
      <c r="U17" s="11"/>
      <c r="V17" s="36"/>
      <c r="W17" s="15" t="s">
        <v>52</v>
      </c>
      <c r="X17" s="52"/>
    </row>
    <row r="18" spans="1:24" ht="21" customHeight="1">
      <c r="A18" s="10" t="s">
        <v>57</v>
      </c>
      <c r="B18" s="11"/>
      <c r="C18" s="11"/>
      <c r="D18" s="11"/>
      <c r="E18" s="12"/>
      <c r="F18" s="11"/>
      <c r="G18" s="11"/>
      <c r="H18" s="11"/>
      <c r="I18" s="11"/>
      <c r="J18" s="11"/>
      <c r="K18" s="11"/>
      <c r="L18" s="11"/>
      <c r="M18" s="25"/>
      <c r="N18" s="28"/>
      <c r="O18" s="25"/>
      <c r="P18" s="28"/>
      <c r="Q18" s="25"/>
      <c r="R18" s="28"/>
      <c r="S18" s="28"/>
      <c r="T18" s="11"/>
      <c r="U18" s="11"/>
      <c r="V18" s="11"/>
      <c r="W18" s="15" t="s">
        <v>52</v>
      </c>
      <c r="X18" s="52"/>
    </row>
    <row r="19" spans="1:24" ht="21" customHeight="1">
      <c r="A19" s="10" t="s">
        <v>53</v>
      </c>
      <c r="B19" s="11">
        <v>1.2731481481481481E-2</v>
      </c>
      <c r="C19" s="11">
        <v>3.7615740740740739E-3</v>
      </c>
      <c r="D19" s="11">
        <f>B19*E19</f>
        <v>7.4071759259259256E-3</v>
      </c>
      <c r="E19" s="12">
        <v>0.58179999999999998</v>
      </c>
      <c r="F19" s="11">
        <f>C19/4</f>
        <v>9.4039351851851847E-4</v>
      </c>
      <c r="G19" s="11">
        <f>D19/7.5</f>
        <v>9.8762345679012349E-4</v>
      </c>
      <c r="H19" s="11">
        <f>B19/12.5</f>
        <v>1.0185185185185184E-3</v>
      </c>
      <c r="I19" s="11">
        <f>G19/0.93</f>
        <v>1.0619607062259391E-3</v>
      </c>
      <c r="J19" s="11">
        <f>G19/0.92</f>
        <v>1.073503757380569E-3</v>
      </c>
      <c r="K19" s="11">
        <f>G19/0.88</f>
        <v>1.1222993827160494E-3</v>
      </c>
      <c r="L19" s="11">
        <f>G19/0.84</f>
        <v>1.1757422104644328E-3</v>
      </c>
      <c r="M19" s="25"/>
      <c r="N19" s="28"/>
      <c r="O19" s="25"/>
      <c r="P19" s="28"/>
      <c r="Q19" s="25"/>
      <c r="R19" s="25"/>
      <c r="S19" s="25"/>
      <c r="T19" s="28"/>
      <c r="U19" s="25"/>
      <c r="V19" s="25" t="s">
        <v>179</v>
      </c>
      <c r="W19" s="18" t="s">
        <v>52</v>
      </c>
      <c r="X19" s="52"/>
    </row>
    <row r="20" spans="1:24" ht="21" customHeight="1">
      <c r="A20" s="10" t="s">
        <v>58</v>
      </c>
      <c r="B20" s="11">
        <v>1.3020833333333334E-2</v>
      </c>
      <c r="C20" s="11">
        <v>4.1087962962962962E-3</v>
      </c>
      <c r="D20" s="11">
        <f>B20*E20</f>
        <v>7.5755208333333334E-3</v>
      </c>
      <c r="E20" s="12">
        <v>0.58179999999999998</v>
      </c>
      <c r="F20" s="11">
        <f>C20/4</f>
        <v>1.027199074074074E-3</v>
      </c>
      <c r="G20" s="11">
        <f>D20/7.5</f>
        <v>1.0100694444444445E-3</v>
      </c>
      <c r="H20" s="11">
        <f>B20/12.5</f>
        <v>1.0416666666666667E-3</v>
      </c>
      <c r="I20" s="11">
        <f>G20/0.93</f>
        <v>1.0860961768219832E-3</v>
      </c>
      <c r="J20" s="11">
        <f>G20/0.92</f>
        <v>1.0979015700483092E-3</v>
      </c>
      <c r="K20" s="11">
        <f>G20/0.88</f>
        <v>1.1478061868686869E-3</v>
      </c>
      <c r="L20" s="11">
        <f>G20/0.84</f>
        <v>1.2024636243386244E-3</v>
      </c>
      <c r="M20" s="25"/>
      <c r="N20" s="28"/>
      <c r="O20" s="25"/>
      <c r="P20" s="28"/>
      <c r="Q20" s="25"/>
      <c r="R20" s="25"/>
      <c r="S20" s="25"/>
      <c r="T20" s="28"/>
      <c r="U20" s="11"/>
      <c r="V20" s="36"/>
      <c r="W20" s="15" t="s">
        <v>52</v>
      </c>
      <c r="X20" s="52"/>
    </row>
    <row r="21" spans="1:24" ht="21" customHeight="1">
      <c r="A21" s="10" t="s">
        <v>61</v>
      </c>
      <c r="B21" s="11">
        <v>1.4583333333333334E-2</v>
      </c>
      <c r="C21" s="11">
        <v>4.3981481481481484E-3</v>
      </c>
      <c r="D21" s="11">
        <f>B21*E21</f>
        <v>8.4845833333333336E-3</v>
      </c>
      <c r="E21" s="12">
        <v>0.58179999999999998</v>
      </c>
      <c r="F21" s="11">
        <f>C21/4</f>
        <v>1.0995370370370371E-3</v>
      </c>
      <c r="G21" s="11">
        <f>D21/7.5</f>
        <v>1.1312777777777777E-3</v>
      </c>
      <c r="H21" s="11">
        <f>B21/12.5</f>
        <v>1.1666666666666668E-3</v>
      </c>
      <c r="I21" s="11">
        <f>G21/0.93</f>
        <v>1.2164277180406211E-3</v>
      </c>
      <c r="J21" s="11">
        <f>G21/0.92</f>
        <v>1.2296497584541061E-3</v>
      </c>
      <c r="K21" s="11">
        <f>G21/0.88</f>
        <v>1.2855429292929293E-3</v>
      </c>
      <c r="L21" s="11">
        <f>G21/0.84</f>
        <v>1.3467592592592591E-3</v>
      </c>
      <c r="M21" s="25"/>
      <c r="N21" s="28"/>
      <c r="O21" s="25"/>
      <c r="P21" s="25"/>
      <c r="Q21" s="25"/>
      <c r="R21" s="25"/>
      <c r="S21" s="28"/>
      <c r="T21" s="28"/>
      <c r="U21" s="28"/>
      <c r="V21" s="28"/>
      <c r="W21" s="15"/>
      <c r="X21" s="52" t="s">
        <v>180</v>
      </c>
    </row>
    <row r="22" spans="1:24" ht="21" customHeight="1">
      <c r="A22" s="10" t="s">
        <v>59</v>
      </c>
      <c r="B22" s="11">
        <v>1.2500000000000001E-2</v>
      </c>
      <c r="C22" s="11">
        <v>3.7037037037037038E-3</v>
      </c>
      <c r="D22" s="11">
        <f>B22*E22</f>
        <v>7.2725000000000003E-3</v>
      </c>
      <c r="E22" s="12">
        <v>0.58179999999999998</v>
      </c>
      <c r="F22" s="11">
        <f>C22/4</f>
        <v>9.2592592592592596E-4</v>
      </c>
      <c r="G22" s="11">
        <f>D22/7.5</f>
        <v>9.6966666666666675E-4</v>
      </c>
      <c r="H22" s="11">
        <f>B22/12.5</f>
        <v>1E-3</v>
      </c>
      <c r="I22" s="11">
        <f>G22/0.93</f>
        <v>1.0426523297491039E-3</v>
      </c>
      <c r="J22" s="11">
        <f>G22/0.92</f>
        <v>1.0539855072463768E-3</v>
      </c>
      <c r="K22" s="11">
        <f>G22/0.88</f>
        <v>1.1018939393939394E-3</v>
      </c>
      <c r="L22" s="17">
        <f>G22/0.84</f>
        <v>1.1543650793650795E-3</v>
      </c>
      <c r="M22" s="25"/>
      <c r="N22" s="28"/>
      <c r="O22" s="25"/>
      <c r="P22" s="28"/>
      <c r="Q22" s="25"/>
      <c r="R22" s="25"/>
      <c r="S22" s="25"/>
      <c r="T22" s="28"/>
      <c r="U22" s="11"/>
      <c r="V22" s="36"/>
      <c r="W22" s="15" t="s">
        <v>52</v>
      </c>
      <c r="X22" s="52"/>
    </row>
    <row r="23" spans="1:24" ht="21" customHeight="1">
      <c r="A23" s="10"/>
      <c r="B23" s="11"/>
      <c r="C23" s="11"/>
      <c r="D23" s="11"/>
      <c r="E23" s="12"/>
      <c r="F23" s="11"/>
      <c r="G23" s="11"/>
      <c r="H23" s="11"/>
      <c r="I23" s="11"/>
      <c r="J23" s="11"/>
      <c r="K23" s="11"/>
      <c r="L23" s="11"/>
      <c r="M23" s="25"/>
      <c r="N23" s="28"/>
      <c r="O23" s="25"/>
      <c r="P23" s="28"/>
      <c r="Q23" s="25"/>
      <c r="R23" s="25"/>
      <c r="S23" s="25"/>
      <c r="T23" s="28"/>
      <c r="U23" s="11"/>
      <c r="V23" s="36"/>
      <c r="W23" s="15"/>
      <c r="X23" s="52"/>
    </row>
    <row r="24" spans="1:24" ht="21" customHeight="1">
      <c r="A24" s="10"/>
      <c r="B24" s="11"/>
      <c r="C24" s="11"/>
      <c r="D24" s="11"/>
      <c r="E24" s="12"/>
      <c r="F24" s="11"/>
      <c r="G24" s="11"/>
      <c r="H24" s="11"/>
      <c r="I24" s="11"/>
      <c r="J24" s="11"/>
      <c r="K24" s="11"/>
      <c r="L24" s="11"/>
      <c r="M24" s="25"/>
      <c r="N24" s="28"/>
      <c r="O24" s="25"/>
      <c r="P24" s="11"/>
      <c r="Q24" s="14"/>
      <c r="R24" s="11"/>
      <c r="S24" s="14"/>
      <c r="T24" s="14"/>
      <c r="U24" s="14"/>
      <c r="V24" s="17"/>
      <c r="W24" s="18"/>
      <c r="X24" s="52"/>
    </row>
    <row r="25" spans="1:24" ht="21" customHeight="1">
      <c r="A25" s="10"/>
      <c r="B25" s="11"/>
      <c r="C25" s="11"/>
      <c r="D25" s="11"/>
      <c r="E25" s="12"/>
      <c r="F25" s="11"/>
      <c r="G25" s="11"/>
      <c r="H25" s="11"/>
      <c r="I25" s="11"/>
      <c r="J25" s="11"/>
      <c r="K25" s="11"/>
      <c r="L25" s="11"/>
      <c r="M25" s="14"/>
      <c r="N25" s="11"/>
      <c r="O25" s="14"/>
      <c r="P25" s="11"/>
      <c r="Q25" s="14"/>
      <c r="R25" s="11"/>
      <c r="S25" s="14"/>
      <c r="T25" s="14"/>
      <c r="U25" s="14"/>
      <c r="V25" s="11"/>
      <c r="W25" s="15"/>
      <c r="X25" s="52"/>
    </row>
    <row r="26" spans="1:24" ht="21" customHeight="1">
      <c r="A26" s="10"/>
      <c r="B26" s="11"/>
      <c r="C26" s="11"/>
      <c r="D26" s="11"/>
      <c r="E26" s="12"/>
      <c r="F26" s="11"/>
      <c r="G26" s="11"/>
      <c r="H26" s="11"/>
      <c r="I26" s="11"/>
      <c r="J26" s="11"/>
      <c r="K26" s="11"/>
      <c r="L26" s="11"/>
      <c r="M26" s="13"/>
      <c r="N26" s="11"/>
      <c r="O26" s="11"/>
      <c r="P26" s="11"/>
      <c r="Q26" s="14"/>
      <c r="R26" s="11"/>
      <c r="S26" s="14"/>
      <c r="T26" s="14"/>
      <c r="U26" s="14"/>
      <c r="V26" s="17"/>
      <c r="W26" s="18"/>
      <c r="X26" s="52"/>
    </row>
    <row r="27" spans="1:24" ht="21" customHeight="1">
      <c r="A27" s="10"/>
      <c r="B27" s="11"/>
      <c r="C27" s="11"/>
      <c r="D27" s="11"/>
      <c r="E27" s="12"/>
      <c r="F27" s="11"/>
      <c r="G27" s="11"/>
      <c r="H27" s="11"/>
      <c r="I27" s="11"/>
      <c r="J27" s="11"/>
      <c r="K27" s="11"/>
      <c r="L27" s="11"/>
      <c r="M27" s="13"/>
      <c r="N27" s="11"/>
      <c r="O27" s="11"/>
      <c r="P27" s="11"/>
      <c r="Q27" s="14"/>
      <c r="R27" s="11"/>
      <c r="S27" s="14"/>
      <c r="T27" s="14"/>
      <c r="U27" s="14"/>
      <c r="V27" s="17"/>
      <c r="W27" s="18"/>
      <c r="X27" s="52"/>
    </row>
    <row r="28" spans="1:24" ht="21" customHeight="1">
      <c r="A28" s="10"/>
      <c r="B28" s="11"/>
      <c r="C28" s="11"/>
      <c r="D28" s="11"/>
      <c r="E28" s="12"/>
      <c r="F28" s="11"/>
      <c r="G28" s="11"/>
      <c r="H28" s="11"/>
      <c r="I28" s="11"/>
      <c r="J28" s="11"/>
      <c r="K28" s="11"/>
      <c r="L28" s="11"/>
      <c r="M28" s="14"/>
      <c r="N28" s="11"/>
      <c r="O28" s="14"/>
      <c r="P28" s="11"/>
      <c r="Q28" s="14"/>
      <c r="R28" s="11"/>
      <c r="S28" s="14"/>
      <c r="T28" s="14"/>
      <c r="U28" s="14"/>
      <c r="V28" s="11"/>
      <c r="W28" s="15"/>
      <c r="X28" s="52"/>
    </row>
    <row r="29" spans="1:24" ht="21" customHeight="1" thickBot="1">
      <c r="A29" s="10"/>
      <c r="B29" s="11"/>
      <c r="C29" s="11"/>
      <c r="D29" s="11"/>
      <c r="E29" s="12"/>
      <c r="F29" s="11"/>
      <c r="G29" s="11"/>
      <c r="H29" s="11"/>
      <c r="I29" s="11"/>
      <c r="J29" s="11"/>
      <c r="K29" s="11"/>
      <c r="L29" s="11"/>
      <c r="M29" s="45"/>
      <c r="N29" s="11"/>
      <c r="O29" s="11"/>
      <c r="P29" s="11"/>
      <c r="Q29" s="14"/>
      <c r="R29" s="11"/>
      <c r="S29" s="14"/>
      <c r="T29" s="11"/>
      <c r="U29" s="14"/>
      <c r="V29" s="17"/>
      <c r="W29" s="18"/>
      <c r="X29" s="52"/>
    </row>
    <row r="30" spans="1:24" ht="21" customHeight="1">
      <c r="A30" s="1" t="s">
        <v>173</v>
      </c>
      <c r="B30" s="6"/>
      <c r="C30" s="6"/>
      <c r="D30" s="6"/>
      <c r="E30" s="20"/>
      <c r="F30" s="6"/>
      <c r="G30" s="6"/>
      <c r="H30" s="6"/>
      <c r="I30" s="6"/>
      <c r="J30" s="6"/>
      <c r="K30" s="6"/>
      <c r="L30" s="6"/>
      <c r="M30" s="6"/>
      <c r="N30" s="6"/>
      <c r="O30" s="6"/>
      <c r="P30" s="6"/>
      <c r="Q30" s="6"/>
      <c r="R30" s="6"/>
      <c r="S30" s="6"/>
      <c r="T30" s="6"/>
      <c r="U30" s="6"/>
      <c r="V30" s="21"/>
      <c r="W30" s="35"/>
      <c r="X30" s="52"/>
    </row>
    <row r="31" spans="1:24" ht="21" customHeight="1">
      <c r="A31" s="10" t="s">
        <v>38</v>
      </c>
      <c r="B31" s="11">
        <v>1.238425925925926E-2</v>
      </c>
      <c r="C31" s="11">
        <v>3.5300925925925925E-3</v>
      </c>
      <c r="D31" s="11">
        <f>B31*E31</f>
        <v>7.2051620370370368E-3</v>
      </c>
      <c r="E31" s="12">
        <v>0.58179999999999998</v>
      </c>
      <c r="F31" s="11">
        <f>C31/4</f>
        <v>8.8252314814814812E-4</v>
      </c>
      <c r="G31" s="11">
        <f>D31/7.5</f>
        <v>9.6068827160493821E-4</v>
      </c>
      <c r="H31" s="11">
        <f>B31/12.5</f>
        <v>9.9074074074074082E-4</v>
      </c>
      <c r="I31" s="11">
        <f>G31/0.93</f>
        <v>1.0329981415106862E-3</v>
      </c>
      <c r="J31" s="11">
        <f>G31/0.92</f>
        <v>1.0442263821792807E-3</v>
      </c>
      <c r="K31" s="11">
        <f>G31/0.88</f>
        <v>1.0916912177328843E-3</v>
      </c>
      <c r="L31" s="11">
        <f>G31/0.84</f>
        <v>1.1436765138154027E-3</v>
      </c>
      <c r="M31" s="25"/>
      <c r="N31" s="28"/>
      <c r="O31" s="25"/>
      <c r="P31" s="28"/>
      <c r="Q31" s="25"/>
      <c r="R31" s="25"/>
      <c r="S31" s="25"/>
      <c r="T31" s="28"/>
      <c r="U31" s="11"/>
      <c r="V31" s="36"/>
      <c r="W31" s="15" t="s">
        <v>5</v>
      </c>
      <c r="X31" s="52"/>
    </row>
    <row r="32" spans="1:24" ht="21" customHeight="1">
      <c r="A32" s="10" t="s">
        <v>31</v>
      </c>
      <c r="B32" s="11">
        <v>1.238425925925926E-2</v>
      </c>
      <c r="C32" s="11">
        <v>3.7037037037037038E-3</v>
      </c>
      <c r="D32" s="11">
        <f>B32*E32</f>
        <v>7.2051620370370368E-3</v>
      </c>
      <c r="E32" s="12">
        <v>0.58179999999999998</v>
      </c>
      <c r="F32" s="11">
        <f>C32/4</f>
        <v>9.2592592592592596E-4</v>
      </c>
      <c r="G32" s="11">
        <f>D32/7.5</f>
        <v>9.6068827160493821E-4</v>
      </c>
      <c r="H32" s="11">
        <f>B32/12.5</f>
        <v>9.9074074074074082E-4</v>
      </c>
      <c r="I32" s="11">
        <f>G32/0.93</f>
        <v>1.0329981415106862E-3</v>
      </c>
      <c r="J32" s="11">
        <f>G32/0.92</f>
        <v>1.0442263821792807E-3</v>
      </c>
      <c r="K32" s="11">
        <f>G32/0.88</f>
        <v>1.0916912177328843E-3</v>
      </c>
      <c r="L32" s="11">
        <f>G32/0.84</f>
        <v>1.1436765138154027E-3</v>
      </c>
      <c r="M32" s="25"/>
      <c r="N32" s="28"/>
      <c r="O32" s="25"/>
      <c r="P32" s="28"/>
      <c r="Q32" s="25"/>
      <c r="R32" s="25"/>
      <c r="S32" s="25"/>
      <c r="T32" s="28"/>
      <c r="U32" s="11"/>
      <c r="V32" s="36"/>
      <c r="W32" s="15" t="s">
        <v>5</v>
      </c>
      <c r="X32" s="52"/>
    </row>
    <row r="33" spans="1:24" ht="21" customHeight="1">
      <c r="A33" s="10" t="s">
        <v>62</v>
      </c>
      <c r="B33" s="11">
        <v>1.238425925925926E-2</v>
      </c>
      <c r="C33" s="11">
        <v>3.6458333333333334E-3</v>
      </c>
      <c r="D33" s="11">
        <f>B33*E33</f>
        <v>7.2051620370370368E-3</v>
      </c>
      <c r="E33" s="12">
        <v>0.58179999999999998</v>
      </c>
      <c r="F33" s="11">
        <f>C33/4</f>
        <v>9.1145833333333335E-4</v>
      </c>
      <c r="G33" s="11">
        <f>D33/7.5</f>
        <v>9.6068827160493821E-4</v>
      </c>
      <c r="H33" s="11">
        <f>B33/12.5</f>
        <v>9.9074074074074082E-4</v>
      </c>
      <c r="I33" s="11">
        <f>G33/0.93</f>
        <v>1.0329981415106862E-3</v>
      </c>
      <c r="J33" s="11">
        <f>G33/0.92</f>
        <v>1.0442263821792807E-3</v>
      </c>
      <c r="K33" s="11">
        <f>G33/0.88</f>
        <v>1.0916912177328843E-3</v>
      </c>
      <c r="L33" s="11">
        <f>G33/0.84</f>
        <v>1.1436765138154027E-3</v>
      </c>
      <c r="M33" s="25"/>
      <c r="N33" s="28"/>
      <c r="O33" s="25"/>
      <c r="P33" s="28"/>
      <c r="Q33" s="25"/>
      <c r="R33" s="25"/>
      <c r="S33" s="25"/>
      <c r="T33" s="28"/>
      <c r="U33" s="11"/>
      <c r="V33" s="36"/>
      <c r="W33" s="15" t="s">
        <v>5</v>
      </c>
      <c r="X33" s="52"/>
    </row>
    <row r="34" spans="1:24" ht="21" customHeight="1">
      <c r="A34" s="10" t="s">
        <v>63</v>
      </c>
      <c r="B34" s="11">
        <v>1.2615740740740742E-2</v>
      </c>
      <c r="C34" s="11">
        <v>3.7037037037037038E-3</v>
      </c>
      <c r="D34" s="11">
        <f>B34*E34</f>
        <v>7.3398379629629629E-3</v>
      </c>
      <c r="E34" s="12">
        <v>0.58179999999999998</v>
      </c>
      <c r="F34" s="11">
        <f>C34/4</f>
        <v>9.2592592592592596E-4</v>
      </c>
      <c r="G34" s="11">
        <f>D34/7.5</f>
        <v>9.7864506172839496E-4</v>
      </c>
      <c r="H34" s="11">
        <f>B34/12.5</f>
        <v>1.0092592592592592E-3</v>
      </c>
      <c r="I34" s="11">
        <f>G34/0.93</f>
        <v>1.0523065179875214E-3</v>
      </c>
      <c r="J34" s="11">
        <f>G34/0.92</f>
        <v>1.0637446323134728E-3</v>
      </c>
      <c r="K34" s="11">
        <f>G34/0.88</f>
        <v>1.1120966610549943E-3</v>
      </c>
      <c r="L34" s="11">
        <f>G34/0.84</f>
        <v>1.165053644914756E-3</v>
      </c>
      <c r="M34" s="25"/>
      <c r="N34" s="28"/>
      <c r="O34" s="25"/>
      <c r="P34" s="28"/>
      <c r="Q34" s="25"/>
      <c r="R34" s="25"/>
      <c r="S34" s="25"/>
      <c r="T34" s="28"/>
      <c r="U34" s="11"/>
      <c r="V34" s="36"/>
      <c r="W34" s="15" t="s">
        <v>5</v>
      </c>
      <c r="X34" s="52"/>
    </row>
    <row r="35" spans="1:24" ht="21" customHeight="1">
      <c r="A35" s="10" t="s">
        <v>64</v>
      </c>
      <c r="B35" s="11">
        <v>1.2615740740740742E-2</v>
      </c>
      <c r="C35" s="11">
        <v>3.5879629629629629E-3</v>
      </c>
      <c r="D35" s="11">
        <f>B35*E35</f>
        <v>7.3398379629629629E-3</v>
      </c>
      <c r="E35" s="12">
        <v>0.58179999999999998</v>
      </c>
      <c r="F35" s="11">
        <f>C35/4</f>
        <v>8.9699074074074073E-4</v>
      </c>
      <c r="G35" s="11">
        <f>D35/7.5</f>
        <v>9.7864506172839496E-4</v>
      </c>
      <c r="H35" s="11">
        <f>B35/12.5</f>
        <v>1.0092592592592592E-3</v>
      </c>
      <c r="I35" s="11">
        <f>G35/0.93</f>
        <v>1.0523065179875214E-3</v>
      </c>
      <c r="J35" s="11">
        <f>G35/0.92</f>
        <v>1.0637446323134728E-3</v>
      </c>
      <c r="K35" s="11">
        <f>G35/0.88</f>
        <v>1.1120966610549943E-3</v>
      </c>
      <c r="L35" s="11">
        <f>G35/0.84</f>
        <v>1.165053644914756E-3</v>
      </c>
      <c r="M35" s="25"/>
      <c r="N35" s="28"/>
      <c r="O35" s="25"/>
      <c r="P35" s="28"/>
      <c r="Q35" s="25"/>
      <c r="R35" s="25"/>
      <c r="S35" s="25"/>
      <c r="T35" s="28"/>
      <c r="U35" s="11"/>
      <c r="V35" s="36"/>
      <c r="W35" s="15" t="s">
        <v>5</v>
      </c>
      <c r="X35" s="52"/>
    </row>
    <row r="36" spans="1:24" ht="21" customHeight="1">
      <c r="A36" s="10" t="s">
        <v>49</v>
      </c>
      <c r="B36" s="11">
        <v>1.2731481481481481E-2</v>
      </c>
      <c r="C36" s="11">
        <v>3.5879629629629629E-3</v>
      </c>
      <c r="D36" s="11">
        <f t="shared" ref="D36:D44" si="16">B36*E36</f>
        <v>7.4071759259259256E-3</v>
      </c>
      <c r="E36" s="12">
        <v>0.58179999999999998</v>
      </c>
      <c r="F36" s="11">
        <f t="shared" ref="F36:F44" si="17">C36/4</f>
        <v>8.9699074074074073E-4</v>
      </c>
      <c r="G36" s="11">
        <f t="shared" ref="G36:G44" si="18">D36/7.5</f>
        <v>9.8762345679012349E-4</v>
      </c>
      <c r="H36" s="11">
        <f t="shared" ref="H36:H44" si="19">B36/12.5</f>
        <v>1.0185185185185184E-3</v>
      </c>
      <c r="I36" s="11">
        <f t="shared" ref="I36:I44" si="20">G36/0.93</f>
        <v>1.0619607062259391E-3</v>
      </c>
      <c r="J36" s="11">
        <f t="shared" ref="J36:J44" si="21">G36/0.92</f>
        <v>1.073503757380569E-3</v>
      </c>
      <c r="K36" s="11">
        <f t="shared" ref="K36:K44" si="22">G36/0.88</f>
        <v>1.1222993827160494E-3</v>
      </c>
      <c r="L36" s="11">
        <f t="shared" ref="L36:L44" si="23">G36/0.84</f>
        <v>1.1757422104644328E-3</v>
      </c>
      <c r="M36" s="25"/>
      <c r="N36" s="28"/>
      <c r="O36" s="25"/>
      <c r="P36" s="28"/>
      <c r="Q36" s="25"/>
      <c r="R36" s="25"/>
      <c r="S36" s="25"/>
      <c r="T36" s="28"/>
      <c r="U36" s="11"/>
      <c r="V36" s="36"/>
      <c r="W36" s="15" t="s">
        <v>5</v>
      </c>
      <c r="X36" s="52"/>
    </row>
    <row r="37" spans="1:24" ht="21" customHeight="1">
      <c r="A37" s="10" t="s">
        <v>65</v>
      </c>
      <c r="B37" s="11">
        <v>1.2731481481481481E-2</v>
      </c>
      <c r="C37" s="11">
        <v>3.8194444444444443E-3</v>
      </c>
      <c r="D37" s="11">
        <f t="shared" si="16"/>
        <v>7.4071759259259256E-3</v>
      </c>
      <c r="E37" s="12">
        <v>0.58179999999999998</v>
      </c>
      <c r="F37" s="11">
        <f t="shared" si="17"/>
        <v>9.5486111111111108E-4</v>
      </c>
      <c r="G37" s="11">
        <f t="shared" si="18"/>
        <v>9.8762345679012349E-4</v>
      </c>
      <c r="H37" s="11">
        <f t="shared" si="19"/>
        <v>1.0185185185185184E-3</v>
      </c>
      <c r="I37" s="11">
        <f t="shared" si="20"/>
        <v>1.0619607062259391E-3</v>
      </c>
      <c r="J37" s="11">
        <f t="shared" si="21"/>
        <v>1.073503757380569E-3</v>
      </c>
      <c r="K37" s="11">
        <f t="shared" si="22"/>
        <v>1.1222993827160494E-3</v>
      </c>
      <c r="L37" s="11">
        <f t="shared" si="23"/>
        <v>1.1757422104644328E-3</v>
      </c>
      <c r="M37" s="25"/>
      <c r="N37" s="28"/>
      <c r="O37" s="25"/>
      <c r="P37" s="28"/>
      <c r="Q37" s="25"/>
      <c r="R37" s="25"/>
      <c r="S37" s="25"/>
      <c r="T37" s="28"/>
      <c r="U37" s="11"/>
      <c r="V37" s="36"/>
      <c r="W37" s="15" t="s">
        <v>5</v>
      </c>
      <c r="X37" s="52"/>
    </row>
    <row r="38" spans="1:24" ht="21" customHeight="1">
      <c r="A38" s="10" t="s">
        <v>66</v>
      </c>
      <c r="B38" s="11">
        <v>1.2731481481481481E-2</v>
      </c>
      <c r="C38" s="11">
        <v>3.6458333333333334E-3</v>
      </c>
      <c r="D38" s="11">
        <f>B38*E38</f>
        <v>7.4071759259259256E-3</v>
      </c>
      <c r="E38" s="12">
        <v>0.58179999999999998</v>
      </c>
      <c r="F38" s="11">
        <f>C38/4</f>
        <v>9.1145833333333335E-4</v>
      </c>
      <c r="G38" s="11">
        <f>D38/7.5</f>
        <v>9.8762345679012349E-4</v>
      </c>
      <c r="H38" s="11">
        <f>B38/12.5</f>
        <v>1.0185185185185184E-3</v>
      </c>
      <c r="I38" s="11">
        <f>G38/0.93</f>
        <v>1.0619607062259391E-3</v>
      </c>
      <c r="J38" s="11">
        <f>G38/0.92</f>
        <v>1.073503757380569E-3</v>
      </c>
      <c r="K38" s="11">
        <f>G38/0.88</f>
        <v>1.1222993827160494E-3</v>
      </c>
      <c r="L38" s="17">
        <f>G38/0.84</f>
        <v>1.1757422104644328E-3</v>
      </c>
      <c r="M38" s="25"/>
      <c r="N38" s="28"/>
      <c r="O38" s="25"/>
      <c r="P38" s="28"/>
      <c r="Q38" s="25"/>
      <c r="R38" s="25"/>
      <c r="S38" s="25"/>
      <c r="T38" s="28"/>
      <c r="U38" s="11"/>
      <c r="V38" s="36"/>
      <c r="W38" s="15" t="s">
        <v>5</v>
      </c>
      <c r="X38" s="52"/>
    </row>
    <row r="39" spans="1:24" ht="21" customHeight="1">
      <c r="A39" s="10" t="s">
        <v>67</v>
      </c>
      <c r="B39" s="11">
        <v>1.3020833333333334E-2</v>
      </c>
      <c r="C39" s="11">
        <v>3.8194444444444443E-3</v>
      </c>
      <c r="D39" s="11">
        <f>B39*E39</f>
        <v>7.5755208333333334E-3</v>
      </c>
      <c r="E39" s="12">
        <v>0.58179999999999998</v>
      </c>
      <c r="F39" s="11">
        <f>C39/4</f>
        <v>9.5486111111111108E-4</v>
      </c>
      <c r="G39" s="11">
        <f>D39/7.5</f>
        <v>1.0100694444444445E-3</v>
      </c>
      <c r="H39" s="11">
        <f>B39/12.5</f>
        <v>1.0416666666666667E-3</v>
      </c>
      <c r="I39" s="11">
        <f>G39/0.93</f>
        <v>1.0860961768219832E-3</v>
      </c>
      <c r="J39" s="11">
        <f>G39/0.92</f>
        <v>1.0979015700483092E-3</v>
      </c>
      <c r="K39" s="11">
        <f>G39/0.88</f>
        <v>1.1478061868686869E-3</v>
      </c>
      <c r="L39" s="11">
        <f>G39/0.84</f>
        <v>1.2024636243386244E-3</v>
      </c>
      <c r="M39" s="25"/>
      <c r="N39" s="28"/>
      <c r="O39" s="25"/>
      <c r="P39" s="28"/>
      <c r="Q39" s="25"/>
      <c r="R39" s="25"/>
      <c r="S39" s="25"/>
      <c r="T39" s="28"/>
      <c r="U39" s="11"/>
      <c r="V39" s="36"/>
      <c r="W39" s="15" t="s">
        <v>5</v>
      </c>
      <c r="X39" s="52"/>
    </row>
    <row r="40" spans="1:24" ht="21" customHeight="1">
      <c r="A40" s="10" t="s">
        <v>68</v>
      </c>
      <c r="B40" s="11">
        <v>1.3020833333333334E-2</v>
      </c>
      <c r="C40" s="11">
        <v>3.9351851851851848E-3</v>
      </c>
      <c r="D40" s="11">
        <f>B40*E40</f>
        <v>7.5755208333333334E-3</v>
      </c>
      <c r="E40" s="12">
        <v>0.58179999999999998</v>
      </c>
      <c r="F40" s="11">
        <f>C40/4</f>
        <v>9.837962962962962E-4</v>
      </c>
      <c r="G40" s="11">
        <f>D40/7.5</f>
        <v>1.0100694444444445E-3</v>
      </c>
      <c r="H40" s="11">
        <f>B40/12.5</f>
        <v>1.0416666666666667E-3</v>
      </c>
      <c r="I40" s="11">
        <f>G40/0.93</f>
        <v>1.0860961768219832E-3</v>
      </c>
      <c r="J40" s="11">
        <f>G40/0.92</f>
        <v>1.0979015700483092E-3</v>
      </c>
      <c r="K40" s="11">
        <f>G40/0.88</f>
        <v>1.1478061868686869E-3</v>
      </c>
      <c r="L40" s="11">
        <f>G40/0.84</f>
        <v>1.2024636243386244E-3</v>
      </c>
      <c r="M40" s="25"/>
      <c r="N40" s="28"/>
      <c r="O40" s="25"/>
      <c r="P40" s="28"/>
      <c r="Q40" s="25"/>
      <c r="R40" s="25"/>
      <c r="S40" s="25"/>
      <c r="T40" s="28"/>
      <c r="U40" s="11"/>
      <c r="V40" s="36"/>
      <c r="W40" s="15" t="s">
        <v>5</v>
      </c>
      <c r="X40" s="52"/>
    </row>
    <row r="41" spans="1:24" ht="21" customHeight="1">
      <c r="A41" s="10" t="s">
        <v>69</v>
      </c>
      <c r="B41" s="11">
        <v>1.3541666666666667E-2</v>
      </c>
      <c r="C41" s="11">
        <v>4.0509259259259257E-3</v>
      </c>
      <c r="D41" s="11">
        <f t="shared" si="16"/>
        <v>7.8785416666666674E-3</v>
      </c>
      <c r="E41" s="12">
        <v>0.58179999999999998</v>
      </c>
      <c r="F41" s="11">
        <f t="shared" si="17"/>
        <v>1.0127314814814814E-3</v>
      </c>
      <c r="G41" s="11">
        <f t="shared" si="18"/>
        <v>1.0504722222222224E-3</v>
      </c>
      <c r="H41" s="11">
        <f t="shared" si="19"/>
        <v>1.0833333333333333E-3</v>
      </c>
      <c r="I41" s="11">
        <f t="shared" si="20"/>
        <v>1.1295400238948627E-3</v>
      </c>
      <c r="J41" s="11">
        <f t="shared" si="21"/>
        <v>1.1418176328502417E-3</v>
      </c>
      <c r="K41" s="11">
        <f t="shared" si="22"/>
        <v>1.1937184343434346E-3</v>
      </c>
      <c r="L41" s="11">
        <f t="shared" si="23"/>
        <v>1.2505621693121695E-3</v>
      </c>
      <c r="M41" s="25"/>
      <c r="N41" s="28"/>
      <c r="O41" s="25"/>
      <c r="P41" s="28"/>
      <c r="Q41" s="25"/>
      <c r="R41" s="25"/>
      <c r="S41" s="25"/>
      <c r="T41" s="28"/>
      <c r="U41" s="11"/>
      <c r="V41" s="36"/>
      <c r="W41" s="15" t="s">
        <v>5</v>
      </c>
      <c r="X41" s="52"/>
    </row>
    <row r="42" spans="1:24" ht="21" customHeight="1">
      <c r="A42" s="10" t="s">
        <v>70</v>
      </c>
      <c r="B42" s="11">
        <v>1.3541666666666667E-2</v>
      </c>
      <c r="C42" s="11">
        <v>4.0509259259259257E-3</v>
      </c>
      <c r="D42" s="11">
        <f t="shared" si="16"/>
        <v>7.8785416666666674E-3</v>
      </c>
      <c r="E42" s="12">
        <v>0.58179999999999998</v>
      </c>
      <c r="F42" s="11">
        <f t="shared" si="17"/>
        <v>1.0127314814814814E-3</v>
      </c>
      <c r="G42" s="11">
        <f t="shared" si="18"/>
        <v>1.0504722222222224E-3</v>
      </c>
      <c r="H42" s="11">
        <f t="shared" si="19"/>
        <v>1.0833333333333333E-3</v>
      </c>
      <c r="I42" s="11">
        <f t="shared" si="20"/>
        <v>1.1295400238948627E-3</v>
      </c>
      <c r="J42" s="11">
        <f t="shared" si="21"/>
        <v>1.1418176328502417E-3</v>
      </c>
      <c r="K42" s="11">
        <f t="shared" si="22"/>
        <v>1.1937184343434346E-3</v>
      </c>
      <c r="L42" s="11">
        <f t="shared" si="23"/>
        <v>1.2505621693121695E-3</v>
      </c>
      <c r="M42" s="25"/>
      <c r="N42" s="28"/>
      <c r="O42" s="25"/>
      <c r="P42" s="28"/>
      <c r="Q42" s="25"/>
      <c r="R42" s="25"/>
      <c r="S42" s="25"/>
      <c r="T42" s="28"/>
      <c r="U42" s="11"/>
      <c r="V42" s="36"/>
      <c r="W42" s="15" t="s">
        <v>5</v>
      </c>
      <c r="X42" s="52"/>
    </row>
    <row r="43" spans="1:24" ht="21" customHeight="1">
      <c r="A43" s="10" t="s">
        <v>71</v>
      </c>
      <c r="B43" s="11">
        <v>1.3541666666666667E-2</v>
      </c>
      <c r="C43" s="11">
        <v>4.0509259259259257E-3</v>
      </c>
      <c r="D43" s="11">
        <f>B43*E43</f>
        <v>7.8785416666666674E-3</v>
      </c>
      <c r="E43" s="12">
        <v>0.58179999999999998</v>
      </c>
      <c r="F43" s="11">
        <f>C43/4</f>
        <v>1.0127314814814814E-3</v>
      </c>
      <c r="G43" s="11">
        <f>D43/7.5</f>
        <v>1.0504722222222224E-3</v>
      </c>
      <c r="H43" s="11">
        <f>B43/12.5</f>
        <v>1.0833333333333333E-3</v>
      </c>
      <c r="I43" s="11">
        <f>G43/0.93</f>
        <v>1.1295400238948627E-3</v>
      </c>
      <c r="J43" s="11">
        <f>G43/0.92</f>
        <v>1.1418176328502417E-3</v>
      </c>
      <c r="K43" s="11">
        <f>G43/0.88</f>
        <v>1.1937184343434346E-3</v>
      </c>
      <c r="L43" s="11">
        <f>G43/0.84</f>
        <v>1.2505621693121695E-3</v>
      </c>
      <c r="M43" s="25"/>
      <c r="N43" s="28"/>
      <c r="O43" s="25"/>
      <c r="P43" s="28"/>
      <c r="Q43" s="25"/>
      <c r="R43" s="25"/>
      <c r="S43" s="25"/>
      <c r="T43" s="28"/>
      <c r="U43" s="11"/>
      <c r="V43" s="36"/>
      <c r="W43" s="15" t="s">
        <v>5</v>
      </c>
      <c r="X43" s="52"/>
    </row>
    <row r="44" spans="1:24" ht="21" customHeight="1">
      <c r="A44" s="10" t="s">
        <v>72</v>
      </c>
      <c r="B44" s="11">
        <v>1.3541666666666667E-2</v>
      </c>
      <c r="C44" s="11">
        <v>4.0509259259259257E-3</v>
      </c>
      <c r="D44" s="11">
        <f t="shared" si="16"/>
        <v>7.8785416666666674E-3</v>
      </c>
      <c r="E44" s="12">
        <v>0.58179999999999998</v>
      </c>
      <c r="F44" s="11">
        <f t="shared" si="17"/>
        <v>1.0127314814814814E-3</v>
      </c>
      <c r="G44" s="11">
        <f t="shared" si="18"/>
        <v>1.0504722222222224E-3</v>
      </c>
      <c r="H44" s="11">
        <f t="shared" si="19"/>
        <v>1.0833333333333333E-3</v>
      </c>
      <c r="I44" s="11">
        <f t="shared" si="20"/>
        <v>1.1295400238948627E-3</v>
      </c>
      <c r="J44" s="11">
        <f t="shared" si="21"/>
        <v>1.1418176328502417E-3</v>
      </c>
      <c r="K44" s="11">
        <f t="shared" si="22"/>
        <v>1.1937184343434346E-3</v>
      </c>
      <c r="L44" s="11">
        <f t="shared" si="23"/>
        <v>1.2505621693121695E-3</v>
      </c>
      <c r="M44" s="25"/>
      <c r="N44" s="28"/>
      <c r="O44" s="25"/>
      <c r="P44" s="28"/>
      <c r="Q44" s="25"/>
      <c r="R44" s="25"/>
      <c r="S44" s="25"/>
      <c r="T44" s="28"/>
      <c r="U44" s="11"/>
      <c r="V44" s="36"/>
      <c r="W44" s="15" t="s">
        <v>5</v>
      </c>
      <c r="X44" s="52"/>
    </row>
    <row r="45" spans="1:24" ht="21" customHeight="1">
      <c r="A45" s="10" t="s">
        <v>73</v>
      </c>
      <c r="B45" s="11">
        <v>1.3888888888888888E-2</v>
      </c>
      <c r="C45" s="11">
        <v>4.3981481481481484E-3</v>
      </c>
      <c r="D45" s="11">
        <f>B45*E45</f>
        <v>8.0805555555555544E-3</v>
      </c>
      <c r="E45" s="12">
        <v>0.58179999999999998</v>
      </c>
      <c r="F45" s="11">
        <f>C45/4</f>
        <v>1.0995370370370371E-3</v>
      </c>
      <c r="G45" s="11">
        <f>D45/7.5</f>
        <v>1.0774074074074074E-3</v>
      </c>
      <c r="H45" s="11">
        <f>B45/12.5</f>
        <v>1.1111111111111111E-3</v>
      </c>
      <c r="I45" s="11">
        <f>G45/0.93</f>
        <v>1.1585025886101153E-3</v>
      </c>
      <c r="J45" s="11">
        <f>G45/0.92</f>
        <v>1.1710950080515297E-3</v>
      </c>
      <c r="K45" s="11">
        <f>G45/0.88</f>
        <v>1.2243265993265992E-3</v>
      </c>
      <c r="L45" s="11">
        <f>G45/0.84</f>
        <v>1.2826278659611992E-3</v>
      </c>
      <c r="M45" s="25"/>
      <c r="N45" s="28"/>
      <c r="O45" s="25"/>
      <c r="P45" s="28"/>
      <c r="Q45" s="25"/>
      <c r="R45" s="25"/>
      <c r="S45" s="25"/>
      <c r="T45" s="28"/>
      <c r="U45" s="11"/>
      <c r="V45" s="36"/>
      <c r="W45" s="15" t="s">
        <v>5</v>
      </c>
      <c r="X45" s="52"/>
    </row>
    <row r="46" spans="1:24" ht="21" customHeight="1">
      <c r="A46" s="10" t="s">
        <v>74</v>
      </c>
      <c r="B46" s="11">
        <v>1.3020833333333334E-2</v>
      </c>
      <c r="C46" s="11">
        <v>3.7037037037037038E-3</v>
      </c>
      <c r="D46" s="11">
        <f>B46*E46</f>
        <v>7.5755208333333334E-3</v>
      </c>
      <c r="E46" s="12">
        <v>0.58179999999999998</v>
      </c>
      <c r="F46" s="11">
        <f>C46/4</f>
        <v>9.2592592592592596E-4</v>
      </c>
      <c r="G46" s="11">
        <f>D46/7.5</f>
        <v>1.0100694444444445E-3</v>
      </c>
      <c r="H46" s="11">
        <f>B46/12.5</f>
        <v>1.0416666666666667E-3</v>
      </c>
      <c r="I46" s="11">
        <f>G46/0.93</f>
        <v>1.0860961768219832E-3</v>
      </c>
      <c r="J46" s="11">
        <f>G46/0.92</f>
        <v>1.0979015700483092E-3</v>
      </c>
      <c r="K46" s="11">
        <f>G46/0.88</f>
        <v>1.1478061868686869E-3</v>
      </c>
      <c r="L46" s="11">
        <f>G46/0.84</f>
        <v>1.2024636243386244E-3</v>
      </c>
      <c r="M46" s="25"/>
      <c r="N46" s="28"/>
      <c r="O46" s="25"/>
      <c r="P46" s="28"/>
      <c r="Q46" s="25"/>
      <c r="R46" s="25"/>
      <c r="S46" s="25"/>
      <c r="T46" s="28"/>
      <c r="U46" s="11"/>
      <c r="V46" s="36"/>
      <c r="W46" s="15" t="s">
        <v>5</v>
      </c>
      <c r="X46" s="52"/>
    </row>
    <row r="47" spans="1:24" ht="21" customHeight="1">
      <c r="A47" s="10" t="s">
        <v>75</v>
      </c>
      <c r="B47" s="11">
        <v>1.3541666666666667E-2</v>
      </c>
      <c r="C47" s="11">
        <v>3.8194444444444443E-3</v>
      </c>
      <c r="D47" s="11">
        <f>B47*E47</f>
        <v>7.8785416666666674E-3</v>
      </c>
      <c r="E47" s="12">
        <v>0.58179999999999998</v>
      </c>
      <c r="F47" s="11">
        <f>C47/4</f>
        <v>9.5486111111111108E-4</v>
      </c>
      <c r="G47" s="11">
        <f>D47/7.5</f>
        <v>1.0504722222222224E-3</v>
      </c>
      <c r="H47" s="11">
        <f>B47/12.5</f>
        <v>1.0833333333333333E-3</v>
      </c>
      <c r="I47" s="11">
        <f>G47/0.93</f>
        <v>1.1295400238948627E-3</v>
      </c>
      <c r="J47" s="11">
        <f>G47/0.92</f>
        <v>1.1418176328502417E-3</v>
      </c>
      <c r="K47" s="11">
        <f>G47/0.88</f>
        <v>1.1937184343434346E-3</v>
      </c>
      <c r="L47" s="11">
        <f>G47/0.84</f>
        <v>1.2505621693121695E-3</v>
      </c>
      <c r="M47" s="25"/>
      <c r="N47" s="28"/>
      <c r="O47" s="25"/>
      <c r="P47" s="28"/>
      <c r="Q47" s="25"/>
      <c r="R47" s="25"/>
      <c r="S47" s="25"/>
      <c r="T47" s="28"/>
      <c r="U47" s="11"/>
      <c r="V47" s="36"/>
      <c r="W47" s="15" t="s">
        <v>5</v>
      </c>
      <c r="X47" s="52"/>
    </row>
    <row r="48" spans="1:24" ht="21" customHeight="1">
      <c r="A48" s="10" t="s">
        <v>76</v>
      </c>
      <c r="B48" s="11">
        <v>1.3541666666666667E-2</v>
      </c>
      <c r="C48" s="11">
        <v>4.0509259259259257E-3</v>
      </c>
      <c r="D48" s="11">
        <f>B48*E48</f>
        <v>7.8785416666666674E-3</v>
      </c>
      <c r="E48" s="12">
        <v>0.58179999999999998</v>
      </c>
      <c r="F48" s="11">
        <f>C48/4</f>
        <v>1.0127314814814814E-3</v>
      </c>
      <c r="G48" s="11">
        <f>D48/7.5</f>
        <v>1.0504722222222224E-3</v>
      </c>
      <c r="H48" s="11">
        <f>B48/12.5</f>
        <v>1.0833333333333333E-3</v>
      </c>
      <c r="I48" s="11">
        <f>G48/0.93</f>
        <v>1.1295400238948627E-3</v>
      </c>
      <c r="J48" s="11">
        <f>G48/0.92</f>
        <v>1.1418176328502417E-3</v>
      </c>
      <c r="K48" s="11">
        <f>G48/0.88</f>
        <v>1.1937184343434346E-3</v>
      </c>
      <c r="L48" s="11">
        <f>G48/0.84</f>
        <v>1.2505621693121695E-3</v>
      </c>
      <c r="M48" s="25"/>
      <c r="N48" s="28"/>
      <c r="O48" s="25"/>
      <c r="P48" s="28"/>
      <c r="Q48" s="25"/>
      <c r="R48" s="25"/>
      <c r="S48" s="25"/>
      <c r="T48" s="28"/>
      <c r="U48" s="11"/>
      <c r="V48" s="36"/>
      <c r="W48" s="15" t="s">
        <v>5</v>
      </c>
      <c r="X48" s="52"/>
    </row>
    <row r="49" spans="1:24" ht="21" customHeight="1">
      <c r="A49" s="10"/>
      <c r="B49" s="11"/>
      <c r="C49" s="11"/>
      <c r="D49" s="11"/>
      <c r="E49" s="12"/>
      <c r="F49" s="11"/>
      <c r="G49" s="11"/>
      <c r="H49" s="11"/>
      <c r="I49" s="11"/>
      <c r="J49" s="11"/>
      <c r="K49" s="11"/>
      <c r="L49" s="11"/>
      <c r="M49" s="45"/>
      <c r="N49" s="11"/>
      <c r="O49" s="11"/>
      <c r="P49" s="11"/>
      <c r="Q49" s="14"/>
      <c r="R49" s="11"/>
      <c r="S49" s="14"/>
      <c r="T49" s="11"/>
      <c r="U49" s="14"/>
      <c r="V49" s="17"/>
      <c r="W49" s="18"/>
      <c r="X49" s="52"/>
    </row>
    <row r="50" spans="1:24" ht="21" customHeight="1">
      <c r="A50" s="10"/>
      <c r="B50" s="11"/>
      <c r="C50" s="11"/>
      <c r="D50" s="11"/>
      <c r="E50" s="12"/>
      <c r="F50" s="11"/>
      <c r="G50" s="11"/>
      <c r="H50" s="11"/>
      <c r="I50" s="11"/>
      <c r="J50" s="11"/>
      <c r="K50" s="11"/>
      <c r="L50" s="11"/>
      <c r="M50" s="14"/>
      <c r="O50" s="14"/>
      <c r="P50" s="11"/>
      <c r="Q50" s="14"/>
      <c r="R50" s="11"/>
      <c r="S50" s="14"/>
      <c r="T50" s="14"/>
      <c r="U50" s="14"/>
      <c r="V50" s="11"/>
      <c r="W50" s="15"/>
      <c r="X50" s="52"/>
    </row>
    <row r="51" spans="1:24" ht="21" customHeight="1">
      <c r="A51" s="10"/>
      <c r="B51" s="11"/>
      <c r="C51" s="11"/>
      <c r="D51" s="11"/>
      <c r="E51" s="12"/>
      <c r="F51" s="11"/>
      <c r="G51" s="11"/>
      <c r="H51" s="11"/>
      <c r="I51" s="11"/>
      <c r="J51" s="11"/>
      <c r="K51" s="11"/>
      <c r="L51" s="17"/>
      <c r="M51" s="14"/>
      <c r="N51" s="11"/>
      <c r="O51" s="11"/>
      <c r="P51" s="11"/>
      <c r="Q51" s="14"/>
      <c r="R51" s="11"/>
      <c r="S51" s="14"/>
      <c r="T51" s="11"/>
      <c r="U51" s="11"/>
      <c r="V51" s="11"/>
      <c r="W51" s="15"/>
      <c r="X51" s="52"/>
    </row>
    <row r="52" spans="1:24" ht="21" customHeight="1">
      <c r="A52" s="10"/>
      <c r="B52" s="11"/>
      <c r="C52" s="11"/>
      <c r="D52" s="11"/>
      <c r="E52" s="12"/>
      <c r="F52" s="11"/>
      <c r="G52" s="11"/>
      <c r="H52" s="11"/>
      <c r="I52" s="11"/>
      <c r="J52" s="11"/>
      <c r="K52" s="11"/>
      <c r="L52" s="11"/>
      <c r="M52" s="13"/>
      <c r="N52" s="11"/>
      <c r="O52" s="11"/>
      <c r="P52" s="11"/>
      <c r="Q52" s="14"/>
      <c r="R52" s="11"/>
      <c r="S52" s="14"/>
      <c r="T52" s="14"/>
      <c r="U52" s="14"/>
      <c r="V52" s="17"/>
      <c r="W52" s="18"/>
      <c r="X52" s="52"/>
    </row>
    <row r="53" spans="1:24" ht="21" customHeight="1">
      <c r="A53" s="39"/>
      <c r="B53" s="40"/>
      <c r="C53" s="40"/>
      <c r="D53" s="40"/>
      <c r="E53" s="41"/>
      <c r="F53" s="40"/>
      <c r="G53" s="40"/>
      <c r="H53" s="40"/>
      <c r="I53" s="40"/>
      <c r="J53" s="40"/>
      <c r="K53" s="40"/>
      <c r="L53" s="40"/>
      <c r="M53" s="40"/>
      <c r="N53" s="40"/>
      <c r="O53" s="40"/>
      <c r="P53" s="40"/>
      <c r="Q53" s="40"/>
      <c r="R53" s="40"/>
      <c r="S53" s="40"/>
      <c r="T53" s="40"/>
      <c r="U53" s="40"/>
      <c r="V53" s="40"/>
      <c r="W53" s="42"/>
      <c r="X53" s="52"/>
    </row>
    <row r="54" spans="1:24" ht="21" customHeight="1">
      <c r="A54" s="39"/>
      <c r="B54" s="40"/>
      <c r="C54" s="40"/>
      <c r="D54" s="40"/>
      <c r="E54" s="41"/>
      <c r="F54" s="40"/>
      <c r="G54" s="40"/>
      <c r="H54" s="40"/>
      <c r="I54" s="40"/>
      <c r="J54" s="40"/>
      <c r="K54" s="40"/>
      <c r="L54" s="40"/>
      <c r="M54" s="40"/>
      <c r="N54" s="40"/>
      <c r="O54" s="40"/>
      <c r="P54" s="40"/>
      <c r="Q54" s="40"/>
      <c r="R54" s="40"/>
      <c r="S54" s="40"/>
      <c r="T54" s="40"/>
      <c r="U54" s="40"/>
      <c r="V54" s="40"/>
      <c r="W54" s="42"/>
      <c r="X54" s="52"/>
    </row>
    <row r="55" spans="1:24" ht="21" customHeight="1">
      <c r="A55" s="10"/>
      <c r="B55" s="11"/>
      <c r="C55" s="11"/>
      <c r="D55" s="11"/>
      <c r="E55" s="12"/>
      <c r="F55" s="11"/>
      <c r="G55" s="11"/>
      <c r="H55" s="11"/>
      <c r="I55" s="11"/>
      <c r="J55" s="11"/>
      <c r="K55" s="11"/>
      <c r="L55" s="11"/>
      <c r="M55" s="13"/>
      <c r="N55" s="11"/>
      <c r="O55" s="14"/>
      <c r="P55" s="11"/>
      <c r="Q55" s="14"/>
      <c r="R55" s="11"/>
      <c r="S55" s="14"/>
      <c r="T55" s="14"/>
      <c r="U55" s="14"/>
      <c r="V55" s="11"/>
      <c r="W55" s="18"/>
      <c r="X55" s="52"/>
    </row>
    <row r="56" spans="1:24" ht="21" customHeight="1">
      <c r="A56" s="10"/>
      <c r="B56" s="11"/>
      <c r="C56" s="11"/>
      <c r="D56" s="11"/>
      <c r="E56" s="12"/>
      <c r="F56" s="11"/>
      <c r="G56" s="11"/>
      <c r="H56" s="11"/>
      <c r="I56" s="11"/>
      <c r="J56" s="11"/>
      <c r="K56" s="11"/>
      <c r="L56" s="11"/>
      <c r="M56" s="13"/>
      <c r="N56" s="11"/>
      <c r="O56" s="11"/>
      <c r="P56" s="11"/>
      <c r="Q56" s="14"/>
      <c r="R56" s="11"/>
      <c r="S56" s="14"/>
      <c r="T56" s="14"/>
      <c r="U56" s="14"/>
      <c r="V56" s="17"/>
      <c r="W56" s="18"/>
      <c r="X56" s="52"/>
    </row>
    <row r="57" spans="1:24" ht="21" customHeight="1" thickBot="1">
      <c r="A57" s="10"/>
      <c r="B57" s="11"/>
      <c r="C57" s="11"/>
      <c r="D57" s="11"/>
      <c r="E57" s="12"/>
      <c r="F57" s="11"/>
      <c r="G57" s="11"/>
      <c r="H57" s="11"/>
      <c r="I57" s="11"/>
      <c r="J57" s="11"/>
      <c r="K57" s="11"/>
      <c r="L57" s="11"/>
      <c r="M57" s="13"/>
      <c r="N57" s="11"/>
      <c r="O57" s="11"/>
      <c r="P57" s="11"/>
      <c r="Q57" s="14"/>
      <c r="R57" s="11"/>
      <c r="S57" s="14"/>
      <c r="T57" s="14"/>
      <c r="U57" s="14"/>
      <c r="V57" s="17"/>
      <c r="W57" s="18"/>
      <c r="X57" s="52"/>
    </row>
    <row r="58" spans="1:24" ht="20.45" customHeight="1">
      <c r="A58" s="1" t="s">
        <v>173</v>
      </c>
      <c r="B58" s="2" t="s">
        <v>1</v>
      </c>
      <c r="C58" s="2" t="s">
        <v>2</v>
      </c>
      <c r="D58" s="2" t="s">
        <v>3</v>
      </c>
      <c r="E58" s="3" t="s">
        <v>4</v>
      </c>
      <c r="F58" s="2" t="s">
        <v>5</v>
      </c>
      <c r="G58" s="2" t="s">
        <v>6</v>
      </c>
      <c r="H58" s="2" t="s">
        <v>7</v>
      </c>
      <c r="I58" s="4" t="s">
        <v>8</v>
      </c>
      <c r="J58" s="2" t="s">
        <v>9</v>
      </c>
      <c r="K58" s="2" t="s">
        <v>10</v>
      </c>
      <c r="L58" s="2" t="s">
        <v>11</v>
      </c>
      <c r="M58" s="6" t="s">
        <v>12</v>
      </c>
      <c r="N58" s="6" t="s">
        <v>174</v>
      </c>
      <c r="O58" s="7" t="s">
        <v>14</v>
      </c>
      <c r="P58" s="8" t="s">
        <v>175</v>
      </c>
      <c r="Q58" s="8" t="s">
        <v>17</v>
      </c>
      <c r="R58" s="7" t="s">
        <v>18</v>
      </c>
      <c r="S58" s="7" t="s">
        <v>145</v>
      </c>
      <c r="T58" s="7" t="s">
        <v>149</v>
      </c>
      <c r="U58" s="7" t="s">
        <v>77</v>
      </c>
      <c r="V58" s="8" t="s">
        <v>21</v>
      </c>
      <c r="W58" s="24" t="s">
        <v>22</v>
      </c>
      <c r="X58" s="52" t="s">
        <v>181</v>
      </c>
    </row>
    <row r="59" spans="1:24" ht="20.45" customHeight="1">
      <c r="A59" s="10" t="s">
        <v>79</v>
      </c>
      <c r="B59" s="11">
        <v>9.8379629629629633E-3</v>
      </c>
      <c r="C59" s="11">
        <v>2.9745370370370373E-3</v>
      </c>
      <c r="D59" s="11">
        <f t="shared" ref="D59:D66" si="24">B59*E59</f>
        <v>5.7237268518518522E-3</v>
      </c>
      <c r="E59" s="12">
        <v>0.58179999999999998</v>
      </c>
      <c r="F59" s="11">
        <f t="shared" ref="F59:F66" si="25">C59/4</f>
        <v>7.4363425925925931E-4</v>
      </c>
      <c r="G59" s="11">
        <f t="shared" ref="G59:G66" si="26">D59/7.5</f>
        <v>7.6316358024691364E-4</v>
      </c>
      <c r="H59" s="11">
        <f t="shared" ref="H59:H66" si="27">B59/12.5</f>
        <v>7.8703703703703705E-4</v>
      </c>
      <c r="I59" s="11">
        <f t="shared" ref="I59:I66" si="28">G59/0.93</f>
        <v>8.2060600026549854E-4</v>
      </c>
      <c r="J59" s="11">
        <f t="shared" ref="J59:J66" si="29">G59/0.92</f>
        <v>8.29525630703167E-4</v>
      </c>
      <c r="K59" s="11">
        <f t="shared" ref="K59:K66" si="30">G59/0.88</f>
        <v>8.6723134118967459E-4</v>
      </c>
      <c r="L59" s="11">
        <f t="shared" ref="L59:L66" si="31">G59/0.84</f>
        <v>9.085280717225163E-4</v>
      </c>
      <c r="M59" s="25">
        <f>WO2025Jan7men1191517192325293133353941434547495557596365676971737577791317192123272933353943[[#This Row],[Thresh]]</f>
        <v>8.6723134118967459E-4</v>
      </c>
      <c r="N59" s="28">
        <f>WO2025Jan7men1191517192325293133353941434547495557596365676971737577791317192123272933353943[[#This Row],[Thresh]]*3</f>
        <v>2.6016940235690238E-3</v>
      </c>
      <c r="O59" s="25">
        <f>WO2025Jan7men1191517192325293133353941434547495557596365676971737577791317192123272933353943[[#This Row],[CV]]</f>
        <v>8.29525630703167E-4</v>
      </c>
      <c r="P59" s="28">
        <f>WO2025Jan7men1191517192325293133353941434547495557596365676971737577791317192123272933353943[[#This Row],[CV]]*3</f>
        <v>2.488576892109501E-3</v>
      </c>
      <c r="Q59" s="25">
        <f>WO2025Jan7men1191517192325293133353941434547495557596365676971737577791317192123272933353943[[#This Row],[I]]</f>
        <v>7.8703703703703705E-4</v>
      </c>
      <c r="R59" s="25">
        <f>WO2025Jan7men1191517192325293133353941434547495557596365676971737577791317192123272933353943[[#This Row],[I]]*1.5</f>
        <v>1.1805555555555556E-3</v>
      </c>
      <c r="S59" s="25">
        <f>WO2025Jan7men1191517192325293133353941434547495557596365676971737577791317192123272933353943[[#This Row],[Thresh]]*1.5</f>
        <v>1.3008470117845119E-3</v>
      </c>
      <c r="T59" s="25"/>
      <c r="U59" s="28"/>
      <c r="V59" s="25"/>
      <c r="W59" s="15" t="s">
        <v>26</v>
      </c>
      <c r="X59" s="52"/>
    </row>
    <row r="60" spans="1:24" ht="20.45" customHeight="1">
      <c r="A60" s="10" t="s">
        <v>109</v>
      </c>
      <c r="B60" s="11">
        <v>9.8379629629629633E-3</v>
      </c>
      <c r="C60" s="11">
        <v>2.9745370370370373E-3</v>
      </c>
      <c r="D60" s="11">
        <f t="shared" si="24"/>
        <v>5.7237268518518522E-3</v>
      </c>
      <c r="E60" s="12">
        <v>0.58179999999999998</v>
      </c>
      <c r="F60" s="11">
        <f t="shared" si="25"/>
        <v>7.4363425925925931E-4</v>
      </c>
      <c r="G60" s="11">
        <f t="shared" si="26"/>
        <v>7.6316358024691364E-4</v>
      </c>
      <c r="H60" s="11">
        <f t="shared" si="27"/>
        <v>7.8703703703703705E-4</v>
      </c>
      <c r="I60" s="11">
        <f t="shared" si="28"/>
        <v>8.2060600026549854E-4</v>
      </c>
      <c r="J60" s="11">
        <f t="shared" si="29"/>
        <v>8.29525630703167E-4</v>
      </c>
      <c r="K60" s="11">
        <f t="shared" si="30"/>
        <v>8.6723134118967459E-4</v>
      </c>
      <c r="L60" s="11">
        <f t="shared" si="31"/>
        <v>9.085280717225163E-4</v>
      </c>
      <c r="M60" s="25">
        <f>WO2025Jan7men1191517192325293133353941434547495557596365676971737577791317192123272933353943[[#This Row],[Thresh]]</f>
        <v>8.6723134118967459E-4</v>
      </c>
      <c r="N60" s="28">
        <f>WO2025Jan7men1191517192325293133353941434547495557596365676971737577791317192123272933353943[[#This Row],[Thresh]]*3</f>
        <v>2.6016940235690238E-3</v>
      </c>
      <c r="O60" s="25">
        <f>WO2025Jan7men1191517192325293133353941434547495557596365676971737577791317192123272933353943[[#This Row],[CV]]</f>
        <v>8.29525630703167E-4</v>
      </c>
      <c r="P60" s="28">
        <f>WO2025Jan7men1191517192325293133353941434547495557596365676971737577791317192123272933353943[[#This Row],[CV]]*3</f>
        <v>2.488576892109501E-3</v>
      </c>
      <c r="Q60" s="25">
        <f>WO2025Jan7men1191517192325293133353941434547495557596365676971737577791317192123272933353943[[#This Row],[I]]</f>
        <v>7.8703703703703705E-4</v>
      </c>
      <c r="R60" s="25">
        <f>WO2025Jan7men1191517192325293133353941434547495557596365676971737577791317192123272933353943[[#This Row],[I]]*1.5</f>
        <v>1.1805555555555556E-3</v>
      </c>
      <c r="S60" s="25">
        <f>WO2025Jan7men1191517192325293133353941434547495557596365676971737577791317192123272933353943[[#This Row],[Thresh]]*1.5</f>
        <v>1.3008470117845119E-3</v>
      </c>
      <c r="T60" s="25"/>
      <c r="U60" s="28"/>
      <c r="V60" s="25"/>
      <c r="W60" s="15" t="s">
        <v>26</v>
      </c>
      <c r="X60" s="52"/>
    </row>
    <row r="61" spans="1:24" ht="20.45" customHeight="1">
      <c r="A61" s="10" t="s">
        <v>80</v>
      </c>
      <c r="B61" s="11">
        <v>9.8379629629629633E-3</v>
      </c>
      <c r="C61" s="11">
        <v>2.8587962962962963E-3</v>
      </c>
      <c r="D61" s="11">
        <f t="shared" si="24"/>
        <v>5.7237268518518522E-3</v>
      </c>
      <c r="E61" s="12">
        <v>0.58179999999999998</v>
      </c>
      <c r="F61" s="11">
        <f t="shared" si="25"/>
        <v>7.1469907407407409E-4</v>
      </c>
      <c r="G61" s="11">
        <f t="shared" si="26"/>
        <v>7.6316358024691364E-4</v>
      </c>
      <c r="H61" s="11">
        <f t="shared" si="27"/>
        <v>7.8703703703703705E-4</v>
      </c>
      <c r="I61" s="11">
        <f t="shared" si="28"/>
        <v>8.2060600026549854E-4</v>
      </c>
      <c r="J61" s="11">
        <f t="shared" si="29"/>
        <v>8.29525630703167E-4</v>
      </c>
      <c r="K61" s="11">
        <f t="shared" si="30"/>
        <v>8.6723134118967459E-4</v>
      </c>
      <c r="L61" s="11">
        <f t="shared" si="31"/>
        <v>9.085280717225163E-4</v>
      </c>
      <c r="M61" s="25">
        <f>WO2025Jan7men1191517192325293133353941434547495557596365676971737577791317192123272933353943[[#This Row],[Thresh]]</f>
        <v>8.6723134118967459E-4</v>
      </c>
      <c r="N61" s="28">
        <f>WO2025Jan7men1191517192325293133353941434547495557596365676971737577791317192123272933353943[[#This Row],[Thresh]]*3</f>
        <v>2.6016940235690238E-3</v>
      </c>
      <c r="O61" s="25">
        <f>WO2025Jan7men1191517192325293133353941434547495557596365676971737577791317192123272933353943[[#This Row],[CV]]</f>
        <v>8.29525630703167E-4</v>
      </c>
      <c r="P61" s="28">
        <f>WO2025Jan7men1191517192325293133353941434547495557596365676971737577791317192123272933353943[[#This Row],[CV]]*3</f>
        <v>2.488576892109501E-3</v>
      </c>
      <c r="Q61" s="25">
        <f>WO2025Jan7men1191517192325293133353941434547495557596365676971737577791317192123272933353943[[#This Row],[I]]</f>
        <v>7.8703703703703705E-4</v>
      </c>
      <c r="R61" s="25">
        <f>WO2025Jan7men1191517192325293133353941434547495557596365676971737577791317192123272933353943[[#This Row],[I]]*1.5</f>
        <v>1.1805555555555556E-3</v>
      </c>
      <c r="S61" s="25">
        <f>WO2025Jan7men1191517192325293133353941434547495557596365676971737577791317192123272933353943[[#This Row],[Thresh]]*1.5</f>
        <v>1.3008470117845119E-3</v>
      </c>
      <c r="T61" s="25"/>
      <c r="U61" s="28"/>
      <c r="V61" s="25"/>
      <c r="W61" s="15" t="s">
        <v>26</v>
      </c>
      <c r="X61" s="52"/>
    </row>
    <row r="62" spans="1:24" ht="20.45" customHeight="1">
      <c r="A62" s="10" t="s">
        <v>81</v>
      </c>
      <c r="B62" s="11">
        <v>9.9537037037037042E-3</v>
      </c>
      <c r="C62" s="11">
        <v>2.9745370370370373E-3</v>
      </c>
      <c r="D62" s="11">
        <f t="shared" si="24"/>
        <v>5.7910648148148149E-3</v>
      </c>
      <c r="E62" s="12">
        <v>0.58179999999999998</v>
      </c>
      <c r="F62" s="11">
        <f t="shared" si="25"/>
        <v>7.4363425925925931E-4</v>
      </c>
      <c r="G62" s="11">
        <f t="shared" si="26"/>
        <v>7.7214197530864196E-4</v>
      </c>
      <c r="H62" s="11">
        <f t="shared" si="27"/>
        <v>7.9629629629629636E-4</v>
      </c>
      <c r="I62" s="11">
        <f t="shared" si="28"/>
        <v>8.3026018850391602E-4</v>
      </c>
      <c r="J62" s="11">
        <f t="shared" si="29"/>
        <v>8.3928475577026292E-4</v>
      </c>
      <c r="K62" s="11">
        <f t="shared" si="30"/>
        <v>8.7743406285072947E-4</v>
      </c>
      <c r="L62" s="11">
        <f t="shared" si="31"/>
        <v>9.1921663727219285E-4</v>
      </c>
      <c r="M62" s="25">
        <f>WO2025Jan7men1191517192325293133353941434547495557596365676971737577791317192123272933353943[[#This Row],[Thresh]]</f>
        <v>8.7743406285072947E-4</v>
      </c>
      <c r="N62" s="28">
        <f>WO2025Jan7men1191517192325293133353941434547495557596365676971737577791317192123272933353943[[#This Row],[Thresh]]*3</f>
        <v>2.6323021885521882E-3</v>
      </c>
      <c r="O62" s="25">
        <f>WO2025Jan7men1191517192325293133353941434547495557596365676971737577791317192123272933353943[[#This Row],[CV]]</f>
        <v>8.3928475577026292E-4</v>
      </c>
      <c r="P62" s="28">
        <f>WO2025Jan7men1191517192325293133353941434547495557596365676971737577791317192123272933353943[[#This Row],[CV]]*3</f>
        <v>2.5178542673107889E-3</v>
      </c>
      <c r="Q62" s="25">
        <f>WO2025Jan7men1191517192325293133353941434547495557596365676971737577791317192123272933353943[[#This Row],[I]]</f>
        <v>7.9629629629629636E-4</v>
      </c>
      <c r="R62" s="25">
        <f>WO2025Jan7men1191517192325293133353941434547495557596365676971737577791317192123272933353943[[#This Row],[I]]*1.5</f>
        <v>1.1944444444444446E-3</v>
      </c>
      <c r="S62" s="25">
        <f>WO2025Jan7men1191517192325293133353941434547495557596365676971737577791317192123272933353943[[#This Row],[Thresh]]*1.5</f>
        <v>1.3161510942760941E-3</v>
      </c>
      <c r="T62" s="25"/>
      <c r="U62" s="28"/>
      <c r="V62" s="25"/>
      <c r="W62" s="15" t="s">
        <v>26</v>
      </c>
      <c r="X62" s="52"/>
    </row>
    <row r="63" spans="1:24" ht="20.45" customHeight="1">
      <c r="A63" s="10" t="s">
        <v>82</v>
      </c>
      <c r="B63" s="11">
        <v>9.9537037037037042E-3</v>
      </c>
      <c r="C63" s="11">
        <v>2.8935185185185188E-3</v>
      </c>
      <c r="D63" s="11">
        <f t="shared" si="24"/>
        <v>5.7910648148148149E-3</v>
      </c>
      <c r="E63" s="12">
        <v>0.58179999999999998</v>
      </c>
      <c r="F63" s="11">
        <f t="shared" si="25"/>
        <v>7.233796296296297E-4</v>
      </c>
      <c r="G63" s="11">
        <f t="shared" si="26"/>
        <v>7.7214197530864196E-4</v>
      </c>
      <c r="H63" s="11">
        <f t="shared" si="27"/>
        <v>7.9629629629629636E-4</v>
      </c>
      <c r="I63" s="11">
        <f t="shared" si="28"/>
        <v>8.3026018850391602E-4</v>
      </c>
      <c r="J63" s="11">
        <f t="shared" si="29"/>
        <v>8.3928475577026292E-4</v>
      </c>
      <c r="K63" s="11">
        <f t="shared" si="30"/>
        <v>8.7743406285072947E-4</v>
      </c>
      <c r="L63" s="11">
        <f t="shared" si="31"/>
        <v>9.1921663727219285E-4</v>
      </c>
      <c r="M63" s="25">
        <f>WO2025Jan7men1191517192325293133353941434547495557596365676971737577791317192123272933353943[[#This Row],[Thresh]]</f>
        <v>8.7743406285072947E-4</v>
      </c>
      <c r="N63" s="28">
        <f>WO2025Jan7men1191517192325293133353941434547495557596365676971737577791317192123272933353943[[#This Row],[Thresh]]*3</f>
        <v>2.6323021885521882E-3</v>
      </c>
      <c r="O63" s="25">
        <f>WO2025Jan7men1191517192325293133353941434547495557596365676971737577791317192123272933353943[[#This Row],[CV]]</f>
        <v>8.3928475577026292E-4</v>
      </c>
      <c r="P63" s="28">
        <f>WO2025Jan7men1191517192325293133353941434547495557596365676971737577791317192123272933353943[[#This Row],[CV]]*3</f>
        <v>2.5178542673107889E-3</v>
      </c>
      <c r="Q63" s="25">
        <f>WO2025Jan7men1191517192325293133353941434547495557596365676971737577791317192123272933353943[[#This Row],[I]]</f>
        <v>7.9629629629629636E-4</v>
      </c>
      <c r="R63" s="25">
        <f>WO2025Jan7men1191517192325293133353941434547495557596365676971737577791317192123272933353943[[#This Row],[I]]*1.5</f>
        <v>1.1944444444444446E-3</v>
      </c>
      <c r="S63" s="25">
        <f>WO2025Jan7men1191517192325293133353941434547495557596365676971737577791317192123272933353943[[#This Row],[Thresh]]*1.5</f>
        <v>1.3161510942760941E-3</v>
      </c>
      <c r="T63" s="25"/>
      <c r="U63" s="28"/>
      <c r="V63" s="25"/>
      <c r="W63" s="15" t="s">
        <v>26</v>
      </c>
      <c r="X63" s="52"/>
    </row>
    <row r="64" spans="1:24" ht="20.45" customHeight="1">
      <c r="A64" s="10" t="s">
        <v>110</v>
      </c>
      <c r="B64" s="11">
        <v>1.0069444444444445E-2</v>
      </c>
      <c r="C64" s="11">
        <v>2.8935185185185184E-3</v>
      </c>
      <c r="D64" s="11">
        <f t="shared" si="24"/>
        <v>5.8584027777777783E-3</v>
      </c>
      <c r="E64" s="12">
        <v>0.58179999999999998</v>
      </c>
      <c r="F64" s="11">
        <f t="shared" si="25"/>
        <v>7.2337962962962959E-4</v>
      </c>
      <c r="G64" s="11">
        <f t="shared" si="26"/>
        <v>7.811203703703705E-4</v>
      </c>
      <c r="H64" s="11">
        <f t="shared" si="27"/>
        <v>8.0555555555555556E-4</v>
      </c>
      <c r="I64" s="11">
        <f t="shared" si="28"/>
        <v>8.3991437674233382E-4</v>
      </c>
      <c r="J64" s="11">
        <f t="shared" si="29"/>
        <v>8.4904388083735917E-4</v>
      </c>
      <c r="K64" s="11">
        <f t="shared" si="30"/>
        <v>8.8763678451178466E-4</v>
      </c>
      <c r="L64" s="11">
        <f t="shared" si="31"/>
        <v>9.2990520282186973E-4</v>
      </c>
      <c r="M64" s="25">
        <f>WO2025Jan7men1191517192325293133353941434547495557596365676971737577791317192123272933353943[[#This Row],[Thresh]]</f>
        <v>8.8763678451178466E-4</v>
      </c>
      <c r="N64" s="28">
        <f>WO2025Jan7men1191517192325293133353941434547495557596365676971737577791317192123272933353943[[#This Row],[Thresh]]*3</f>
        <v>2.6629103535353539E-3</v>
      </c>
      <c r="O64" s="25">
        <f>WO2025Jan7men1191517192325293133353941434547495557596365676971737577791317192123272933353943[[#This Row],[CV]]</f>
        <v>8.4904388083735917E-4</v>
      </c>
      <c r="P64" s="28">
        <f>WO2025Jan7men1191517192325293133353941434547495557596365676971737577791317192123272933353943[[#This Row],[CV]]*3</f>
        <v>2.5471316425120776E-3</v>
      </c>
      <c r="Q64" s="25">
        <f>WO2025Jan7men1191517192325293133353941434547495557596365676971737577791317192123272933353943[[#This Row],[I]]</f>
        <v>8.0555555555555556E-4</v>
      </c>
      <c r="R64" s="25">
        <f>WO2025Jan7men1191517192325293133353941434547495557596365676971737577791317192123272933353943[[#This Row],[I]]*1.5</f>
        <v>1.2083333333333334E-3</v>
      </c>
      <c r="S64" s="25">
        <f>WO2025Jan7men1191517192325293133353941434547495557596365676971737577791317192123272933353943[[#This Row],[Thresh]]*1.5</f>
        <v>1.3314551767676769E-3</v>
      </c>
      <c r="T64" s="25"/>
      <c r="U64" s="28"/>
      <c r="V64" s="25"/>
      <c r="W64" s="15" t="s">
        <v>26</v>
      </c>
      <c r="X64" s="52"/>
    </row>
    <row r="65" spans="1:24" ht="20.45" customHeight="1">
      <c r="A65" s="10" t="s">
        <v>83</v>
      </c>
      <c r="B65" s="11">
        <v>1.0069444444444445E-2</v>
      </c>
      <c r="C65" s="11">
        <v>3.0671296296296297E-3</v>
      </c>
      <c r="D65" s="11">
        <f t="shared" si="24"/>
        <v>5.8584027777777783E-3</v>
      </c>
      <c r="E65" s="12">
        <v>0.58179999999999998</v>
      </c>
      <c r="F65" s="11">
        <f t="shared" si="25"/>
        <v>7.6678240740740743E-4</v>
      </c>
      <c r="G65" s="11">
        <f t="shared" si="26"/>
        <v>7.811203703703705E-4</v>
      </c>
      <c r="H65" s="11">
        <f t="shared" si="27"/>
        <v>8.0555555555555556E-4</v>
      </c>
      <c r="I65" s="11">
        <f t="shared" si="28"/>
        <v>8.3991437674233382E-4</v>
      </c>
      <c r="J65" s="11">
        <f t="shared" si="29"/>
        <v>8.4904388083735917E-4</v>
      </c>
      <c r="K65" s="11">
        <f t="shared" si="30"/>
        <v>8.8763678451178466E-4</v>
      </c>
      <c r="L65" s="11">
        <f t="shared" si="31"/>
        <v>9.2990520282186973E-4</v>
      </c>
      <c r="M65" s="25">
        <f>WO2025Jan7men1191517192325293133353941434547495557596365676971737577791317192123272933353943[[#This Row],[Thresh]]</f>
        <v>8.8763678451178466E-4</v>
      </c>
      <c r="N65" s="28">
        <f>WO2025Jan7men1191517192325293133353941434547495557596365676971737577791317192123272933353943[[#This Row],[Thresh]]*3</f>
        <v>2.6629103535353539E-3</v>
      </c>
      <c r="O65" s="25">
        <f>WO2025Jan7men1191517192325293133353941434547495557596365676971737577791317192123272933353943[[#This Row],[CV]]</f>
        <v>8.4904388083735917E-4</v>
      </c>
      <c r="P65" s="28">
        <f>WO2025Jan7men1191517192325293133353941434547495557596365676971737577791317192123272933353943[[#This Row],[CV]]*3</f>
        <v>2.5471316425120776E-3</v>
      </c>
      <c r="Q65" s="25">
        <f>WO2025Jan7men1191517192325293133353941434547495557596365676971737577791317192123272933353943[[#This Row],[I]]</f>
        <v>8.0555555555555556E-4</v>
      </c>
      <c r="R65" s="25">
        <f>WO2025Jan7men1191517192325293133353941434547495557596365676971737577791317192123272933353943[[#This Row],[I]]*1.5</f>
        <v>1.2083333333333334E-3</v>
      </c>
      <c r="S65" s="25">
        <f>WO2025Jan7men1191517192325293133353941434547495557596365676971737577791317192123272933353943[[#This Row],[Thresh]]*1.5</f>
        <v>1.3314551767676769E-3</v>
      </c>
      <c r="T65" s="25"/>
      <c r="U65" s="28"/>
      <c r="V65" s="25"/>
      <c r="W65" s="15" t="s">
        <v>26</v>
      </c>
      <c r="X65" s="52"/>
    </row>
    <row r="66" spans="1:24" ht="20.45" customHeight="1">
      <c r="A66" s="10" t="s">
        <v>111</v>
      </c>
      <c r="B66" s="11">
        <v>1.0069444444444445E-2</v>
      </c>
      <c r="C66" s="11">
        <v>3.0092592592592588E-3</v>
      </c>
      <c r="D66" s="11">
        <f t="shared" si="24"/>
        <v>5.8584027777777783E-3</v>
      </c>
      <c r="E66" s="12">
        <v>0.58179999999999998</v>
      </c>
      <c r="F66" s="11">
        <f t="shared" si="25"/>
        <v>7.5231481481481471E-4</v>
      </c>
      <c r="G66" s="11">
        <f t="shared" si="26"/>
        <v>7.811203703703705E-4</v>
      </c>
      <c r="H66" s="11">
        <f t="shared" si="27"/>
        <v>8.0555555555555556E-4</v>
      </c>
      <c r="I66" s="11">
        <f t="shared" si="28"/>
        <v>8.3991437674233382E-4</v>
      </c>
      <c r="J66" s="11">
        <f t="shared" si="29"/>
        <v>8.4904388083735917E-4</v>
      </c>
      <c r="K66" s="11">
        <f t="shared" si="30"/>
        <v>8.8763678451178466E-4</v>
      </c>
      <c r="L66" s="11">
        <f t="shared" si="31"/>
        <v>9.2990520282186973E-4</v>
      </c>
      <c r="M66" s="25">
        <f>WO2025Jan7men1191517192325293133353941434547495557596365676971737577791317192123272933353943[[#This Row],[Thresh]]</f>
        <v>8.8763678451178466E-4</v>
      </c>
      <c r="N66" s="28">
        <f>WO2025Jan7men1191517192325293133353941434547495557596365676971737577791317192123272933353943[[#This Row],[Thresh]]*3</f>
        <v>2.6629103535353539E-3</v>
      </c>
      <c r="O66" s="25">
        <f>WO2025Jan7men1191517192325293133353941434547495557596365676971737577791317192123272933353943[[#This Row],[CV]]</f>
        <v>8.4904388083735917E-4</v>
      </c>
      <c r="P66" s="28">
        <f>WO2025Jan7men1191517192325293133353941434547495557596365676971737577791317192123272933353943[[#This Row],[CV]]*3</f>
        <v>2.5471316425120776E-3</v>
      </c>
      <c r="Q66" s="25">
        <f>WO2025Jan7men1191517192325293133353941434547495557596365676971737577791317192123272933353943[[#This Row],[I]]</f>
        <v>8.0555555555555556E-4</v>
      </c>
      <c r="R66" s="25">
        <f>WO2025Jan7men1191517192325293133353941434547495557596365676971737577791317192123272933353943[[#This Row],[I]]*1.5</f>
        <v>1.2083333333333334E-3</v>
      </c>
      <c r="S66" s="25">
        <f>WO2025Jan7men1191517192325293133353941434547495557596365676971737577791317192123272933353943[[#This Row],[Thresh]]*1.5</f>
        <v>1.3314551767676769E-3</v>
      </c>
      <c r="T66" s="25"/>
      <c r="U66" s="28"/>
      <c r="V66" s="25"/>
      <c r="W66" s="15" t="s">
        <v>26</v>
      </c>
      <c r="X66" s="52"/>
    </row>
    <row r="67" spans="1:24" ht="20.45" customHeight="1">
      <c r="A67" s="10"/>
      <c r="B67" s="11"/>
      <c r="C67" s="11"/>
      <c r="D67" s="11"/>
      <c r="E67" s="12"/>
      <c r="F67" s="11"/>
      <c r="G67" s="11"/>
      <c r="H67" s="11"/>
      <c r="I67" s="11"/>
      <c r="J67" s="11"/>
      <c r="K67" s="11"/>
      <c r="L67" s="11"/>
      <c r="M67" s="25"/>
      <c r="N67" s="28"/>
      <c r="O67" s="25"/>
      <c r="P67" s="25"/>
      <c r="Q67" s="25"/>
      <c r="R67" s="28"/>
      <c r="S67" s="25"/>
      <c r="T67" s="25"/>
      <c r="U67" s="28"/>
      <c r="V67" s="25"/>
      <c r="W67" s="15"/>
      <c r="X67" s="52"/>
    </row>
    <row r="68" spans="1:24" ht="20.45" customHeight="1">
      <c r="A68" s="19"/>
      <c r="B68" s="6"/>
      <c r="C68" s="6"/>
      <c r="D68" s="6"/>
      <c r="E68" s="20"/>
      <c r="F68" s="6"/>
      <c r="G68" s="6"/>
      <c r="H68" s="6"/>
      <c r="I68" s="6"/>
      <c r="J68" s="6"/>
      <c r="K68" s="6"/>
      <c r="L68" s="6"/>
      <c r="M68" s="6" t="s">
        <v>12</v>
      </c>
      <c r="N68" s="6" t="s">
        <v>13</v>
      </c>
      <c r="O68" s="6" t="s">
        <v>14</v>
      </c>
      <c r="P68" s="6" t="s">
        <v>15</v>
      </c>
      <c r="Q68" s="6" t="s">
        <v>158</v>
      </c>
      <c r="R68" s="6" t="s">
        <v>161</v>
      </c>
      <c r="S68" s="6" t="s">
        <v>177</v>
      </c>
      <c r="T68" s="6" t="s">
        <v>32</v>
      </c>
      <c r="U68" s="6"/>
      <c r="V68" s="23"/>
      <c r="W68" s="35"/>
      <c r="X68" s="52" t="s">
        <v>182</v>
      </c>
    </row>
    <row r="69" spans="1:24" ht="20.45" customHeight="1">
      <c r="A69" s="10" t="s">
        <v>94</v>
      </c>
      <c r="B69" s="11">
        <v>1.0416666666666666E-2</v>
      </c>
      <c r="C69" s="11">
        <v>2.8935185185185188E-3</v>
      </c>
      <c r="D69" s="11">
        <f>B69*E69</f>
        <v>6.0604166666666662E-3</v>
      </c>
      <c r="E69" s="12">
        <v>0.58179999999999998</v>
      </c>
      <c r="F69" s="11">
        <f>C69/4</f>
        <v>7.233796296296297E-4</v>
      </c>
      <c r="G69" s="11">
        <f>D69/7.5</f>
        <v>8.0805555555555546E-4</v>
      </c>
      <c r="H69" s="11">
        <f>B69/12.5</f>
        <v>8.3333333333333328E-4</v>
      </c>
      <c r="I69" s="11">
        <f>G69/0.93</f>
        <v>8.6887694145758646E-4</v>
      </c>
      <c r="J69" s="11">
        <f>G69/0.92</f>
        <v>8.7832125603864715E-4</v>
      </c>
      <c r="K69" s="11">
        <f>G69/0.88</f>
        <v>9.1824494949494938E-4</v>
      </c>
      <c r="L69" s="17">
        <f>G69/0.84</f>
        <v>9.6197089947089938E-4</v>
      </c>
      <c r="M69" s="25">
        <f>WO2025Jan7men1191517192325293133353941434547495557596365676971737577791317192123272933353943[[#This Row],[Thresh]]</f>
        <v>9.1824494949494938E-4</v>
      </c>
      <c r="N69" s="28">
        <f>WO2025Jan7men1191517192325293133353941434547495557596365676971737577791317192123272933353943[[#This Row],[Thresh]]*2.5</f>
        <v>2.2956123737373733E-3</v>
      </c>
      <c r="O69" s="25">
        <f>WO2025Jan7men1191517192325293133353941434547495557596365676971737577791317192123272933353943[[#This Row],[CV]]</f>
        <v>8.7832125603864715E-4</v>
      </c>
      <c r="P69" s="28">
        <f>WO2025Jan7men1191517192325293133353941434547495557596365676971737577791317192123272933353943[[#This Row],[CV]]*1.5</f>
        <v>1.3174818840579706E-3</v>
      </c>
      <c r="Q69" s="25">
        <f>WO2025Jan7men1191517192325293133353941434547495557596365676971737577791317192123272933353943[[#This Row],[VO2]]</f>
        <v>8.0805555555555546E-4</v>
      </c>
      <c r="R69" s="28">
        <f>WO2025Jan7men1191517192325293133353941434547495557596365676971737577791317192123272933353943[[#This Row],[CV]]*2.5</f>
        <v>2.195803140096618E-3</v>
      </c>
      <c r="S69" s="25">
        <f>WO2025Jan7men1191517192325293133353941434547495557596365676971737577791317192123272933353943[[#This Row],[VO2]]*1.5</f>
        <v>1.2120833333333332E-3</v>
      </c>
      <c r="T69" s="25">
        <f>WO2025Jan7men1191517192325293133353941434547495557596365676971737577791317192123272933353943[[#This Row],[R]]</f>
        <v>7.233796296296297E-4</v>
      </c>
      <c r="U69" s="28"/>
      <c r="V69" s="25"/>
      <c r="W69" s="15" t="s">
        <v>48</v>
      </c>
      <c r="X69" s="52"/>
    </row>
    <row r="70" spans="1:24" ht="20.45" customHeight="1">
      <c r="A70" s="10" t="s">
        <v>115</v>
      </c>
      <c r="B70" s="11">
        <v>1.0532407407407407E-2</v>
      </c>
      <c r="C70" s="11">
        <v>2.9513888888888888E-3</v>
      </c>
      <c r="D70" s="11">
        <f>B70*E70</f>
        <v>6.1277546296296288E-3</v>
      </c>
      <c r="E70" s="12">
        <v>0.58179999999999998</v>
      </c>
      <c r="F70" s="11">
        <f>C70/4</f>
        <v>7.378472222222222E-4</v>
      </c>
      <c r="G70" s="11">
        <f>D70/7.5</f>
        <v>8.1703395061728389E-4</v>
      </c>
      <c r="H70" s="11">
        <f>B70/12.5</f>
        <v>8.4259259259259259E-4</v>
      </c>
      <c r="I70" s="11">
        <f>G70/0.93</f>
        <v>8.7853112969600415E-4</v>
      </c>
      <c r="J70" s="11">
        <f>G70/0.92</f>
        <v>8.8808038110574329E-4</v>
      </c>
      <c r="K70" s="11">
        <f>G70/0.88</f>
        <v>9.2844767115600447E-4</v>
      </c>
      <c r="L70" s="11">
        <f>G70/0.84</f>
        <v>9.7265946502057604E-4</v>
      </c>
      <c r="M70" s="25">
        <f>WO2025Jan7men1191517192325293133353941434547495557596365676971737577791317192123272933353943[[#This Row],[Thresh]]</f>
        <v>9.2844767115600447E-4</v>
      </c>
      <c r="N70" s="28">
        <f>WO2025Jan7men1191517192325293133353941434547495557596365676971737577791317192123272933353943[[#This Row],[Thresh]]*2.5</f>
        <v>2.3211191778900113E-3</v>
      </c>
      <c r="O70" s="25">
        <f>WO2025Jan7men1191517192325293133353941434547495557596365676971737577791317192123272933353943[[#This Row],[CV]]</f>
        <v>8.8808038110574329E-4</v>
      </c>
      <c r="P70" s="28">
        <f>WO2025Jan7men1191517192325293133353941434547495557596365676971737577791317192123272933353943[[#This Row],[CV]]*1.5</f>
        <v>1.332120571658615E-3</v>
      </c>
      <c r="Q70" s="25">
        <f>WO2025Jan7men1191517192325293133353941434547495557596365676971737577791317192123272933353943[[#This Row],[VO2]]</f>
        <v>8.1703395061728389E-4</v>
      </c>
      <c r="R70" s="28">
        <f>WO2025Jan7men1191517192325293133353941434547495557596365676971737577791317192123272933353943[[#This Row],[CV]]*2.5</f>
        <v>2.2202009527643582E-3</v>
      </c>
      <c r="S70" s="25">
        <f>WO2025Jan7men1191517192325293133353941434547495557596365676971737577791317192123272933353943[[#This Row],[VO2]]*1.5</f>
        <v>1.2255509259259259E-3</v>
      </c>
      <c r="T70" s="25">
        <f>WO2025Jan7men1191517192325293133353941434547495557596365676971737577791317192123272933353943[[#This Row],[R]]</f>
        <v>7.378472222222222E-4</v>
      </c>
      <c r="U70" s="28"/>
      <c r="V70" s="25"/>
      <c r="W70" s="15" t="s">
        <v>48</v>
      </c>
      <c r="X70" s="52"/>
    </row>
    <row r="71" spans="1:24" ht="20.45" customHeight="1">
      <c r="A71" s="10" t="s">
        <v>96</v>
      </c>
      <c r="B71" s="11">
        <v>1.0648148148148148E-2</v>
      </c>
      <c r="C71" s="11">
        <v>2.9513888888888888E-3</v>
      </c>
      <c r="D71" s="11">
        <f>B71*E71</f>
        <v>6.1950925925925923E-3</v>
      </c>
      <c r="E71" s="12">
        <v>0.58179999999999998</v>
      </c>
      <c r="F71" s="11">
        <f>C71/4</f>
        <v>7.378472222222222E-4</v>
      </c>
      <c r="G71" s="11">
        <f>D71/7.5</f>
        <v>8.2601234567901232E-4</v>
      </c>
      <c r="H71" s="11">
        <f>B71/12.5</f>
        <v>8.5185185185185179E-4</v>
      </c>
      <c r="I71" s="11">
        <f>G71/0.93</f>
        <v>8.8818531793442184E-4</v>
      </c>
      <c r="J71" s="11">
        <f>G71/0.92</f>
        <v>8.9783950617283942E-4</v>
      </c>
      <c r="K71" s="11">
        <f>G71/0.88</f>
        <v>9.3865039281705945E-4</v>
      </c>
      <c r="L71" s="17">
        <f>G71/0.84</f>
        <v>9.833480305702527E-4</v>
      </c>
      <c r="M71" s="25">
        <f>WO2025Jan7men1191517192325293133353941434547495557596365676971737577791317192123272933353943[[#This Row],[Thresh]]</f>
        <v>9.3865039281705945E-4</v>
      </c>
      <c r="N71" s="28">
        <f>WO2025Jan7men1191517192325293133353941434547495557596365676971737577791317192123272933353943[[#This Row],[Thresh]]*2.5</f>
        <v>2.3466259820426488E-3</v>
      </c>
      <c r="O71" s="25">
        <f>WO2025Jan7men1191517192325293133353941434547495557596365676971737577791317192123272933353943[[#This Row],[CV]]</f>
        <v>8.9783950617283942E-4</v>
      </c>
      <c r="P71" s="28">
        <f>WO2025Jan7men1191517192325293133353941434547495557596365676971737577791317192123272933353943[[#This Row],[CV]]*1.5</f>
        <v>1.3467592592592591E-3</v>
      </c>
      <c r="Q71" s="25">
        <f>WO2025Jan7men1191517192325293133353941434547495557596365676971737577791317192123272933353943[[#This Row],[VO2]]</f>
        <v>8.2601234567901232E-4</v>
      </c>
      <c r="R71" s="28">
        <f>WO2025Jan7men1191517192325293133353941434547495557596365676971737577791317192123272933353943[[#This Row],[CV]]*2.5</f>
        <v>2.2445987654320983E-3</v>
      </c>
      <c r="S71" s="25">
        <f>WO2025Jan7men1191517192325293133353941434547495557596365676971737577791317192123272933353943[[#This Row],[VO2]]*1.5</f>
        <v>1.2390185185185184E-3</v>
      </c>
      <c r="T71" s="25">
        <f>WO2025Jan7men1191517192325293133353941434547495557596365676971737577791317192123272933353943[[#This Row],[R]]</f>
        <v>7.378472222222222E-4</v>
      </c>
      <c r="U71" s="28"/>
      <c r="V71" s="25"/>
      <c r="W71" s="15" t="s">
        <v>48</v>
      </c>
      <c r="X71" s="52"/>
    </row>
    <row r="72" spans="1:24" ht="20.45" customHeight="1">
      <c r="A72" s="10" t="s">
        <v>97</v>
      </c>
      <c r="B72" s="11">
        <v>1.0763888888888889E-2</v>
      </c>
      <c r="C72" s="11">
        <v>2.9513888888888888E-3</v>
      </c>
      <c r="D72" s="11">
        <f t="shared" ref="D72:D79" si="32">B72*E72</f>
        <v>6.2624305555555549E-3</v>
      </c>
      <c r="E72" s="12">
        <v>0.58179999999999998</v>
      </c>
      <c r="F72" s="11">
        <f t="shared" ref="F72:F79" si="33">C72/4</f>
        <v>7.378472222222222E-4</v>
      </c>
      <c r="G72" s="11">
        <f t="shared" ref="G72:G79" si="34">D72/7.5</f>
        <v>8.3499074074074064E-4</v>
      </c>
      <c r="H72" s="11">
        <f t="shared" ref="H72:H79" si="35">B72/12.5</f>
        <v>8.611111111111111E-4</v>
      </c>
      <c r="I72" s="11">
        <f t="shared" ref="I72:I79" si="36">G72/0.93</f>
        <v>8.9783950617283931E-4</v>
      </c>
      <c r="J72" s="11">
        <f t="shared" ref="J72:J79" si="37">G72/0.92</f>
        <v>9.0759863123993545E-4</v>
      </c>
      <c r="K72" s="11">
        <f t="shared" ref="K72:K79" si="38">G72/0.88</f>
        <v>9.4885311447811432E-4</v>
      </c>
      <c r="L72" s="11">
        <f t="shared" ref="L72:L79" si="39">G72/0.84</f>
        <v>9.9403659611992947E-4</v>
      </c>
      <c r="M72" s="25">
        <f>WO2025Jan7men1191517192325293133353941434547495557596365676971737577791317192123272933353943[[#This Row],[Thresh]]</f>
        <v>9.4885311447811432E-4</v>
      </c>
      <c r="N72" s="28">
        <f>WO2025Jan7men1191517192325293133353941434547495557596365676971737577791317192123272933353943[[#This Row],[Thresh]]*2.5</f>
        <v>2.3721327861952858E-3</v>
      </c>
      <c r="O72" s="25">
        <f>WO2025Jan7men1191517192325293133353941434547495557596365676971737577791317192123272933353943[[#This Row],[CV]]</f>
        <v>9.0759863123993545E-4</v>
      </c>
      <c r="P72" s="28">
        <f>WO2025Jan7men1191517192325293133353941434547495557596365676971737577791317192123272933353943[[#This Row],[CV]]*1.5</f>
        <v>1.3613979468599033E-3</v>
      </c>
      <c r="Q72" s="25">
        <f>WO2025Jan7men1191517192325293133353941434547495557596365676971737577791317192123272933353943[[#This Row],[VO2]]</f>
        <v>8.3499074074074064E-4</v>
      </c>
      <c r="R72" s="28">
        <f>WO2025Jan7men1191517192325293133353941434547495557596365676971737577791317192123272933353943[[#This Row],[CV]]*2.5</f>
        <v>2.2689965780998385E-3</v>
      </c>
      <c r="S72" s="25">
        <f>WO2025Jan7men1191517192325293133353941434547495557596365676971737577791317192123272933353943[[#This Row],[VO2]]*1.5</f>
        <v>1.2524861111111109E-3</v>
      </c>
      <c r="T72" s="25">
        <f>WO2025Jan7men1191517192325293133353941434547495557596365676971737577791317192123272933353943[[#This Row],[R]]</f>
        <v>7.378472222222222E-4</v>
      </c>
      <c r="U72" s="28"/>
      <c r="V72" s="25"/>
      <c r="W72" s="15" t="s">
        <v>48</v>
      </c>
      <c r="X72" s="52"/>
    </row>
    <row r="73" spans="1:24" ht="20.45" customHeight="1">
      <c r="A73" s="10" t="s">
        <v>100</v>
      </c>
      <c r="B73" s="11">
        <v>1.0763888888888889E-2</v>
      </c>
      <c r="C73" s="11">
        <v>3.0671296296296297E-3</v>
      </c>
      <c r="D73" s="11">
        <f>B73*E73</f>
        <v>6.2624305555555549E-3</v>
      </c>
      <c r="E73" s="12">
        <v>0.58179999999999998</v>
      </c>
      <c r="F73" s="11">
        <f>C73/4</f>
        <v>7.6678240740740743E-4</v>
      </c>
      <c r="G73" s="11">
        <f>D73/7.5</f>
        <v>8.3499074074074064E-4</v>
      </c>
      <c r="H73" s="11">
        <f>B73/12.5</f>
        <v>8.611111111111111E-4</v>
      </c>
      <c r="I73" s="11">
        <f>G73/0.93</f>
        <v>8.9783950617283931E-4</v>
      </c>
      <c r="J73" s="11">
        <f>G73/0.92</f>
        <v>9.0759863123993545E-4</v>
      </c>
      <c r="K73" s="11">
        <f>G73/0.88</f>
        <v>9.4885311447811432E-4</v>
      </c>
      <c r="L73" s="17">
        <f>G73/0.84</f>
        <v>9.9403659611992947E-4</v>
      </c>
      <c r="M73" s="25">
        <f>WO2025Jan7men1191517192325293133353941434547495557596365676971737577791317192123272933353943[[#This Row],[Thresh]]</f>
        <v>9.4885311447811432E-4</v>
      </c>
      <c r="N73" s="28">
        <f>WO2025Jan7men1191517192325293133353941434547495557596365676971737577791317192123272933353943[[#This Row],[Thresh]]*2.5</f>
        <v>2.3721327861952858E-3</v>
      </c>
      <c r="O73" s="25">
        <f>WO2025Jan7men1191517192325293133353941434547495557596365676971737577791317192123272933353943[[#This Row],[CV]]</f>
        <v>9.0759863123993545E-4</v>
      </c>
      <c r="P73" s="28">
        <f>WO2025Jan7men1191517192325293133353941434547495557596365676971737577791317192123272933353943[[#This Row],[CV]]*1.5</f>
        <v>1.3613979468599033E-3</v>
      </c>
      <c r="Q73" s="25">
        <f>WO2025Jan7men1191517192325293133353941434547495557596365676971737577791317192123272933353943[[#This Row],[VO2]]</f>
        <v>8.3499074074074064E-4</v>
      </c>
      <c r="R73" s="28">
        <f>WO2025Jan7men1191517192325293133353941434547495557596365676971737577791317192123272933353943[[#This Row],[CV]]*2.5</f>
        <v>2.2689965780998385E-3</v>
      </c>
      <c r="S73" s="25">
        <f>WO2025Jan7men1191517192325293133353941434547495557596365676971737577791317192123272933353943[[#This Row],[VO2]]*1.5</f>
        <v>1.2524861111111109E-3</v>
      </c>
      <c r="T73" s="25">
        <f>WO2025Jan7men1191517192325293133353941434547495557596365676971737577791317192123272933353943[[#This Row],[R]]</f>
        <v>7.6678240740740743E-4</v>
      </c>
      <c r="U73" s="28"/>
      <c r="V73" s="25"/>
      <c r="W73" s="15" t="s">
        <v>48</v>
      </c>
      <c r="X73" s="52"/>
    </row>
    <row r="74" spans="1:24" ht="20.45" customHeight="1">
      <c r="A74" s="10" t="s">
        <v>101</v>
      </c>
      <c r="B74" s="11">
        <v>1.1111111111111112E-2</v>
      </c>
      <c r="C74" s="11">
        <v>3.0671296296296297E-3</v>
      </c>
      <c r="D74" s="11">
        <f t="shared" si="32"/>
        <v>6.4644444444444445E-3</v>
      </c>
      <c r="E74" s="12">
        <v>0.58179999999999998</v>
      </c>
      <c r="F74" s="11">
        <f t="shared" si="33"/>
        <v>7.6678240740740743E-4</v>
      </c>
      <c r="G74" s="11">
        <f t="shared" si="34"/>
        <v>8.6192592592592592E-4</v>
      </c>
      <c r="H74" s="11">
        <f t="shared" si="35"/>
        <v>8.8888888888888893E-4</v>
      </c>
      <c r="I74" s="11">
        <f t="shared" si="36"/>
        <v>9.2680207088809239E-4</v>
      </c>
      <c r="J74" s="11">
        <f t="shared" si="37"/>
        <v>9.3687600644122375E-4</v>
      </c>
      <c r="K74" s="11">
        <f t="shared" si="38"/>
        <v>9.7946127946127947E-4</v>
      </c>
      <c r="L74" s="11">
        <f t="shared" si="39"/>
        <v>1.0261022927689596E-3</v>
      </c>
      <c r="M74" s="25">
        <f>WO2025Jan7men1191517192325293133353941434547495557596365676971737577791317192123272933353943[[#This Row],[Thresh]]</f>
        <v>9.7946127946127947E-4</v>
      </c>
      <c r="N74" s="28">
        <f>WO2025Jan7men1191517192325293133353941434547495557596365676971737577791317192123272933353943[[#This Row],[Thresh]]*2.5</f>
        <v>2.4486531986531988E-3</v>
      </c>
      <c r="O74" s="25">
        <f>WO2025Jan7men1191517192325293133353941434547495557596365676971737577791317192123272933353943[[#This Row],[CV]]</f>
        <v>9.3687600644122375E-4</v>
      </c>
      <c r="P74" s="28">
        <f>WO2025Jan7men1191517192325293133353941434547495557596365676971737577791317192123272933353943[[#This Row],[CV]]*1.5</f>
        <v>1.4053140096618355E-3</v>
      </c>
      <c r="Q74" s="25">
        <f>WO2025Jan7men1191517192325293133353941434547495557596365676971737577791317192123272933353943[[#This Row],[VO2]]</f>
        <v>8.6192592592592592E-4</v>
      </c>
      <c r="R74" s="28">
        <f>WO2025Jan7men1191517192325293133353941434547495557596365676971737577791317192123272933353943[[#This Row],[CV]]*2.5</f>
        <v>2.3421900161030595E-3</v>
      </c>
      <c r="S74" s="25">
        <f>WO2025Jan7men1191517192325293133353941434547495557596365676971737577791317192123272933353943[[#This Row],[VO2]]*1.5</f>
        <v>1.292888888888889E-3</v>
      </c>
      <c r="T74" s="25">
        <f>WO2025Jan7men1191517192325293133353941434547495557596365676971737577791317192123272933353943[[#This Row],[R]]</f>
        <v>7.6678240740740743E-4</v>
      </c>
      <c r="U74" s="28"/>
      <c r="V74" s="25"/>
      <c r="W74" s="15" t="s">
        <v>48</v>
      </c>
      <c r="X74" s="52"/>
    </row>
    <row r="75" spans="1:24" ht="20.45" customHeight="1">
      <c r="A75" s="10" t="s">
        <v>98</v>
      </c>
      <c r="B75" s="11">
        <v>1.1111111111111112E-2</v>
      </c>
      <c r="C75" s="11">
        <v>3.0671296296296297E-3</v>
      </c>
      <c r="D75" s="11">
        <f t="shared" si="32"/>
        <v>6.4644444444444445E-3</v>
      </c>
      <c r="E75" s="12">
        <v>0.58179999999999998</v>
      </c>
      <c r="F75" s="11">
        <f t="shared" si="33"/>
        <v>7.6678240740740743E-4</v>
      </c>
      <c r="G75" s="11">
        <f t="shared" si="34"/>
        <v>8.6192592592592592E-4</v>
      </c>
      <c r="H75" s="11">
        <f t="shared" si="35"/>
        <v>8.8888888888888893E-4</v>
      </c>
      <c r="I75" s="11">
        <f t="shared" si="36"/>
        <v>9.2680207088809239E-4</v>
      </c>
      <c r="J75" s="11">
        <f t="shared" si="37"/>
        <v>9.3687600644122375E-4</v>
      </c>
      <c r="K75" s="11">
        <f t="shared" si="38"/>
        <v>9.7946127946127947E-4</v>
      </c>
      <c r="L75" s="11">
        <f t="shared" si="39"/>
        <v>1.0261022927689596E-3</v>
      </c>
      <c r="M75" s="25">
        <f>WO2025Jan7men1191517192325293133353941434547495557596365676971737577791317192123272933353943[[#This Row],[Thresh]]</f>
        <v>9.7946127946127947E-4</v>
      </c>
      <c r="N75" s="28">
        <f>WO2025Jan7men1191517192325293133353941434547495557596365676971737577791317192123272933353943[[#This Row],[Thresh]]*2.5</f>
        <v>2.4486531986531988E-3</v>
      </c>
      <c r="O75" s="25">
        <f>WO2025Jan7men1191517192325293133353941434547495557596365676971737577791317192123272933353943[[#This Row],[CV]]</f>
        <v>9.3687600644122375E-4</v>
      </c>
      <c r="P75" s="28">
        <f>WO2025Jan7men1191517192325293133353941434547495557596365676971737577791317192123272933353943[[#This Row],[CV]]*1.5</f>
        <v>1.4053140096618355E-3</v>
      </c>
      <c r="Q75" s="25">
        <f>WO2025Jan7men1191517192325293133353941434547495557596365676971737577791317192123272933353943[[#This Row],[VO2]]</f>
        <v>8.6192592592592592E-4</v>
      </c>
      <c r="R75" s="28">
        <f>WO2025Jan7men1191517192325293133353941434547495557596365676971737577791317192123272933353943[[#This Row],[CV]]*2.5</f>
        <v>2.3421900161030595E-3</v>
      </c>
      <c r="S75" s="25">
        <f>WO2025Jan7men1191517192325293133353941434547495557596365676971737577791317192123272933353943[[#This Row],[VO2]]*1.5</f>
        <v>1.292888888888889E-3</v>
      </c>
      <c r="T75" s="25">
        <f>WO2025Jan7men1191517192325293133353941434547495557596365676971737577791317192123272933353943[[#This Row],[R]]</f>
        <v>7.6678240740740743E-4</v>
      </c>
      <c r="U75" s="28"/>
      <c r="V75" s="25"/>
      <c r="W75" s="27" t="s">
        <v>48</v>
      </c>
      <c r="X75" s="52"/>
    </row>
    <row r="76" spans="1:24" ht="20.45" customHeight="1">
      <c r="A76" s="10" t="s">
        <v>103</v>
      </c>
      <c r="B76" s="11">
        <v>1.1111111111111112E-2</v>
      </c>
      <c r="C76" s="11">
        <v>3.0671296296296297E-3</v>
      </c>
      <c r="D76" s="11">
        <f t="shared" si="32"/>
        <v>6.4644444444444445E-3</v>
      </c>
      <c r="E76" s="12">
        <v>0.58179999999999998</v>
      </c>
      <c r="F76" s="11">
        <f t="shared" si="33"/>
        <v>7.6678240740740743E-4</v>
      </c>
      <c r="G76" s="11">
        <f t="shared" si="34"/>
        <v>8.6192592592592592E-4</v>
      </c>
      <c r="H76" s="11">
        <f t="shared" si="35"/>
        <v>8.8888888888888893E-4</v>
      </c>
      <c r="I76" s="11">
        <f t="shared" si="36"/>
        <v>9.2680207088809239E-4</v>
      </c>
      <c r="J76" s="11">
        <f t="shared" si="37"/>
        <v>9.3687600644122375E-4</v>
      </c>
      <c r="K76" s="11">
        <f t="shared" si="38"/>
        <v>9.7946127946127947E-4</v>
      </c>
      <c r="L76" s="17">
        <f t="shared" si="39"/>
        <v>1.0261022927689596E-3</v>
      </c>
      <c r="M76" s="25">
        <f>WO2025Jan7men1191517192325293133353941434547495557596365676971737577791317192123272933353943[[#This Row],[Thresh]]</f>
        <v>9.7946127946127947E-4</v>
      </c>
      <c r="N76" s="28">
        <f>WO2025Jan7men1191517192325293133353941434547495557596365676971737577791317192123272933353943[[#This Row],[Thresh]]*2.5</f>
        <v>2.4486531986531988E-3</v>
      </c>
      <c r="O76" s="25">
        <f>WO2025Jan7men1191517192325293133353941434547495557596365676971737577791317192123272933353943[[#This Row],[CV]]</f>
        <v>9.3687600644122375E-4</v>
      </c>
      <c r="P76" s="28">
        <f>WO2025Jan7men1191517192325293133353941434547495557596365676971737577791317192123272933353943[[#This Row],[CV]]*1.5</f>
        <v>1.4053140096618355E-3</v>
      </c>
      <c r="Q76" s="25">
        <f>WO2025Jan7men1191517192325293133353941434547495557596365676971737577791317192123272933353943[[#This Row],[VO2]]</f>
        <v>8.6192592592592592E-4</v>
      </c>
      <c r="R76" s="28">
        <f>WO2025Jan7men1191517192325293133353941434547495557596365676971737577791317192123272933353943[[#This Row],[CV]]*2.5</f>
        <v>2.3421900161030595E-3</v>
      </c>
      <c r="S76" s="25">
        <f>WO2025Jan7men1191517192325293133353941434547495557596365676971737577791317192123272933353943[[#This Row],[VO2]]*1.5</f>
        <v>1.292888888888889E-3</v>
      </c>
      <c r="T76" s="25">
        <f>WO2025Jan7men1191517192325293133353941434547495557596365676971737577791317192123272933353943[[#This Row],[R]]</f>
        <v>7.6678240740740743E-4</v>
      </c>
      <c r="U76" s="28"/>
      <c r="V76" s="25"/>
      <c r="W76" s="15" t="s">
        <v>48</v>
      </c>
      <c r="X76" s="52"/>
    </row>
    <row r="77" spans="1:24" ht="20.45" customHeight="1">
      <c r="A77" s="10" t="s">
        <v>99</v>
      </c>
      <c r="B77" s="11">
        <v>1.1458333333333333E-2</v>
      </c>
      <c r="C77" s="11">
        <v>3.0092592592592593E-3</v>
      </c>
      <c r="D77" s="11">
        <f>B77*E77</f>
        <v>6.6664583333333324E-3</v>
      </c>
      <c r="E77" s="12">
        <v>0.58179999999999998</v>
      </c>
      <c r="F77" s="11">
        <f>C77/4</f>
        <v>7.5231481481481482E-4</v>
      </c>
      <c r="G77" s="11">
        <f>D77/7.5</f>
        <v>8.8886111111111099E-4</v>
      </c>
      <c r="H77" s="11">
        <f>B77/12.5</f>
        <v>9.1666666666666665E-4</v>
      </c>
      <c r="I77" s="11">
        <f>G77/0.93</f>
        <v>9.5576463560334514E-4</v>
      </c>
      <c r="J77" s="11">
        <f>G77/0.92</f>
        <v>9.6615338164251195E-4</v>
      </c>
      <c r="K77" s="11">
        <f>G77/0.88</f>
        <v>1.0100694444444443E-3</v>
      </c>
      <c r="L77" s="11">
        <f>G77/0.84</f>
        <v>1.0581679894179892E-3</v>
      </c>
      <c r="M77" s="25">
        <f>WO2025Jan7men1191517192325293133353941434547495557596365676971737577791317192123272933353943[[#This Row],[Thresh]]</f>
        <v>1.0100694444444443E-3</v>
      </c>
      <c r="N77" s="28">
        <f>WO2025Jan7men1191517192325293133353941434547495557596365676971737577791317192123272933353943[[#This Row],[Thresh]]*2.5</f>
        <v>2.5251736111111108E-3</v>
      </c>
      <c r="O77" s="25">
        <f>WO2025Jan7men1191517192325293133353941434547495557596365676971737577791317192123272933353943[[#This Row],[CV]]</f>
        <v>9.6615338164251195E-4</v>
      </c>
      <c r="P77" s="28">
        <f>WO2025Jan7men1191517192325293133353941434547495557596365676971737577791317192123272933353943[[#This Row],[CV]]*1.5</f>
        <v>1.449230072463768E-3</v>
      </c>
      <c r="Q77" s="25">
        <f>WO2025Jan7men1191517192325293133353941434547495557596365676971737577791317192123272933353943[[#This Row],[VO2]]</f>
        <v>8.8886111111111099E-4</v>
      </c>
      <c r="R77" s="28">
        <f>WO2025Jan7men1191517192325293133353941434547495557596365676971737577791317192123272933353943[[#This Row],[CV]]*2.5</f>
        <v>2.41538345410628E-3</v>
      </c>
      <c r="S77" s="25">
        <f>WO2025Jan7men1191517192325293133353941434547495557596365676971737577791317192123272933353943[[#This Row],[VO2]]*1.5</f>
        <v>1.3332916666666664E-3</v>
      </c>
      <c r="T77" s="25">
        <f>WO2025Jan7men1191517192325293133353941434547495557596365676971737577791317192123272933353943[[#This Row],[R]]</f>
        <v>7.5231481481481482E-4</v>
      </c>
      <c r="U77" s="28"/>
      <c r="V77" s="25"/>
      <c r="W77" s="27" t="s">
        <v>48</v>
      </c>
      <c r="X77" s="52"/>
    </row>
    <row r="78" spans="1:24" ht="20.45" customHeight="1">
      <c r="A78" s="10" t="s">
        <v>102</v>
      </c>
      <c r="B78" s="11">
        <v>1.1458333333333333E-2</v>
      </c>
      <c r="C78" s="11">
        <v>3.0671296296296297E-3</v>
      </c>
      <c r="D78" s="11">
        <f>B78*E78</f>
        <v>6.6664583333333324E-3</v>
      </c>
      <c r="E78" s="12">
        <v>0.58179999999999998</v>
      </c>
      <c r="F78" s="11">
        <f>C78/4</f>
        <v>7.6678240740740743E-4</v>
      </c>
      <c r="G78" s="11">
        <f>D78/7.5</f>
        <v>8.8886111111111099E-4</v>
      </c>
      <c r="H78" s="11">
        <f>B78/12.5</f>
        <v>9.1666666666666665E-4</v>
      </c>
      <c r="I78" s="11">
        <f>G78/0.93</f>
        <v>9.5576463560334514E-4</v>
      </c>
      <c r="J78" s="11">
        <f>G78/0.92</f>
        <v>9.6615338164251195E-4</v>
      </c>
      <c r="K78" s="11">
        <f>G78/0.88</f>
        <v>1.0100694444444443E-3</v>
      </c>
      <c r="L78" s="11">
        <f>G78/0.84</f>
        <v>1.0581679894179892E-3</v>
      </c>
      <c r="M78" s="25">
        <f>WO2025Jan7men1191517192325293133353941434547495557596365676971737577791317192123272933353943[[#This Row],[Thresh]]</f>
        <v>1.0100694444444443E-3</v>
      </c>
      <c r="N78" s="28">
        <f>WO2025Jan7men1191517192325293133353941434547495557596365676971737577791317192123272933353943[[#This Row],[Thresh]]*2.5</f>
        <v>2.5251736111111108E-3</v>
      </c>
      <c r="O78" s="25">
        <f>WO2025Jan7men1191517192325293133353941434547495557596365676971737577791317192123272933353943[[#This Row],[CV]]</f>
        <v>9.6615338164251195E-4</v>
      </c>
      <c r="P78" s="28">
        <f>WO2025Jan7men1191517192325293133353941434547495557596365676971737577791317192123272933353943[[#This Row],[CV]]*1.5</f>
        <v>1.449230072463768E-3</v>
      </c>
      <c r="Q78" s="25">
        <f>WO2025Jan7men1191517192325293133353941434547495557596365676971737577791317192123272933353943[[#This Row],[VO2]]</f>
        <v>8.8886111111111099E-4</v>
      </c>
      <c r="R78" s="28">
        <f>WO2025Jan7men1191517192325293133353941434547495557596365676971737577791317192123272933353943[[#This Row],[CV]]*2.5</f>
        <v>2.41538345410628E-3</v>
      </c>
      <c r="S78" s="25">
        <f>WO2025Jan7men1191517192325293133353941434547495557596365676971737577791317192123272933353943[[#This Row],[VO2]]*1.5</f>
        <v>1.3332916666666664E-3</v>
      </c>
      <c r="T78" s="25">
        <f>WO2025Jan7men1191517192325293133353941434547495557596365676971737577791317192123272933353943[[#This Row],[R]]</f>
        <v>7.6678240740740743E-4</v>
      </c>
      <c r="U78" s="28"/>
      <c r="V78" s="25"/>
      <c r="W78" s="27" t="s">
        <v>48</v>
      </c>
      <c r="X78" s="52" t="s">
        <v>183</v>
      </c>
    </row>
    <row r="79" spans="1:24" ht="20.45" customHeight="1">
      <c r="A79" s="10" t="s">
        <v>104</v>
      </c>
      <c r="B79" s="11">
        <v>1.1458333333333333E-2</v>
      </c>
      <c r="C79" s="11">
        <v>3.2986111111111111E-3</v>
      </c>
      <c r="D79" s="11">
        <f t="shared" si="32"/>
        <v>6.6664583333333324E-3</v>
      </c>
      <c r="E79" s="12">
        <v>0.58179999999999998</v>
      </c>
      <c r="F79" s="11">
        <f t="shared" si="33"/>
        <v>8.2465277777777778E-4</v>
      </c>
      <c r="G79" s="11">
        <f t="shared" si="34"/>
        <v>8.8886111111111099E-4</v>
      </c>
      <c r="H79" s="11">
        <f t="shared" si="35"/>
        <v>9.1666666666666665E-4</v>
      </c>
      <c r="I79" s="11">
        <f t="shared" si="36"/>
        <v>9.5576463560334514E-4</v>
      </c>
      <c r="J79" s="11">
        <f t="shared" si="37"/>
        <v>9.6615338164251195E-4</v>
      </c>
      <c r="K79" s="11">
        <f t="shared" si="38"/>
        <v>1.0100694444444443E-3</v>
      </c>
      <c r="L79" s="11">
        <f t="shared" si="39"/>
        <v>1.0581679894179892E-3</v>
      </c>
      <c r="M79" s="25">
        <f>WO2025Jan7men1191517192325293133353941434547495557596365676971737577791317192123272933353943[[#This Row],[Thresh]]</f>
        <v>1.0100694444444443E-3</v>
      </c>
      <c r="N79" s="28">
        <f>WO2025Jan7men1191517192325293133353941434547495557596365676971737577791317192123272933353943[[#This Row],[Thresh]]*2.5</f>
        <v>2.5251736111111108E-3</v>
      </c>
      <c r="O79" s="25">
        <f>WO2025Jan7men1191517192325293133353941434547495557596365676971737577791317192123272933353943[[#This Row],[CV]]</f>
        <v>9.6615338164251195E-4</v>
      </c>
      <c r="P79" s="28">
        <f>WO2025Jan7men1191517192325293133353941434547495557596365676971737577791317192123272933353943[[#This Row],[CV]]*1.5</f>
        <v>1.449230072463768E-3</v>
      </c>
      <c r="Q79" s="25">
        <f>WO2025Jan7men1191517192325293133353941434547495557596365676971737577791317192123272933353943[[#This Row],[VO2]]</f>
        <v>8.8886111111111099E-4</v>
      </c>
      <c r="R79" s="28">
        <f>WO2025Jan7men1191517192325293133353941434547495557596365676971737577791317192123272933353943[[#This Row],[CV]]*2.5</f>
        <v>2.41538345410628E-3</v>
      </c>
      <c r="S79" s="25">
        <f>WO2025Jan7men1191517192325293133353941434547495557596365676971737577791317192123272933353943[[#This Row],[VO2]]*1.5</f>
        <v>1.3332916666666664E-3</v>
      </c>
      <c r="T79" s="25">
        <f>WO2025Jan7men1191517192325293133353941434547495557596365676971737577791317192123272933353943[[#This Row],[R]]</f>
        <v>8.2465277777777778E-4</v>
      </c>
      <c r="U79" s="28"/>
      <c r="V79" s="25"/>
      <c r="W79" s="15" t="s">
        <v>48</v>
      </c>
      <c r="X79" s="52"/>
    </row>
    <row r="80" spans="1:24" ht="20.45" customHeight="1">
      <c r="A80" s="10"/>
      <c r="B80" s="11"/>
      <c r="C80" s="11"/>
      <c r="D80" s="11"/>
      <c r="E80" s="12"/>
      <c r="F80" s="11"/>
      <c r="G80" s="11"/>
      <c r="H80" s="11"/>
      <c r="I80" s="11"/>
      <c r="J80" s="11"/>
      <c r="K80" s="11"/>
      <c r="L80" s="11"/>
      <c r="M80" s="25"/>
      <c r="N80" s="28"/>
      <c r="O80" s="25"/>
      <c r="P80" s="25"/>
      <c r="Q80" s="25"/>
      <c r="R80" s="28"/>
      <c r="S80" s="25"/>
      <c r="T80" s="25"/>
      <c r="U80" s="28"/>
      <c r="V80" s="25"/>
      <c r="W80" s="15"/>
      <c r="X80" s="52"/>
    </row>
    <row r="81" spans="1:24" ht="20.45" customHeight="1">
      <c r="A81" s="19"/>
      <c r="B81" s="6"/>
      <c r="C81" s="6"/>
      <c r="D81" s="6"/>
      <c r="E81" s="20"/>
      <c r="F81" s="6"/>
      <c r="G81" s="6"/>
      <c r="H81" s="6"/>
      <c r="I81" s="6"/>
      <c r="J81" s="6"/>
      <c r="K81" s="6"/>
      <c r="L81" s="6"/>
      <c r="M81" s="6" t="s">
        <v>172</v>
      </c>
      <c r="N81" s="6"/>
      <c r="O81" s="6"/>
      <c r="P81" s="6"/>
      <c r="Q81" s="6"/>
      <c r="R81" s="6"/>
      <c r="S81" s="6"/>
      <c r="T81" s="6"/>
      <c r="U81" s="6"/>
      <c r="V81" s="23"/>
      <c r="W81" s="35"/>
      <c r="X81" s="52"/>
    </row>
    <row r="82" spans="1:24" ht="20.45" customHeight="1">
      <c r="A82" s="10" t="s">
        <v>105</v>
      </c>
      <c r="B82" s="11">
        <v>1.0648148148148148E-2</v>
      </c>
      <c r="C82" s="11">
        <v>2.9745370370370373E-3</v>
      </c>
      <c r="D82" s="11">
        <f>B82*E82</f>
        <v>6.1950925925925923E-3</v>
      </c>
      <c r="E82" s="12">
        <v>0.58179999999999998</v>
      </c>
      <c r="F82" s="11">
        <f>C82/4</f>
        <v>7.4363425925925931E-4</v>
      </c>
      <c r="G82" s="11">
        <f>D82/7.5</f>
        <v>8.2601234567901232E-4</v>
      </c>
      <c r="H82" s="11">
        <f>B82/12.5</f>
        <v>8.5185185185185179E-4</v>
      </c>
      <c r="I82" s="11">
        <f>G82/0.93</f>
        <v>8.8818531793442184E-4</v>
      </c>
      <c r="J82" s="11">
        <f>G82/0.92</f>
        <v>8.9783950617283942E-4</v>
      </c>
      <c r="K82" s="11">
        <f>G82/0.88</f>
        <v>9.3865039281705945E-4</v>
      </c>
      <c r="L82" s="11">
        <f>G82/0.84</f>
        <v>9.833480305702527E-4</v>
      </c>
      <c r="M82" s="25">
        <f>WO2025Jan7men1191517192325293133353941434547495557596365676971737577791317192123272933353943[[#This Row],[Thresh]]</f>
        <v>9.3865039281705945E-4</v>
      </c>
      <c r="N82" s="28"/>
      <c r="O82" s="25"/>
      <c r="P82" s="25"/>
      <c r="Q82" s="25"/>
      <c r="R82" s="25"/>
      <c r="S82" s="25"/>
      <c r="T82" s="25"/>
      <c r="U82" s="28"/>
      <c r="V82" s="25" t="s">
        <v>184</v>
      </c>
      <c r="W82" s="15" t="s">
        <v>35</v>
      </c>
      <c r="X82" s="52"/>
    </row>
    <row r="83" spans="1:24" ht="20.45" customHeight="1">
      <c r="A83" s="10" t="s">
        <v>113</v>
      </c>
      <c r="B83" s="11">
        <v>1.0763888888888891E-2</v>
      </c>
      <c r="C83" s="11">
        <v>3.2986111111111111E-3</v>
      </c>
      <c r="D83" s="11">
        <f>B83*E83</f>
        <v>6.2624305555555567E-3</v>
      </c>
      <c r="E83" s="12">
        <v>0.58179999999999998</v>
      </c>
      <c r="F83" s="11">
        <f>C83/4</f>
        <v>8.2465277777777778E-4</v>
      </c>
      <c r="G83" s="11">
        <f>D83/7.5</f>
        <v>8.3499074074074085E-4</v>
      </c>
      <c r="H83" s="11">
        <f>B83/12.5</f>
        <v>8.6111111111111121E-4</v>
      </c>
      <c r="I83" s="11">
        <f>G83/0.93</f>
        <v>8.9783950617283953E-4</v>
      </c>
      <c r="J83" s="11">
        <f>G83/0.92</f>
        <v>9.0759863123993567E-4</v>
      </c>
      <c r="K83" s="11">
        <f>G83/0.88</f>
        <v>9.4885311447811464E-4</v>
      </c>
      <c r="L83" s="11">
        <f>G83/0.84</f>
        <v>9.9403659611992969E-4</v>
      </c>
      <c r="M83" s="25">
        <f>WO2025Jan7men1191517192325293133353941434547495557596365676971737577791317192123272933353943[[#This Row],[Thresh]]</f>
        <v>9.4885311447811464E-4</v>
      </c>
      <c r="N83" s="28"/>
      <c r="O83" s="25"/>
      <c r="P83" s="28"/>
      <c r="Q83" s="25"/>
      <c r="R83" s="28"/>
      <c r="S83" s="25"/>
      <c r="T83" s="25"/>
      <c r="U83" s="28"/>
      <c r="V83" s="25" t="s">
        <v>179</v>
      </c>
      <c r="W83" s="15" t="s">
        <v>35</v>
      </c>
      <c r="X83" s="52"/>
    </row>
    <row r="84" spans="1:24" ht="20.45" customHeight="1">
      <c r="A84" s="10" t="s">
        <v>114</v>
      </c>
      <c r="B84" s="11">
        <v>1.0763888888888891E-2</v>
      </c>
      <c r="C84" s="11">
        <v>3.0671296296296297E-3</v>
      </c>
      <c r="D84" s="11">
        <f>B84*E84</f>
        <v>6.2624305555555567E-3</v>
      </c>
      <c r="E84" s="12">
        <v>0.58179999999999998</v>
      </c>
      <c r="F84" s="11">
        <f>C84/4</f>
        <v>7.6678240740740743E-4</v>
      </c>
      <c r="G84" s="11">
        <f>D84/7.5</f>
        <v>8.3499074074074085E-4</v>
      </c>
      <c r="H84" s="11">
        <f>B84/12.5</f>
        <v>8.6111111111111121E-4</v>
      </c>
      <c r="I84" s="11">
        <f>G84/0.93</f>
        <v>8.9783950617283953E-4</v>
      </c>
      <c r="J84" s="11">
        <f>G84/0.92</f>
        <v>9.0759863123993567E-4</v>
      </c>
      <c r="K84" s="11">
        <f>G84/0.88</f>
        <v>9.4885311447811464E-4</v>
      </c>
      <c r="L84" s="11">
        <f>G84/0.84</f>
        <v>9.9403659611992969E-4</v>
      </c>
      <c r="M84" s="25">
        <f>WO2025Jan7men1191517192325293133353941434547495557596365676971737577791317192123272933353943[[#This Row],[Thresh]]</f>
        <v>9.4885311447811464E-4</v>
      </c>
      <c r="N84" s="28"/>
      <c r="O84" s="25"/>
      <c r="P84" s="28"/>
      <c r="Q84" s="25"/>
      <c r="R84" s="28"/>
      <c r="S84" s="25"/>
      <c r="T84" s="25"/>
      <c r="U84" s="28"/>
      <c r="V84" s="25" t="s">
        <v>179</v>
      </c>
      <c r="W84" s="15" t="s">
        <v>35</v>
      </c>
      <c r="X84" s="52"/>
    </row>
    <row r="85" spans="1:24" ht="20.45" customHeight="1">
      <c r="A85" s="10"/>
      <c r="B85" s="11"/>
      <c r="C85" s="11"/>
      <c r="D85" s="11"/>
      <c r="E85" s="12"/>
      <c r="F85" s="11"/>
      <c r="G85" s="11"/>
      <c r="H85" s="11"/>
      <c r="I85" s="11"/>
      <c r="J85" s="11"/>
      <c r="K85" s="11"/>
      <c r="L85" s="17"/>
      <c r="M85" s="11"/>
      <c r="N85" s="26"/>
      <c r="P85" s="26"/>
      <c r="Q85" s="26"/>
      <c r="R85" s="26"/>
      <c r="S85" s="14"/>
      <c r="T85" s="14"/>
      <c r="U85" s="26"/>
      <c r="V85" s="38"/>
      <c r="W85" s="31"/>
      <c r="X85" s="52"/>
    </row>
    <row r="86" spans="1:24" ht="20.45" customHeight="1" thickBot="1">
      <c r="A86" s="10"/>
      <c r="B86" s="11"/>
      <c r="C86" s="11"/>
      <c r="D86" s="11"/>
      <c r="E86" s="12"/>
      <c r="F86" s="11"/>
      <c r="G86" s="11"/>
      <c r="H86" s="11"/>
      <c r="I86" s="11"/>
      <c r="J86" s="11"/>
      <c r="K86" s="11"/>
      <c r="L86" s="11"/>
      <c r="M86" s="25"/>
      <c r="N86" s="28"/>
      <c r="O86" s="25"/>
      <c r="P86" s="25"/>
      <c r="Q86" s="25"/>
      <c r="R86" s="25"/>
      <c r="S86" s="25"/>
      <c r="T86" s="25"/>
      <c r="U86" s="28"/>
      <c r="V86" s="25"/>
      <c r="W86" s="15"/>
      <c r="X86" s="52"/>
    </row>
    <row r="87" spans="1:24" ht="20.45" customHeight="1">
      <c r="A87" s="1" t="s">
        <v>173</v>
      </c>
      <c r="B87" s="6"/>
      <c r="C87" s="6"/>
      <c r="D87" s="6"/>
      <c r="E87" s="20"/>
      <c r="F87" s="6"/>
      <c r="G87" s="6"/>
      <c r="H87" s="6"/>
      <c r="I87" s="6"/>
      <c r="J87" s="6"/>
      <c r="K87" s="6"/>
      <c r="L87" s="6"/>
      <c r="M87" s="6"/>
      <c r="N87" s="6"/>
      <c r="O87" s="6"/>
      <c r="P87" s="6"/>
      <c r="Q87" s="6"/>
      <c r="R87" s="6"/>
      <c r="S87" s="6"/>
      <c r="T87" s="6"/>
      <c r="U87" s="6"/>
      <c r="V87" s="23"/>
      <c r="W87" s="35"/>
      <c r="X87" s="52"/>
    </row>
    <row r="88" spans="1:24" ht="20.45" customHeight="1">
      <c r="A88" s="10" t="s">
        <v>84</v>
      </c>
      <c r="B88" s="11">
        <v>1.0069444444444445E-2</v>
      </c>
      <c r="C88" s="11">
        <v>3.0092592592592593E-3</v>
      </c>
      <c r="D88" s="11">
        <f>B88*E88</f>
        <v>5.8584027777777783E-3</v>
      </c>
      <c r="E88" s="12">
        <v>0.58179999999999998</v>
      </c>
      <c r="F88" s="11">
        <f>C88/4</f>
        <v>7.5231481481481482E-4</v>
      </c>
      <c r="G88" s="11">
        <f>D88/7.5</f>
        <v>7.811203703703705E-4</v>
      </c>
      <c r="H88" s="11">
        <f>B88/12.5</f>
        <v>8.0555555555555556E-4</v>
      </c>
      <c r="I88" s="11">
        <f>G88/0.93</f>
        <v>8.3991437674233382E-4</v>
      </c>
      <c r="J88" s="11">
        <f>G88/0.92</f>
        <v>8.4904388083735917E-4</v>
      </c>
      <c r="K88" s="11">
        <f>G88/0.88</f>
        <v>8.8763678451178466E-4</v>
      </c>
      <c r="L88" s="11">
        <f>G88/0.84</f>
        <v>9.2990520282186973E-4</v>
      </c>
      <c r="M88" s="25"/>
      <c r="N88" s="28"/>
      <c r="O88" s="25"/>
      <c r="P88" s="28"/>
      <c r="Q88" s="25"/>
      <c r="R88" s="28"/>
      <c r="S88" s="25"/>
      <c r="T88" s="25"/>
      <c r="U88" s="28"/>
      <c r="V88" s="25"/>
      <c r="W88" s="15" t="s">
        <v>5</v>
      </c>
      <c r="X88" s="52" t="s">
        <v>180</v>
      </c>
    </row>
    <row r="89" spans="1:24" ht="20.45" customHeight="1">
      <c r="A89" s="10" t="s">
        <v>112</v>
      </c>
      <c r="B89" s="11">
        <v>1.0243055555555556E-2</v>
      </c>
      <c r="C89" s="11">
        <v>2.8587962962962963E-3</v>
      </c>
      <c r="D89" s="11">
        <f t="shared" ref="D89:D117" si="40">B89*E89</f>
        <v>5.9594097222222218E-3</v>
      </c>
      <c r="E89" s="12">
        <v>0.58179999999999998</v>
      </c>
      <c r="F89" s="11">
        <f t="shared" ref="F89:F117" si="41">C89/4</f>
        <v>7.1469907407407409E-4</v>
      </c>
      <c r="G89" s="11">
        <f t="shared" ref="G89:G117" si="42">D89/7.5</f>
        <v>7.9458796296296287E-4</v>
      </c>
      <c r="H89" s="11">
        <f t="shared" ref="H89:H117" si="43">B89/12.5</f>
        <v>8.1944444444444447E-4</v>
      </c>
      <c r="I89" s="11">
        <f t="shared" ref="I89:I117" si="44">G89/0.93</f>
        <v>8.5439565909996003E-4</v>
      </c>
      <c r="J89" s="11">
        <f t="shared" ref="J89:J117" si="45">G89/0.92</f>
        <v>8.636825684380031E-4</v>
      </c>
      <c r="K89" s="11">
        <f t="shared" ref="K89:K117" si="46">G89/0.88</f>
        <v>9.0294086700336686E-4</v>
      </c>
      <c r="L89" s="11">
        <f t="shared" ref="L89:L117" si="47">G89/0.84</f>
        <v>9.4593805114638445E-4</v>
      </c>
      <c r="M89" s="25"/>
      <c r="N89" s="28"/>
      <c r="O89" s="25"/>
      <c r="P89" s="28"/>
      <c r="Q89" s="25"/>
      <c r="R89" s="28"/>
      <c r="S89" s="25"/>
      <c r="T89" s="25"/>
      <c r="U89" s="28"/>
      <c r="V89" s="25"/>
      <c r="W89" s="15" t="s">
        <v>5</v>
      </c>
      <c r="X89" s="52"/>
    </row>
    <row r="90" spans="1:24" ht="20.45" customHeight="1">
      <c r="A90" s="10" t="s">
        <v>116</v>
      </c>
      <c r="B90" s="11">
        <v>1.0243055555555556E-2</v>
      </c>
      <c r="C90" s="11">
        <v>2.9513888888888888E-3</v>
      </c>
      <c r="D90" s="11">
        <f>B90*E90</f>
        <v>5.9594097222222218E-3</v>
      </c>
      <c r="E90" s="12">
        <v>0.58179999999999998</v>
      </c>
      <c r="F90" s="11">
        <f>C90/4</f>
        <v>7.378472222222222E-4</v>
      </c>
      <c r="G90" s="11">
        <f>D90/7.5</f>
        <v>7.9458796296296287E-4</v>
      </c>
      <c r="H90" s="11">
        <f>B90/12.5</f>
        <v>8.1944444444444447E-4</v>
      </c>
      <c r="I90" s="11">
        <f>G90/0.93</f>
        <v>8.5439565909996003E-4</v>
      </c>
      <c r="J90" s="11">
        <f>G90/0.92</f>
        <v>8.636825684380031E-4</v>
      </c>
      <c r="K90" s="11">
        <f>G90/0.88</f>
        <v>9.0294086700336686E-4</v>
      </c>
      <c r="L90" s="17">
        <f>G90/0.84</f>
        <v>9.4593805114638445E-4</v>
      </c>
      <c r="M90" s="25"/>
      <c r="N90" s="28"/>
      <c r="O90" s="25"/>
      <c r="P90" s="28"/>
      <c r="Q90" s="25"/>
      <c r="R90" s="28"/>
      <c r="S90" s="25"/>
      <c r="T90" s="25"/>
      <c r="U90" s="28"/>
      <c r="V90" s="25"/>
      <c r="W90" s="15" t="s">
        <v>5</v>
      </c>
      <c r="X90" s="52"/>
    </row>
    <row r="91" spans="1:24" ht="20.45" customHeight="1">
      <c r="A91" s="10" t="s">
        <v>93</v>
      </c>
      <c r="B91" s="11">
        <v>1.0300925925925925E-2</v>
      </c>
      <c r="C91" s="11"/>
      <c r="D91" s="11">
        <f>B91*E91</f>
        <v>5.9930787037037027E-3</v>
      </c>
      <c r="E91" s="12">
        <v>0.58179999999999998</v>
      </c>
      <c r="F91" s="11">
        <f>C91/4</f>
        <v>0</v>
      </c>
      <c r="G91" s="11">
        <f>D91/7.5</f>
        <v>7.9907716049382703E-4</v>
      </c>
      <c r="H91" s="11">
        <f>B91/12.5</f>
        <v>8.2407407407407397E-4</v>
      </c>
      <c r="I91" s="11">
        <f>G91/0.93</f>
        <v>8.5922275321916877E-4</v>
      </c>
      <c r="J91" s="11">
        <f>G91/0.92</f>
        <v>8.6856213097155112E-4</v>
      </c>
      <c r="K91" s="11">
        <f>G91/0.88</f>
        <v>9.080422278338944E-4</v>
      </c>
      <c r="L91" s="11">
        <f>G91/0.84</f>
        <v>9.5128233392122272E-4</v>
      </c>
      <c r="M91" s="25"/>
      <c r="N91" s="28"/>
      <c r="O91" s="25"/>
      <c r="P91" s="28"/>
      <c r="Q91" s="25"/>
      <c r="R91" s="28"/>
      <c r="S91" s="25"/>
      <c r="T91" s="25"/>
      <c r="U91" s="28"/>
      <c r="V91" s="25"/>
      <c r="W91" s="15" t="s">
        <v>5</v>
      </c>
      <c r="X91" s="52"/>
    </row>
    <row r="92" spans="1:24" ht="20.45" customHeight="1">
      <c r="A92" s="10" t="s">
        <v>92</v>
      </c>
      <c r="B92" s="11">
        <v>1.0300925925925925E-2</v>
      </c>
      <c r="C92" s="11">
        <v>2.9745370370370373E-3</v>
      </c>
      <c r="D92" s="11">
        <f>B92*E92</f>
        <v>5.9930787037037027E-3</v>
      </c>
      <c r="E92" s="12">
        <v>0.58179999999999998</v>
      </c>
      <c r="F92" s="11">
        <f>C92/4</f>
        <v>7.4363425925925931E-4</v>
      </c>
      <c r="G92" s="11">
        <f>D92/7.5</f>
        <v>7.9907716049382703E-4</v>
      </c>
      <c r="H92" s="11">
        <f>B92/12.5</f>
        <v>8.2407407407407397E-4</v>
      </c>
      <c r="I92" s="11">
        <f>G92/0.93</f>
        <v>8.5922275321916877E-4</v>
      </c>
      <c r="J92" s="11">
        <f>G92/0.92</f>
        <v>8.6856213097155112E-4</v>
      </c>
      <c r="K92" s="11">
        <f>G92/0.88</f>
        <v>9.080422278338944E-4</v>
      </c>
      <c r="L92" s="11">
        <f>G92/0.84</f>
        <v>9.5128233392122272E-4</v>
      </c>
      <c r="M92" s="25"/>
      <c r="N92" s="28"/>
      <c r="O92" s="25"/>
      <c r="P92" s="28"/>
      <c r="Q92" s="25"/>
      <c r="R92" s="28"/>
      <c r="S92" s="25"/>
      <c r="T92" s="25"/>
      <c r="U92" s="28"/>
      <c r="V92" s="25"/>
      <c r="W92" s="15" t="s">
        <v>5</v>
      </c>
      <c r="X92" s="52"/>
    </row>
    <row r="93" spans="1:24" ht="20.45" customHeight="1">
      <c r="A93" s="10" t="s">
        <v>85</v>
      </c>
      <c r="B93" s="11">
        <v>1.0300925925925925E-2</v>
      </c>
      <c r="C93" s="11">
        <v>3.0671296296296297E-3</v>
      </c>
      <c r="D93" s="11">
        <f>B93*E93</f>
        <v>5.9930787037037027E-3</v>
      </c>
      <c r="E93" s="12">
        <v>0.58179999999999998</v>
      </c>
      <c r="F93" s="11">
        <f>C93/4</f>
        <v>7.6678240740740743E-4</v>
      </c>
      <c r="G93" s="11">
        <f>D93/7.5</f>
        <v>7.9907716049382703E-4</v>
      </c>
      <c r="H93" s="11">
        <f>B93/12.5</f>
        <v>8.2407407407407397E-4</v>
      </c>
      <c r="I93" s="11">
        <f>G93/0.93</f>
        <v>8.5922275321916877E-4</v>
      </c>
      <c r="J93" s="11">
        <f>G93/0.92</f>
        <v>8.6856213097155112E-4</v>
      </c>
      <c r="K93" s="11">
        <f>G93/0.88</f>
        <v>9.080422278338944E-4</v>
      </c>
      <c r="L93" s="17">
        <f>G93/0.84</f>
        <v>9.5128233392122272E-4</v>
      </c>
      <c r="M93" s="25"/>
      <c r="N93" s="28"/>
      <c r="O93" s="25"/>
      <c r="P93" s="28"/>
      <c r="Q93" s="25"/>
      <c r="R93" s="28"/>
      <c r="S93" s="25"/>
      <c r="T93" s="25"/>
      <c r="U93" s="28"/>
      <c r="V93" s="25"/>
      <c r="W93" s="15" t="s">
        <v>5</v>
      </c>
      <c r="X93" s="52"/>
    </row>
    <row r="94" spans="1:24" ht="20.45" customHeight="1">
      <c r="A94" s="10" t="s">
        <v>117</v>
      </c>
      <c r="B94" s="11">
        <v>1.0300925925925925E-2</v>
      </c>
      <c r="C94" s="11">
        <v>3.0671296296296297E-3</v>
      </c>
      <c r="D94" s="11">
        <f t="shared" si="40"/>
        <v>5.9930787037037027E-3</v>
      </c>
      <c r="E94" s="12">
        <v>0.58179999999999998</v>
      </c>
      <c r="F94" s="11">
        <f t="shared" si="41"/>
        <v>7.6678240740740743E-4</v>
      </c>
      <c r="G94" s="11">
        <f t="shared" si="42"/>
        <v>7.9907716049382703E-4</v>
      </c>
      <c r="H94" s="11">
        <f t="shared" si="43"/>
        <v>8.2407407407407397E-4</v>
      </c>
      <c r="I94" s="11">
        <f t="shared" si="44"/>
        <v>8.5922275321916877E-4</v>
      </c>
      <c r="J94" s="11">
        <f t="shared" si="45"/>
        <v>8.6856213097155112E-4</v>
      </c>
      <c r="K94" s="11">
        <f t="shared" si="46"/>
        <v>9.080422278338944E-4</v>
      </c>
      <c r="L94" s="11">
        <f t="shared" si="47"/>
        <v>9.5128233392122272E-4</v>
      </c>
      <c r="M94" s="25"/>
      <c r="N94" s="28"/>
      <c r="O94" s="25"/>
      <c r="P94" s="28"/>
      <c r="Q94" s="25"/>
      <c r="R94" s="28"/>
      <c r="S94" s="25"/>
      <c r="T94" s="25"/>
      <c r="U94" s="28"/>
      <c r="V94" s="25"/>
      <c r="W94" s="15" t="s">
        <v>5</v>
      </c>
      <c r="X94" s="52"/>
    </row>
    <row r="95" spans="1:24" ht="20.45" customHeight="1">
      <c r="A95" s="10" t="s">
        <v>118</v>
      </c>
      <c r="B95" s="11">
        <v>1.0300925925925925E-2</v>
      </c>
      <c r="C95" s="11">
        <v>3.0671296296296297E-3</v>
      </c>
      <c r="D95" s="11">
        <f>B95*E95</f>
        <v>5.9930787037037027E-3</v>
      </c>
      <c r="E95" s="12">
        <v>0.58179999999999998</v>
      </c>
      <c r="F95" s="11">
        <f>C95/4</f>
        <v>7.6678240740740743E-4</v>
      </c>
      <c r="G95" s="11">
        <f>D95/7.5</f>
        <v>7.9907716049382703E-4</v>
      </c>
      <c r="H95" s="11">
        <f>B95/12.5</f>
        <v>8.2407407407407397E-4</v>
      </c>
      <c r="I95" s="11">
        <f>G95/0.93</f>
        <v>8.5922275321916877E-4</v>
      </c>
      <c r="J95" s="11">
        <f>G95/0.92</f>
        <v>8.6856213097155112E-4</v>
      </c>
      <c r="K95" s="11">
        <f>G95/0.88</f>
        <v>9.080422278338944E-4</v>
      </c>
      <c r="L95" s="11">
        <f>G95/0.84</f>
        <v>9.5128233392122272E-4</v>
      </c>
      <c r="M95" s="25"/>
      <c r="N95" s="28"/>
      <c r="O95" s="25"/>
      <c r="P95" s="28"/>
      <c r="Q95" s="25"/>
      <c r="R95" s="28"/>
      <c r="S95" s="25"/>
      <c r="T95" s="25"/>
      <c r="U95" s="28"/>
      <c r="V95" s="25"/>
      <c r="W95" s="15" t="s">
        <v>5</v>
      </c>
      <c r="X95" s="52"/>
    </row>
    <row r="96" spans="1:24" ht="20.45" customHeight="1">
      <c r="A96" s="10" t="s">
        <v>86</v>
      </c>
      <c r="B96" s="11">
        <v>1.0416666666666666E-2</v>
      </c>
      <c r="C96" s="11">
        <v>3.0671296296296297E-3</v>
      </c>
      <c r="D96" s="11">
        <f>B96*E96</f>
        <v>6.0604166666666662E-3</v>
      </c>
      <c r="E96" s="12">
        <v>0.58179999999999998</v>
      </c>
      <c r="F96" s="11">
        <f>C96/4</f>
        <v>7.6678240740740743E-4</v>
      </c>
      <c r="G96" s="11">
        <f>D96/7.5</f>
        <v>8.0805555555555546E-4</v>
      </c>
      <c r="H96" s="11">
        <f>B96/12.5</f>
        <v>8.3333333333333328E-4</v>
      </c>
      <c r="I96" s="11">
        <f>G96/0.93</f>
        <v>8.6887694145758646E-4</v>
      </c>
      <c r="J96" s="11">
        <f>G96/0.92</f>
        <v>8.7832125603864715E-4</v>
      </c>
      <c r="K96" s="11">
        <f>G96/0.88</f>
        <v>9.1824494949494938E-4</v>
      </c>
      <c r="L96" s="11">
        <f>G96/0.84</f>
        <v>9.6197089947089938E-4</v>
      </c>
      <c r="M96" s="25"/>
      <c r="N96" s="28"/>
      <c r="O96" s="25"/>
      <c r="P96" s="28"/>
      <c r="Q96" s="25"/>
      <c r="R96" s="28"/>
      <c r="S96" s="25"/>
      <c r="T96" s="25"/>
      <c r="U96" s="28"/>
      <c r="V96" s="25"/>
      <c r="W96" s="15" t="s">
        <v>5</v>
      </c>
      <c r="X96" s="52"/>
    </row>
    <row r="97" spans="1:24" ht="20.45" customHeight="1">
      <c r="A97" s="10" t="s">
        <v>119</v>
      </c>
      <c r="B97" s="11">
        <v>1.0416666666666666E-2</v>
      </c>
      <c r="C97" s="11"/>
      <c r="D97" s="11">
        <f t="shared" si="40"/>
        <v>6.0604166666666662E-3</v>
      </c>
      <c r="E97" s="12">
        <v>0.58179999999999998</v>
      </c>
      <c r="F97" s="11">
        <f t="shared" si="41"/>
        <v>0</v>
      </c>
      <c r="G97" s="11">
        <f t="shared" si="42"/>
        <v>8.0805555555555546E-4</v>
      </c>
      <c r="H97" s="11">
        <f t="shared" si="43"/>
        <v>8.3333333333333328E-4</v>
      </c>
      <c r="I97" s="11">
        <f t="shared" si="44"/>
        <v>8.6887694145758646E-4</v>
      </c>
      <c r="J97" s="11">
        <f t="shared" si="45"/>
        <v>8.7832125603864715E-4</v>
      </c>
      <c r="K97" s="11">
        <f t="shared" si="46"/>
        <v>9.1824494949494938E-4</v>
      </c>
      <c r="L97" s="11">
        <f t="shared" si="47"/>
        <v>9.6197089947089938E-4</v>
      </c>
      <c r="M97" s="25"/>
      <c r="N97" s="28"/>
      <c r="O97" s="25"/>
      <c r="P97" s="28"/>
      <c r="Q97" s="25"/>
      <c r="R97" s="28"/>
      <c r="S97" s="25"/>
      <c r="T97" s="25"/>
      <c r="U97" s="28"/>
      <c r="V97" s="25"/>
      <c r="W97" s="15" t="s">
        <v>5</v>
      </c>
      <c r="X97" s="52"/>
    </row>
    <row r="98" spans="1:24" ht="20.45" customHeight="1">
      <c r="A98" s="10" t="s">
        <v>120</v>
      </c>
      <c r="B98" s="11">
        <v>1.0416666666666666E-2</v>
      </c>
      <c r="C98" s="11">
        <v>3.1250000000000002E-3</v>
      </c>
      <c r="D98" s="11">
        <f t="shared" si="40"/>
        <v>6.0604166666666662E-3</v>
      </c>
      <c r="E98" s="12">
        <v>0.58179999999999998</v>
      </c>
      <c r="F98" s="11">
        <f t="shared" si="41"/>
        <v>7.8125000000000004E-4</v>
      </c>
      <c r="G98" s="11">
        <f t="shared" si="42"/>
        <v>8.0805555555555546E-4</v>
      </c>
      <c r="H98" s="11">
        <f t="shared" si="43"/>
        <v>8.3333333333333328E-4</v>
      </c>
      <c r="I98" s="11">
        <f t="shared" si="44"/>
        <v>8.6887694145758646E-4</v>
      </c>
      <c r="J98" s="11">
        <f t="shared" si="45"/>
        <v>8.7832125603864715E-4</v>
      </c>
      <c r="K98" s="11">
        <f t="shared" si="46"/>
        <v>9.1824494949494938E-4</v>
      </c>
      <c r="L98" s="11">
        <f t="shared" si="47"/>
        <v>9.6197089947089938E-4</v>
      </c>
      <c r="M98" s="25"/>
      <c r="N98" s="28"/>
      <c r="O98" s="25"/>
      <c r="P98" s="28"/>
      <c r="Q98" s="25"/>
      <c r="R98" s="28"/>
      <c r="S98" s="25"/>
      <c r="T98" s="25"/>
      <c r="U98" s="28"/>
      <c r="V98" s="25"/>
      <c r="W98" s="15" t="s">
        <v>5</v>
      </c>
      <c r="X98" s="52"/>
    </row>
    <row r="99" spans="1:24" ht="20.45" customHeight="1">
      <c r="A99" s="10" t="s">
        <v>121</v>
      </c>
      <c r="B99" s="11">
        <v>1.0416666666666666E-2</v>
      </c>
      <c r="C99" s="11"/>
      <c r="D99" s="11">
        <f>B99*E99</f>
        <v>6.0604166666666662E-3</v>
      </c>
      <c r="E99" s="12">
        <v>0.58179999999999998</v>
      </c>
      <c r="F99" s="11">
        <f>C99/4</f>
        <v>0</v>
      </c>
      <c r="G99" s="11">
        <f>D99/7.5</f>
        <v>8.0805555555555546E-4</v>
      </c>
      <c r="H99" s="11">
        <f>B99/12.5</f>
        <v>8.3333333333333328E-4</v>
      </c>
      <c r="I99" s="11">
        <f>G99/0.93</f>
        <v>8.6887694145758646E-4</v>
      </c>
      <c r="J99" s="11">
        <f>G99/0.92</f>
        <v>8.7832125603864715E-4</v>
      </c>
      <c r="K99" s="11">
        <f>G99/0.88</f>
        <v>9.1824494949494938E-4</v>
      </c>
      <c r="L99" s="11">
        <f>G99/0.84</f>
        <v>9.6197089947089938E-4</v>
      </c>
      <c r="M99" s="25"/>
      <c r="N99" s="28"/>
      <c r="O99" s="25"/>
      <c r="P99" s="28"/>
      <c r="Q99" s="25"/>
      <c r="R99" s="28"/>
      <c r="S99" s="25"/>
      <c r="T99" s="25"/>
      <c r="U99" s="28"/>
      <c r="V99" s="25"/>
      <c r="W99" s="15" t="s">
        <v>5</v>
      </c>
      <c r="X99" s="52"/>
    </row>
    <row r="100" spans="1:24" ht="20.45" customHeight="1">
      <c r="A100" s="10" t="s">
        <v>87</v>
      </c>
      <c r="B100" s="11">
        <v>1.0532407407407407E-2</v>
      </c>
      <c r="C100" s="11">
        <v>2.9745370370370373E-3</v>
      </c>
      <c r="D100" s="11">
        <f t="shared" si="40"/>
        <v>6.1277546296296288E-3</v>
      </c>
      <c r="E100" s="12">
        <v>0.58179999999999998</v>
      </c>
      <c r="F100" s="11">
        <f t="shared" si="41"/>
        <v>7.4363425925925931E-4</v>
      </c>
      <c r="G100" s="11">
        <f t="shared" si="42"/>
        <v>8.1703395061728389E-4</v>
      </c>
      <c r="H100" s="11">
        <f t="shared" si="43"/>
        <v>8.4259259259259259E-4</v>
      </c>
      <c r="I100" s="11">
        <f t="shared" si="44"/>
        <v>8.7853112969600415E-4</v>
      </c>
      <c r="J100" s="11">
        <f t="shared" si="45"/>
        <v>8.8808038110574329E-4</v>
      </c>
      <c r="K100" s="11">
        <f t="shared" si="46"/>
        <v>9.2844767115600447E-4</v>
      </c>
      <c r="L100" s="11">
        <f t="shared" si="47"/>
        <v>9.7265946502057604E-4</v>
      </c>
      <c r="M100" s="25"/>
      <c r="N100" s="28"/>
      <c r="O100" s="25"/>
      <c r="P100" s="28"/>
      <c r="Q100" s="25"/>
      <c r="R100" s="28"/>
      <c r="S100" s="25"/>
      <c r="T100" s="25"/>
      <c r="U100" s="28"/>
      <c r="V100" s="25"/>
      <c r="W100" s="15" t="s">
        <v>5</v>
      </c>
      <c r="X100" s="52"/>
    </row>
    <row r="101" spans="1:24" ht="20.45" customHeight="1">
      <c r="A101" s="10" t="s">
        <v>88</v>
      </c>
      <c r="B101" s="11">
        <v>1.0532407407407407E-2</v>
      </c>
      <c r="C101" s="11">
        <v>3.0671296296296297E-3</v>
      </c>
      <c r="D101" s="11">
        <f t="shared" si="40"/>
        <v>6.1277546296296288E-3</v>
      </c>
      <c r="E101" s="12">
        <v>0.58179999999999998</v>
      </c>
      <c r="F101" s="11">
        <f t="shared" si="41"/>
        <v>7.6678240740740743E-4</v>
      </c>
      <c r="G101" s="11">
        <f t="shared" si="42"/>
        <v>8.1703395061728389E-4</v>
      </c>
      <c r="H101" s="11">
        <f t="shared" si="43"/>
        <v>8.4259259259259259E-4</v>
      </c>
      <c r="I101" s="11">
        <f t="shared" si="44"/>
        <v>8.7853112969600415E-4</v>
      </c>
      <c r="J101" s="11">
        <f t="shared" si="45"/>
        <v>8.8808038110574329E-4</v>
      </c>
      <c r="K101" s="11">
        <f t="shared" si="46"/>
        <v>9.2844767115600447E-4</v>
      </c>
      <c r="L101" s="11">
        <f t="shared" si="47"/>
        <v>9.7265946502057604E-4</v>
      </c>
      <c r="M101" s="25"/>
      <c r="N101" s="28"/>
      <c r="O101" s="25"/>
      <c r="P101" s="28"/>
      <c r="Q101" s="25"/>
      <c r="R101" s="28"/>
      <c r="S101" s="25"/>
      <c r="T101" s="25"/>
      <c r="U101" s="28"/>
      <c r="V101" s="25"/>
      <c r="W101" s="15" t="s">
        <v>5</v>
      </c>
      <c r="X101" s="52"/>
    </row>
    <row r="102" spans="1:24" ht="20.45" customHeight="1">
      <c r="A102" s="10" t="s">
        <v>90</v>
      </c>
      <c r="B102" s="11">
        <v>1.0532407407407407E-2</v>
      </c>
      <c r="C102" s="11">
        <v>3.0671296296296297E-3</v>
      </c>
      <c r="D102" s="11">
        <f>B102*E102</f>
        <v>6.1277546296296288E-3</v>
      </c>
      <c r="E102" s="12">
        <v>0.58179999999999998</v>
      </c>
      <c r="F102" s="11">
        <f>C102/4</f>
        <v>7.6678240740740743E-4</v>
      </c>
      <c r="G102" s="11">
        <f>D102/7.5</f>
        <v>8.1703395061728389E-4</v>
      </c>
      <c r="H102" s="11">
        <f>B102/12.5</f>
        <v>8.4259259259259259E-4</v>
      </c>
      <c r="I102" s="11">
        <f>G102/0.93</f>
        <v>8.7853112969600415E-4</v>
      </c>
      <c r="J102" s="11">
        <f>G102/0.92</f>
        <v>8.8808038110574329E-4</v>
      </c>
      <c r="K102" s="11">
        <f>G102/0.88</f>
        <v>9.2844767115600447E-4</v>
      </c>
      <c r="L102" s="17">
        <f>G102/0.84</f>
        <v>9.7265946502057604E-4</v>
      </c>
      <c r="M102" s="25"/>
      <c r="N102" s="28"/>
      <c r="O102" s="25"/>
      <c r="P102" s="28"/>
      <c r="Q102" s="25"/>
      <c r="R102" s="28"/>
      <c r="S102" s="25"/>
      <c r="T102" s="25"/>
      <c r="U102" s="28"/>
      <c r="V102" s="25"/>
      <c r="W102" s="15" t="s">
        <v>5</v>
      </c>
      <c r="X102" s="52"/>
    </row>
    <row r="103" spans="1:24" ht="20.45" customHeight="1">
      <c r="A103" s="10" t="s">
        <v>122</v>
      </c>
      <c r="B103" s="11">
        <v>1.0590277777777778E-2</v>
      </c>
      <c r="C103" s="11">
        <v>3.0671296296296297E-3</v>
      </c>
      <c r="D103" s="11">
        <f t="shared" si="40"/>
        <v>6.1614236111111114E-3</v>
      </c>
      <c r="E103" s="12">
        <v>0.58179999999999998</v>
      </c>
      <c r="F103" s="11">
        <f t="shared" si="41"/>
        <v>7.6678240740740743E-4</v>
      </c>
      <c r="G103" s="11">
        <f t="shared" si="42"/>
        <v>8.2152314814814816E-4</v>
      </c>
      <c r="H103" s="11">
        <f t="shared" si="43"/>
        <v>8.472222222222223E-4</v>
      </c>
      <c r="I103" s="11">
        <f t="shared" si="44"/>
        <v>8.8335822381521299E-4</v>
      </c>
      <c r="J103" s="11">
        <f t="shared" si="45"/>
        <v>8.9295994363929141E-4</v>
      </c>
      <c r="K103" s="11">
        <f t="shared" si="46"/>
        <v>9.3354903198653201E-4</v>
      </c>
      <c r="L103" s="11">
        <f t="shared" si="47"/>
        <v>9.7800374779541442E-4</v>
      </c>
      <c r="M103" s="25"/>
      <c r="N103" s="28"/>
      <c r="O103" s="25"/>
      <c r="P103" s="28"/>
      <c r="Q103" s="25"/>
      <c r="R103" s="28"/>
      <c r="S103" s="25"/>
      <c r="T103" s="25"/>
      <c r="U103" s="28"/>
      <c r="V103" s="25"/>
      <c r="W103" s="15" t="s">
        <v>5</v>
      </c>
      <c r="X103" s="52"/>
    </row>
    <row r="104" spans="1:24" ht="20.45" customHeight="1">
      <c r="A104" s="10" t="s">
        <v>106</v>
      </c>
      <c r="B104" s="11">
        <v>1.0590277777777778E-2</v>
      </c>
      <c r="C104" s="11">
        <v>2.9745370370370373E-3</v>
      </c>
      <c r="D104" s="11">
        <f t="shared" si="40"/>
        <v>6.1614236111111114E-3</v>
      </c>
      <c r="E104" s="12">
        <v>0.58179999999999998</v>
      </c>
      <c r="F104" s="11">
        <f t="shared" si="41"/>
        <v>7.4363425925925931E-4</v>
      </c>
      <c r="G104" s="11">
        <f t="shared" si="42"/>
        <v>8.2152314814814816E-4</v>
      </c>
      <c r="H104" s="11">
        <f t="shared" si="43"/>
        <v>8.472222222222223E-4</v>
      </c>
      <c r="I104" s="11">
        <f t="shared" si="44"/>
        <v>8.8335822381521299E-4</v>
      </c>
      <c r="J104" s="11">
        <f t="shared" si="45"/>
        <v>8.9295994363929141E-4</v>
      </c>
      <c r="K104" s="11">
        <f t="shared" si="46"/>
        <v>9.3354903198653201E-4</v>
      </c>
      <c r="L104" s="11">
        <f t="shared" si="47"/>
        <v>9.7800374779541442E-4</v>
      </c>
      <c r="M104" s="25"/>
      <c r="N104" s="28"/>
      <c r="O104" s="25"/>
      <c r="P104" s="28"/>
      <c r="Q104" s="25"/>
      <c r="R104" s="28"/>
      <c r="S104" s="25"/>
      <c r="T104" s="25"/>
      <c r="U104" s="28"/>
      <c r="V104" s="25"/>
      <c r="W104" s="15" t="s">
        <v>5</v>
      </c>
      <c r="X104" s="52"/>
    </row>
    <row r="105" spans="1:24" ht="20.45" customHeight="1">
      <c r="A105" s="10" t="s">
        <v>123</v>
      </c>
      <c r="B105" s="11">
        <v>1.0590277777777778E-2</v>
      </c>
      <c r="C105" s="11">
        <v>3.1828703703703702E-3</v>
      </c>
      <c r="D105" s="11">
        <f t="shared" si="40"/>
        <v>6.1614236111111114E-3</v>
      </c>
      <c r="E105" s="12">
        <v>0.58179999999999998</v>
      </c>
      <c r="F105" s="11">
        <f t="shared" si="41"/>
        <v>7.9571759259259255E-4</v>
      </c>
      <c r="G105" s="11">
        <f t="shared" si="42"/>
        <v>8.2152314814814816E-4</v>
      </c>
      <c r="H105" s="11">
        <f t="shared" si="43"/>
        <v>8.472222222222223E-4</v>
      </c>
      <c r="I105" s="11">
        <f t="shared" si="44"/>
        <v>8.8335822381521299E-4</v>
      </c>
      <c r="J105" s="11">
        <f t="shared" si="45"/>
        <v>8.9295994363929141E-4</v>
      </c>
      <c r="K105" s="11">
        <f t="shared" si="46"/>
        <v>9.3354903198653201E-4</v>
      </c>
      <c r="L105" s="11">
        <f t="shared" si="47"/>
        <v>9.7800374779541442E-4</v>
      </c>
      <c r="M105" s="25"/>
      <c r="N105" s="28"/>
      <c r="O105" s="25"/>
      <c r="P105" s="28"/>
      <c r="Q105" s="25"/>
      <c r="R105" s="28"/>
      <c r="S105" s="25"/>
      <c r="T105" s="25"/>
      <c r="U105" s="28"/>
      <c r="V105" s="25"/>
      <c r="W105" s="15" t="s">
        <v>5</v>
      </c>
      <c r="X105" s="52"/>
    </row>
    <row r="106" spans="1:24" ht="20.45" customHeight="1">
      <c r="A106" s="10" t="s">
        <v>91</v>
      </c>
      <c r="B106" s="11">
        <v>1.0590277777777778E-2</v>
      </c>
      <c r="C106" s="11">
        <v>3.1249999999999997E-3</v>
      </c>
      <c r="D106" s="11">
        <f t="shared" si="40"/>
        <v>6.1614236111111114E-3</v>
      </c>
      <c r="E106" s="12">
        <v>0.58179999999999998</v>
      </c>
      <c r="F106" s="11">
        <f t="shared" si="41"/>
        <v>7.8124999999999993E-4</v>
      </c>
      <c r="G106" s="11">
        <f t="shared" si="42"/>
        <v>8.2152314814814816E-4</v>
      </c>
      <c r="H106" s="11">
        <f t="shared" si="43"/>
        <v>8.472222222222223E-4</v>
      </c>
      <c r="I106" s="11">
        <f t="shared" si="44"/>
        <v>8.8335822381521299E-4</v>
      </c>
      <c r="J106" s="11">
        <f t="shared" si="45"/>
        <v>8.9295994363929141E-4</v>
      </c>
      <c r="K106" s="11">
        <f t="shared" si="46"/>
        <v>9.3354903198653201E-4</v>
      </c>
      <c r="L106" s="11">
        <f t="shared" si="47"/>
        <v>9.7800374779541442E-4</v>
      </c>
      <c r="M106" s="25"/>
      <c r="N106" s="28"/>
      <c r="O106" s="25"/>
      <c r="P106" s="28"/>
      <c r="Q106" s="25"/>
      <c r="R106" s="28"/>
      <c r="S106" s="25"/>
      <c r="T106" s="25"/>
      <c r="U106" s="28"/>
      <c r="V106" s="25"/>
      <c r="W106" s="15" t="s">
        <v>5</v>
      </c>
      <c r="X106" s="52"/>
    </row>
    <row r="107" spans="1:24" ht="20.45" customHeight="1">
      <c r="A107" s="10" t="s">
        <v>124</v>
      </c>
      <c r="B107" s="11">
        <v>1.0590277777777778E-2</v>
      </c>
      <c r="C107" s="11"/>
      <c r="D107" s="11">
        <f>B107*E107</f>
        <v>6.1614236111111114E-3</v>
      </c>
      <c r="E107" s="12">
        <v>0.58179999999999998</v>
      </c>
      <c r="F107" s="11">
        <f>C107/4</f>
        <v>0</v>
      </c>
      <c r="G107" s="11">
        <f>D107/7.5</f>
        <v>8.2152314814814816E-4</v>
      </c>
      <c r="H107" s="11">
        <f>B107/12.5</f>
        <v>8.472222222222223E-4</v>
      </c>
      <c r="I107" s="11">
        <f>G107/0.93</f>
        <v>8.8335822381521299E-4</v>
      </c>
      <c r="J107" s="11">
        <f>G107/0.92</f>
        <v>8.9295994363929141E-4</v>
      </c>
      <c r="K107" s="11">
        <f>G107/0.88</f>
        <v>9.3354903198653201E-4</v>
      </c>
      <c r="L107" s="11">
        <f>G107/0.84</f>
        <v>9.7800374779541442E-4</v>
      </c>
      <c r="M107" s="25"/>
      <c r="N107" s="28"/>
      <c r="O107" s="25"/>
      <c r="P107" s="28"/>
      <c r="Q107" s="25"/>
      <c r="R107" s="28"/>
      <c r="S107" s="25"/>
      <c r="T107" s="25"/>
      <c r="U107" s="28"/>
      <c r="V107" s="25"/>
      <c r="W107" s="15" t="s">
        <v>5</v>
      </c>
      <c r="X107" s="52"/>
    </row>
    <row r="108" spans="1:24" ht="20.45" customHeight="1">
      <c r="A108" s="10" t="s">
        <v>125</v>
      </c>
      <c r="B108" s="11">
        <v>1.0648148148148148E-2</v>
      </c>
      <c r="C108" s="11"/>
      <c r="D108" s="11">
        <f t="shared" si="40"/>
        <v>6.1950925925925923E-3</v>
      </c>
      <c r="E108" s="12">
        <v>0.58179999999999998</v>
      </c>
      <c r="F108" s="11">
        <f t="shared" si="41"/>
        <v>0</v>
      </c>
      <c r="G108" s="11">
        <f t="shared" si="42"/>
        <v>8.2601234567901232E-4</v>
      </c>
      <c r="H108" s="11">
        <f t="shared" si="43"/>
        <v>8.5185185185185179E-4</v>
      </c>
      <c r="I108" s="11">
        <f t="shared" si="44"/>
        <v>8.8818531793442184E-4</v>
      </c>
      <c r="J108" s="11">
        <f t="shared" si="45"/>
        <v>8.9783950617283942E-4</v>
      </c>
      <c r="K108" s="11">
        <f t="shared" si="46"/>
        <v>9.3865039281705945E-4</v>
      </c>
      <c r="L108" s="11">
        <f t="shared" si="47"/>
        <v>9.833480305702527E-4</v>
      </c>
      <c r="M108" s="25"/>
      <c r="N108" s="28"/>
      <c r="O108" s="25"/>
      <c r="P108" s="28"/>
      <c r="Q108" s="25"/>
      <c r="R108" s="28"/>
      <c r="S108" s="25"/>
      <c r="T108" s="25"/>
      <c r="U108" s="28"/>
      <c r="V108" s="25"/>
      <c r="W108" s="15" t="s">
        <v>5</v>
      </c>
      <c r="X108" s="52"/>
    </row>
    <row r="109" spans="1:24" ht="20.45" customHeight="1">
      <c r="A109" s="10" t="s">
        <v>126</v>
      </c>
      <c r="B109" s="11">
        <v>1.0648148148148148E-2</v>
      </c>
      <c r="C109" s="11"/>
      <c r="D109" s="11">
        <f t="shared" si="40"/>
        <v>6.1950925925925923E-3</v>
      </c>
      <c r="E109" s="12">
        <v>0.58179999999999998</v>
      </c>
      <c r="F109" s="11">
        <f t="shared" si="41"/>
        <v>0</v>
      </c>
      <c r="G109" s="11">
        <f t="shared" si="42"/>
        <v>8.2601234567901232E-4</v>
      </c>
      <c r="H109" s="11">
        <f t="shared" si="43"/>
        <v>8.5185185185185179E-4</v>
      </c>
      <c r="I109" s="11">
        <f t="shared" si="44"/>
        <v>8.8818531793442184E-4</v>
      </c>
      <c r="J109" s="11">
        <f t="shared" si="45"/>
        <v>8.9783950617283942E-4</v>
      </c>
      <c r="K109" s="11">
        <f t="shared" si="46"/>
        <v>9.3865039281705945E-4</v>
      </c>
      <c r="L109" s="11">
        <f t="shared" si="47"/>
        <v>9.833480305702527E-4</v>
      </c>
      <c r="M109" s="25"/>
      <c r="N109" s="28"/>
      <c r="O109" s="25"/>
      <c r="P109" s="28"/>
      <c r="Q109" s="25"/>
      <c r="R109" s="28"/>
      <c r="S109" s="25"/>
      <c r="T109" s="25"/>
      <c r="U109" s="28"/>
      <c r="V109" s="25"/>
      <c r="W109" s="15" t="s">
        <v>5</v>
      </c>
      <c r="X109" s="52"/>
    </row>
    <row r="110" spans="1:24" ht="20.45" customHeight="1">
      <c r="A110" s="10" t="s">
        <v>127</v>
      </c>
      <c r="B110" s="11">
        <v>1.0648148148148148E-2</v>
      </c>
      <c r="C110" s="11">
        <v>2.9513888888888888E-3</v>
      </c>
      <c r="D110" s="11">
        <f>B110*E110</f>
        <v>6.1950925925925923E-3</v>
      </c>
      <c r="E110" s="12">
        <v>0.58179999999999998</v>
      </c>
      <c r="F110" s="11">
        <f>C110/4</f>
        <v>7.378472222222222E-4</v>
      </c>
      <c r="G110" s="11">
        <f>D110/7.5</f>
        <v>8.2601234567901232E-4</v>
      </c>
      <c r="H110" s="11">
        <f>B110/12.5</f>
        <v>8.5185185185185179E-4</v>
      </c>
      <c r="I110" s="11">
        <f>G110/0.93</f>
        <v>8.8818531793442184E-4</v>
      </c>
      <c r="J110" s="11">
        <f>G110/0.92</f>
        <v>8.9783950617283942E-4</v>
      </c>
      <c r="K110" s="11">
        <f>G110/0.88</f>
        <v>9.3865039281705945E-4</v>
      </c>
      <c r="L110" s="11">
        <f>G110/0.84</f>
        <v>9.833480305702527E-4</v>
      </c>
      <c r="M110" s="25"/>
      <c r="N110" s="28"/>
      <c r="O110" s="25"/>
      <c r="P110" s="28"/>
      <c r="Q110" s="25"/>
      <c r="R110" s="28"/>
      <c r="S110" s="25"/>
      <c r="T110" s="25"/>
      <c r="U110" s="28"/>
      <c r="V110" s="25"/>
      <c r="W110" s="15" t="s">
        <v>5</v>
      </c>
      <c r="X110" s="52"/>
    </row>
    <row r="111" spans="1:24" ht="20.45" customHeight="1">
      <c r="A111" s="10" t="s">
        <v>128</v>
      </c>
      <c r="B111" s="11">
        <v>1.0648148148148148E-2</v>
      </c>
      <c r="C111" s="11"/>
      <c r="D111" s="11">
        <f>B111*E111</f>
        <v>6.1950925925925923E-3</v>
      </c>
      <c r="E111" s="12">
        <v>0.58179999999999998</v>
      </c>
      <c r="F111" s="11">
        <f>C111/4</f>
        <v>0</v>
      </c>
      <c r="G111" s="11">
        <f>D111/7.5</f>
        <v>8.2601234567901232E-4</v>
      </c>
      <c r="H111" s="11">
        <f>B111/12.5</f>
        <v>8.5185185185185179E-4</v>
      </c>
      <c r="I111" s="11">
        <f>G111/0.93</f>
        <v>8.8818531793442184E-4</v>
      </c>
      <c r="J111" s="11">
        <f>G111/0.92</f>
        <v>8.9783950617283942E-4</v>
      </c>
      <c r="K111" s="11">
        <f>G111/0.88</f>
        <v>9.3865039281705945E-4</v>
      </c>
      <c r="L111" s="11">
        <f>G111/0.84</f>
        <v>9.833480305702527E-4</v>
      </c>
      <c r="M111" s="25"/>
      <c r="N111" s="28"/>
      <c r="O111" s="25"/>
      <c r="P111" s="28"/>
      <c r="Q111" s="25"/>
      <c r="R111" s="28"/>
      <c r="S111" s="25"/>
      <c r="T111" s="25"/>
      <c r="U111" s="28"/>
      <c r="V111" s="25"/>
      <c r="W111" s="15" t="s">
        <v>5</v>
      </c>
      <c r="X111" s="52"/>
    </row>
    <row r="112" spans="1:24" ht="20.45" customHeight="1">
      <c r="A112" s="10" t="s">
        <v>129</v>
      </c>
      <c r="B112" s="11">
        <v>1.0763888888888891E-2</v>
      </c>
      <c r="C112" s="11">
        <v>3.0092592592592593E-3</v>
      </c>
      <c r="D112" s="11">
        <f>B112*E112</f>
        <v>6.2624305555555567E-3</v>
      </c>
      <c r="E112" s="12">
        <v>0.58179999999999998</v>
      </c>
      <c r="F112" s="11">
        <f>C112/4</f>
        <v>7.5231481481481482E-4</v>
      </c>
      <c r="G112" s="11">
        <f>D112/7.5</f>
        <v>8.3499074074074085E-4</v>
      </c>
      <c r="H112" s="11">
        <f>B112/12.5</f>
        <v>8.6111111111111121E-4</v>
      </c>
      <c r="I112" s="11">
        <f>G112/0.93</f>
        <v>8.9783950617283953E-4</v>
      </c>
      <c r="J112" s="11">
        <f>G112/0.92</f>
        <v>9.0759863123993567E-4</v>
      </c>
      <c r="K112" s="11">
        <f>G112/0.88</f>
        <v>9.4885311447811464E-4</v>
      </c>
      <c r="L112" s="11">
        <f>G112/0.84</f>
        <v>9.9403659611992969E-4</v>
      </c>
      <c r="M112" s="25"/>
      <c r="N112" s="28"/>
      <c r="O112" s="25"/>
      <c r="P112" s="28"/>
      <c r="Q112" s="25"/>
      <c r="R112" s="28"/>
      <c r="S112" s="25"/>
      <c r="T112" s="25"/>
      <c r="U112" s="28"/>
      <c r="V112" s="25"/>
      <c r="W112" s="15" t="s">
        <v>5</v>
      </c>
      <c r="X112" s="52"/>
    </row>
    <row r="113" spans="1:24" ht="20.45" customHeight="1">
      <c r="A113" s="10" t="s">
        <v>130</v>
      </c>
      <c r="B113" s="11">
        <v>1.0763888888888891E-2</v>
      </c>
      <c r="C113" s="11">
        <v>3.1828703703703702E-3</v>
      </c>
      <c r="D113" s="11">
        <f>B113*E113</f>
        <v>6.2624305555555567E-3</v>
      </c>
      <c r="E113" s="12">
        <v>0.58179999999999998</v>
      </c>
      <c r="F113" s="11">
        <f>C113/4</f>
        <v>7.9571759259259255E-4</v>
      </c>
      <c r="G113" s="11">
        <f>D113/7.5</f>
        <v>8.3499074074074085E-4</v>
      </c>
      <c r="H113" s="11">
        <f>B113/12.5</f>
        <v>8.6111111111111121E-4</v>
      </c>
      <c r="I113" s="11">
        <f>G113/0.93</f>
        <v>8.9783950617283953E-4</v>
      </c>
      <c r="J113" s="11">
        <f>G113/0.92</f>
        <v>9.0759863123993567E-4</v>
      </c>
      <c r="K113" s="11">
        <f>G113/0.88</f>
        <v>9.4885311447811464E-4</v>
      </c>
      <c r="L113" s="11">
        <f>G113/0.84</f>
        <v>9.9403659611992969E-4</v>
      </c>
      <c r="M113" s="25"/>
      <c r="N113" s="28"/>
      <c r="O113" s="25"/>
      <c r="P113" s="28"/>
      <c r="Q113" s="25"/>
      <c r="R113" s="28"/>
      <c r="S113" s="25"/>
      <c r="T113" s="25"/>
      <c r="U113" s="28"/>
      <c r="V113" s="25"/>
      <c r="W113" s="15" t="s">
        <v>5</v>
      </c>
      <c r="X113" s="52"/>
    </row>
    <row r="114" spans="1:24" ht="20.45" customHeight="1">
      <c r="A114" s="10" t="s">
        <v>131</v>
      </c>
      <c r="B114" s="11">
        <v>1.0763888888888891E-2</v>
      </c>
      <c r="C114" s="11">
        <v>3.1828703703703702E-3</v>
      </c>
      <c r="D114" s="11">
        <f t="shared" si="40"/>
        <v>6.2624305555555567E-3</v>
      </c>
      <c r="E114" s="12">
        <v>0.58179999999999998</v>
      </c>
      <c r="F114" s="11">
        <f t="shared" si="41"/>
        <v>7.9571759259259255E-4</v>
      </c>
      <c r="G114" s="11">
        <f t="shared" si="42"/>
        <v>8.3499074074074085E-4</v>
      </c>
      <c r="H114" s="11">
        <f t="shared" si="43"/>
        <v>8.6111111111111121E-4</v>
      </c>
      <c r="I114" s="11">
        <f t="shared" si="44"/>
        <v>8.9783950617283953E-4</v>
      </c>
      <c r="J114" s="11">
        <f t="shared" si="45"/>
        <v>9.0759863123993567E-4</v>
      </c>
      <c r="K114" s="11">
        <f t="shared" si="46"/>
        <v>9.4885311447811464E-4</v>
      </c>
      <c r="L114" s="11">
        <f t="shared" si="47"/>
        <v>9.9403659611992969E-4</v>
      </c>
      <c r="M114" s="25"/>
      <c r="N114" s="28"/>
      <c r="O114" s="25"/>
      <c r="P114" s="28"/>
      <c r="Q114" s="25"/>
      <c r="R114" s="28"/>
      <c r="S114" s="25"/>
      <c r="T114" s="25"/>
      <c r="U114" s="28"/>
      <c r="V114" s="25"/>
      <c r="W114" s="15" t="s">
        <v>5</v>
      </c>
      <c r="X114" s="52"/>
    </row>
    <row r="115" spans="1:24" ht="20.45" customHeight="1" thickBot="1">
      <c r="A115" s="10" t="s">
        <v>132</v>
      </c>
      <c r="B115" s="11">
        <v>1.0763888888888891E-2</v>
      </c>
      <c r="C115" s="11"/>
      <c r="D115" s="11">
        <f t="shared" si="40"/>
        <v>6.2624305555555567E-3</v>
      </c>
      <c r="E115" s="12">
        <v>0.58179999999999998</v>
      </c>
      <c r="F115" s="11">
        <f t="shared" si="41"/>
        <v>0</v>
      </c>
      <c r="G115" s="11">
        <f t="shared" si="42"/>
        <v>8.3499074074074085E-4</v>
      </c>
      <c r="H115" s="11">
        <f t="shared" si="43"/>
        <v>8.6111111111111121E-4</v>
      </c>
      <c r="I115" s="11">
        <f t="shared" si="44"/>
        <v>8.9783950617283953E-4</v>
      </c>
      <c r="J115" s="11">
        <f t="shared" si="45"/>
        <v>9.0759863123993567E-4</v>
      </c>
      <c r="K115" s="11">
        <f t="shared" si="46"/>
        <v>9.4885311447811464E-4</v>
      </c>
      <c r="L115" s="11">
        <f t="shared" si="47"/>
        <v>9.9403659611992969E-4</v>
      </c>
      <c r="M115" s="25"/>
      <c r="N115" s="28"/>
      <c r="O115" s="25"/>
      <c r="P115" s="28"/>
      <c r="Q115" s="25"/>
      <c r="R115" s="28"/>
      <c r="S115" s="25"/>
      <c r="T115" s="25"/>
      <c r="U115" s="28"/>
      <c r="V115" s="25"/>
      <c r="W115" s="27" t="s">
        <v>5</v>
      </c>
      <c r="X115" s="52"/>
    </row>
    <row r="116" spans="1:24" ht="20.45" customHeight="1">
      <c r="A116" s="1" t="s">
        <v>173</v>
      </c>
      <c r="B116" s="6"/>
      <c r="C116" s="6"/>
      <c r="D116" s="6"/>
      <c r="E116" s="20"/>
      <c r="F116" s="6"/>
      <c r="G116" s="6"/>
      <c r="H116" s="6"/>
      <c r="I116" s="6"/>
      <c r="J116" s="6"/>
      <c r="K116" s="6"/>
      <c r="L116" s="6"/>
      <c r="M116" s="6"/>
      <c r="N116" s="6"/>
      <c r="O116" s="6"/>
      <c r="P116" s="6"/>
      <c r="Q116" s="6"/>
      <c r="R116" s="6"/>
      <c r="S116" s="6"/>
      <c r="T116" s="6"/>
      <c r="U116" s="6"/>
      <c r="V116" s="23"/>
      <c r="W116" s="35"/>
      <c r="X116" s="52"/>
    </row>
    <row r="117" spans="1:24" ht="20.45" customHeight="1">
      <c r="A117" s="10" t="s">
        <v>133</v>
      </c>
      <c r="B117" s="11">
        <v>1.0763888888888891E-2</v>
      </c>
      <c r="C117" s="11">
        <v>3.1250000000000002E-3</v>
      </c>
      <c r="D117" s="11">
        <f t="shared" si="40"/>
        <v>6.2624305555555567E-3</v>
      </c>
      <c r="E117" s="12">
        <v>0.58179999999999998</v>
      </c>
      <c r="F117" s="11">
        <f t="shared" si="41"/>
        <v>7.8125000000000004E-4</v>
      </c>
      <c r="G117" s="11">
        <f t="shared" si="42"/>
        <v>8.3499074074074085E-4</v>
      </c>
      <c r="H117" s="11">
        <f t="shared" si="43"/>
        <v>8.6111111111111121E-4</v>
      </c>
      <c r="I117" s="11">
        <f t="shared" si="44"/>
        <v>8.9783950617283953E-4</v>
      </c>
      <c r="J117" s="11">
        <f t="shared" si="45"/>
        <v>9.0759863123993567E-4</v>
      </c>
      <c r="K117" s="11">
        <f t="shared" si="46"/>
        <v>9.4885311447811464E-4</v>
      </c>
      <c r="L117" s="11">
        <f t="shared" si="47"/>
        <v>9.9403659611992969E-4</v>
      </c>
      <c r="M117" s="25"/>
      <c r="N117" s="28"/>
      <c r="O117" s="25"/>
      <c r="P117" s="28"/>
      <c r="Q117" s="25"/>
      <c r="R117" s="28"/>
      <c r="S117" s="25"/>
      <c r="T117" s="25"/>
      <c r="U117" s="28"/>
      <c r="V117" s="25"/>
      <c r="W117" s="15" t="s">
        <v>5</v>
      </c>
      <c r="X117" s="52"/>
    </row>
    <row r="118" spans="1:24" ht="20.45" customHeight="1">
      <c r="A118" s="10" t="s">
        <v>134</v>
      </c>
      <c r="B118" s="11">
        <v>1.1631944444444445E-2</v>
      </c>
      <c r="C118" s="11"/>
      <c r="D118" s="11">
        <f>B118*E118</f>
        <v>6.7674652777777776E-3</v>
      </c>
      <c r="E118" s="12">
        <v>0.58179999999999998</v>
      </c>
      <c r="F118" s="11">
        <f>C118/4</f>
        <v>0</v>
      </c>
      <c r="G118" s="11">
        <f>D118/7.5</f>
        <v>9.0232870370370369E-4</v>
      </c>
      <c r="H118" s="11">
        <f>B118/12.5</f>
        <v>9.3055555555555556E-4</v>
      </c>
      <c r="I118" s="11">
        <f>G118/0.93</f>
        <v>9.7024591796097167E-4</v>
      </c>
      <c r="J118" s="11">
        <f>G118/0.92</f>
        <v>9.8079206924315621E-4</v>
      </c>
      <c r="K118" s="11">
        <f>G118/0.88</f>
        <v>1.0253735269360269E-3</v>
      </c>
      <c r="L118" s="11">
        <f>G118/0.84</f>
        <v>1.0742008377425045E-3</v>
      </c>
      <c r="M118" s="25"/>
      <c r="N118" s="28"/>
      <c r="O118" s="25"/>
      <c r="P118" s="28"/>
      <c r="Q118" s="25"/>
      <c r="R118" s="28"/>
      <c r="S118" s="25"/>
      <c r="T118" s="25"/>
      <c r="U118" s="28"/>
      <c r="V118" s="25"/>
      <c r="W118" s="27" t="s">
        <v>5</v>
      </c>
      <c r="X118" s="50"/>
    </row>
    <row r="119" spans="1:24" ht="20.45" customHeight="1">
      <c r="A119" s="10" t="s">
        <v>135</v>
      </c>
      <c r="B119" s="11">
        <v>1.1631944444444445E-2</v>
      </c>
      <c r="C119" s="11">
        <v>3.414351851851852E-3</v>
      </c>
      <c r="D119" s="11">
        <f>B119*E119</f>
        <v>6.7674652777777776E-3</v>
      </c>
      <c r="E119" s="12">
        <v>0.58179999999999998</v>
      </c>
      <c r="F119" s="11">
        <f>C119/4</f>
        <v>8.53587962962963E-4</v>
      </c>
      <c r="G119" s="11">
        <f>D119/7.5</f>
        <v>9.0232870370370369E-4</v>
      </c>
      <c r="H119" s="11">
        <f>B119/12.5</f>
        <v>9.3055555555555556E-4</v>
      </c>
      <c r="I119" s="11">
        <f>G119/0.93</f>
        <v>9.7024591796097167E-4</v>
      </c>
      <c r="J119" s="11">
        <f>G119/0.92</f>
        <v>9.8079206924315621E-4</v>
      </c>
      <c r="K119" s="11">
        <f>G119/0.88</f>
        <v>1.0253735269360269E-3</v>
      </c>
      <c r="L119" s="17">
        <f>G119/0.84</f>
        <v>1.0742008377425045E-3</v>
      </c>
      <c r="M119" s="25"/>
      <c r="N119" s="28"/>
      <c r="O119" s="25"/>
      <c r="P119" s="28"/>
      <c r="Q119" s="25"/>
      <c r="R119" s="28"/>
      <c r="S119" s="25"/>
      <c r="T119" s="25"/>
      <c r="U119" s="28"/>
      <c r="V119" s="25"/>
      <c r="W119" s="15" t="s">
        <v>5</v>
      </c>
      <c r="X119" s="50"/>
    </row>
    <row r="120" spans="1:24" ht="20.45" customHeight="1">
      <c r="A120" s="10" t="s">
        <v>136</v>
      </c>
      <c r="B120" s="11">
        <v>1.1111111111111112E-2</v>
      </c>
      <c r="C120" s="11">
        <v>3.1828703703703702E-3</v>
      </c>
      <c r="D120" s="11">
        <f>B120*E120</f>
        <v>6.4644444444444445E-3</v>
      </c>
      <c r="E120" s="12">
        <v>0.58179999999999998</v>
      </c>
      <c r="F120" s="11">
        <f>C120/4</f>
        <v>7.9571759259259255E-4</v>
      </c>
      <c r="G120" s="11">
        <f>D120/7.5</f>
        <v>8.6192592592592592E-4</v>
      </c>
      <c r="H120" s="11">
        <f>B120/12.5</f>
        <v>8.8888888888888893E-4</v>
      </c>
      <c r="I120" s="11">
        <f>G120/0.93</f>
        <v>9.2680207088809239E-4</v>
      </c>
      <c r="J120" s="11">
        <f>G120/0.92</f>
        <v>9.3687600644122375E-4</v>
      </c>
      <c r="K120" s="11">
        <f>G120/0.88</f>
        <v>9.7946127946127947E-4</v>
      </c>
      <c r="L120" s="11">
        <f>G120/0.84</f>
        <v>1.0261022927689596E-3</v>
      </c>
      <c r="M120" s="25"/>
      <c r="N120" s="28"/>
      <c r="O120" s="25"/>
      <c r="P120" s="28"/>
      <c r="Q120" s="25"/>
      <c r="R120" s="28"/>
      <c r="S120" s="25"/>
      <c r="T120" s="25"/>
      <c r="U120" s="28"/>
      <c r="V120" s="25"/>
      <c r="W120" s="15" t="s">
        <v>5</v>
      </c>
      <c r="X120" s="50"/>
    </row>
    <row r="121" spans="1:24" ht="20.45" customHeight="1">
      <c r="A121" s="10" t="s">
        <v>137</v>
      </c>
      <c r="B121" s="11">
        <v>1.0763888888888891E-2</v>
      </c>
      <c r="C121" s="11">
        <v>3.0092592592592593E-3</v>
      </c>
      <c r="D121" s="11">
        <f>B121*E121</f>
        <v>6.2624305555555567E-3</v>
      </c>
      <c r="E121" s="12">
        <v>0.58179999999999998</v>
      </c>
      <c r="F121" s="11">
        <f>C121/4</f>
        <v>7.5231481481481482E-4</v>
      </c>
      <c r="G121" s="11">
        <f>D121/7.5</f>
        <v>8.3499074074074085E-4</v>
      </c>
      <c r="H121" s="11">
        <f>B121/12.5</f>
        <v>8.6111111111111121E-4</v>
      </c>
      <c r="I121" s="11">
        <f>G121/0.93</f>
        <v>8.9783950617283953E-4</v>
      </c>
      <c r="J121" s="11">
        <f>G121/0.92</f>
        <v>9.0759863123993567E-4</v>
      </c>
      <c r="K121" s="11">
        <f>G121/0.88</f>
        <v>9.4885311447811464E-4</v>
      </c>
      <c r="L121" s="11">
        <f>G121/0.84</f>
        <v>9.9403659611992969E-4</v>
      </c>
      <c r="M121" s="25"/>
      <c r="N121" s="28"/>
      <c r="O121" s="25"/>
      <c r="P121" s="28"/>
      <c r="Q121" s="25"/>
      <c r="R121" s="28"/>
      <c r="S121" s="25"/>
      <c r="T121" s="25"/>
      <c r="U121" s="28"/>
      <c r="V121" s="25"/>
      <c r="W121" s="15" t="s">
        <v>5</v>
      </c>
      <c r="X121" s="50"/>
    </row>
    <row r="122" spans="1:24" ht="20.45" customHeight="1">
      <c r="A122" s="10" t="s">
        <v>95</v>
      </c>
      <c r="B122" s="11">
        <v>1.0243055555555556E-2</v>
      </c>
      <c r="C122" s="11">
        <v>2.9513888888888888E-3</v>
      </c>
      <c r="D122" s="11">
        <f>B122*E122</f>
        <v>5.9594097222222218E-3</v>
      </c>
      <c r="E122" s="12">
        <v>0.58179999999999998</v>
      </c>
      <c r="F122" s="11">
        <f>C122/4</f>
        <v>7.378472222222222E-4</v>
      </c>
      <c r="G122" s="11">
        <f>D122/7.5</f>
        <v>7.9458796296296287E-4</v>
      </c>
      <c r="H122" s="11">
        <f>B122/12.5</f>
        <v>8.1944444444444447E-4</v>
      </c>
      <c r="I122" s="11">
        <f>G122/0.93</f>
        <v>8.5439565909996003E-4</v>
      </c>
      <c r="J122" s="11">
        <f>G122/0.92</f>
        <v>8.636825684380031E-4</v>
      </c>
      <c r="K122" s="11">
        <f>G122/0.88</f>
        <v>9.0294086700336686E-4</v>
      </c>
      <c r="L122" s="11">
        <f>G122/0.84</f>
        <v>9.4593805114638445E-4</v>
      </c>
      <c r="M122" s="25"/>
      <c r="N122" s="28"/>
      <c r="O122" s="25"/>
      <c r="P122" s="28"/>
      <c r="Q122" s="25"/>
      <c r="R122" s="28"/>
      <c r="S122" s="25"/>
      <c r="T122" s="25"/>
      <c r="U122" s="28"/>
      <c r="V122" s="25"/>
      <c r="W122" s="15" t="s">
        <v>5</v>
      </c>
      <c r="X122" s="50"/>
    </row>
    <row r="123" spans="1:24" ht="20.45" customHeight="1">
      <c r="A123" s="10"/>
      <c r="B123" s="11"/>
      <c r="C123" s="11"/>
      <c r="D123" s="11"/>
      <c r="E123" s="12"/>
      <c r="F123" s="11"/>
      <c r="G123" s="11"/>
      <c r="H123" s="11"/>
      <c r="I123" s="11"/>
      <c r="J123" s="11"/>
      <c r="K123" s="11"/>
      <c r="L123" s="11"/>
      <c r="M123" s="25"/>
      <c r="N123" s="28"/>
      <c r="O123" s="25"/>
      <c r="P123" s="28"/>
      <c r="Q123" s="25"/>
      <c r="R123" s="28"/>
      <c r="S123" s="25"/>
      <c r="T123" s="28"/>
      <c r="U123" s="28"/>
      <c r="V123" s="25"/>
      <c r="W123" s="15"/>
      <c r="X123" s="50"/>
    </row>
    <row r="124" spans="1:24" ht="20.45" customHeight="1">
      <c r="A124" s="19"/>
      <c r="B124" s="6"/>
      <c r="C124" s="6"/>
      <c r="D124" s="6"/>
      <c r="E124" s="20"/>
      <c r="F124" s="6"/>
      <c r="G124" s="6"/>
      <c r="H124" s="6"/>
      <c r="I124" s="6"/>
      <c r="J124" s="6"/>
      <c r="K124" s="6"/>
      <c r="L124" s="6"/>
      <c r="M124" s="6"/>
      <c r="N124" s="6"/>
      <c r="O124" s="6"/>
      <c r="P124" s="6"/>
      <c r="Q124" s="6"/>
      <c r="R124" s="6"/>
      <c r="S124" s="6"/>
      <c r="T124" s="6"/>
      <c r="U124" s="6"/>
      <c r="V124" s="23"/>
      <c r="W124" s="35"/>
      <c r="X124" s="50"/>
    </row>
    <row r="125" spans="1:24" ht="20.45" customHeight="1">
      <c r="A125" s="10" t="s">
        <v>107</v>
      </c>
      <c r="B125" s="11">
        <v>1.1111111111111112E-2</v>
      </c>
      <c r="C125" s="11">
        <v>3.2407407407407406E-3</v>
      </c>
      <c r="D125" s="11">
        <f t="shared" ref="D125:D127" si="48">B125*E125</f>
        <v>6.4644444444444445E-3</v>
      </c>
      <c r="E125" s="12">
        <v>0.58179999999999998</v>
      </c>
      <c r="F125" s="11">
        <f t="shared" ref="F125:F127" si="49">C125/4</f>
        <v>8.1018518518518516E-4</v>
      </c>
      <c r="G125" s="11">
        <f t="shared" ref="G125:G127" si="50">D125/7.5</f>
        <v>8.6192592592592592E-4</v>
      </c>
      <c r="H125" s="11">
        <f t="shared" ref="H125:H127" si="51">B125/12.5</f>
        <v>8.8888888888888893E-4</v>
      </c>
      <c r="I125" s="11">
        <f t="shared" ref="I125:I127" si="52">G125/0.93</f>
        <v>9.2680207088809239E-4</v>
      </c>
      <c r="J125" s="11">
        <f t="shared" ref="J125:J127" si="53">G125/0.92</f>
        <v>9.3687600644122375E-4</v>
      </c>
      <c r="K125" s="11">
        <f t="shared" ref="K125:K127" si="54">G125/0.88</f>
        <v>9.7946127946127947E-4</v>
      </c>
      <c r="L125" s="11">
        <f t="shared" ref="L125:L127" si="55">G125/0.84</f>
        <v>1.0261022927689596E-3</v>
      </c>
      <c r="M125" s="25"/>
      <c r="N125" s="28"/>
      <c r="O125" s="25"/>
      <c r="P125" s="25"/>
      <c r="Q125" s="25"/>
      <c r="R125" s="28"/>
      <c r="S125" s="25"/>
      <c r="T125" s="25"/>
      <c r="U125" s="28"/>
      <c r="V125" s="28"/>
      <c r="W125" s="15" t="s">
        <v>52</v>
      </c>
      <c r="X125" s="50"/>
    </row>
    <row r="126" spans="1:24" ht="20.45" customHeight="1">
      <c r="A126" s="10" t="s">
        <v>164</v>
      </c>
      <c r="B126" s="11">
        <v>1.1342592592592593E-2</v>
      </c>
      <c r="C126" s="11">
        <v>3.2407407407407406E-3</v>
      </c>
      <c r="D126" s="11">
        <f t="shared" si="48"/>
        <v>6.5991203703703706E-3</v>
      </c>
      <c r="E126" s="12">
        <v>0.58179999999999998</v>
      </c>
      <c r="F126" s="11">
        <f t="shared" si="49"/>
        <v>8.1018518518518516E-4</v>
      </c>
      <c r="G126" s="11">
        <f t="shared" si="50"/>
        <v>8.7988271604938278E-4</v>
      </c>
      <c r="H126" s="11">
        <f t="shared" si="51"/>
        <v>9.0740740740740745E-4</v>
      </c>
      <c r="I126" s="11">
        <f t="shared" si="52"/>
        <v>9.4611044736492766E-4</v>
      </c>
      <c r="J126" s="11">
        <f t="shared" si="53"/>
        <v>9.5639425657541603E-4</v>
      </c>
      <c r="K126" s="11">
        <f t="shared" si="54"/>
        <v>9.9986672278338943E-4</v>
      </c>
      <c r="L126" s="11">
        <f t="shared" si="55"/>
        <v>1.0474794238683129E-3</v>
      </c>
      <c r="M126" s="25"/>
      <c r="N126" s="28"/>
      <c r="O126" s="25"/>
      <c r="P126" s="28"/>
      <c r="Q126" s="28"/>
      <c r="R126" s="11"/>
      <c r="S126" s="14"/>
      <c r="T126" s="14"/>
      <c r="U126" s="26"/>
      <c r="V126" s="28"/>
      <c r="W126" s="27" t="s">
        <v>52</v>
      </c>
      <c r="X126" s="50"/>
    </row>
    <row r="127" spans="1:24" ht="20.45" customHeight="1">
      <c r="A127" s="10" t="s">
        <v>108</v>
      </c>
      <c r="B127" s="11">
        <v>1.0763888888888891E-2</v>
      </c>
      <c r="C127" s="11">
        <v>3.0671296296296297E-3</v>
      </c>
      <c r="D127" s="11">
        <f t="shared" si="48"/>
        <v>6.2624305555555567E-3</v>
      </c>
      <c r="E127" s="12">
        <v>0.58179999999999998</v>
      </c>
      <c r="F127" s="11">
        <f t="shared" si="49"/>
        <v>7.6678240740740743E-4</v>
      </c>
      <c r="G127" s="11">
        <f t="shared" si="50"/>
        <v>8.3499074074074085E-4</v>
      </c>
      <c r="H127" s="11">
        <f t="shared" si="51"/>
        <v>8.6111111111111121E-4</v>
      </c>
      <c r="I127" s="11">
        <f t="shared" si="52"/>
        <v>8.9783950617283953E-4</v>
      </c>
      <c r="J127" s="11">
        <f t="shared" si="53"/>
        <v>9.0759863123993567E-4</v>
      </c>
      <c r="K127" s="11">
        <f t="shared" si="54"/>
        <v>9.4885311447811464E-4</v>
      </c>
      <c r="L127" s="11">
        <f t="shared" si="55"/>
        <v>9.9403659611992969E-4</v>
      </c>
      <c r="M127" s="25"/>
      <c r="N127" s="28"/>
      <c r="O127" s="25"/>
      <c r="P127" s="28"/>
      <c r="Q127" s="25"/>
      <c r="R127" s="28"/>
      <c r="S127" s="25"/>
      <c r="T127" s="25"/>
      <c r="U127" s="28"/>
      <c r="V127" s="28"/>
      <c r="W127" s="15" t="s">
        <v>52</v>
      </c>
      <c r="X127" s="50"/>
    </row>
    <row r="128" spans="1:24" ht="20.45" customHeight="1">
      <c r="A128" s="10"/>
      <c r="B128" s="11"/>
      <c r="C128" s="11"/>
      <c r="D128" s="11"/>
      <c r="E128" s="12"/>
      <c r="F128" s="11"/>
      <c r="G128" s="11"/>
      <c r="H128" s="11"/>
      <c r="I128" s="11"/>
      <c r="J128" s="11"/>
      <c r="K128" s="11"/>
      <c r="L128" s="11"/>
      <c r="M128" s="25"/>
      <c r="N128" s="28"/>
      <c r="O128" s="25"/>
      <c r="P128" s="25"/>
      <c r="Q128" s="25"/>
      <c r="R128" s="25"/>
      <c r="S128" s="25"/>
      <c r="T128" s="25"/>
      <c r="U128" s="28"/>
      <c r="V128" s="25"/>
      <c r="W128" s="15"/>
      <c r="X128" s="50"/>
    </row>
    <row r="129" spans="1:24" ht="20.45" customHeight="1">
      <c r="A129" s="10"/>
      <c r="B129" s="11"/>
      <c r="C129" s="11"/>
      <c r="D129" s="11"/>
      <c r="E129" s="12"/>
      <c r="F129" s="11"/>
      <c r="G129" s="11"/>
      <c r="H129" s="11"/>
      <c r="I129" s="11"/>
      <c r="J129" s="11"/>
      <c r="K129" s="11"/>
      <c r="L129" s="11"/>
      <c r="M129" s="25"/>
      <c r="N129" s="28"/>
      <c r="O129" s="25"/>
      <c r="P129" s="25"/>
      <c r="Q129" s="25"/>
      <c r="R129" s="25"/>
      <c r="S129" s="25"/>
      <c r="T129" s="25"/>
      <c r="U129" s="25"/>
      <c r="V129" s="25"/>
      <c r="W129" s="27"/>
      <c r="X129" s="50"/>
    </row>
    <row r="130" spans="1:24" ht="20.45" customHeight="1">
      <c r="A130" s="10"/>
      <c r="B130" s="11"/>
      <c r="C130" s="11"/>
      <c r="D130" s="11"/>
      <c r="E130" s="12"/>
      <c r="F130" s="11"/>
      <c r="G130" s="11"/>
      <c r="H130" s="11"/>
      <c r="I130" s="11"/>
      <c r="J130" s="11"/>
      <c r="K130" s="11"/>
      <c r="L130" s="11"/>
      <c r="M130" s="25"/>
      <c r="N130" s="28"/>
      <c r="O130" s="25"/>
      <c r="P130" s="28"/>
      <c r="Q130" s="25"/>
      <c r="R130" s="28"/>
      <c r="S130" s="25"/>
      <c r="T130" s="25"/>
      <c r="U130" s="28"/>
      <c r="V130" s="28"/>
      <c r="W130" s="27"/>
      <c r="X130" s="50"/>
    </row>
    <row r="131" spans="1:24" ht="20.45" customHeight="1">
      <c r="A131" s="10"/>
      <c r="B131" s="11"/>
      <c r="C131" s="11"/>
      <c r="D131" s="11"/>
      <c r="E131" s="12"/>
      <c r="F131" s="11"/>
      <c r="G131" s="11"/>
      <c r="H131" s="11"/>
      <c r="I131" s="11"/>
      <c r="J131" s="11"/>
      <c r="K131" s="11"/>
      <c r="L131" s="17"/>
      <c r="M131" s="25"/>
      <c r="N131" s="28"/>
      <c r="O131" s="25"/>
      <c r="P131" s="25"/>
      <c r="Q131" s="25"/>
      <c r="R131" s="25"/>
      <c r="S131" s="25"/>
      <c r="T131" s="25"/>
      <c r="U131" s="28"/>
      <c r="V131" s="25"/>
      <c r="W131" s="15"/>
      <c r="X131" s="50"/>
    </row>
    <row r="132" spans="1:24" ht="20.45" customHeight="1">
      <c r="A132" s="10"/>
      <c r="B132" s="11"/>
      <c r="C132" s="11"/>
      <c r="D132" s="11"/>
      <c r="E132" s="12"/>
      <c r="F132" s="11"/>
      <c r="G132" s="11"/>
      <c r="H132" s="11"/>
      <c r="I132" s="11"/>
      <c r="J132" s="11"/>
      <c r="K132" s="11"/>
      <c r="L132" s="11"/>
      <c r="M132" s="25"/>
      <c r="N132" s="28"/>
      <c r="O132" s="25"/>
      <c r="P132" s="25"/>
      <c r="Q132" s="25"/>
      <c r="R132" s="25"/>
      <c r="S132" s="25"/>
      <c r="T132" s="25"/>
      <c r="U132" s="28"/>
      <c r="V132" s="25"/>
      <c r="W132" s="15"/>
      <c r="X132" s="50"/>
    </row>
    <row r="133" spans="1:24" ht="20.45" customHeight="1">
      <c r="A133" s="10"/>
      <c r="B133" s="11"/>
      <c r="C133" s="11"/>
      <c r="D133" s="11"/>
      <c r="E133" s="12"/>
      <c r="F133" s="11"/>
      <c r="G133" s="11"/>
      <c r="H133" s="11"/>
      <c r="I133" s="11"/>
      <c r="J133" s="11"/>
      <c r="K133" s="11"/>
      <c r="L133" s="11"/>
      <c r="M133" s="25"/>
      <c r="N133" s="28"/>
      <c r="O133" s="25"/>
      <c r="P133" s="25"/>
      <c r="Q133" s="28"/>
      <c r="R133" s="28"/>
      <c r="S133" s="25"/>
      <c r="T133" s="25"/>
      <c r="U133" s="28"/>
      <c r="V133" s="25"/>
      <c r="W133" s="15"/>
      <c r="X133" s="50"/>
    </row>
    <row r="134" spans="1:24" ht="20.45" customHeight="1">
      <c r="A134" s="10"/>
      <c r="B134" s="11"/>
      <c r="C134" s="11"/>
      <c r="D134" s="11"/>
      <c r="E134" s="12"/>
      <c r="F134" s="11"/>
      <c r="G134" s="11"/>
      <c r="H134" s="11"/>
      <c r="I134" s="11"/>
      <c r="J134" s="11"/>
      <c r="K134" s="11"/>
      <c r="L134" s="17"/>
      <c r="M134" s="25"/>
      <c r="N134" s="28"/>
      <c r="O134" s="25"/>
      <c r="P134" s="25"/>
      <c r="Q134" s="25"/>
      <c r="R134" s="25"/>
      <c r="S134" s="25"/>
      <c r="T134" s="25"/>
      <c r="U134" s="28"/>
      <c r="V134" s="25"/>
      <c r="W134" s="15"/>
      <c r="X134" s="50"/>
    </row>
    <row r="135" spans="1:24" ht="20.45" customHeight="1">
      <c r="A135" s="10"/>
      <c r="B135" s="11"/>
      <c r="C135" s="11"/>
      <c r="D135" s="11"/>
      <c r="E135" s="12"/>
      <c r="F135" s="11"/>
      <c r="G135" s="11"/>
      <c r="H135" s="11"/>
      <c r="I135" s="11"/>
      <c r="J135" s="11"/>
      <c r="K135" s="11"/>
      <c r="L135" s="11"/>
      <c r="M135" s="25"/>
      <c r="N135" s="28"/>
      <c r="O135" s="25"/>
      <c r="P135" s="25"/>
      <c r="Q135" s="25"/>
      <c r="R135" s="28"/>
      <c r="S135" s="25"/>
      <c r="T135" s="25"/>
      <c r="U135" s="28"/>
      <c r="V135" s="25"/>
      <c r="W135" s="15"/>
      <c r="X135" s="50"/>
    </row>
    <row r="136" spans="1:24" ht="20.45" customHeight="1">
      <c r="A136" s="10"/>
      <c r="B136" s="11"/>
      <c r="C136" s="11"/>
      <c r="D136" s="11"/>
      <c r="E136" s="12"/>
      <c r="F136" s="11"/>
      <c r="G136" s="11"/>
      <c r="H136" s="11"/>
      <c r="I136" s="11"/>
      <c r="J136" s="11"/>
      <c r="K136" s="11"/>
      <c r="L136" s="17"/>
      <c r="M136" s="25"/>
      <c r="N136" s="28"/>
      <c r="O136" s="25"/>
      <c r="P136" s="25"/>
      <c r="Q136" s="25"/>
      <c r="R136" s="28"/>
      <c r="S136" s="25"/>
      <c r="T136" s="25"/>
      <c r="U136" s="28"/>
      <c r="V136" s="25"/>
      <c r="W136" s="15"/>
      <c r="X136" s="50"/>
    </row>
    <row r="137" spans="1:24" ht="20.45" customHeight="1">
      <c r="A137" s="10"/>
      <c r="B137" s="11"/>
      <c r="C137" s="11"/>
      <c r="D137" s="11"/>
      <c r="E137" s="12"/>
      <c r="F137" s="11"/>
      <c r="G137" s="11"/>
      <c r="H137" s="11"/>
      <c r="I137" s="11"/>
      <c r="J137" s="11"/>
      <c r="K137" s="11"/>
      <c r="L137" s="11"/>
      <c r="M137" s="25"/>
      <c r="N137" s="28"/>
      <c r="O137" s="25"/>
      <c r="P137" s="25"/>
      <c r="Q137" s="28"/>
      <c r="R137" s="28"/>
      <c r="S137" s="25"/>
      <c r="T137" s="25"/>
      <c r="U137" s="28"/>
      <c r="V137" s="25"/>
      <c r="W137" s="15"/>
      <c r="X137" s="50"/>
    </row>
    <row r="138" spans="1:24" ht="20.45" customHeight="1">
      <c r="A138" s="10"/>
      <c r="B138" s="11"/>
      <c r="C138" s="11"/>
      <c r="D138" s="11"/>
      <c r="E138" s="12"/>
      <c r="F138" s="11"/>
      <c r="G138" s="11"/>
      <c r="H138" s="11"/>
      <c r="I138" s="11"/>
      <c r="J138" s="11"/>
      <c r="K138" s="11"/>
      <c r="L138" s="11"/>
      <c r="M138" s="25"/>
      <c r="N138" s="28"/>
      <c r="O138" s="25"/>
      <c r="P138" s="28"/>
      <c r="Q138" s="25"/>
      <c r="R138" s="28"/>
      <c r="S138" s="25"/>
      <c r="T138" s="28"/>
      <c r="U138" s="28"/>
      <c r="V138" s="25"/>
      <c r="W138" s="15"/>
      <c r="X138" s="51"/>
    </row>
    <row r="139" spans="1:24" ht="20.45" customHeight="1">
      <c r="A139" s="10"/>
      <c r="B139" s="11"/>
      <c r="C139" s="11"/>
      <c r="D139" s="11"/>
      <c r="E139" s="12"/>
      <c r="F139" s="11"/>
      <c r="G139" s="11"/>
      <c r="H139" s="11"/>
      <c r="I139" s="11"/>
      <c r="J139" s="11"/>
      <c r="K139" s="11"/>
      <c r="L139" s="11"/>
      <c r="M139" s="25"/>
      <c r="N139" s="28"/>
      <c r="O139" s="25"/>
      <c r="P139" s="25"/>
      <c r="Q139" s="25"/>
      <c r="R139" s="25"/>
      <c r="S139" s="25"/>
      <c r="T139" s="25"/>
      <c r="U139" s="28"/>
      <c r="V139" s="25"/>
      <c r="W139" s="15"/>
      <c r="X139" s="51"/>
    </row>
    <row r="140" spans="1:24" ht="20.45" customHeight="1">
      <c r="A140" s="10"/>
      <c r="B140" s="11"/>
      <c r="C140" s="11"/>
      <c r="D140" s="11"/>
      <c r="E140" s="12"/>
      <c r="F140" s="11"/>
      <c r="G140" s="11"/>
      <c r="H140" s="11"/>
      <c r="I140" s="11"/>
      <c r="J140" s="11"/>
      <c r="K140" s="11"/>
      <c r="L140" s="17"/>
      <c r="M140" s="25"/>
      <c r="N140" s="28"/>
      <c r="O140" s="25"/>
      <c r="P140" s="28"/>
      <c r="Q140" s="25"/>
      <c r="R140" s="28"/>
      <c r="S140" s="25"/>
      <c r="T140" s="25"/>
      <c r="U140" s="28"/>
      <c r="V140" s="28"/>
      <c r="W140" s="27"/>
      <c r="X140" s="51"/>
    </row>
    <row r="141" spans="1:24" ht="20.45" customHeight="1">
      <c r="A141" s="10"/>
      <c r="B141" s="11"/>
      <c r="C141" s="11"/>
      <c r="D141" s="11"/>
      <c r="E141" s="12"/>
      <c r="F141" s="11"/>
      <c r="G141" s="11"/>
      <c r="H141" s="11"/>
      <c r="I141" s="11"/>
      <c r="J141" s="11"/>
      <c r="K141" s="11"/>
      <c r="L141" s="11"/>
      <c r="M141" s="11"/>
      <c r="N141" s="26"/>
      <c r="P141" s="26"/>
      <c r="Q141" s="26"/>
      <c r="R141" s="26"/>
      <c r="S141" s="14"/>
      <c r="T141" s="14"/>
      <c r="U141" s="26"/>
      <c r="V141" s="28"/>
      <c r="W141" s="27"/>
      <c r="X141" s="51"/>
    </row>
    <row r="142" spans="1:24" ht="20.100000000000001" customHeight="1">
      <c r="A142" s="10"/>
      <c r="B142" s="11"/>
      <c r="C142" s="11"/>
      <c r="D142" s="11">
        <f>B142*E142</f>
        <v>0</v>
      </c>
      <c r="E142" s="12"/>
      <c r="F142" s="11">
        <f>C142/4</f>
        <v>0</v>
      </c>
      <c r="G142" s="11">
        <f>D142/7.5</f>
        <v>0</v>
      </c>
      <c r="H142" s="11">
        <f>B142/12.5</f>
        <v>0</v>
      </c>
      <c r="I142" s="11">
        <f>G142/0.93</f>
        <v>0</v>
      </c>
      <c r="J142" s="11">
        <f>G142/0.92</f>
        <v>0</v>
      </c>
      <c r="K142" s="11">
        <f>G142/0.88</f>
        <v>0</v>
      </c>
      <c r="L142" s="17">
        <f>G142/0.84</f>
        <v>0</v>
      </c>
      <c r="M142" s="11"/>
      <c r="N142" s="26"/>
      <c r="P142" s="26"/>
      <c r="Q142" s="26"/>
      <c r="R142" s="26"/>
      <c r="S142" s="14"/>
      <c r="T142" s="14"/>
      <c r="U142" s="26"/>
      <c r="V142" s="38"/>
      <c r="W142" s="31"/>
      <c r="X142" s="51"/>
    </row>
    <row r="143" spans="1:24" ht="20.100000000000001" customHeight="1">
      <c r="A143" s="10"/>
      <c r="B143" s="11"/>
      <c r="C143" s="11"/>
      <c r="D143" s="11">
        <f>B143*E143</f>
        <v>0</v>
      </c>
      <c r="E143" s="12"/>
      <c r="F143" s="11">
        <f>C143/4</f>
        <v>0</v>
      </c>
      <c r="G143" s="11">
        <f>D143/7.5</f>
        <v>0</v>
      </c>
      <c r="H143" s="11">
        <f>B143/12.5</f>
        <v>0</v>
      </c>
      <c r="I143" s="11">
        <f>G143/0.93</f>
        <v>0</v>
      </c>
      <c r="J143" s="11">
        <f>G143/0.92</f>
        <v>0</v>
      </c>
      <c r="K143" s="11">
        <f>G143/0.88</f>
        <v>0</v>
      </c>
      <c r="L143" s="17">
        <f>G143/0.84</f>
        <v>0</v>
      </c>
      <c r="M143" s="11"/>
      <c r="N143" s="26"/>
      <c r="P143" s="26"/>
      <c r="Q143" s="26"/>
      <c r="R143" s="26"/>
      <c r="S143" s="14"/>
      <c r="T143" s="14"/>
      <c r="U143" s="26"/>
      <c r="V143" s="38"/>
      <c r="W143" s="31"/>
      <c r="X143" s="51"/>
    </row>
    <row r="144" spans="1:24" ht="20.100000000000001" customHeight="1">
      <c r="A144" s="10"/>
      <c r="B144" s="11"/>
      <c r="C144" s="11"/>
      <c r="D144" s="11">
        <f>B144*E144</f>
        <v>0</v>
      </c>
      <c r="E144" s="12"/>
      <c r="F144" s="11">
        <f>C144/4</f>
        <v>0</v>
      </c>
      <c r="G144" s="11">
        <f>D144/7.5</f>
        <v>0</v>
      </c>
      <c r="H144" s="11">
        <f>B144/12.5</f>
        <v>0</v>
      </c>
      <c r="I144" s="11">
        <f>G144/0.93</f>
        <v>0</v>
      </c>
      <c r="J144" s="11">
        <f>G144/0.92</f>
        <v>0</v>
      </c>
      <c r="K144" s="11">
        <f>G144/0.88</f>
        <v>0</v>
      </c>
      <c r="L144" s="17">
        <f>G144/0.84</f>
        <v>0</v>
      </c>
      <c r="M144" s="11"/>
      <c r="N144" s="26"/>
      <c r="P144" s="26"/>
      <c r="Q144" s="26"/>
      <c r="R144" s="26"/>
      <c r="S144" s="14"/>
      <c r="T144" s="14"/>
      <c r="U144" s="26"/>
      <c r="V144" s="38"/>
      <c r="W144" s="31"/>
      <c r="X144" s="51"/>
    </row>
  </sheetData>
  <mergeCells count="15">
    <mergeCell ref="X51:X57"/>
    <mergeCell ref="X1:X10"/>
    <mergeCell ref="X11:X20"/>
    <mergeCell ref="X21:X30"/>
    <mergeCell ref="X31:X40"/>
    <mergeCell ref="X41:X50"/>
    <mergeCell ref="X118:X127"/>
    <mergeCell ref="X128:X137"/>
    <mergeCell ref="X138:X144"/>
    <mergeCell ref="X58:X67"/>
    <mergeCell ref="X68:X77"/>
    <mergeCell ref="X78:X87"/>
    <mergeCell ref="X88:X97"/>
    <mergeCell ref="X98:X107"/>
    <mergeCell ref="X108:X117"/>
  </mergeCells>
  <pageMargins left="0.25" right="0.25" top="0.25" bottom="0.25" header="0" footer="0"/>
  <pageSetup scale="95" fitToHeight="0" orientation="landscape" r:id="rId1"/>
  <tableParts count="2">
    <tablePart r:id="rId2"/>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0CEAD-6ED0-4F65-8BEC-86A2D326EACD}">
  <sheetPr>
    <pageSetUpPr fitToPage="1"/>
  </sheetPr>
  <dimension ref="A1:Z144"/>
  <sheetViews>
    <sheetView tabSelected="1" zoomScale="70" zoomScaleNormal="70" workbookViewId="0">
      <selection activeCell="T12" sqref="T12"/>
    </sheetView>
  </sheetViews>
  <sheetFormatPr defaultColWidth="8.7109375" defaultRowHeight="14.45"/>
  <cols>
    <col min="1" max="1" width="19.5703125" customWidth="1"/>
    <col min="2" max="2" width="8.7109375" style="29" hidden="1" customWidth="1"/>
    <col min="3" max="3" width="10.140625" hidden="1" customWidth="1"/>
    <col min="4" max="4" width="8.7109375" style="29" hidden="1" customWidth="1"/>
    <col min="5" max="5" width="9.28515625" hidden="1" customWidth="1"/>
    <col min="6" max="6" width="8.7109375" hidden="1" customWidth="1"/>
    <col min="7" max="7" width="9.28515625" hidden="1" customWidth="1"/>
    <col min="8" max="9" width="8.7109375" hidden="1" customWidth="1"/>
    <col min="10" max="10" width="10.7109375" hidden="1" customWidth="1"/>
    <col min="11" max="11" width="11.42578125" hidden="1" customWidth="1"/>
    <col min="12" max="12" width="6.140625" hidden="1" customWidth="1"/>
    <col min="13" max="13" width="8.7109375" customWidth="1"/>
    <col min="14" max="19" width="10.140625" customWidth="1"/>
    <col min="20" max="22" width="8.7109375" customWidth="1"/>
    <col min="23" max="23" width="3.42578125" customWidth="1"/>
    <col min="24" max="24" width="20.42578125" customWidth="1"/>
    <col min="25" max="25" width="12.28515625" bestFit="1" customWidth="1"/>
    <col min="26" max="27" width="12.85546875" bestFit="1" customWidth="1"/>
  </cols>
  <sheetData>
    <row r="1" spans="1:26" ht="14.45" customHeight="1">
      <c r="A1" s="1" t="s">
        <v>185</v>
      </c>
      <c r="B1" s="2" t="s">
        <v>1</v>
      </c>
      <c r="C1" s="2" t="s">
        <v>2</v>
      </c>
      <c r="D1" s="2" t="s">
        <v>3</v>
      </c>
      <c r="E1" s="3" t="s">
        <v>4</v>
      </c>
      <c r="F1" s="2" t="s">
        <v>5</v>
      </c>
      <c r="G1" s="2" t="s">
        <v>6</v>
      </c>
      <c r="H1" s="2" t="s">
        <v>7</v>
      </c>
      <c r="I1" s="4" t="s">
        <v>8</v>
      </c>
      <c r="J1" s="2" t="s">
        <v>9</v>
      </c>
      <c r="K1" s="2" t="s">
        <v>10</v>
      </c>
      <c r="L1" s="2" t="s">
        <v>11</v>
      </c>
      <c r="M1" s="6" t="s">
        <v>12</v>
      </c>
      <c r="N1" s="6" t="s">
        <v>155</v>
      </c>
      <c r="O1" s="7" t="s">
        <v>14</v>
      </c>
      <c r="P1" s="8" t="s">
        <v>15</v>
      </c>
      <c r="Q1" s="8" t="s">
        <v>17</v>
      </c>
      <c r="R1" s="7" t="s">
        <v>18</v>
      </c>
      <c r="S1" s="7" t="s">
        <v>158</v>
      </c>
      <c r="T1" s="7" t="s">
        <v>77</v>
      </c>
      <c r="U1" s="7" t="s">
        <v>20</v>
      </c>
      <c r="V1" s="7" t="s">
        <v>21</v>
      </c>
      <c r="W1" s="9" t="s">
        <v>22</v>
      </c>
      <c r="X1" s="52" t="s">
        <v>186</v>
      </c>
    </row>
    <row r="2" spans="1:26" ht="21" customHeight="1">
      <c r="A2" s="10" t="s">
        <v>34</v>
      </c>
      <c r="B2" s="11">
        <v>1.1979166666666667E-2</v>
      </c>
      <c r="C2" s="11">
        <v>3.472222222222222E-3</v>
      </c>
      <c r="D2" s="11">
        <f t="shared" ref="D2:D4" si="0">B2*E2</f>
        <v>6.9694791666666672E-3</v>
      </c>
      <c r="E2" s="12">
        <v>0.58179999999999998</v>
      </c>
      <c r="F2" s="11">
        <f t="shared" ref="F2:F4" si="1">C2/4</f>
        <v>8.6805555555555551E-4</v>
      </c>
      <c r="G2" s="11">
        <f t="shared" ref="G2:G4" si="2">D2/7.5</f>
        <v>9.2926388888888898E-4</v>
      </c>
      <c r="H2" s="11">
        <f t="shared" ref="H2:H4" si="3">B2/12.5</f>
        <v>9.5833333333333339E-4</v>
      </c>
      <c r="I2" s="11">
        <f t="shared" ref="I2:I4" si="4">G2/0.93</f>
        <v>9.9920848267622464E-4</v>
      </c>
      <c r="J2" s="11">
        <f t="shared" ref="J2:J4" si="5">G2/0.92</f>
        <v>1.0100694444444445E-3</v>
      </c>
      <c r="K2" s="11">
        <f t="shared" ref="K2:K4" si="6">G2/0.88</f>
        <v>1.055981691919192E-3</v>
      </c>
      <c r="L2" s="11">
        <f t="shared" ref="L2:L4" si="7">G2/0.84</f>
        <v>1.1062665343915346E-3</v>
      </c>
      <c r="M2" s="25">
        <f>WO2025Jan710814161822242830323438404244464854565862646668707274766812161820222628323438[[#This Row],[Thresh]]</f>
        <v>1.055981691919192E-3</v>
      </c>
      <c r="N2" s="28">
        <f>WO2025Jan710814161822242830323438404244464854565862646668707274766812161820222628323438[[#This Row],[Thresh]]*2</f>
        <v>2.1119633838383839E-3</v>
      </c>
      <c r="O2" s="25">
        <f>WO2025Jan710814161822242830323438404244464854565862646668707274766812161820222628323438[[#This Row],[CV]]</f>
        <v>1.0100694444444445E-3</v>
      </c>
      <c r="P2" s="28">
        <f>WO2025Jan710814161822242830323438404244464854565862646668707274766812161820222628323438[[#This Row],[CV]]*1.5</f>
        <v>1.5151041666666668E-3</v>
      </c>
      <c r="Q2" s="25">
        <f>WO2025Jan710814161822242830323438404244464854565862646668707274766812161820222628323438[[#This Row],[I]]</f>
        <v>9.5833333333333339E-4</v>
      </c>
      <c r="R2" s="25">
        <f>WO2025Jan710814161822242830323438404244464854565862646668707274766812161820222628323438[[#This Row],[I]]*1.5</f>
        <v>1.4375E-3</v>
      </c>
      <c r="S2" s="25">
        <f>WO2025Jan710814161822242830323438404244464854565862646668707274766812161820222628323438[[#This Row],[VO2]]</f>
        <v>9.2926388888888898E-4</v>
      </c>
      <c r="T2" s="28"/>
      <c r="U2" s="11"/>
      <c r="V2" s="36"/>
      <c r="W2" s="15" t="s">
        <v>26</v>
      </c>
      <c r="X2" s="52"/>
    </row>
    <row r="3" spans="1:26" ht="21" customHeight="1">
      <c r="A3" s="10" t="s">
        <v>24</v>
      </c>
      <c r="B3" s="11">
        <v>1.1979166666666667E-2</v>
      </c>
      <c r="C3" s="11">
        <v>3.5300925925925925E-3</v>
      </c>
      <c r="D3" s="11">
        <f t="shared" si="0"/>
        <v>6.9694791666666672E-3</v>
      </c>
      <c r="E3" s="12">
        <v>0.58179999999999998</v>
      </c>
      <c r="F3" s="11">
        <f t="shared" si="1"/>
        <v>8.8252314814814812E-4</v>
      </c>
      <c r="G3" s="11">
        <f t="shared" si="2"/>
        <v>9.2926388888888898E-4</v>
      </c>
      <c r="H3" s="11">
        <f t="shared" si="3"/>
        <v>9.5833333333333339E-4</v>
      </c>
      <c r="I3" s="11">
        <f t="shared" si="4"/>
        <v>9.9920848267622464E-4</v>
      </c>
      <c r="J3" s="11">
        <f t="shared" si="5"/>
        <v>1.0100694444444445E-3</v>
      </c>
      <c r="K3" s="11">
        <f t="shared" si="6"/>
        <v>1.055981691919192E-3</v>
      </c>
      <c r="L3" s="11">
        <f t="shared" si="7"/>
        <v>1.1062665343915346E-3</v>
      </c>
      <c r="M3" s="25">
        <f>WO2025Jan710814161822242830323438404244464854565862646668707274766812161820222628323438[[#This Row],[Thresh]]</f>
        <v>1.055981691919192E-3</v>
      </c>
      <c r="N3" s="28">
        <f>WO2025Jan710814161822242830323438404244464854565862646668707274766812161820222628323438[[#This Row],[Thresh]]*2</f>
        <v>2.1119633838383839E-3</v>
      </c>
      <c r="O3" s="25">
        <f>WO2025Jan710814161822242830323438404244464854565862646668707274766812161820222628323438[[#This Row],[CV]]</f>
        <v>1.0100694444444445E-3</v>
      </c>
      <c r="P3" s="28">
        <f>WO2025Jan710814161822242830323438404244464854565862646668707274766812161820222628323438[[#This Row],[CV]]*1.5</f>
        <v>1.5151041666666668E-3</v>
      </c>
      <c r="Q3" s="25">
        <f>WO2025Jan710814161822242830323438404244464854565862646668707274766812161820222628323438[[#This Row],[I]]</f>
        <v>9.5833333333333339E-4</v>
      </c>
      <c r="R3" s="25">
        <f>WO2025Jan710814161822242830323438404244464854565862646668707274766812161820222628323438[[#This Row],[I]]*1.5</f>
        <v>1.4375E-3</v>
      </c>
      <c r="S3" s="25">
        <f>WO2025Jan710814161822242830323438404244464854565862646668707274766812161820222628323438[[#This Row],[VO2]]</f>
        <v>9.2926388888888898E-4</v>
      </c>
      <c r="T3" s="28"/>
      <c r="U3" s="11"/>
      <c r="V3" s="36"/>
      <c r="W3" s="15" t="s">
        <v>26</v>
      </c>
      <c r="X3" s="52"/>
      <c r="Z3" s="16"/>
    </row>
    <row r="4" spans="1:26" ht="21" customHeight="1">
      <c r="A4" s="10" t="s">
        <v>60</v>
      </c>
      <c r="B4" s="11">
        <v>1.2268518518518519E-2</v>
      </c>
      <c r="C4" s="11">
        <v>3.6458333333333334E-3</v>
      </c>
      <c r="D4" s="11">
        <f t="shared" si="0"/>
        <v>7.1378240740740742E-3</v>
      </c>
      <c r="E4" s="12">
        <v>0.58179999999999998</v>
      </c>
      <c r="F4" s="11">
        <f t="shared" si="1"/>
        <v>9.1145833333333335E-4</v>
      </c>
      <c r="G4" s="11">
        <f t="shared" si="2"/>
        <v>9.5170987654320989E-4</v>
      </c>
      <c r="H4" s="11">
        <f t="shared" si="3"/>
        <v>9.8148148148148161E-4</v>
      </c>
      <c r="I4" s="11">
        <f t="shared" si="4"/>
        <v>1.0233439532722685E-3</v>
      </c>
      <c r="J4" s="11">
        <f t="shared" si="5"/>
        <v>1.0344672571121847E-3</v>
      </c>
      <c r="K4" s="11">
        <f t="shared" si="6"/>
        <v>1.0814884960718295E-3</v>
      </c>
      <c r="L4" s="11">
        <f t="shared" si="7"/>
        <v>1.1329879482657262E-3</v>
      </c>
      <c r="M4" s="25">
        <f>WO2025Jan710814161822242830323438404244464854565862646668707274766812161820222628323438[[#This Row],[Thresh]]</f>
        <v>1.0814884960718295E-3</v>
      </c>
      <c r="N4" s="28">
        <f>WO2025Jan710814161822242830323438404244464854565862646668707274766812161820222628323438[[#This Row],[Thresh]]*2</f>
        <v>2.1629769921436589E-3</v>
      </c>
      <c r="O4" s="25">
        <f>WO2025Jan710814161822242830323438404244464854565862646668707274766812161820222628323438[[#This Row],[CV]]</f>
        <v>1.0344672571121847E-3</v>
      </c>
      <c r="P4" s="28">
        <f>WO2025Jan710814161822242830323438404244464854565862646668707274766812161820222628323438[[#This Row],[CV]]*1.5</f>
        <v>1.551700885668277E-3</v>
      </c>
      <c r="Q4" s="25">
        <f>WO2025Jan710814161822242830323438404244464854565862646668707274766812161820222628323438[[#This Row],[I]]</f>
        <v>9.8148148148148161E-4</v>
      </c>
      <c r="R4" s="25">
        <f>WO2025Jan710814161822242830323438404244464854565862646668707274766812161820222628323438[[#This Row],[I]]*1.5</f>
        <v>1.4722222222222224E-3</v>
      </c>
      <c r="S4" s="25">
        <f>WO2025Jan710814161822242830323438404244464854565862646668707274766812161820222628323438[[#This Row],[VO2]]</f>
        <v>9.5170987654320989E-4</v>
      </c>
      <c r="T4" s="28"/>
      <c r="U4" s="11"/>
      <c r="V4" s="36"/>
      <c r="W4" s="15" t="s">
        <v>26</v>
      </c>
      <c r="X4" s="52"/>
    </row>
    <row r="5" spans="1:26" ht="21" customHeight="1">
      <c r="A5" s="10" t="s">
        <v>27</v>
      </c>
      <c r="B5" s="11">
        <v>1.2268518518518519E-2</v>
      </c>
      <c r="C5" s="11">
        <v>3.6458333333333334E-3</v>
      </c>
      <c r="D5" s="11">
        <f>B5*E5</f>
        <v>7.1378240740740742E-3</v>
      </c>
      <c r="E5" s="12">
        <v>0.58179999999999998</v>
      </c>
      <c r="F5" s="11">
        <f>C5/4</f>
        <v>9.1145833333333335E-4</v>
      </c>
      <c r="G5" s="11">
        <f>D5/7.5</f>
        <v>9.5170987654320989E-4</v>
      </c>
      <c r="H5" s="11">
        <f>B5/12.5</f>
        <v>9.8148148148148161E-4</v>
      </c>
      <c r="I5" s="11">
        <f>G5/0.93</f>
        <v>1.0233439532722685E-3</v>
      </c>
      <c r="J5" s="11">
        <f>G5/0.92</f>
        <v>1.0344672571121847E-3</v>
      </c>
      <c r="K5" s="11">
        <f>G5/0.88</f>
        <v>1.0814884960718295E-3</v>
      </c>
      <c r="L5" s="11">
        <f>G5/0.84</f>
        <v>1.1329879482657262E-3</v>
      </c>
      <c r="M5" s="25">
        <f>WO2025Jan710814161822242830323438404244464854565862646668707274766812161820222628323438[[#This Row],[Thresh]]</f>
        <v>1.0814884960718295E-3</v>
      </c>
      <c r="N5" s="28">
        <f>WO2025Jan710814161822242830323438404244464854565862646668707274766812161820222628323438[[#This Row],[Thresh]]*2</f>
        <v>2.1629769921436589E-3</v>
      </c>
      <c r="O5" s="25">
        <f>WO2025Jan710814161822242830323438404244464854565862646668707274766812161820222628323438[[#This Row],[CV]]</f>
        <v>1.0344672571121847E-3</v>
      </c>
      <c r="P5" s="28">
        <f>WO2025Jan710814161822242830323438404244464854565862646668707274766812161820222628323438[[#This Row],[CV]]*1.5</f>
        <v>1.551700885668277E-3</v>
      </c>
      <c r="Q5" s="25">
        <f>WO2025Jan710814161822242830323438404244464854565862646668707274766812161820222628323438[[#This Row],[I]]</f>
        <v>9.8148148148148161E-4</v>
      </c>
      <c r="R5" s="25">
        <f>WO2025Jan710814161822242830323438404244464854565862646668707274766812161820222628323438[[#This Row],[I]]*1.5</f>
        <v>1.4722222222222224E-3</v>
      </c>
      <c r="S5" s="25">
        <f>WO2025Jan710814161822242830323438404244464854565862646668707274766812161820222628323438[[#This Row],[VO2]]</f>
        <v>9.5170987654320989E-4</v>
      </c>
      <c r="T5" s="28"/>
      <c r="U5" s="11"/>
      <c r="V5" s="36"/>
      <c r="W5" s="15" t="s">
        <v>26</v>
      </c>
      <c r="X5" s="52"/>
    </row>
    <row r="6" spans="1:26" ht="21" customHeight="1">
      <c r="A6" s="10" t="s">
        <v>28</v>
      </c>
      <c r="B6" s="11">
        <v>1.238425925925926E-2</v>
      </c>
      <c r="C6" s="11">
        <v>3.7037037037037038E-3</v>
      </c>
      <c r="D6" s="11">
        <f>B6*E6</f>
        <v>7.2051620370370368E-3</v>
      </c>
      <c r="E6" s="12">
        <v>0.58179999999999998</v>
      </c>
      <c r="F6" s="11">
        <f>C6/4</f>
        <v>9.2592592592592596E-4</v>
      </c>
      <c r="G6" s="11">
        <f>D6/7.5</f>
        <v>9.6068827160493821E-4</v>
      </c>
      <c r="H6" s="11">
        <f>B6/12.5</f>
        <v>9.9074074074074082E-4</v>
      </c>
      <c r="I6" s="11">
        <f>G6/0.93</f>
        <v>1.0329981415106862E-3</v>
      </c>
      <c r="J6" s="11">
        <f>G6/0.92</f>
        <v>1.0442263821792807E-3</v>
      </c>
      <c r="K6" s="11">
        <f>G6/0.88</f>
        <v>1.0916912177328843E-3</v>
      </c>
      <c r="L6" s="11">
        <f>G6/0.84</f>
        <v>1.1436765138154027E-3</v>
      </c>
      <c r="M6" s="25">
        <f>WO2025Jan710814161822242830323438404244464854565862646668707274766812161820222628323438[[#This Row],[Thresh]]</f>
        <v>1.0916912177328843E-3</v>
      </c>
      <c r="N6" s="28">
        <f>WO2025Jan710814161822242830323438404244464854565862646668707274766812161820222628323438[[#This Row],[Thresh]]*2</f>
        <v>2.1833824354657687E-3</v>
      </c>
      <c r="O6" s="25">
        <f>WO2025Jan710814161822242830323438404244464854565862646668707274766812161820222628323438[[#This Row],[CV]]</f>
        <v>1.0442263821792807E-3</v>
      </c>
      <c r="P6" s="28">
        <f>WO2025Jan710814161822242830323438404244464854565862646668707274766812161820222628323438[[#This Row],[CV]]*1.5</f>
        <v>1.566339573268921E-3</v>
      </c>
      <c r="Q6" s="25">
        <f>WO2025Jan710814161822242830323438404244464854565862646668707274766812161820222628323438[[#This Row],[I]]</f>
        <v>9.9074074074074082E-4</v>
      </c>
      <c r="R6" s="25">
        <f>WO2025Jan710814161822242830323438404244464854565862646668707274766812161820222628323438[[#This Row],[I]]*1.5</f>
        <v>1.4861111111111112E-3</v>
      </c>
      <c r="S6" s="25">
        <f>WO2025Jan710814161822242830323438404244464854565862646668707274766812161820222628323438[[#This Row],[VO2]]</f>
        <v>9.6068827160493821E-4</v>
      </c>
      <c r="T6" s="28"/>
      <c r="U6" s="11"/>
      <c r="V6" s="36"/>
      <c r="W6" s="15" t="s">
        <v>26</v>
      </c>
      <c r="X6" s="52"/>
    </row>
    <row r="7" spans="1:26" ht="21" customHeight="1">
      <c r="A7" s="10" t="s">
        <v>55</v>
      </c>
      <c r="B7" s="11">
        <v>1.238425925925926E-2</v>
      </c>
      <c r="C7" s="11">
        <v>3.5879629629629629E-3</v>
      </c>
      <c r="D7" s="11">
        <f>B7*E7</f>
        <v>7.2051620370370368E-3</v>
      </c>
      <c r="E7" s="12">
        <v>0.58179999999999998</v>
      </c>
      <c r="F7" s="11">
        <f>C7/4</f>
        <v>8.9699074074074073E-4</v>
      </c>
      <c r="G7" s="11">
        <f>D7/7.5</f>
        <v>9.6068827160493821E-4</v>
      </c>
      <c r="H7" s="11">
        <f>B7/12.5</f>
        <v>9.9074074074074082E-4</v>
      </c>
      <c r="I7" s="11">
        <f>G7/0.93</f>
        <v>1.0329981415106862E-3</v>
      </c>
      <c r="J7" s="11">
        <f>G7/0.92</f>
        <v>1.0442263821792807E-3</v>
      </c>
      <c r="K7" s="11">
        <f>G7/0.88</f>
        <v>1.0916912177328843E-3</v>
      </c>
      <c r="L7" s="11">
        <f>G7/0.84</f>
        <v>1.1436765138154027E-3</v>
      </c>
      <c r="M7" s="25">
        <f>WO2025Jan710814161822242830323438404244464854565862646668707274766812161820222628323438[[#This Row],[Thresh]]</f>
        <v>1.0916912177328843E-3</v>
      </c>
      <c r="N7" s="28">
        <f>WO2025Jan710814161822242830323438404244464854565862646668707274766812161820222628323438[[#This Row],[Thresh]]*2</f>
        <v>2.1833824354657687E-3</v>
      </c>
      <c r="O7" s="25">
        <f>WO2025Jan710814161822242830323438404244464854565862646668707274766812161820222628323438[[#This Row],[CV]]</f>
        <v>1.0442263821792807E-3</v>
      </c>
      <c r="P7" s="28">
        <f>WO2025Jan710814161822242830323438404244464854565862646668707274766812161820222628323438[[#This Row],[CV]]*1.5</f>
        <v>1.566339573268921E-3</v>
      </c>
      <c r="Q7" s="25">
        <f>WO2025Jan710814161822242830323438404244464854565862646668707274766812161820222628323438[[#This Row],[I]]</f>
        <v>9.9074074074074082E-4</v>
      </c>
      <c r="R7" s="25">
        <f>WO2025Jan710814161822242830323438404244464854565862646668707274766812161820222628323438[[#This Row],[I]]*1.5</f>
        <v>1.4861111111111112E-3</v>
      </c>
      <c r="S7" s="25">
        <f>WO2025Jan710814161822242830323438404244464854565862646668707274766812161820222628323438[[#This Row],[VO2]]</f>
        <v>9.6068827160493821E-4</v>
      </c>
      <c r="T7" s="28"/>
      <c r="U7" s="11"/>
      <c r="V7" s="36"/>
      <c r="W7" s="18" t="s">
        <v>26</v>
      </c>
      <c r="X7" s="52"/>
    </row>
    <row r="8" spans="1:26" ht="21" customHeight="1">
      <c r="A8" s="10" t="s">
        <v>29</v>
      </c>
      <c r="B8" s="11">
        <v>1.238425925925926E-2</v>
      </c>
      <c r="C8" s="11">
        <v>3.8194444444444443E-3</v>
      </c>
      <c r="D8" s="11">
        <f>B8*E8</f>
        <v>7.2051620370370368E-3</v>
      </c>
      <c r="E8" s="12">
        <v>0.58179999999999998</v>
      </c>
      <c r="F8" s="11">
        <f>C8/4</f>
        <v>9.5486111111111108E-4</v>
      </c>
      <c r="G8" s="11">
        <f>D8/7.5</f>
        <v>9.6068827160493821E-4</v>
      </c>
      <c r="H8" s="11">
        <f>B8/12.5</f>
        <v>9.9074074074074082E-4</v>
      </c>
      <c r="I8" s="11">
        <f>G8/0.93</f>
        <v>1.0329981415106862E-3</v>
      </c>
      <c r="J8" s="11">
        <f>G8/0.92</f>
        <v>1.0442263821792807E-3</v>
      </c>
      <c r="K8" s="11">
        <f>G8/0.88</f>
        <v>1.0916912177328843E-3</v>
      </c>
      <c r="L8" s="11">
        <f>G8/0.84</f>
        <v>1.1436765138154027E-3</v>
      </c>
      <c r="M8" s="25">
        <f>WO2025Jan710814161822242830323438404244464854565862646668707274766812161820222628323438[[#This Row],[Thresh]]</f>
        <v>1.0916912177328843E-3</v>
      </c>
      <c r="N8" s="28">
        <f>WO2025Jan710814161822242830323438404244464854565862646668707274766812161820222628323438[[#This Row],[Thresh]]*2</f>
        <v>2.1833824354657687E-3</v>
      </c>
      <c r="O8" s="25">
        <f>WO2025Jan710814161822242830323438404244464854565862646668707274766812161820222628323438[[#This Row],[CV]]</f>
        <v>1.0442263821792807E-3</v>
      </c>
      <c r="P8" s="28">
        <f>WO2025Jan710814161822242830323438404244464854565862646668707274766812161820222628323438[[#This Row],[CV]]*1.5</f>
        <v>1.566339573268921E-3</v>
      </c>
      <c r="Q8" s="25">
        <f>WO2025Jan710814161822242830323438404244464854565862646668707274766812161820222628323438[[#This Row],[I]]</f>
        <v>9.9074074074074082E-4</v>
      </c>
      <c r="R8" s="25">
        <f>WO2025Jan710814161822242830323438404244464854565862646668707274766812161820222628323438[[#This Row],[I]]*1.5</f>
        <v>1.4861111111111112E-3</v>
      </c>
      <c r="S8" s="25">
        <f>WO2025Jan710814161822242830323438404244464854565862646668707274766812161820222628323438[[#This Row],[VO2]]</f>
        <v>9.6068827160493821E-4</v>
      </c>
      <c r="T8" s="28"/>
      <c r="U8" s="11"/>
      <c r="V8" s="36"/>
      <c r="W8" s="18" t="s">
        <v>26</v>
      </c>
      <c r="X8" s="52"/>
    </row>
    <row r="9" spans="1:26" ht="21" customHeight="1">
      <c r="A9" s="10" t="s">
        <v>30</v>
      </c>
      <c r="B9" s="11">
        <v>1.238425925925926E-2</v>
      </c>
      <c r="C9" s="11">
        <v>3.6458333333333334E-3</v>
      </c>
      <c r="D9" s="11">
        <f>B9*E9</f>
        <v>7.2051620370370368E-3</v>
      </c>
      <c r="E9" s="12">
        <v>0.58179999999999998</v>
      </c>
      <c r="F9" s="11">
        <f>C9/4</f>
        <v>9.1145833333333335E-4</v>
      </c>
      <c r="G9" s="11">
        <f>D9/7.5</f>
        <v>9.6068827160493821E-4</v>
      </c>
      <c r="H9" s="11">
        <f>B9/12.5</f>
        <v>9.9074074074074082E-4</v>
      </c>
      <c r="I9" s="11">
        <f>G9/0.93</f>
        <v>1.0329981415106862E-3</v>
      </c>
      <c r="J9" s="11">
        <f>G9/0.92</f>
        <v>1.0442263821792807E-3</v>
      </c>
      <c r="K9" s="11">
        <f>G9/0.88</f>
        <v>1.0916912177328843E-3</v>
      </c>
      <c r="L9" s="11">
        <f>G9/0.84</f>
        <v>1.1436765138154027E-3</v>
      </c>
      <c r="M9" s="25">
        <f>WO2025Jan710814161822242830323438404244464854565862646668707274766812161820222628323438[[#This Row],[Thresh]]</f>
        <v>1.0916912177328843E-3</v>
      </c>
      <c r="N9" s="28">
        <f>WO2025Jan710814161822242830323438404244464854565862646668707274766812161820222628323438[[#This Row],[Thresh]]*2</f>
        <v>2.1833824354657687E-3</v>
      </c>
      <c r="O9" s="25">
        <f>WO2025Jan710814161822242830323438404244464854565862646668707274766812161820222628323438[[#This Row],[CV]]</f>
        <v>1.0442263821792807E-3</v>
      </c>
      <c r="P9" s="28">
        <f>WO2025Jan710814161822242830323438404244464854565862646668707274766812161820222628323438[[#This Row],[CV]]*1.5</f>
        <v>1.566339573268921E-3</v>
      </c>
      <c r="Q9" s="25">
        <f>WO2025Jan710814161822242830323438404244464854565862646668707274766812161820222628323438[[#This Row],[I]]</f>
        <v>9.9074074074074082E-4</v>
      </c>
      <c r="R9" s="25">
        <f>WO2025Jan710814161822242830323438404244464854565862646668707274766812161820222628323438[[#This Row],[I]]*1.5</f>
        <v>1.4861111111111112E-3</v>
      </c>
      <c r="S9" s="25">
        <f>WO2025Jan710814161822242830323438404244464854565862646668707274766812161820222628323438[[#This Row],[VO2]]</f>
        <v>9.6068827160493821E-4</v>
      </c>
      <c r="T9" s="28"/>
      <c r="U9" s="11"/>
      <c r="V9" s="36"/>
      <c r="W9" s="15" t="s">
        <v>26</v>
      </c>
      <c r="X9" s="52"/>
    </row>
    <row r="10" spans="1:26" ht="21" customHeight="1">
      <c r="A10" s="39"/>
      <c r="B10" s="40"/>
      <c r="C10" s="40"/>
      <c r="D10" s="40"/>
      <c r="E10" s="41"/>
      <c r="F10" s="40"/>
      <c r="G10" s="40"/>
      <c r="H10" s="40"/>
      <c r="I10" s="40"/>
      <c r="J10" s="40"/>
      <c r="K10" s="40"/>
      <c r="L10" s="40"/>
      <c r="M10" s="40" t="s">
        <v>39</v>
      </c>
      <c r="N10" s="40"/>
      <c r="O10" s="40"/>
      <c r="P10" s="40"/>
      <c r="Q10" s="40"/>
      <c r="R10" s="40"/>
      <c r="S10" s="40"/>
      <c r="T10" s="40"/>
      <c r="U10" s="40"/>
      <c r="V10" s="40"/>
      <c r="W10" s="42"/>
      <c r="X10" s="52"/>
    </row>
    <row r="11" spans="1:26" ht="21" customHeight="1">
      <c r="A11" s="19"/>
      <c r="B11" s="6"/>
      <c r="C11" s="6"/>
      <c r="D11" s="6"/>
      <c r="E11" s="20"/>
      <c r="F11" s="6"/>
      <c r="G11" s="6"/>
      <c r="H11" s="6"/>
      <c r="I11" s="6"/>
      <c r="J11" s="6"/>
      <c r="K11" s="6"/>
      <c r="L11" s="6"/>
      <c r="M11" s="6" t="s">
        <v>12</v>
      </c>
      <c r="N11" s="6" t="s">
        <v>145</v>
      </c>
      <c r="O11" s="6" t="s">
        <v>14</v>
      </c>
      <c r="P11" s="6" t="s">
        <v>15</v>
      </c>
      <c r="Q11" s="6" t="s">
        <v>17</v>
      </c>
      <c r="R11" s="6" t="s">
        <v>18</v>
      </c>
      <c r="S11" s="6" t="s">
        <v>158</v>
      </c>
      <c r="T11" s="6"/>
      <c r="U11" s="6"/>
      <c r="V11" s="6"/>
      <c r="W11" s="35"/>
      <c r="X11" s="52" t="s">
        <v>187</v>
      </c>
    </row>
    <row r="12" spans="1:26" ht="21" customHeight="1">
      <c r="A12" s="10" t="s">
        <v>38</v>
      </c>
      <c r="B12" s="11">
        <v>1.238425925925926E-2</v>
      </c>
      <c r="C12" s="11">
        <v>3.5300925925925925E-3</v>
      </c>
      <c r="D12" s="11">
        <f>B12*E12</f>
        <v>7.2051620370370368E-3</v>
      </c>
      <c r="E12" s="12">
        <v>0.58179999999999998</v>
      </c>
      <c r="F12" s="11">
        <f>C12/4</f>
        <v>8.8252314814814812E-4</v>
      </c>
      <c r="G12" s="11">
        <f>D12/7.5</f>
        <v>9.6068827160493821E-4</v>
      </c>
      <c r="H12" s="11">
        <f>B12/12.5</f>
        <v>9.9074074074074082E-4</v>
      </c>
      <c r="I12" s="11">
        <f>G12/0.93</f>
        <v>1.0329981415106862E-3</v>
      </c>
      <c r="J12" s="11">
        <f>G12/0.92</f>
        <v>1.0442263821792807E-3</v>
      </c>
      <c r="K12" s="11">
        <f>G12/0.88</f>
        <v>1.0916912177328843E-3</v>
      </c>
      <c r="L12" s="11">
        <f>G12/0.84</f>
        <v>1.1436765138154027E-3</v>
      </c>
      <c r="M12" s="25">
        <f>WO2025Jan710814161822242830323438404244464854565862646668707274766812161820222628323438[[#This Row],[Thresh]]</f>
        <v>1.0916912177328843E-3</v>
      </c>
      <c r="N12" s="28">
        <f>WO2025Jan710814161822242830323438404244464854565862646668707274766812161820222628323438[[#This Row],[Thresh]]*1.5</f>
        <v>1.6375368265993265E-3</v>
      </c>
      <c r="O12" s="25">
        <f>WO2025Jan710814161822242830323438404244464854565862646668707274766812161820222628323438[[#This Row],[CV]]</f>
        <v>1.0442263821792807E-3</v>
      </c>
      <c r="P12" s="28">
        <f>WO2025Jan710814161822242830323438404244464854565862646668707274766812161820222628323438[[#This Row],[CV]]*1.5</f>
        <v>1.566339573268921E-3</v>
      </c>
      <c r="Q12" s="25">
        <f>WO2025Jan710814161822242830323438404244464854565862646668707274766812161820222628323438[[#This Row],[I]]</f>
        <v>9.9074074074074082E-4</v>
      </c>
      <c r="R12" s="25">
        <f>WO2025Jan710814161822242830323438404244464854565862646668707274766812161820222628323438[[#This Row],[I]]*1.5</f>
        <v>1.4861111111111112E-3</v>
      </c>
      <c r="S12" s="25">
        <f>WO2025Jan710814161822242830323438404244464854565862646668707274766812161820222628323438[[#This Row],[VO2]]</f>
        <v>9.6068827160493821E-4</v>
      </c>
      <c r="T12" s="28"/>
      <c r="U12" s="11"/>
      <c r="V12" s="36"/>
      <c r="W12" s="15" t="s">
        <v>35</v>
      </c>
      <c r="X12" s="52"/>
    </row>
    <row r="13" spans="1:26" ht="21" customHeight="1">
      <c r="A13" s="10" t="s">
        <v>31</v>
      </c>
      <c r="B13" s="11">
        <v>1.238425925925926E-2</v>
      </c>
      <c r="C13" s="11">
        <v>3.7037037037037038E-3</v>
      </c>
      <c r="D13" s="11">
        <f>B13*E13</f>
        <v>7.2051620370370368E-3</v>
      </c>
      <c r="E13" s="12">
        <v>0.58179999999999998</v>
      </c>
      <c r="F13" s="11">
        <f>C13/4</f>
        <v>9.2592592592592596E-4</v>
      </c>
      <c r="G13" s="11">
        <f>D13/7.5</f>
        <v>9.6068827160493821E-4</v>
      </c>
      <c r="H13" s="11">
        <f>B13/12.5</f>
        <v>9.9074074074074082E-4</v>
      </c>
      <c r="I13" s="11">
        <f>G13/0.93</f>
        <v>1.0329981415106862E-3</v>
      </c>
      <c r="J13" s="11">
        <f>G13/0.92</f>
        <v>1.0442263821792807E-3</v>
      </c>
      <c r="K13" s="11">
        <f>G13/0.88</f>
        <v>1.0916912177328843E-3</v>
      </c>
      <c r="L13" s="11">
        <f>G13/0.84</f>
        <v>1.1436765138154027E-3</v>
      </c>
      <c r="M13" s="25">
        <f>WO2025Jan710814161822242830323438404244464854565862646668707274766812161820222628323438[[#This Row],[Thresh]]</f>
        <v>1.0916912177328843E-3</v>
      </c>
      <c r="N13" s="28">
        <f>WO2025Jan710814161822242830323438404244464854565862646668707274766812161820222628323438[[#This Row],[Thresh]]*1.5</f>
        <v>1.6375368265993265E-3</v>
      </c>
      <c r="O13" s="25">
        <f>WO2025Jan710814161822242830323438404244464854565862646668707274766812161820222628323438[[#This Row],[CV]]</f>
        <v>1.0442263821792807E-3</v>
      </c>
      <c r="P13" s="28">
        <f>WO2025Jan710814161822242830323438404244464854565862646668707274766812161820222628323438[[#This Row],[CV]]*1.5</f>
        <v>1.566339573268921E-3</v>
      </c>
      <c r="Q13" s="25">
        <f>WO2025Jan710814161822242830323438404244464854565862646668707274766812161820222628323438[[#This Row],[I]]</f>
        <v>9.9074074074074082E-4</v>
      </c>
      <c r="R13" s="25">
        <f>WO2025Jan710814161822242830323438404244464854565862646668707274766812161820222628323438[[#This Row],[I]]*1.5</f>
        <v>1.4861111111111112E-3</v>
      </c>
      <c r="S13" s="25">
        <f>WO2025Jan710814161822242830323438404244464854565862646668707274766812161820222628323438[[#This Row],[VO2]]</f>
        <v>9.6068827160493821E-4</v>
      </c>
      <c r="T13" s="28"/>
      <c r="U13" s="11"/>
      <c r="V13" s="36"/>
      <c r="W13" s="15" t="s">
        <v>35</v>
      </c>
      <c r="X13" s="52"/>
    </row>
    <row r="14" spans="1:26" ht="21" customHeight="1">
      <c r="A14" s="10" t="s">
        <v>62</v>
      </c>
      <c r="B14" s="11">
        <v>1.238425925925926E-2</v>
      </c>
      <c r="C14" s="11">
        <v>3.6458333333333334E-3</v>
      </c>
      <c r="D14" s="11">
        <f>B14*E14</f>
        <v>7.2051620370370368E-3</v>
      </c>
      <c r="E14" s="12">
        <v>0.58179999999999998</v>
      </c>
      <c r="F14" s="11">
        <f>C14/4</f>
        <v>9.1145833333333335E-4</v>
      </c>
      <c r="G14" s="11">
        <f>D14/7.5</f>
        <v>9.6068827160493821E-4</v>
      </c>
      <c r="H14" s="11">
        <f>B14/12.5</f>
        <v>9.9074074074074082E-4</v>
      </c>
      <c r="I14" s="11">
        <f>G14/0.93</f>
        <v>1.0329981415106862E-3</v>
      </c>
      <c r="J14" s="11">
        <f>G14/0.92</f>
        <v>1.0442263821792807E-3</v>
      </c>
      <c r="K14" s="11">
        <f>G14/0.88</f>
        <v>1.0916912177328843E-3</v>
      </c>
      <c r="L14" s="11">
        <f>G14/0.84</f>
        <v>1.1436765138154027E-3</v>
      </c>
      <c r="M14" s="25">
        <f>WO2025Jan710814161822242830323438404244464854565862646668707274766812161820222628323438[[#This Row],[Thresh]]</f>
        <v>1.0916912177328843E-3</v>
      </c>
      <c r="N14" s="28">
        <f>WO2025Jan710814161822242830323438404244464854565862646668707274766812161820222628323438[[#This Row],[Thresh]]*1.5</f>
        <v>1.6375368265993265E-3</v>
      </c>
      <c r="O14" s="25">
        <f>WO2025Jan710814161822242830323438404244464854565862646668707274766812161820222628323438[[#This Row],[CV]]</f>
        <v>1.0442263821792807E-3</v>
      </c>
      <c r="P14" s="28">
        <f>WO2025Jan710814161822242830323438404244464854565862646668707274766812161820222628323438[[#This Row],[CV]]*1.5</f>
        <v>1.566339573268921E-3</v>
      </c>
      <c r="Q14" s="25">
        <f>WO2025Jan710814161822242830323438404244464854565862646668707274766812161820222628323438[[#This Row],[I]]</f>
        <v>9.9074074074074082E-4</v>
      </c>
      <c r="R14" s="25">
        <f>WO2025Jan710814161822242830323438404244464854565862646668707274766812161820222628323438[[#This Row],[I]]*1.5</f>
        <v>1.4861111111111112E-3</v>
      </c>
      <c r="S14" s="25">
        <f>WO2025Jan710814161822242830323438404244464854565862646668707274766812161820222628323438[[#This Row],[VO2]]</f>
        <v>9.6068827160493821E-4</v>
      </c>
      <c r="T14" s="28"/>
      <c r="U14" s="11"/>
      <c r="V14" s="36"/>
      <c r="W14" s="15" t="s">
        <v>35</v>
      </c>
      <c r="X14" s="52"/>
    </row>
    <row r="15" spans="1:26" ht="21" customHeight="1">
      <c r="A15" s="10" t="s">
        <v>63</v>
      </c>
      <c r="B15" s="11">
        <v>1.2615740740740742E-2</v>
      </c>
      <c r="C15" s="11">
        <v>3.7037037037037038E-3</v>
      </c>
      <c r="D15" s="11">
        <f>B15*E15</f>
        <v>7.3398379629629629E-3</v>
      </c>
      <c r="E15" s="12">
        <v>0.58179999999999998</v>
      </c>
      <c r="F15" s="11">
        <f>C15/4</f>
        <v>9.2592592592592596E-4</v>
      </c>
      <c r="G15" s="11">
        <f>D15/7.5</f>
        <v>9.7864506172839496E-4</v>
      </c>
      <c r="H15" s="11">
        <f>B15/12.5</f>
        <v>1.0092592592592592E-3</v>
      </c>
      <c r="I15" s="11">
        <f>G15/0.93</f>
        <v>1.0523065179875214E-3</v>
      </c>
      <c r="J15" s="11">
        <f>G15/0.92</f>
        <v>1.0637446323134728E-3</v>
      </c>
      <c r="K15" s="11">
        <f>G15/0.88</f>
        <v>1.1120966610549943E-3</v>
      </c>
      <c r="L15" s="11">
        <f>G15/0.84</f>
        <v>1.165053644914756E-3</v>
      </c>
      <c r="M15" s="25">
        <f>WO2025Jan710814161822242830323438404244464854565862646668707274766812161820222628323438[[#This Row],[Thresh]]</f>
        <v>1.1120966610549943E-3</v>
      </c>
      <c r="N15" s="28">
        <f>WO2025Jan710814161822242830323438404244464854565862646668707274766812161820222628323438[[#This Row],[Thresh]]*1.5</f>
        <v>1.6681449915824913E-3</v>
      </c>
      <c r="O15" s="25">
        <f>WO2025Jan710814161822242830323438404244464854565862646668707274766812161820222628323438[[#This Row],[CV]]</f>
        <v>1.0637446323134728E-3</v>
      </c>
      <c r="P15" s="28">
        <f>WO2025Jan710814161822242830323438404244464854565862646668707274766812161820222628323438[[#This Row],[CV]]*1.5</f>
        <v>1.5956169484702093E-3</v>
      </c>
      <c r="Q15" s="25">
        <f>WO2025Jan710814161822242830323438404244464854565862646668707274766812161820222628323438[[#This Row],[I]]</f>
        <v>1.0092592592592592E-3</v>
      </c>
      <c r="R15" s="25">
        <f>WO2025Jan710814161822242830323438404244464854565862646668707274766812161820222628323438[[#This Row],[I]]*1.5</f>
        <v>1.5138888888888888E-3</v>
      </c>
      <c r="S15" s="25">
        <f>WO2025Jan710814161822242830323438404244464854565862646668707274766812161820222628323438[[#This Row],[VO2]]</f>
        <v>9.7864506172839496E-4</v>
      </c>
      <c r="T15" s="28"/>
      <c r="U15" s="11"/>
      <c r="V15" s="36"/>
      <c r="W15" s="15" t="s">
        <v>35</v>
      </c>
      <c r="X15" s="52"/>
    </row>
    <row r="16" spans="1:26" ht="21" customHeight="1">
      <c r="A16" s="10" t="s">
        <v>64</v>
      </c>
      <c r="B16" s="11">
        <v>1.2615740740740742E-2</v>
      </c>
      <c r="C16" s="11">
        <v>3.5879629629629629E-3</v>
      </c>
      <c r="D16" s="11">
        <f>B16*E16</f>
        <v>7.3398379629629629E-3</v>
      </c>
      <c r="E16" s="12">
        <v>0.58179999999999998</v>
      </c>
      <c r="F16" s="11">
        <f>C16/4</f>
        <v>8.9699074074074073E-4</v>
      </c>
      <c r="G16" s="11">
        <f>D16/7.5</f>
        <v>9.7864506172839496E-4</v>
      </c>
      <c r="H16" s="11">
        <f>B16/12.5</f>
        <v>1.0092592592592592E-3</v>
      </c>
      <c r="I16" s="11">
        <f>G16/0.93</f>
        <v>1.0523065179875214E-3</v>
      </c>
      <c r="J16" s="11">
        <f>G16/0.92</f>
        <v>1.0637446323134728E-3</v>
      </c>
      <c r="K16" s="11">
        <f>G16/0.88</f>
        <v>1.1120966610549943E-3</v>
      </c>
      <c r="L16" s="11">
        <f>G16/0.84</f>
        <v>1.165053644914756E-3</v>
      </c>
      <c r="M16" s="25">
        <f>WO2025Jan710814161822242830323438404244464854565862646668707274766812161820222628323438[[#This Row],[Thresh]]</f>
        <v>1.1120966610549943E-3</v>
      </c>
      <c r="N16" s="28">
        <f>WO2025Jan710814161822242830323438404244464854565862646668707274766812161820222628323438[[#This Row],[Thresh]]*1.5</f>
        <v>1.6681449915824913E-3</v>
      </c>
      <c r="O16" s="25">
        <f>WO2025Jan710814161822242830323438404244464854565862646668707274766812161820222628323438[[#This Row],[CV]]</f>
        <v>1.0637446323134728E-3</v>
      </c>
      <c r="P16" s="28">
        <f>WO2025Jan710814161822242830323438404244464854565862646668707274766812161820222628323438[[#This Row],[CV]]*1.5</f>
        <v>1.5956169484702093E-3</v>
      </c>
      <c r="Q16" s="25">
        <f>WO2025Jan710814161822242830323438404244464854565862646668707274766812161820222628323438[[#This Row],[I]]</f>
        <v>1.0092592592592592E-3</v>
      </c>
      <c r="R16" s="25">
        <f>WO2025Jan710814161822242830323438404244464854565862646668707274766812161820222628323438[[#This Row],[I]]*1.5</f>
        <v>1.5138888888888888E-3</v>
      </c>
      <c r="S16" s="25">
        <f>WO2025Jan710814161822242830323438404244464854565862646668707274766812161820222628323438[[#This Row],[VO2]]</f>
        <v>9.7864506172839496E-4</v>
      </c>
      <c r="T16" s="28"/>
      <c r="U16" s="11"/>
      <c r="V16" s="36"/>
      <c r="W16" s="15" t="s">
        <v>35</v>
      </c>
      <c r="X16" s="52"/>
    </row>
    <row r="17" spans="1:24" ht="21" customHeight="1">
      <c r="A17" s="10" t="s">
        <v>49</v>
      </c>
      <c r="B17" s="11">
        <v>1.2731481481481481E-2</v>
      </c>
      <c r="C17" s="11">
        <v>3.5879629629629629E-3</v>
      </c>
      <c r="D17" s="11">
        <f t="shared" ref="D17:D25" si="8">B17*E17</f>
        <v>7.4071759259259256E-3</v>
      </c>
      <c r="E17" s="12">
        <v>0.58179999999999998</v>
      </c>
      <c r="F17" s="11">
        <f t="shared" ref="F17:F25" si="9">C17/4</f>
        <v>8.9699074074074073E-4</v>
      </c>
      <c r="G17" s="11">
        <f t="shared" ref="G17:G25" si="10">D17/7.5</f>
        <v>9.8762345679012349E-4</v>
      </c>
      <c r="H17" s="11">
        <f t="shared" ref="H17:H25" si="11">B17/12.5</f>
        <v>1.0185185185185184E-3</v>
      </c>
      <c r="I17" s="11">
        <f t="shared" ref="I17:I25" si="12">G17/0.93</f>
        <v>1.0619607062259391E-3</v>
      </c>
      <c r="J17" s="11">
        <f t="shared" ref="J17:J25" si="13">G17/0.92</f>
        <v>1.073503757380569E-3</v>
      </c>
      <c r="K17" s="11">
        <f t="shared" ref="K17:K25" si="14">G17/0.88</f>
        <v>1.1222993827160494E-3</v>
      </c>
      <c r="L17" s="11">
        <f t="shared" ref="L17:L25" si="15">G17/0.84</f>
        <v>1.1757422104644328E-3</v>
      </c>
      <c r="M17" s="25">
        <f>WO2025Jan710814161822242830323438404244464854565862646668707274766812161820222628323438[[#This Row],[Thresh]]</f>
        <v>1.1222993827160494E-3</v>
      </c>
      <c r="N17" s="28">
        <f>WO2025Jan710814161822242830323438404244464854565862646668707274766812161820222628323438[[#This Row],[Thresh]]*1.5</f>
        <v>1.6834490740740742E-3</v>
      </c>
      <c r="O17" s="25">
        <f>WO2025Jan710814161822242830323438404244464854565862646668707274766812161820222628323438[[#This Row],[CV]]</f>
        <v>1.073503757380569E-3</v>
      </c>
      <c r="P17" s="28">
        <f>WO2025Jan710814161822242830323438404244464854565862646668707274766812161820222628323438[[#This Row],[CV]]*1.5</f>
        <v>1.6102556360708536E-3</v>
      </c>
      <c r="Q17" s="25">
        <f>WO2025Jan710814161822242830323438404244464854565862646668707274766812161820222628323438[[#This Row],[I]]</f>
        <v>1.0185185185185184E-3</v>
      </c>
      <c r="R17" s="25">
        <f>WO2025Jan710814161822242830323438404244464854565862646668707274766812161820222628323438[[#This Row],[I]]*1.5</f>
        <v>1.5277777777777776E-3</v>
      </c>
      <c r="S17" s="25">
        <f>WO2025Jan710814161822242830323438404244464854565862646668707274766812161820222628323438[[#This Row],[VO2]]</f>
        <v>9.8762345679012349E-4</v>
      </c>
      <c r="T17" s="28"/>
      <c r="U17" s="11"/>
      <c r="V17" s="36"/>
      <c r="W17" s="15" t="s">
        <v>35</v>
      </c>
      <c r="X17" s="52"/>
    </row>
    <row r="18" spans="1:24" ht="21" customHeight="1">
      <c r="A18" s="10" t="s">
        <v>65</v>
      </c>
      <c r="B18" s="11">
        <v>1.2731481481481481E-2</v>
      </c>
      <c r="C18" s="11">
        <v>3.8194444444444443E-3</v>
      </c>
      <c r="D18" s="11">
        <f t="shared" si="8"/>
        <v>7.4071759259259256E-3</v>
      </c>
      <c r="E18" s="12">
        <v>0.58179999999999998</v>
      </c>
      <c r="F18" s="11">
        <f t="shared" si="9"/>
        <v>9.5486111111111108E-4</v>
      </c>
      <c r="G18" s="11">
        <f t="shared" si="10"/>
        <v>9.8762345679012349E-4</v>
      </c>
      <c r="H18" s="11">
        <f t="shared" si="11"/>
        <v>1.0185185185185184E-3</v>
      </c>
      <c r="I18" s="11">
        <f t="shared" si="12"/>
        <v>1.0619607062259391E-3</v>
      </c>
      <c r="J18" s="11">
        <f t="shared" si="13"/>
        <v>1.073503757380569E-3</v>
      </c>
      <c r="K18" s="11">
        <f t="shared" si="14"/>
        <v>1.1222993827160494E-3</v>
      </c>
      <c r="L18" s="11">
        <f t="shared" si="15"/>
        <v>1.1757422104644328E-3</v>
      </c>
      <c r="M18" s="25">
        <f>WO2025Jan710814161822242830323438404244464854565862646668707274766812161820222628323438[[#This Row],[Thresh]]</f>
        <v>1.1222993827160494E-3</v>
      </c>
      <c r="N18" s="28">
        <f>WO2025Jan710814161822242830323438404244464854565862646668707274766812161820222628323438[[#This Row],[Thresh]]*1.5</f>
        <v>1.6834490740740742E-3</v>
      </c>
      <c r="O18" s="25">
        <f>WO2025Jan710814161822242830323438404244464854565862646668707274766812161820222628323438[[#This Row],[CV]]</f>
        <v>1.073503757380569E-3</v>
      </c>
      <c r="P18" s="28">
        <f>WO2025Jan710814161822242830323438404244464854565862646668707274766812161820222628323438[[#This Row],[CV]]*1.5</f>
        <v>1.6102556360708536E-3</v>
      </c>
      <c r="Q18" s="25">
        <f>WO2025Jan710814161822242830323438404244464854565862646668707274766812161820222628323438[[#This Row],[I]]</f>
        <v>1.0185185185185184E-3</v>
      </c>
      <c r="R18" s="25">
        <f>WO2025Jan710814161822242830323438404244464854565862646668707274766812161820222628323438[[#This Row],[I]]*1.5</f>
        <v>1.5277777777777776E-3</v>
      </c>
      <c r="S18" s="25">
        <f>WO2025Jan710814161822242830323438404244464854565862646668707274766812161820222628323438[[#This Row],[VO2]]</f>
        <v>9.8762345679012349E-4</v>
      </c>
      <c r="T18" s="28"/>
      <c r="U18" s="11"/>
      <c r="V18" s="36"/>
      <c r="W18" s="15" t="s">
        <v>35</v>
      </c>
      <c r="X18" s="52"/>
    </row>
    <row r="19" spans="1:24" ht="21" customHeight="1">
      <c r="A19" s="10" t="s">
        <v>66</v>
      </c>
      <c r="B19" s="11">
        <v>1.2731481481481481E-2</v>
      </c>
      <c r="C19" s="11">
        <v>3.6458333333333334E-3</v>
      </c>
      <c r="D19" s="11">
        <f>B19*E19</f>
        <v>7.4071759259259256E-3</v>
      </c>
      <c r="E19" s="12">
        <v>0.58179999999999998</v>
      </c>
      <c r="F19" s="11">
        <f>C19/4</f>
        <v>9.1145833333333335E-4</v>
      </c>
      <c r="G19" s="11">
        <f>D19/7.5</f>
        <v>9.8762345679012349E-4</v>
      </c>
      <c r="H19" s="11">
        <f>B19/12.5</f>
        <v>1.0185185185185184E-3</v>
      </c>
      <c r="I19" s="11">
        <f>G19/0.93</f>
        <v>1.0619607062259391E-3</v>
      </c>
      <c r="J19" s="11">
        <f>G19/0.92</f>
        <v>1.073503757380569E-3</v>
      </c>
      <c r="K19" s="11">
        <f>G19/0.88</f>
        <v>1.1222993827160494E-3</v>
      </c>
      <c r="L19" s="17">
        <f>G19/0.84</f>
        <v>1.1757422104644328E-3</v>
      </c>
      <c r="M19" s="25">
        <f>WO2025Jan710814161822242830323438404244464854565862646668707274766812161820222628323438[[#This Row],[Thresh]]</f>
        <v>1.1222993827160494E-3</v>
      </c>
      <c r="N19" s="28">
        <f>WO2025Jan710814161822242830323438404244464854565862646668707274766812161820222628323438[[#This Row],[Thresh]]*1.5</f>
        <v>1.6834490740740742E-3</v>
      </c>
      <c r="O19" s="25">
        <f>WO2025Jan710814161822242830323438404244464854565862646668707274766812161820222628323438[[#This Row],[CV]]</f>
        <v>1.073503757380569E-3</v>
      </c>
      <c r="P19" s="28">
        <f>WO2025Jan710814161822242830323438404244464854565862646668707274766812161820222628323438[[#This Row],[CV]]*1.5</f>
        <v>1.6102556360708536E-3</v>
      </c>
      <c r="Q19" s="25">
        <f>WO2025Jan710814161822242830323438404244464854565862646668707274766812161820222628323438[[#This Row],[I]]</f>
        <v>1.0185185185185184E-3</v>
      </c>
      <c r="R19" s="25">
        <f>WO2025Jan710814161822242830323438404244464854565862646668707274766812161820222628323438[[#This Row],[I]]*1.5</f>
        <v>1.5277777777777776E-3</v>
      </c>
      <c r="S19" s="25">
        <f>WO2025Jan710814161822242830323438404244464854565862646668707274766812161820222628323438[[#This Row],[VO2]]</f>
        <v>9.8762345679012349E-4</v>
      </c>
      <c r="T19" s="28"/>
      <c r="U19" s="11"/>
      <c r="V19" s="36"/>
      <c r="W19" s="15" t="s">
        <v>35</v>
      </c>
      <c r="X19" s="52"/>
    </row>
    <row r="20" spans="1:24" ht="21" customHeight="1">
      <c r="A20" s="10" t="s">
        <v>67</v>
      </c>
      <c r="B20" s="11">
        <v>1.3020833333333334E-2</v>
      </c>
      <c r="C20" s="11">
        <v>3.8194444444444443E-3</v>
      </c>
      <c r="D20" s="11">
        <f>B20*E20</f>
        <v>7.5755208333333334E-3</v>
      </c>
      <c r="E20" s="12">
        <v>0.58179999999999998</v>
      </c>
      <c r="F20" s="11">
        <f>C20/4</f>
        <v>9.5486111111111108E-4</v>
      </c>
      <c r="G20" s="11">
        <f>D20/7.5</f>
        <v>1.0100694444444445E-3</v>
      </c>
      <c r="H20" s="11">
        <f>B20/12.5</f>
        <v>1.0416666666666667E-3</v>
      </c>
      <c r="I20" s="11">
        <f>G20/0.93</f>
        <v>1.0860961768219832E-3</v>
      </c>
      <c r="J20" s="11">
        <f>G20/0.92</f>
        <v>1.0979015700483092E-3</v>
      </c>
      <c r="K20" s="11">
        <f>G20/0.88</f>
        <v>1.1478061868686869E-3</v>
      </c>
      <c r="L20" s="11">
        <f>G20/0.84</f>
        <v>1.2024636243386244E-3</v>
      </c>
      <c r="M20" s="25">
        <f>WO2025Jan710814161822242830323438404244464854565862646668707274766812161820222628323438[[#This Row],[Thresh]]</f>
        <v>1.1478061868686869E-3</v>
      </c>
      <c r="N20" s="28">
        <f>WO2025Jan710814161822242830323438404244464854565862646668707274766812161820222628323438[[#This Row],[Thresh]]*1.5</f>
        <v>1.7217092803030304E-3</v>
      </c>
      <c r="O20" s="25">
        <f>WO2025Jan710814161822242830323438404244464854565862646668707274766812161820222628323438[[#This Row],[CV]]</f>
        <v>1.0979015700483092E-3</v>
      </c>
      <c r="P20" s="28">
        <f>WO2025Jan710814161822242830323438404244464854565862646668707274766812161820222628323438[[#This Row],[CV]]*1.5</f>
        <v>1.6468523550724639E-3</v>
      </c>
      <c r="Q20" s="25">
        <f>WO2025Jan710814161822242830323438404244464854565862646668707274766812161820222628323438[[#This Row],[I]]</f>
        <v>1.0416666666666667E-3</v>
      </c>
      <c r="R20" s="25">
        <f>WO2025Jan710814161822242830323438404244464854565862646668707274766812161820222628323438[[#This Row],[I]]*1.5</f>
        <v>1.5625000000000001E-3</v>
      </c>
      <c r="S20" s="25">
        <f>WO2025Jan710814161822242830323438404244464854565862646668707274766812161820222628323438[[#This Row],[VO2]]</f>
        <v>1.0100694444444445E-3</v>
      </c>
      <c r="T20" s="28"/>
      <c r="U20" s="11"/>
      <c r="V20" s="36"/>
      <c r="W20" s="15" t="s">
        <v>35</v>
      </c>
      <c r="X20" s="52"/>
    </row>
    <row r="21" spans="1:24" ht="21" customHeight="1">
      <c r="A21" s="10" t="s">
        <v>68</v>
      </c>
      <c r="B21" s="11">
        <v>1.3020833333333334E-2</v>
      </c>
      <c r="C21" s="11">
        <v>3.9351851851851848E-3</v>
      </c>
      <c r="D21" s="11">
        <f>B21*E21</f>
        <v>7.5755208333333334E-3</v>
      </c>
      <c r="E21" s="12">
        <v>0.58179999999999998</v>
      </c>
      <c r="F21" s="11">
        <f>C21/4</f>
        <v>9.837962962962962E-4</v>
      </c>
      <c r="G21" s="11">
        <f>D21/7.5</f>
        <v>1.0100694444444445E-3</v>
      </c>
      <c r="H21" s="11">
        <f>B21/12.5</f>
        <v>1.0416666666666667E-3</v>
      </c>
      <c r="I21" s="11">
        <f>G21/0.93</f>
        <v>1.0860961768219832E-3</v>
      </c>
      <c r="J21" s="11">
        <f>G21/0.92</f>
        <v>1.0979015700483092E-3</v>
      </c>
      <c r="K21" s="11">
        <f>G21/0.88</f>
        <v>1.1478061868686869E-3</v>
      </c>
      <c r="L21" s="11">
        <f>G21/0.84</f>
        <v>1.2024636243386244E-3</v>
      </c>
      <c r="M21" s="25">
        <f>WO2025Jan710814161822242830323438404244464854565862646668707274766812161820222628323438[[#This Row],[Thresh]]</f>
        <v>1.1478061868686869E-3</v>
      </c>
      <c r="N21" s="28">
        <f>WO2025Jan710814161822242830323438404244464854565862646668707274766812161820222628323438[[#This Row],[Thresh]]*1.5</f>
        <v>1.7217092803030304E-3</v>
      </c>
      <c r="O21" s="25">
        <f>WO2025Jan710814161822242830323438404244464854565862646668707274766812161820222628323438[[#This Row],[CV]]</f>
        <v>1.0979015700483092E-3</v>
      </c>
      <c r="P21" s="28">
        <f>WO2025Jan710814161822242830323438404244464854565862646668707274766812161820222628323438[[#This Row],[CV]]*1.5</f>
        <v>1.6468523550724639E-3</v>
      </c>
      <c r="Q21" s="25">
        <f>WO2025Jan710814161822242830323438404244464854565862646668707274766812161820222628323438[[#This Row],[I]]</f>
        <v>1.0416666666666667E-3</v>
      </c>
      <c r="R21" s="25">
        <f>WO2025Jan710814161822242830323438404244464854565862646668707274766812161820222628323438[[#This Row],[I]]*1.5</f>
        <v>1.5625000000000001E-3</v>
      </c>
      <c r="S21" s="25">
        <f>WO2025Jan710814161822242830323438404244464854565862646668707274766812161820222628323438[[#This Row],[VO2]]</f>
        <v>1.0100694444444445E-3</v>
      </c>
      <c r="T21" s="28"/>
      <c r="U21" s="11"/>
      <c r="V21" s="36"/>
      <c r="W21" s="15" t="s">
        <v>35</v>
      </c>
      <c r="X21" s="52" t="s">
        <v>188</v>
      </c>
    </row>
    <row r="22" spans="1:24" ht="21" customHeight="1">
      <c r="A22" s="10" t="s">
        <v>69</v>
      </c>
      <c r="B22" s="11">
        <v>1.3541666666666667E-2</v>
      </c>
      <c r="C22" s="11">
        <v>4.0509259259259257E-3</v>
      </c>
      <c r="D22" s="11">
        <f t="shared" si="8"/>
        <v>7.8785416666666674E-3</v>
      </c>
      <c r="E22" s="12">
        <v>0.58179999999999998</v>
      </c>
      <c r="F22" s="11">
        <f t="shared" si="9"/>
        <v>1.0127314814814814E-3</v>
      </c>
      <c r="G22" s="11">
        <f t="shared" si="10"/>
        <v>1.0504722222222224E-3</v>
      </c>
      <c r="H22" s="11">
        <f t="shared" si="11"/>
        <v>1.0833333333333333E-3</v>
      </c>
      <c r="I22" s="11">
        <f t="shared" si="12"/>
        <v>1.1295400238948627E-3</v>
      </c>
      <c r="J22" s="11">
        <f t="shared" si="13"/>
        <v>1.1418176328502417E-3</v>
      </c>
      <c r="K22" s="11">
        <f t="shared" si="14"/>
        <v>1.1937184343434346E-3</v>
      </c>
      <c r="L22" s="11">
        <f t="shared" si="15"/>
        <v>1.2505621693121695E-3</v>
      </c>
      <c r="M22" s="25">
        <f>WO2025Jan710814161822242830323438404244464854565862646668707274766812161820222628323438[[#This Row],[Thresh]]</f>
        <v>1.1937184343434346E-3</v>
      </c>
      <c r="N22" s="28">
        <f>WO2025Jan710814161822242830323438404244464854565862646668707274766812161820222628323438[[#This Row],[Thresh]]*1.5</f>
        <v>1.790577651515152E-3</v>
      </c>
      <c r="O22" s="25">
        <f>WO2025Jan710814161822242830323438404244464854565862646668707274766812161820222628323438[[#This Row],[CV]]</f>
        <v>1.1418176328502417E-3</v>
      </c>
      <c r="P22" s="28">
        <f>WO2025Jan710814161822242830323438404244464854565862646668707274766812161820222628323438[[#This Row],[CV]]*1.5</f>
        <v>1.7127264492753625E-3</v>
      </c>
      <c r="Q22" s="25">
        <f>WO2025Jan710814161822242830323438404244464854565862646668707274766812161820222628323438[[#This Row],[I]]</f>
        <v>1.0833333333333333E-3</v>
      </c>
      <c r="R22" s="25">
        <f>WO2025Jan710814161822242830323438404244464854565862646668707274766812161820222628323438[[#This Row],[I]]*1.5</f>
        <v>1.6249999999999999E-3</v>
      </c>
      <c r="S22" s="25">
        <f>WO2025Jan710814161822242830323438404244464854565862646668707274766812161820222628323438[[#This Row],[VO2]]</f>
        <v>1.0504722222222224E-3</v>
      </c>
      <c r="T22" s="28"/>
      <c r="U22" s="11"/>
      <c r="V22" s="36"/>
      <c r="W22" s="15" t="s">
        <v>35</v>
      </c>
      <c r="X22" s="52"/>
    </row>
    <row r="23" spans="1:24" ht="21" customHeight="1">
      <c r="A23" s="10" t="s">
        <v>70</v>
      </c>
      <c r="B23" s="11">
        <v>1.3541666666666667E-2</v>
      </c>
      <c r="C23" s="11">
        <v>4.0509259259259257E-3</v>
      </c>
      <c r="D23" s="11">
        <f t="shared" si="8"/>
        <v>7.8785416666666674E-3</v>
      </c>
      <c r="E23" s="12">
        <v>0.58179999999999998</v>
      </c>
      <c r="F23" s="11">
        <f t="shared" si="9"/>
        <v>1.0127314814814814E-3</v>
      </c>
      <c r="G23" s="11">
        <f t="shared" si="10"/>
        <v>1.0504722222222224E-3</v>
      </c>
      <c r="H23" s="11">
        <f t="shared" si="11"/>
        <v>1.0833333333333333E-3</v>
      </c>
      <c r="I23" s="11">
        <f t="shared" si="12"/>
        <v>1.1295400238948627E-3</v>
      </c>
      <c r="J23" s="11">
        <f t="shared" si="13"/>
        <v>1.1418176328502417E-3</v>
      </c>
      <c r="K23" s="11">
        <f t="shared" si="14"/>
        <v>1.1937184343434346E-3</v>
      </c>
      <c r="L23" s="11">
        <f t="shared" si="15"/>
        <v>1.2505621693121695E-3</v>
      </c>
      <c r="M23" s="25">
        <f>WO2025Jan710814161822242830323438404244464854565862646668707274766812161820222628323438[[#This Row],[Thresh]]</f>
        <v>1.1937184343434346E-3</v>
      </c>
      <c r="N23" s="28">
        <f>WO2025Jan710814161822242830323438404244464854565862646668707274766812161820222628323438[[#This Row],[Thresh]]*1.5</f>
        <v>1.790577651515152E-3</v>
      </c>
      <c r="O23" s="25">
        <f>WO2025Jan710814161822242830323438404244464854565862646668707274766812161820222628323438[[#This Row],[CV]]</f>
        <v>1.1418176328502417E-3</v>
      </c>
      <c r="P23" s="28">
        <f>WO2025Jan710814161822242830323438404244464854565862646668707274766812161820222628323438[[#This Row],[CV]]*1.5</f>
        <v>1.7127264492753625E-3</v>
      </c>
      <c r="Q23" s="25">
        <f>WO2025Jan710814161822242830323438404244464854565862646668707274766812161820222628323438[[#This Row],[I]]</f>
        <v>1.0833333333333333E-3</v>
      </c>
      <c r="R23" s="25">
        <f>WO2025Jan710814161822242830323438404244464854565862646668707274766812161820222628323438[[#This Row],[I]]*1.5</f>
        <v>1.6249999999999999E-3</v>
      </c>
      <c r="S23" s="25">
        <f>WO2025Jan710814161822242830323438404244464854565862646668707274766812161820222628323438[[#This Row],[VO2]]</f>
        <v>1.0504722222222224E-3</v>
      </c>
      <c r="T23" s="28"/>
      <c r="U23" s="11"/>
      <c r="V23" s="36"/>
      <c r="W23" s="15" t="s">
        <v>35</v>
      </c>
      <c r="X23" s="52"/>
    </row>
    <row r="24" spans="1:24" ht="21" customHeight="1">
      <c r="A24" s="10" t="s">
        <v>71</v>
      </c>
      <c r="B24" s="11">
        <v>1.3541666666666667E-2</v>
      </c>
      <c r="C24" s="11">
        <v>4.0509259259259257E-3</v>
      </c>
      <c r="D24" s="11">
        <f>B24*E24</f>
        <v>7.8785416666666674E-3</v>
      </c>
      <c r="E24" s="12">
        <v>0.58179999999999998</v>
      </c>
      <c r="F24" s="11">
        <f>C24/4</f>
        <v>1.0127314814814814E-3</v>
      </c>
      <c r="G24" s="11">
        <f>D24/7.5</f>
        <v>1.0504722222222224E-3</v>
      </c>
      <c r="H24" s="11">
        <f>B24/12.5</f>
        <v>1.0833333333333333E-3</v>
      </c>
      <c r="I24" s="11">
        <f>G24/0.93</f>
        <v>1.1295400238948627E-3</v>
      </c>
      <c r="J24" s="11">
        <f>G24/0.92</f>
        <v>1.1418176328502417E-3</v>
      </c>
      <c r="K24" s="11">
        <f>G24/0.88</f>
        <v>1.1937184343434346E-3</v>
      </c>
      <c r="L24" s="11">
        <f>G24/0.84</f>
        <v>1.2505621693121695E-3</v>
      </c>
      <c r="M24" s="25">
        <f>WO2025Jan710814161822242830323438404244464854565862646668707274766812161820222628323438[[#This Row],[Thresh]]</f>
        <v>1.1937184343434346E-3</v>
      </c>
      <c r="N24" s="28">
        <f>WO2025Jan710814161822242830323438404244464854565862646668707274766812161820222628323438[[#This Row],[Thresh]]*1.5</f>
        <v>1.790577651515152E-3</v>
      </c>
      <c r="O24" s="25">
        <f>WO2025Jan710814161822242830323438404244464854565862646668707274766812161820222628323438[[#This Row],[CV]]</f>
        <v>1.1418176328502417E-3</v>
      </c>
      <c r="P24" s="28">
        <f>WO2025Jan710814161822242830323438404244464854565862646668707274766812161820222628323438[[#This Row],[CV]]*1.5</f>
        <v>1.7127264492753625E-3</v>
      </c>
      <c r="Q24" s="25">
        <f>WO2025Jan710814161822242830323438404244464854565862646668707274766812161820222628323438[[#This Row],[I]]</f>
        <v>1.0833333333333333E-3</v>
      </c>
      <c r="R24" s="25">
        <f>WO2025Jan710814161822242830323438404244464854565862646668707274766812161820222628323438[[#This Row],[I]]*1.5</f>
        <v>1.6249999999999999E-3</v>
      </c>
      <c r="S24" s="25">
        <f>WO2025Jan710814161822242830323438404244464854565862646668707274766812161820222628323438[[#This Row],[VO2]]</f>
        <v>1.0504722222222224E-3</v>
      </c>
      <c r="T24" s="28"/>
      <c r="U24" s="11"/>
      <c r="V24" s="36"/>
      <c r="W24" s="15" t="s">
        <v>35</v>
      </c>
      <c r="X24" s="52"/>
    </row>
    <row r="25" spans="1:24" ht="21" customHeight="1">
      <c r="A25" s="10" t="s">
        <v>72</v>
      </c>
      <c r="B25" s="11">
        <v>1.3541666666666667E-2</v>
      </c>
      <c r="C25" s="11">
        <v>4.0509259259259257E-3</v>
      </c>
      <c r="D25" s="11">
        <f t="shared" si="8"/>
        <v>7.8785416666666674E-3</v>
      </c>
      <c r="E25" s="12">
        <v>0.58179999999999998</v>
      </c>
      <c r="F25" s="11">
        <f t="shared" si="9"/>
        <v>1.0127314814814814E-3</v>
      </c>
      <c r="G25" s="11">
        <f t="shared" si="10"/>
        <v>1.0504722222222224E-3</v>
      </c>
      <c r="H25" s="11">
        <f t="shared" si="11"/>
        <v>1.0833333333333333E-3</v>
      </c>
      <c r="I25" s="11">
        <f t="shared" si="12"/>
        <v>1.1295400238948627E-3</v>
      </c>
      <c r="J25" s="11">
        <f t="shared" si="13"/>
        <v>1.1418176328502417E-3</v>
      </c>
      <c r="K25" s="11">
        <f t="shared" si="14"/>
        <v>1.1937184343434346E-3</v>
      </c>
      <c r="L25" s="11">
        <f t="shared" si="15"/>
        <v>1.2505621693121695E-3</v>
      </c>
      <c r="M25" s="25">
        <f>WO2025Jan710814161822242830323438404244464854565862646668707274766812161820222628323438[[#This Row],[Thresh]]</f>
        <v>1.1937184343434346E-3</v>
      </c>
      <c r="N25" s="28">
        <f>WO2025Jan710814161822242830323438404244464854565862646668707274766812161820222628323438[[#This Row],[Thresh]]*1.5</f>
        <v>1.790577651515152E-3</v>
      </c>
      <c r="O25" s="25">
        <f>WO2025Jan710814161822242830323438404244464854565862646668707274766812161820222628323438[[#This Row],[CV]]</f>
        <v>1.1418176328502417E-3</v>
      </c>
      <c r="P25" s="28">
        <f>WO2025Jan710814161822242830323438404244464854565862646668707274766812161820222628323438[[#This Row],[CV]]*1.5</f>
        <v>1.7127264492753625E-3</v>
      </c>
      <c r="Q25" s="25">
        <f>WO2025Jan710814161822242830323438404244464854565862646668707274766812161820222628323438[[#This Row],[I]]</f>
        <v>1.0833333333333333E-3</v>
      </c>
      <c r="R25" s="25">
        <f>WO2025Jan710814161822242830323438404244464854565862646668707274766812161820222628323438[[#This Row],[I]]*1.5</f>
        <v>1.6249999999999999E-3</v>
      </c>
      <c r="S25" s="25">
        <f>WO2025Jan710814161822242830323438404244464854565862646668707274766812161820222628323438[[#This Row],[VO2]]</f>
        <v>1.0504722222222224E-3</v>
      </c>
      <c r="T25" s="28"/>
      <c r="U25" s="11"/>
      <c r="V25" s="36"/>
      <c r="W25" s="15" t="s">
        <v>35</v>
      </c>
      <c r="X25" s="52"/>
    </row>
    <row r="26" spans="1:24" ht="21" customHeight="1">
      <c r="A26" s="10" t="s">
        <v>73</v>
      </c>
      <c r="B26" s="11">
        <v>1.3888888888888888E-2</v>
      </c>
      <c r="C26" s="11">
        <v>4.3981481481481484E-3</v>
      </c>
      <c r="D26" s="11">
        <f>B26*E26</f>
        <v>8.0805555555555544E-3</v>
      </c>
      <c r="E26" s="12">
        <v>0.58179999999999998</v>
      </c>
      <c r="F26" s="11">
        <f>C26/4</f>
        <v>1.0995370370370371E-3</v>
      </c>
      <c r="G26" s="11">
        <f>D26/7.5</f>
        <v>1.0774074074074074E-3</v>
      </c>
      <c r="H26" s="11">
        <f>B26/12.5</f>
        <v>1.1111111111111111E-3</v>
      </c>
      <c r="I26" s="11">
        <f>G26/0.93</f>
        <v>1.1585025886101153E-3</v>
      </c>
      <c r="J26" s="11">
        <f>G26/0.92</f>
        <v>1.1710950080515297E-3</v>
      </c>
      <c r="K26" s="11">
        <f>G26/0.88</f>
        <v>1.2243265993265992E-3</v>
      </c>
      <c r="L26" s="11">
        <f>G26/0.84</f>
        <v>1.2826278659611992E-3</v>
      </c>
      <c r="M26" s="25">
        <f>WO2025Jan710814161822242830323438404244464854565862646668707274766812161820222628323438[[#This Row],[Thresh]]</f>
        <v>1.2243265993265992E-3</v>
      </c>
      <c r="N26" s="28">
        <f>WO2025Jan710814161822242830323438404244464854565862646668707274766812161820222628323438[[#This Row],[Thresh]]*1.5</f>
        <v>1.8364898989898988E-3</v>
      </c>
      <c r="O26" s="25">
        <f>WO2025Jan710814161822242830323438404244464854565862646668707274766812161820222628323438[[#This Row],[CV]]</f>
        <v>1.1710950080515297E-3</v>
      </c>
      <c r="P26" s="28">
        <f>WO2025Jan710814161822242830323438404244464854565862646668707274766812161820222628323438[[#This Row],[CV]]*1.5</f>
        <v>1.7566425120772947E-3</v>
      </c>
      <c r="Q26" s="25">
        <f>WO2025Jan710814161822242830323438404244464854565862646668707274766812161820222628323438[[#This Row],[I]]</f>
        <v>1.1111111111111111E-3</v>
      </c>
      <c r="R26" s="25">
        <f>WO2025Jan710814161822242830323438404244464854565862646668707274766812161820222628323438[[#This Row],[I]]*1.5</f>
        <v>1.6666666666666666E-3</v>
      </c>
      <c r="S26" s="25">
        <f>WO2025Jan710814161822242830323438404244464854565862646668707274766812161820222628323438[[#This Row],[VO2]]</f>
        <v>1.0774074074074074E-3</v>
      </c>
      <c r="T26" s="28"/>
      <c r="U26" s="11"/>
      <c r="V26" s="36"/>
      <c r="W26" s="15" t="s">
        <v>35</v>
      </c>
      <c r="X26" s="52"/>
    </row>
    <row r="27" spans="1:24" ht="21" customHeight="1">
      <c r="A27" s="10"/>
      <c r="B27" s="11"/>
      <c r="C27" s="11"/>
      <c r="D27" s="11"/>
      <c r="E27" s="12"/>
      <c r="F27" s="11"/>
      <c r="G27" s="11"/>
      <c r="H27" s="11"/>
      <c r="I27" s="11"/>
      <c r="J27" s="11"/>
      <c r="K27" s="11"/>
      <c r="L27" s="11"/>
      <c r="M27" s="25"/>
      <c r="N27" s="28"/>
      <c r="O27" s="25"/>
      <c r="P27" s="11"/>
      <c r="Q27" s="14"/>
      <c r="R27" s="11"/>
      <c r="S27" s="14"/>
      <c r="T27" s="14"/>
      <c r="U27" s="14"/>
      <c r="V27" s="17"/>
      <c r="W27" s="18"/>
      <c r="X27" s="52"/>
    </row>
    <row r="28" spans="1:24" ht="21" customHeight="1">
      <c r="A28" s="10"/>
      <c r="B28" s="11"/>
      <c r="C28" s="11"/>
      <c r="D28" s="11"/>
      <c r="E28" s="12"/>
      <c r="F28" s="11"/>
      <c r="G28" s="11"/>
      <c r="H28" s="11"/>
      <c r="I28" s="11"/>
      <c r="J28" s="11"/>
      <c r="K28" s="11"/>
      <c r="L28" s="11"/>
      <c r="M28" s="14"/>
      <c r="N28" s="11"/>
      <c r="O28" s="14"/>
      <c r="P28" s="11"/>
      <c r="Q28" s="14"/>
      <c r="R28" s="11"/>
      <c r="S28" s="14"/>
      <c r="T28" s="14"/>
      <c r="U28" s="14"/>
      <c r="V28" s="11"/>
      <c r="W28" s="15"/>
      <c r="X28" s="52"/>
    </row>
    <row r="29" spans="1:24" ht="21" customHeight="1" thickBot="1">
      <c r="A29" s="10"/>
      <c r="B29" s="11"/>
      <c r="C29" s="11"/>
      <c r="D29" s="11"/>
      <c r="E29" s="12"/>
      <c r="F29" s="11"/>
      <c r="G29" s="11"/>
      <c r="H29" s="11"/>
      <c r="I29" s="11"/>
      <c r="J29" s="11"/>
      <c r="K29" s="11"/>
      <c r="L29" s="11"/>
      <c r="M29" s="45"/>
      <c r="N29" s="11"/>
      <c r="O29" s="11"/>
      <c r="P29" s="11"/>
      <c r="Q29" s="14"/>
      <c r="R29" s="11"/>
      <c r="S29" s="14"/>
      <c r="T29" s="11"/>
      <c r="U29" s="14"/>
      <c r="V29" s="17"/>
      <c r="W29" s="18"/>
      <c r="X29" s="52"/>
    </row>
    <row r="30" spans="1:24" ht="21" customHeight="1">
      <c r="A30" s="1" t="s">
        <v>185</v>
      </c>
      <c r="B30" s="6"/>
      <c r="C30" s="6"/>
      <c r="D30" s="6"/>
      <c r="E30" s="20"/>
      <c r="F30" s="6"/>
      <c r="G30" s="6"/>
      <c r="H30" s="6"/>
      <c r="I30" s="6"/>
      <c r="J30" s="6"/>
      <c r="K30" s="6"/>
      <c r="L30" s="6"/>
      <c r="M30" s="6" t="s">
        <v>12</v>
      </c>
      <c r="N30" s="6" t="s">
        <v>145</v>
      </c>
      <c r="O30" s="6" t="s">
        <v>14</v>
      </c>
      <c r="P30" s="6" t="s">
        <v>15</v>
      </c>
      <c r="Q30" s="6" t="s">
        <v>153</v>
      </c>
      <c r="R30" s="6" t="s">
        <v>189</v>
      </c>
      <c r="S30" s="6"/>
      <c r="T30" s="6"/>
      <c r="U30" s="6"/>
      <c r="V30" s="21"/>
      <c r="W30" s="35"/>
      <c r="X30" s="52"/>
    </row>
    <row r="31" spans="1:24" ht="21" customHeight="1">
      <c r="A31" s="10" t="s">
        <v>36</v>
      </c>
      <c r="B31" s="11">
        <v>1.2615740740740742E-2</v>
      </c>
      <c r="C31" s="11">
        <v>3.6458333333333334E-3</v>
      </c>
      <c r="D31" s="11">
        <f>B31*E31</f>
        <v>7.3398379629629629E-3</v>
      </c>
      <c r="E31" s="12">
        <v>0.58179999999999998</v>
      </c>
      <c r="F31" s="11">
        <f>C31/4</f>
        <v>9.1145833333333335E-4</v>
      </c>
      <c r="G31" s="11">
        <f>D31/7.5</f>
        <v>9.7864506172839496E-4</v>
      </c>
      <c r="H31" s="11">
        <f>B31/12.5</f>
        <v>1.0092592592592592E-3</v>
      </c>
      <c r="I31" s="11">
        <f>G31/0.93</f>
        <v>1.0523065179875214E-3</v>
      </c>
      <c r="J31" s="11">
        <f>G31/0.92</f>
        <v>1.0637446323134728E-3</v>
      </c>
      <c r="K31" s="11">
        <f>G31/0.88</f>
        <v>1.1120966610549943E-3</v>
      </c>
      <c r="L31" s="11">
        <f>G31/0.84</f>
        <v>1.165053644914756E-3</v>
      </c>
      <c r="M31" s="25">
        <f>WO2025Jan710814161822242830323438404244464854565862646668707274766812161820222628323438[[#This Row],[Thresh]]</f>
        <v>1.1120966610549943E-3</v>
      </c>
      <c r="N31" s="28">
        <f>WO2025Jan710814161822242830323438404244464854565862646668707274766812161820222628323438[[#This Row],[Thresh]]*1.5</f>
        <v>1.6681449915824913E-3</v>
      </c>
      <c r="O31" s="25">
        <f>WO2025Jan710814161822242830323438404244464854565862646668707274766812161820222628323438[[#This Row],[CV]]</f>
        <v>1.0637446323134728E-3</v>
      </c>
      <c r="P31" s="28">
        <f>WO2025Jan710814161822242830323438404244464854565862646668707274766812161820222628323438[[#This Row],[CV]]*1.5</f>
        <v>1.5956169484702093E-3</v>
      </c>
      <c r="Q31" s="25">
        <f>WO2025Jan710814161822242830323438404244464854565862646668707274766812161820222628323438[[#This Row],[R]]/2</f>
        <v>4.5572916666666667E-4</v>
      </c>
      <c r="R31" s="25">
        <f>WO2025Jan710814161822242830323438404244464854565862646668707274766812161820222628323438[[#This Row],[R]]-(4*0.0000115740740740741)</f>
        <v>8.651620370370369E-4</v>
      </c>
      <c r="S31" s="25"/>
      <c r="T31" s="28"/>
      <c r="U31" s="11"/>
      <c r="V31" s="36"/>
      <c r="W31" s="15" t="s">
        <v>48</v>
      </c>
      <c r="X31" s="52" t="s">
        <v>143</v>
      </c>
    </row>
    <row r="32" spans="1:24" ht="21" customHeight="1">
      <c r="A32" s="10" t="s">
        <v>50</v>
      </c>
      <c r="B32" s="11">
        <v>1.3020833333333334E-2</v>
      </c>
      <c r="C32" s="11">
        <v>3.7037037037037038E-3</v>
      </c>
      <c r="D32" s="11">
        <f t="shared" ref="D32:D33" si="16">B32*E32</f>
        <v>7.5755208333333334E-3</v>
      </c>
      <c r="E32" s="12">
        <v>0.58179999999999998</v>
      </c>
      <c r="F32" s="11">
        <f t="shared" ref="F32:F33" si="17">C32/4</f>
        <v>9.2592592592592596E-4</v>
      </c>
      <c r="G32" s="11">
        <f t="shared" ref="G32:G33" si="18">D32/7.5</f>
        <v>1.0100694444444445E-3</v>
      </c>
      <c r="H32" s="11">
        <f t="shared" ref="H32:H33" si="19">B32/12.5</f>
        <v>1.0416666666666667E-3</v>
      </c>
      <c r="I32" s="11">
        <f t="shared" ref="I32:I33" si="20">G32/0.93</f>
        <v>1.0860961768219832E-3</v>
      </c>
      <c r="J32" s="11">
        <f t="shared" ref="J32:J33" si="21">G32/0.92</f>
        <v>1.0979015700483092E-3</v>
      </c>
      <c r="K32" s="11">
        <f t="shared" ref="K32:K33" si="22">G32/0.88</f>
        <v>1.1478061868686869E-3</v>
      </c>
      <c r="L32" s="11">
        <f t="shared" ref="L32:L33" si="23">G32/0.84</f>
        <v>1.2024636243386244E-3</v>
      </c>
      <c r="M32" s="25">
        <f>WO2025Jan710814161822242830323438404244464854565862646668707274766812161820222628323438[[#This Row],[Thresh]]</f>
        <v>1.1478061868686869E-3</v>
      </c>
      <c r="N32" s="28">
        <f>WO2025Jan710814161822242830323438404244464854565862646668707274766812161820222628323438[[#This Row],[Thresh]]*1.5</f>
        <v>1.7217092803030304E-3</v>
      </c>
      <c r="O32" s="25">
        <f>WO2025Jan710814161822242830323438404244464854565862646668707274766812161820222628323438[[#This Row],[CV]]</f>
        <v>1.0979015700483092E-3</v>
      </c>
      <c r="P32" s="28">
        <f>WO2025Jan710814161822242830323438404244464854565862646668707274766812161820222628323438[[#This Row],[CV]]*1.5</f>
        <v>1.6468523550724639E-3</v>
      </c>
      <c r="Q32" s="25">
        <f>WO2025Jan710814161822242830323438404244464854565862646668707274766812161820222628323438[[#This Row],[R]]/2</f>
        <v>4.6296296296296298E-4</v>
      </c>
      <c r="R32" s="25">
        <f>WO2025Jan710814161822242830323438404244464854565862646668707274766812161820222628323438[[#This Row],[R]]-(4*0.0000115740740740741)</f>
        <v>8.7962962962962951E-4</v>
      </c>
      <c r="S32" s="25"/>
      <c r="T32" s="28"/>
      <c r="U32" s="11"/>
      <c r="V32" s="36"/>
      <c r="W32" s="15" t="s">
        <v>48</v>
      </c>
      <c r="X32" s="52"/>
    </row>
    <row r="33" spans="1:24" ht="21" customHeight="1">
      <c r="A33" s="10" t="s">
        <v>47</v>
      </c>
      <c r="B33" s="11">
        <v>1.3020833333333334E-2</v>
      </c>
      <c r="C33" s="11">
        <v>3.7037037037037038E-3</v>
      </c>
      <c r="D33" s="11">
        <f t="shared" si="16"/>
        <v>7.5755208333333334E-3</v>
      </c>
      <c r="E33" s="12">
        <v>0.58179999999999998</v>
      </c>
      <c r="F33" s="11">
        <f t="shared" si="17"/>
        <v>9.2592592592592596E-4</v>
      </c>
      <c r="G33" s="11">
        <f t="shared" si="18"/>
        <v>1.0100694444444445E-3</v>
      </c>
      <c r="H33" s="11">
        <f t="shared" si="19"/>
        <v>1.0416666666666667E-3</v>
      </c>
      <c r="I33" s="11">
        <f t="shared" si="20"/>
        <v>1.0860961768219832E-3</v>
      </c>
      <c r="J33" s="11">
        <f t="shared" si="21"/>
        <v>1.0979015700483092E-3</v>
      </c>
      <c r="K33" s="11">
        <f t="shared" si="22"/>
        <v>1.1478061868686869E-3</v>
      </c>
      <c r="L33" s="11">
        <f t="shared" si="23"/>
        <v>1.2024636243386244E-3</v>
      </c>
      <c r="M33" s="25">
        <f>WO2025Jan710814161822242830323438404244464854565862646668707274766812161820222628323438[[#This Row],[Thresh]]</f>
        <v>1.1478061868686869E-3</v>
      </c>
      <c r="N33" s="28">
        <f>WO2025Jan710814161822242830323438404244464854565862646668707274766812161820222628323438[[#This Row],[Thresh]]*1.5</f>
        <v>1.7217092803030304E-3</v>
      </c>
      <c r="O33" s="25">
        <f>WO2025Jan710814161822242830323438404244464854565862646668707274766812161820222628323438[[#This Row],[CV]]</f>
        <v>1.0979015700483092E-3</v>
      </c>
      <c r="P33" s="28">
        <f>WO2025Jan710814161822242830323438404244464854565862646668707274766812161820222628323438[[#This Row],[CV]]*1.5</f>
        <v>1.6468523550724639E-3</v>
      </c>
      <c r="Q33" s="25">
        <f>WO2025Jan710814161822242830323438404244464854565862646668707274766812161820222628323438[[#This Row],[R]]/2</f>
        <v>4.6296296296296298E-4</v>
      </c>
      <c r="R33" s="25">
        <f>WO2025Jan710814161822242830323438404244464854565862646668707274766812161820222628323438[[#This Row],[R]]-(4*0.0000115740740740741)</f>
        <v>8.7962962962962951E-4</v>
      </c>
      <c r="S33" s="25"/>
      <c r="T33" s="28"/>
      <c r="U33" s="11"/>
      <c r="V33" s="36"/>
      <c r="W33" s="15" t="s">
        <v>48</v>
      </c>
      <c r="X33" s="52"/>
    </row>
    <row r="34" spans="1:24" ht="21" customHeight="1">
      <c r="A34" s="10" t="s">
        <v>74</v>
      </c>
      <c r="B34" s="11">
        <v>1.3020833333333334E-2</v>
      </c>
      <c r="C34" s="11">
        <v>3.7037037037037038E-3</v>
      </c>
      <c r="D34" s="11">
        <f>B34*E34</f>
        <v>7.5755208333333334E-3</v>
      </c>
      <c r="E34" s="12">
        <v>0.58179999999999998</v>
      </c>
      <c r="F34" s="11">
        <f>C34/4</f>
        <v>9.2592592592592596E-4</v>
      </c>
      <c r="G34" s="11">
        <f>D34/7.5</f>
        <v>1.0100694444444445E-3</v>
      </c>
      <c r="H34" s="11">
        <f>B34/12.5</f>
        <v>1.0416666666666667E-3</v>
      </c>
      <c r="I34" s="11">
        <f>G34/0.93</f>
        <v>1.0860961768219832E-3</v>
      </c>
      <c r="J34" s="11">
        <f>G34/0.92</f>
        <v>1.0979015700483092E-3</v>
      </c>
      <c r="K34" s="11">
        <f>G34/0.88</f>
        <v>1.1478061868686869E-3</v>
      </c>
      <c r="L34" s="11">
        <f>G34/0.84</f>
        <v>1.2024636243386244E-3</v>
      </c>
      <c r="M34" s="25">
        <f>WO2025Jan710814161822242830323438404244464854565862646668707274766812161820222628323438[[#This Row],[Thresh]]</f>
        <v>1.1478061868686869E-3</v>
      </c>
      <c r="N34" s="28">
        <f>WO2025Jan710814161822242830323438404244464854565862646668707274766812161820222628323438[[#This Row],[Thresh]]*1.5</f>
        <v>1.7217092803030304E-3</v>
      </c>
      <c r="O34" s="25">
        <f>WO2025Jan710814161822242830323438404244464854565862646668707274766812161820222628323438[[#This Row],[CV]]</f>
        <v>1.0979015700483092E-3</v>
      </c>
      <c r="P34" s="28">
        <f>WO2025Jan710814161822242830323438404244464854565862646668707274766812161820222628323438[[#This Row],[CV]]*1.5</f>
        <v>1.6468523550724639E-3</v>
      </c>
      <c r="Q34" s="25">
        <f>WO2025Jan710814161822242830323438404244464854565862646668707274766812161820222628323438[[#This Row],[R]]/2</f>
        <v>4.6296296296296298E-4</v>
      </c>
      <c r="R34" s="25">
        <f>WO2025Jan710814161822242830323438404244464854565862646668707274766812161820222628323438[[#This Row],[R]]-(4*0.0000115740740740741)</f>
        <v>8.7962962962962951E-4</v>
      </c>
      <c r="S34" s="25"/>
      <c r="T34" s="28"/>
      <c r="U34" s="11"/>
      <c r="V34" s="36"/>
      <c r="W34" s="15" t="s">
        <v>48</v>
      </c>
      <c r="X34" s="52"/>
    </row>
    <row r="35" spans="1:24" ht="21" customHeight="1">
      <c r="A35" s="10" t="s">
        <v>75</v>
      </c>
      <c r="B35" s="11">
        <v>1.3541666666666667E-2</v>
      </c>
      <c r="C35" s="11">
        <v>3.8194444444444443E-3</v>
      </c>
      <c r="D35" s="11">
        <f>B35*E35</f>
        <v>7.8785416666666674E-3</v>
      </c>
      <c r="E35" s="12">
        <v>0.58179999999999998</v>
      </c>
      <c r="F35" s="11">
        <f>C35/4</f>
        <v>9.5486111111111108E-4</v>
      </c>
      <c r="G35" s="11">
        <f>D35/7.5</f>
        <v>1.0504722222222224E-3</v>
      </c>
      <c r="H35" s="11">
        <f>B35/12.5</f>
        <v>1.0833333333333333E-3</v>
      </c>
      <c r="I35" s="11">
        <f>G35/0.93</f>
        <v>1.1295400238948627E-3</v>
      </c>
      <c r="J35" s="11">
        <f>G35/0.92</f>
        <v>1.1418176328502417E-3</v>
      </c>
      <c r="K35" s="11">
        <f>G35/0.88</f>
        <v>1.1937184343434346E-3</v>
      </c>
      <c r="L35" s="11">
        <f>G35/0.84</f>
        <v>1.2505621693121695E-3</v>
      </c>
      <c r="M35" s="25">
        <f>WO2025Jan710814161822242830323438404244464854565862646668707274766812161820222628323438[[#This Row],[Thresh]]</f>
        <v>1.1937184343434346E-3</v>
      </c>
      <c r="N35" s="28">
        <f>WO2025Jan710814161822242830323438404244464854565862646668707274766812161820222628323438[[#This Row],[Thresh]]*1.5</f>
        <v>1.790577651515152E-3</v>
      </c>
      <c r="O35" s="25">
        <f>WO2025Jan710814161822242830323438404244464854565862646668707274766812161820222628323438[[#This Row],[CV]]</f>
        <v>1.1418176328502417E-3</v>
      </c>
      <c r="P35" s="28">
        <f>WO2025Jan710814161822242830323438404244464854565862646668707274766812161820222628323438[[#This Row],[CV]]*1.5</f>
        <v>1.7127264492753625E-3</v>
      </c>
      <c r="Q35" s="25">
        <f>WO2025Jan710814161822242830323438404244464854565862646668707274766812161820222628323438[[#This Row],[R]]/2</f>
        <v>4.7743055555555554E-4</v>
      </c>
      <c r="R35" s="25">
        <f>WO2025Jan710814161822242830323438404244464854565862646668707274766812161820222628323438[[#This Row],[R]]-(4*0.0000115740740740741)</f>
        <v>9.0856481481481463E-4</v>
      </c>
      <c r="S35" s="25"/>
      <c r="T35" s="28"/>
      <c r="U35" s="11"/>
      <c r="V35" s="36"/>
      <c r="W35" s="15" t="s">
        <v>48</v>
      </c>
      <c r="X35" s="52"/>
    </row>
    <row r="36" spans="1:24" ht="21" customHeight="1">
      <c r="A36" s="10"/>
      <c r="B36" s="11"/>
      <c r="C36" s="11"/>
      <c r="D36" s="11"/>
      <c r="E36" s="12"/>
      <c r="F36" s="11"/>
      <c r="G36" s="11"/>
      <c r="H36" s="11"/>
      <c r="I36" s="11"/>
      <c r="J36" s="11"/>
      <c r="K36" s="11"/>
      <c r="L36" s="11"/>
      <c r="M36" s="13"/>
      <c r="N36" s="11"/>
      <c r="O36" s="11"/>
      <c r="P36" s="11"/>
      <c r="Q36" s="14"/>
      <c r="R36" s="11"/>
      <c r="S36" s="14"/>
      <c r="T36" s="14"/>
      <c r="U36" s="14"/>
      <c r="V36" s="17"/>
      <c r="W36" s="18"/>
      <c r="X36" s="52"/>
    </row>
    <row r="37" spans="1:24" ht="21" customHeight="1">
      <c r="A37" s="19"/>
      <c r="B37" s="6"/>
      <c r="C37" s="6"/>
      <c r="D37" s="6"/>
      <c r="E37" s="20"/>
      <c r="F37" s="6"/>
      <c r="G37" s="6"/>
      <c r="H37" s="6"/>
      <c r="I37" s="6"/>
      <c r="J37" s="6"/>
      <c r="K37" s="6"/>
      <c r="L37" s="6"/>
      <c r="M37" s="6"/>
      <c r="N37" s="6"/>
      <c r="O37" s="6"/>
      <c r="P37" s="6"/>
      <c r="Q37" s="6"/>
      <c r="R37" s="6"/>
      <c r="S37" s="6"/>
      <c r="T37" s="6"/>
      <c r="U37" s="6"/>
      <c r="V37" s="6"/>
      <c r="W37" s="35"/>
      <c r="X37" s="52"/>
    </row>
    <row r="38" spans="1:24" ht="21" customHeight="1">
      <c r="A38" s="10" t="s">
        <v>51</v>
      </c>
      <c r="B38" s="11">
        <v>1.2615740740740742E-2</v>
      </c>
      <c r="C38" s="11">
        <v>3.5879629629629629E-3</v>
      </c>
      <c r="D38" s="11">
        <f>B38*E38</f>
        <v>7.3398379629629629E-3</v>
      </c>
      <c r="E38" s="12">
        <v>0.58179999999999998</v>
      </c>
      <c r="F38" s="11">
        <f>C38/4</f>
        <v>8.9699074074074073E-4</v>
      </c>
      <c r="G38" s="11">
        <f>D38/7.5</f>
        <v>9.7864506172839496E-4</v>
      </c>
      <c r="H38" s="11">
        <f>B38/12.5</f>
        <v>1.0092592592592592E-3</v>
      </c>
      <c r="I38" s="11">
        <f>G38/0.93</f>
        <v>1.0523065179875214E-3</v>
      </c>
      <c r="J38" s="11">
        <f>G38/0.92</f>
        <v>1.0637446323134728E-3</v>
      </c>
      <c r="K38" s="11">
        <f>G38/0.88</f>
        <v>1.1120966610549943E-3</v>
      </c>
      <c r="L38" s="11">
        <f>G38/0.84</f>
        <v>1.165053644914756E-3</v>
      </c>
      <c r="M38" s="25"/>
      <c r="N38" s="28"/>
      <c r="O38" s="25"/>
      <c r="P38" s="28"/>
      <c r="Q38" s="25"/>
      <c r="R38" s="25"/>
      <c r="S38" s="25"/>
      <c r="T38" s="28"/>
      <c r="U38" s="11"/>
      <c r="V38" s="36"/>
      <c r="W38" s="15" t="s">
        <v>52</v>
      </c>
      <c r="X38" s="52"/>
    </row>
    <row r="39" spans="1:24" ht="21" customHeight="1">
      <c r="A39" s="10" t="s">
        <v>76</v>
      </c>
      <c r="B39" s="11">
        <v>1.3541666666666667E-2</v>
      </c>
      <c r="C39" s="11">
        <v>4.0509259259259257E-3</v>
      </c>
      <c r="D39" s="11">
        <f>B39*E39</f>
        <v>7.8785416666666674E-3</v>
      </c>
      <c r="E39" s="12">
        <v>0.58179999999999998</v>
      </c>
      <c r="F39" s="11">
        <f>C39/4</f>
        <v>1.0127314814814814E-3</v>
      </c>
      <c r="G39" s="11">
        <f>D39/7.5</f>
        <v>1.0504722222222224E-3</v>
      </c>
      <c r="H39" s="11">
        <f>B39/12.5</f>
        <v>1.0833333333333333E-3</v>
      </c>
      <c r="I39" s="11">
        <f>G39/0.93</f>
        <v>1.1295400238948627E-3</v>
      </c>
      <c r="J39" s="11">
        <f>G39/0.92</f>
        <v>1.1418176328502417E-3</v>
      </c>
      <c r="K39" s="11">
        <f>G39/0.88</f>
        <v>1.1937184343434346E-3</v>
      </c>
      <c r="L39" s="11">
        <f>G39/0.84</f>
        <v>1.2505621693121695E-3</v>
      </c>
      <c r="M39" s="25"/>
      <c r="N39" s="28"/>
      <c r="O39" s="25"/>
      <c r="P39" s="28"/>
      <c r="Q39" s="25"/>
      <c r="R39" s="25"/>
      <c r="S39" s="25"/>
      <c r="T39" s="28"/>
      <c r="U39" s="11"/>
      <c r="V39" s="36"/>
      <c r="W39" s="15" t="s">
        <v>52</v>
      </c>
      <c r="X39" s="52"/>
    </row>
    <row r="40" spans="1:24" ht="21" customHeight="1">
      <c r="A40" s="10" t="s">
        <v>57</v>
      </c>
      <c r="B40" s="11"/>
      <c r="C40" s="11"/>
      <c r="D40" s="11"/>
      <c r="E40" s="12"/>
      <c r="F40" s="11"/>
      <c r="G40" s="11"/>
      <c r="H40" s="11"/>
      <c r="I40" s="11"/>
      <c r="J40" s="11"/>
      <c r="K40" s="11"/>
      <c r="L40" s="11"/>
      <c r="M40" s="25"/>
      <c r="N40" s="28"/>
      <c r="O40" s="25"/>
      <c r="P40" s="28"/>
      <c r="Q40" s="25"/>
      <c r="R40" s="28"/>
      <c r="S40" s="28"/>
      <c r="T40" s="11"/>
      <c r="U40" s="11"/>
      <c r="V40" s="11"/>
      <c r="W40" s="15" t="s">
        <v>52</v>
      </c>
      <c r="X40" s="52"/>
    </row>
    <row r="41" spans="1:24" ht="21" customHeight="1">
      <c r="A41" s="10" t="s">
        <v>53</v>
      </c>
      <c r="B41" s="11">
        <v>1.2731481481481481E-2</v>
      </c>
      <c r="C41" s="11">
        <v>3.7615740740740739E-3</v>
      </c>
      <c r="D41" s="11">
        <f>B41*E41</f>
        <v>7.4071759259259256E-3</v>
      </c>
      <c r="E41" s="12">
        <v>0.58179999999999998</v>
      </c>
      <c r="F41" s="11">
        <f>C41/4</f>
        <v>9.4039351851851847E-4</v>
      </c>
      <c r="G41" s="11">
        <f>D41/7.5</f>
        <v>9.8762345679012349E-4</v>
      </c>
      <c r="H41" s="11">
        <f>B41/12.5</f>
        <v>1.0185185185185184E-3</v>
      </c>
      <c r="I41" s="11">
        <f>G41/0.93</f>
        <v>1.0619607062259391E-3</v>
      </c>
      <c r="J41" s="11">
        <f>G41/0.92</f>
        <v>1.073503757380569E-3</v>
      </c>
      <c r="K41" s="11">
        <f>G41/0.88</f>
        <v>1.1222993827160494E-3</v>
      </c>
      <c r="L41" s="11">
        <f>G41/0.84</f>
        <v>1.1757422104644328E-3</v>
      </c>
      <c r="M41" s="25"/>
      <c r="N41" s="28"/>
      <c r="O41" s="25"/>
      <c r="P41" s="28"/>
      <c r="Q41" s="25"/>
      <c r="R41" s="25"/>
      <c r="S41" s="25"/>
      <c r="T41" s="28"/>
      <c r="U41" s="25"/>
      <c r="V41" s="25"/>
      <c r="W41" s="18" t="s">
        <v>52</v>
      </c>
      <c r="X41" s="52"/>
    </row>
    <row r="42" spans="1:24" ht="21" customHeight="1">
      <c r="A42" s="10" t="s">
        <v>58</v>
      </c>
      <c r="B42" s="11">
        <v>1.3020833333333334E-2</v>
      </c>
      <c r="C42" s="11">
        <v>4.1087962962962962E-3</v>
      </c>
      <c r="D42" s="11">
        <f>B42*E42</f>
        <v>7.5755208333333334E-3</v>
      </c>
      <c r="E42" s="12">
        <v>0.58179999999999998</v>
      </c>
      <c r="F42" s="11">
        <f>C42/4</f>
        <v>1.027199074074074E-3</v>
      </c>
      <c r="G42" s="11">
        <f>D42/7.5</f>
        <v>1.0100694444444445E-3</v>
      </c>
      <c r="H42" s="11">
        <f>B42/12.5</f>
        <v>1.0416666666666667E-3</v>
      </c>
      <c r="I42" s="11">
        <f>G42/0.93</f>
        <v>1.0860961768219832E-3</v>
      </c>
      <c r="J42" s="11">
        <f>G42/0.92</f>
        <v>1.0979015700483092E-3</v>
      </c>
      <c r="K42" s="11">
        <f>G42/0.88</f>
        <v>1.1478061868686869E-3</v>
      </c>
      <c r="L42" s="11">
        <f>G42/0.84</f>
        <v>1.2024636243386244E-3</v>
      </c>
      <c r="M42" s="25"/>
      <c r="N42" s="28"/>
      <c r="O42" s="25"/>
      <c r="P42" s="28"/>
      <c r="Q42" s="25"/>
      <c r="R42" s="25"/>
      <c r="S42" s="25"/>
      <c r="T42" s="28"/>
      <c r="U42" s="11"/>
      <c r="V42" s="36"/>
      <c r="W42" s="15" t="s">
        <v>52</v>
      </c>
      <c r="X42" s="52"/>
    </row>
    <row r="43" spans="1:24" ht="21" customHeight="1">
      <c r="A43" s="10" t="s">
        <v>61</v>
      </c>
      <c r="B43" s="11">
        <v>1.4583333333333334E-2</v>
      </c>
      <c r="C43" s="11">
        <v>4.3981481481481484E-3</v>
      </c>
      <c r="D43" s="11">
        <f>B43*E43</f>
        <v>8.4845833333333336E-3</v>
      </c>
      <c r="E43" s="12">
        <v>0.58179999999999998</v>
      </c>
      <c r="F43" s="11">
        <f>C43/4</f>
        <v>1.0995370370370371E-3</v>
      </c>
      <c r="G43" s="11">
        <f>D43/7.5</f>
        <v>1.1312777777777777E-3</v>
      </c>
      <c r="H43" s="11">
        <f>B43/12.5</f>
        <v>1.1666666666666668E-3</v>
      </c>
      <c r="I43" s="11">
        <f>G43/0.93</f>
        <v>1.2164277180406211E-3</v>
      </c>
      <c r="J43" s="11">
        <f>G43/0.92</f>
        <v>1.2296497584541061E-3</v>
      </c>
      <c r="K43" s="11">
        <f>G43/0.88</f>
        <v>1.2855429292929293E-3</v>
      </c>
      <c r="L43" s="11">
        <f>G43/0.84</f>
        <v>1.3467592592592591E-3</v>
      </c>
      <c r="M43" s="25"/>
      <c r="N43" s="28"/>
      <c r="O43" s="25"/>
      <c r="P43" s="25"/>
      <c r="Q43" s="25"/>
      <c r="R43" s="25"/>
      <c r="S43" s="28"/>
      <c r="T43" s="28"/>
      <c r="U43" s="28"/>
      <c r="V43" s="28"/>
      <c r="W43" s="15"/>
      <c r="X43" s="52"/>
    </row>
    <row r="44" spans="1:24" ht="21" customHeight="1">
      <c r="A44" s="10" t="s">
        <v>59</v>
      </c>
      <c r="B44" s="11">
        <v>1.2500000000000001E-2</v>
      </c>
      <c r="C44" s="11">
        <v>3.7037037037037038E-3</v>
      </c>
      <c r="D44" s="11">
        <f>B44*E44</f>
        <v>7.2725000000000003E-3</v>
      </c>
      <c r="E44" s="12">
        <v>0.58179999999999998</v>
      </c>
      <c r="F44" s="11">
        <f>C44/4</f>
        <v>9.2592592592592596E-4</v>
      </c>
      <c r="G44" s="11">
        <f>D44/7.5</f>
        <v>9.6966666666666675E-4</v>
      </c>
      <c r="H44" s="11">
        <f>B44/12.5</f>
        <v>1E-3</v>
      </c>
      <c r="I44" s="11">
        <f>G44/0.93</f>
        <v>1.0426523297491039E-3</v>
      </c>
      <c r="J44" s="11">
        <f>G44/0.92</f>
        <v>1.0539855072463768E-3</v>
      </c>
      <c r="K44" s="11">
        <f>G44/0.88</f>
        <v>1.1018939393939394E-3</v>
      </c>
      <c r="L44" s="17">
        <f>G44/0.84</f>
        <v>1.1543650793650795E-3</v>
      </c>
      <c r="M44" s="25"/>
      <c r="N44" s="28"/>
      <c r="O44" s="25"/>
      <c r="P44" s="28"/>
      <c r="Q44" s="25"/>
      <c r="R44" s="25"/>
      <c r="S44" s="25"/>
      <c r="T44" s="28"/>
      <c r="U44" s="11"/>
      <c r="V44" s="36"/>
      <c r="W44" s="15"/>
      <c r="X44" s="52"/>
    </row>
    <row r="45" spans="1:24" ht="21" customHeight="1">
      <c r="A45" s="10"/>
      <c r="B45" s="11"/>
      <c r="C45" s="11"/>
      <c r="D45" s="11"/>
      <c r="E45" s="12"/>
      <c r="F45" s="11"/>
      <c r="G45" s="11"/>
      <c r="H45" s="11"/>
      <c r="I45" s="11"/>
      <c r="J45" s="11"/>
      <c r="K45" s="11"/>
      <c r="L45" s="11"/>
      <c r="M45" s="25"/>
      <c r="N45" s="28"/>
      <c r="O45" s="25"/>
      <c r="P45" s="28"/>
      <c r="Q45" s="25"/>
      <c r="R45" s="25"/>
      <c r="S45" s="25"/>
      <c r="T45" s="28"/>
      <c r="U45" s="11"/>
      <c r="V45" s="36"/>
      <c r="W45" s="15"/>
      <c r="X45" s="52"/>
    </row>
    <row r="46" spans="1:24" ht="21" customHeight="1">
      <c r="A46" s="10"/>
      <c r="B46" s="11"/>
      <c r="C46" s="11"/>
      <c r="D46" s="11"/>
      <c r="E46" s="12"/>
      <c r="F46" s="11"/>
      <c r="G46" s="11"/>
      <c r="H46" s="11"/>
      <c r="I46" s="11"/>
      <c r="J46" s="11"/>
      <c r="K46" s="11"/>
      <c r="L46" s="11"/>
      <c r="M46" s="45"/>
      <c r="N46" s="11"/>
      <c r="O46" s="11"/>
      <c r="P46" s="11"/>
      <c r="Q46" s="14"/>
      <c r="R46" s="11"/>
      <c r="S46" s="14"/>
      <c r="T46" s="11"/>
      <c r="U46" s="14"/>
      <c r="V46" s="17"/>
      <c r="W46" s="18"/>
      <c r="X46" s="52"/>
    </row>
    <row r="47" spans="1:24" ht="21" customHeight="1">
      <c r="A47" s="10"/>
      <c r="B47" s="11"/>
      <c r="C47" s="11"/>
      <c r="D47" s="11"/>
      <c r="E47" s="12"/>
      <c r="F47" s="11"/>
      <c r="G47" s="11"/>
      <c r="H47" s="11"/>
      <c r="I47" s="11"/>
      <c r="J47" s="11"/>
      <c r="K47" s="11"/>
      <c r="L47" s="11"/>
      <c r="M47" s="14"/>
      <c r="O47" s="14"/>
      <c r="P47" s="11"/>
      <c r="Q47" s="14"/>
      <c r="R47" s="11"/>
      <c r="S47" s="14"/>
      <c r="T47" s="14"/>
      <c r="U47" s="14"/>
      <c r="V47" s="11"/>
      <c r="W47" s="15"/>
      <c r="X47" s="52"/>
    </row>
    <row r="48" spans="1:24" ht="21" customHeight="1">
      <c r="A48" s="10"/>
      <c r="B48" s="11"/>
      <c r="C48" s="11"/>
      <c r="D48" s="11"/>
      <c r="E48" s="12"/>
      <c r="F48" s="11"/>
      <c r="G48" s="11"/>
      <c r="H48" s="11"/>
      <c r="I48" s="11"/>
      <c r="J48" s="11"/>
      <c r="K48" s="11"/>
      <c r="L48" s="11"/>
      <c r="M48" s="13"/>
      <c r="N48" s="11"/>
      <c r="O48" s="11"/>
      <c r="P48" s="11"/>
      <c r="Q48" s="14"/>
      <c r="R48" s="11"/>
      <c r="S48" s="14"/>
      <c r="T48" s="14"/>
      <c r="U48" s="14"/>
      <c r="V48" s="17"/>
      <c r="W48" s="18"/>
      <c r="X48" s="52"/>
    </row>
    <row r="49" spans="1:24" ht="21" customHeight="1">
      <c r="A49" s="10"/>
      <c r="B49" s="11"/>
      <c r="C49" s="11"/>
      <c r="D49" s="11"/>
      <c r="E49" s="12"/>
      <c r="F49" s="11"/>
      <c r="G49" s="11"/>
      <c r="H49" s="11"/>
      <c r="I49" s="11"/>
      <c r="J49" s="11"/>
      <c r="K49" s="11"/>
      <c r="L49" s="11"/>
      <c r="M49" s="13"/>
      <c r="N49" s="11"/>
      <c r="O49" s="11"/>
      <c r="P49" s="11"/>
      <c r="Q49" s="14"/>
      <c r="R49" s="11"/>
      <c r="S49" s="14"/>
      <c r="T49" s="14"/>
      <c r="U49" s="14"/>
      <c r="V49" s="17"/>
      <c r="W49" s="18"/>
      <c r="X49" s="52"/>
    </row>
    <row r="50" spans="1:24" ht="21" customHeight="1">
      <c r="A50" s="10"/>
      <c r="B50" s="11"/>
      <c r="C50" s="11"/>
      <c r="D50" s="11"/>
      <c r="E50" s="12"/>
      <c r="F50" s="11"/>
      <c r="G50" s="11"/>
      <c r="H50" s="11"/>
      <c r="I50" s="11"/>
      <c r="J50" s="11"/>
      <c r="K50" s="11"/>
      <c r="L50" s="11"/>
      <c r="M50" s="14"/>
      <c r="N50" s="11"/>
      <c r="O50" s="14"/>
      <c r="P50" s="11"/>
      <c r="Q50" s="14"/>
      <c r="R50" s="11"/>
      <c r="S50" s="14"/>
      <c r="T50" s="14"/>
      <c r="U50" s="14"/>
      <c r="V50" s="11"/>
      <c r="W50" s="15"/>
      <c r="X50" s="52"/>
    </row>
    <row r="51" spans="1:24" ht="21" customHeight="1">
      <c r="A51" s="10"/>
      <c r="B51" s="11"/>
      <c r="C51" s="11"/>
      <c r="D51" s="11"/>
      <c r="E51" s="12"/>
      <c r="F51" s="11"/>
      <c r="G51" s="11"/>
      <c r="H51" s="11"/>
      <c r="I51" s="11"/>
      <c r="J51" s="11"/>
      <c r="K51" s="11"/>
      <c r="L51" s="17"/>
      <c r="M51" s="14"/>
      <c r="N51" s="11"/>
      <c r="O51" s="11"/>
      <c r="P51" s="11"/>
      <c r="Q51" s="14"/>
      <c r="R51" s="11"/>
      <c r="S51" s="14"/>
      <c r="T51" s="11"/>
      <c r="U51" s="11"/>
      <c r="V51" s="11"/>
      <c r="W51" s="15"/>
      <c r="X51" s="52"/>
    </row>
    <row r="52" spans="1:24" ht="21" customHeight="1">
      <c r="A52" s="10"/>
      <c r="B52" s="11"/>
      <c r="C52" s="11"/>
      <c r="D52" s="11"/>
      <c r="E52" s="12"/>
      <c r="F52" s="11"/>
      <c r="G52" s="11"/>
      <c r="H52" s="11"/>
      <c r="I52" s="11"/>
      <c r="J52" s="11"/>
      <c r="K52" s="11"/>
      <c r="L52" s="11"/>
      <c r="M52" s="13"/>
      <c r="N52" s="11"/>
      <c r="O52" s="11"/>
      <c r="P52" s="11"/>
      <c r="Q52" s="14"/>
      <c r="R52" s="11"/>
      <c r="S52" s="14"/>
      <c r="T52" s="14"/>
      <c r="U52" s="14"/>
      <c r="V52" s="17"/>
      <c r="W52" s="18"/>
      <c r="X52" s="52"/>
    </row>
    <row r="53" spans="1:24" ht="21" customHeight="1">
      <c r="A53" s="39"/>
      <c r="B53" s="40"/>
      <c r="C53" s="40"/>
      <c r="D53" s="40"/>
      <c r="E53" s="41"/>
      <c r="F53" s="40"/>
      <c r="G53" s="40"/>
      <c r="H53" s="40"/>
      <c r="I53" s="40"/>
      <c r="J53" s="40"/>
      <c r="K53" s="40"/>
      <c r="L53" s="40"/>
      <c r="M53" s="40"/>
      <c r="N53" s="40"/>
      <c r="O53" s="40"/>
      <c r="P53" s="40"/>
      <c r="Q53" s="40"/>
      <c r="R53" s="40"/>
      <c r="S53" s="40"/>
      <c r="T53" s="40"/>
      <c r="U53" s="40"/>
      <c r="V53" s="40"/>
      <c r="W53" s="42"/>
      <c r="X53" s="52"/>
    </row>
    <row r="54" spans="1:24" ht="21" customHeight="1">
      <c r="A54" s="39"/>
      <c r="B54" s="40"/>
      <c r="C54" s="40"/>
      <c r="D54" s="40"/>
      <c r="E54" s="41"/>
      <c r="F54" s="40"/>
      <c r="G54" s="40"/>
      <c r="H54" s="40"/>
      <c r="I54" s="40"/>
      <c r="J54" s="40"/>
      <c r="K54" s="40"/>
      <c r="L54" s="40"/>
      <c r="M54" s="40"/>
      <c r="N54" s="40"/>
      <c r="O54" s="40"/>
      <c r="P54" s="40"/>
      <c r="Q54" s="40"/>
      <c r="R54" s="40"/>
      <c r="S54" s="40"/>
      <c r="T54" s="40"/>
      <c r="U54" s="40"/>
      <c r="V54" s="40"/>
      <c r="W54" s="42"/>
      <c r="X54" s="52"/>
    </row>
    <row r="55" spans="1:24" ht="21" customHeight="1">
      <c r="A55" s="10"/>
      <c r="B55" s="11"/>
      <c r="C55" s="11"/>
      <c r="D55" s="11"/>
      <c r="E55" s="12"/>
      <c r="F55" s="11"/>
      <c r="G55" s="11"/>
      <c r="H55" s="11"/>
      <c r="I55" s="11"/>
      <c r="J55" s="11"/>
      <c r="K55" s="11"/>
      <c r="L55" s="11"/>
      <c r="M55" s="13"/>
      <c r="N55" s="11"/>
      <c r="O55" s="14"/>
      <c r="P55" s="11"/>
      <c r="Q55" s="14"/>
      <c r="R55" s="11"/>
      <c r="S55" s="14"/>
      <c r="T55" s="14"/>
      <c r="U55" s="14"/>
      <c r="V55" s="11"/>
      <c r="W55" s="18"/>
      <c r="X55" s="52"/>
    </row>
    <row r="56" spans="1:24" ht="21" customHeight="1">
      <c r="A56" s="10"/>
      <c r="B56" s="11"/>
      <c r="C56" s="11"/>
      <c r="D56" s="11"/>
      <c r="E56" s="12"/>
      <c r="F56" s="11"/>
      <c r="G56" s="11"/>
      <c r="H56" s="11"/>
      <c r="I56" s="11"/>
      <c r="J56" s="11"/>
      <c r="K56" s="11"/>
      <c r="L56" s="11"/>
      <c r="M56" s="13"/>
      <c r="N56" s="11"/>
      <c r="O56" s="11"/>
      <c r="P56" s="11"/>
      <c r="Q56" s="14"/>
      <c r="R56" s="11"/>
      <c r="S56" s="14"/>
      <c r="T56" s="14"/>
      <c r="U56" s="14"/>
      <c r="V56" s="17"/>
      <c r="W56" s="18"/>
      <c r="X56" s="52"/>
    </row>
    <row r="57" spans="1:24" ht="21" customHeight="1" thickBot="1">
      <c r="A57" s="10"/>
      <c r="B57" s="11"/>
      <c r="C57" s="11"/>
      <c r="D57" s="11"/>
      <c r="E57" s="12"/>
      <c r="F57" s="11"/>
      <c r="G57" s="11"/>
      <c r="H57" s="11"/>
      <c r="I57" s="11"/>
      <c r="J57" s="11"/>
      <c r="K57" s="11"/>
      <c r="L57" s="11"/>
      <c r="M57" s="13"/>
      <c r="N57" s="11"/>
      <c r="O57" s="11"/>
      <c r="P57" s="11"/>
      <c r="Q57" s="14"/>
      <c r="R57" s="11"/>
      <c r="S57" s="14"/>
      <c r="T57" s="14"/>
      <c r="U57" s="14"/>
      <c r="V57" s="17"/>
      <c r="W57" s="18"/>
      <c r="X57" s="52"/>
    </row>
    <row r="58" spans="1:24" ht="20.45" customHeight="1">
      <c r="A58" s="1" t="s">
        <v>185</v>
      </c>
      <c r="B58" s="2" t="s">
        <v>1</v>
      </c>
      <c r="C58" s="2" t="s">
        <v>2</v>
      </c>
      <c r="D58" s="2" t="s">
        <v>3</v>
      </c>
      <c r="E58" s="3" t="s">
        <v>4</v>
      </c>
      <c r="F58" s="2" t="s">
        <v>5</v>
      </c>
      <c r="G58" s="2" t="s">
        <v>6</v>
      </c>
      <c r="H58" s="2" t="s">
        <v>7</v>
      </c>
      <c r="I58" s="4" t="s">
        <v>8</v>
      </c>
      <c r="J58" s="2" t="s">
        <v>9</v>
      </c>
      <c r="K58" s="2" t="s">
        <v>10</v>
      </c>
      <c r="L58" s="2" t="s">
        <v>11</v>
      </c>
      <c r="M58" s="6" t="s">
        <v>12</v>
      </c>
      <c r="N58" s="6" t="s">
        <v>145</v>
      </c>
      <c r="O58" s="7" t="s">
        <v>155</v>
      </c>
      <c r="P58" s="8" t="s">
        <v>174</v>
      </c>
      <c r="Q58" s="8" t="s">
        <v>14</v>
      </c>
      <c r="R58" s="7" t="s">
        <v>156</v>
      </c>
      <c r="S58" s="7" t="s">
        <v>17</v>
      </c>
      <c r="T58" s="7" t="s">
        <v>18</v>
      </c>
      <c r="U58" s="7" t="s">
        <v>158</v>
      </c>
      <c r="V58" s="8" t="s">
        <v>21</v>
      </c>
      <c r="W58" s="24" t="s">
        <v>22</v>
      </c>
      <c r="X58" s="52" t="s">
        <v>190</v>
      </c>
    </row>
    <row r="59" spans="1:24" ht="20.45" customHeight="1">
      <c r="A59" s="10" t="s">
        <v>79</v>
      </c>
      <c r="B59" s="11">
        <v>9.8379629629629633E-3</v>
      </c>
      <c r="C59" s="11">
        <v>2.9745370370370373E-3</v>
      </c>
      <c r="D59" s="11">
        <f t="shared" ref="D59:D66" si="24">B59*E59</f>
        <v>5.7237268518518522E-3</v>
      </c>
      <c r="E59" s="12">
        <v>0.58179999999999998</v>
      </c>
      <c r="F59" s="11">
        <f t="shared" ref="F59:F66" si="25">C59/4</f>
        <v>7.4363425925925931E-4</v>
      </c>
      <c r="G59" s="11">
        <f t="shared" ref="G59:G66" si="26">D59/7.5</f>
        <v>7.6316358024691364E-4</v>
      </c>
      <c r="H59" s="11">
        <f t="shared" ref="H59:H66" si="27">B59/12.5</f>
        <v>7.8703703703703705E-4</v>
      </c>
      <c r="I59" s="11">
        <f t="shared" ref="I59:I66" si="28">G59/0.93</f>
        <v>8.2060600026549854E-4</v>
      </c>
      <c r="J59" s="11">
        <f t="shared" ref="J59:J66" si="29">G59/0.92</f>
        <v>8.29525630703167E-4</v>
      </c>
      <c r="K59" s="11">
        <f t="shared" ref="K59:K66" si="30">G59/0.88</f>
        <v>8.6723134118967459E-4</v>
      </c>
      <c r="L59" s="11">
        <f t="shared" ref="L59:L66" si="31">G59/0.84</f>
        <v>9.085280717225163E-4</v>
      </c>
      <c r="M59" s="25">
        <f>WO2025Jan7men11915171923252931333539414345474955575963656769717375777913171921232729333539[[#This Row],[Thresh]]</f>
        <v>8.6723134118967459E-4</v>
      </c>
      <c r="N59" s="28">
        <f>WO2025Jan7men11915171923252931333539414345474955575963656769717375777913171921232729333539[[#This Row],[Thresh]]*1.5</f>
        <v>1.3008470117845119E-3</v>
      </c>
      <c r="O59" s="25">
        <f>WO2025Jan7men11915171923252931333539414345474955575963656769717375777913171921232729333539[[#This Row],[Thresh]]*2</f>
        <v>1.7344626823793492E-3</v>
      </c>
      <c r="P59" s="28">
        <f>WO2025Jan7men11915171923252931333539414345474955575963656769717375777913171921232729333539[[#This Row],[Thresh]]*3</f>
        <v>2.6016940235690238E-3</v>
      </c>
      <c r="Q59" s="25">
        <f>WO2025Jan7men11915171923252931333539414345474955575963656769717375777913171921232729333539[[#This Row],[CV]]</f>
        <v>8.29525630703167E-4</v>
      </c>
      <c r="R59" s="28">
        <f>WO2025Jan7men11915171923252931333539414345474955575963656769717375777913171921232729333539[[#This Row],[CV]]*2</f>
        <v>1.659051261406334E-3</v>
      </c>
      <c r="S59" s="25">
        <f>WO2025Jan7men11915171923252931333539414345474955575963656769717375777913171921232729333539[[#This Row],[I]]</f>
        <v>7.8703703703703705E-4</v>
      </c>
      <c r="T59" s="25">
        <f>WO2025Jan7men11915171923252931333539414345474955575963656769717375777913171921232729333539[[#This Row],[I]]*1.5</f>
        <v>1.1805555555555556E-3</v>
      </c>
      <c r="U59" s="28">
        <f>WO2025Jan7men11915171923252931333539414345474955575963656769717375777913171921232729333539[[#This Row],[VO2]]</f>
        <v>7.6316358024691364E-4</v>
      </c>
      <c r="V59" s="25"/>
      <c r="W59" s="15" t="s">
        <v>26</v>
      </c>
      <c r="X59" s="52"/>
    </row>
    <row r="60" spans="1:24" ht="20.45" customHeight="1">
      <c r="A60" s="10" t="s">
        <v>109</v>
      </c>
      <c r="B60" s="11">
        <v>9.8379629629629633E-3</v>
      </c>
      <c r="C60" s="11">
        <v>2.9745370370370373E-3</v>
      </c>
      <c r="D60" s="11">
        <f t="shared" si="24"/>
        <v>5.7237268518518522E-3</v>
      </c>
      <c r="E60" s="12">
        <v>0.58179999999999998</v>
      </c>
      <c r="F60" s="11">
        <f t="shared" si="25"/>
        <v>7.4363425925925931E-4</v>
      </c>
      <c r="G60" s="11">
        <f t="shared" si="26"/>
        <v>7.6316358024691364E-4</v>
      </c>
      <c r="H60" s="11">
        <f t="shared" si="27"/>
        <v>7.8703703703703705E-4</v>
      </c>
      <c r="I60" s="11">
        <f t="shared" si="28"/>
        <v>8.2060600026549854E-4</v>
      </c>
      <c r="J60" s="11">
        <f t="shared" si="29"/>
        <v>8.29525630703167E-4</v>
      </c>
      <c r="K60" s="11">
        <f t="shared" si="30"/>
        <v>8.6723134118967459E-4</v>
      </c>
      <c r="L60" s="11">
        <f t="shared" si="31"/>
        <v>9.085280717225163E-4</v>
      </c>
      <c r="M60" s="25">
        <f>WO2025Jan7men11915171923252931333539414345474955575963656769717375777913171921232729333539[[#This Row],[Thresh]]</f>
        <v>8.6723134118967459E-4</v>
      </c>
      <c r="N60" s="28">
        <f>WO2025Jan7men11915171923252931333539414345474955575963656769717375777913171921232729333539[[#This Row],[Thresh]]*1.5</f>
        <v>1.3008470117845119E-3</v>
      </c>
      <c r="O60" s="25">
        <f>WO2025Jan7men11915171923252931333539414345474955575963656769717375777913171921232729333539[[#This Row],[Thresh]]*2</f>
        <v>1.7344626823793492E-3</v>
      </c>
      <c r="P60" s="28">
        <f>WO2025Jan7men11915171923252931333539414345474955575963656769717375777913171921232729333539[[#This Row],[Thresh]]*3</f>
        <v>2.6016940235690238E-3</v>
      </c>
      <c r="Q60" s="25">
        <f>WO2025Jan7men11915171923252931333539414345474955575963656769717375777913171921232729333539[[#This Row],[CV]]</f>
        <v>8.29525630703167E-4</v>
      </c>
      <c r="R60" s="28">
        <f>WO2025Jan7men11915171923252931333539414345474955575963656769717375777913171921232729333539[[#This Row],[CV]]*2</f>
        <v>1.659051261406334E-3</v>
      </c>
      <c r="S60" s="25">
        <f>WO2025Jan7men11915171923252931333539414345474955575963656769717375777913171921232729333539[[#This Row],[I]]</f>
        <v>7.8703703703703705E-4</v>
      </c>
      <c r="T60" s="25">
        <f>WO2025Jan7men11915171923252931333539414345474955575963656769717375777913171921232729333539[[#This Row],[I]]*1.5</f>
        <v>1.1805555555555556E-3</v>
      </c>
      <c r="U60" s="28">
        <f>WO2025Jan7men11915171923252931333539414345474955575963656769717375777913171921232729333539[[#This Row],[VO2]]</f>
        <v>7.6316358024691364E-4</v>
      </c>
      <c r="V60" s="25"/>
      <c r="W60" s="15" t="s">
        <v>26</v>
      </c>
      <c r="X60" s="52"/>
    </row>
    <row r="61" spans="1:24" ht="20.45" customHeight="1">
      <c r="A61" s="10" t="s">
        <v>80</v>
      </c>
      <c r="B61" s="11">
        <v>9.8379629629629633E-3</v>
      </c>
      <c r="C61" s="11">
        <v>2.8587962962962963E-3</v>
      </c>
      <c r="D61" s="11">
        <f t="shared" si="24"/>
        <v>5.7237268518518522E-3</v>
      </c>
      <c r="E61" s="12">
        <v>0.58179999999999998</v>
      </c>
      <c r="F61" s="11">
        <f t="shared" si="25"/>
        <v>7.1469907407407409E-4</v>
      </c>
      <c r="G61" s="11">
        <f t="shared" si="26"/>
        <v>7.6316358024691364E-4</v>
      </c>
      <c r="H61" s="11">
        <f t="shared" si="27"/>
        <v>7.8703703703703705E-4</v>
      </c>
      <c r="I61" s="11">
        <f t="shared" si="28"/>
        <v>8.2060600026549854E-4</v>
      </c>
      <c r="J61" s="11">
        <f t="shared" si="29"/>
        <v>8.29525630703167E-4</v>
      </c>
      <c r="K61" s="11">
        <f t="shared" si="30"/>
        <v>8.6723134118967459E-4</v>
      </c>
      <c r="L61" s="11">
        <f t="shared" si="31"/>
        <v>9.085280717225163E-4</v>
      </c>
      <c r="M61" s="25">
        <f>WO2025Jan7men11915171923252931333539414345474955575963656769717375777913171921232729333539[[#This Row],[Thresh]]</f>
        <v>8.6723134118967459E-4</v>
      </c>
      <c r="N61" s="28">
        <f>WO2025Jan7men11915171923252931333539414345474955575963656769717375777913171921232729333539[[#This Row],[Thresh]]*1.5</f>
        <v>1.3008470117845119E-3</v>
      </c>
      <c r="O61" s="25">
        <f>WO2025Jan7men11915171923252931333539414345474955575963656769717375777913171921232729333539[[#This Row],[Thresh]]*2</f>
        <v>1.7344626823793492E-3</v>
      </c>
      <c r="P61" s="28">
        <f>WO2025Jan7men11915171923252931333539414345474955575963656769717375777913171921232729333539[[#This Row],[Thresh]]*3</f>
        <v>2.6016940235690238E-3</v>
      </c>
      <c r="Q61" s="25">
        <f>WO2025Jan7men11915171923252931333539414345474955575963656769717375777913171921232729333539[[#This Row],[CV]]</f>
        <v>8.29525630703167E-4</v>
      </c>
      <c r="R61" s="28">
        <f>WO2025Jan7men11915171923252931333539414345474955575963656769717375777913171921232729333539[[#This Row],[CV]]*2</f>
        <v>1.659051261406334E-3</v>
      </c>
      <c r="S61" s="25">
        <f>WO2025Jan7men11915171923252931333539414345474955575963656769717375777913171921232729333539[[#This Row],[I]]</f>
        <v>7.8703703703703705E-4</v>
      </c>
      <c r="T61" s="25">
        <f>WO2025Jan7men11915171923252931333539414345474955575963656769717375777913171921232729333539[[#This Row],[I]]*1.5</f>
        <v>1.1805555555555556E-3</v>
      </c>
      <c r="U61" s="28">
        <f>WO2025Jan7men11915171923252931333539414345474955575963656769717375777913171921232729333539[[#This Row],[VO2]]</f>
        <v>7.6316358024691364E-4</v>
      </c>
      <c r="V61" s="25"/>
      <c r="W61" s="15" t="s">
        <v>26</v>
      </c>
      <c r="X61" s="52"/>
    </row>
    <row r="62" spans="1:24" ht="20.45" customHeight="1">
      <c r="A62" s="10" t="s">
        <v>81</v>
      </c>
      <c r="B62" s="11">
        <v>9.9537037037037042E-3</v>
      </c>
      <c r="C62" s="11">
        <v>2.9745370370370373E-3</v>
      </c>
      <c r="D62" s="11">
        <f t="shared" si="24"/>
        <v>5.7910648148148149E-3</v>
      </c>
      <c r="E62" s="12">
        <v>0.58179999999999998</v>
      </c>
      <c r="F62" s="11">
        <f t="shared" si="25"/>
        <v>7.4363425925925931E-4</v>
      </c>
      <c r="G62" s="11">
        <f t="shared" si="26"/>
        <v>7.7214197530864196E-4</v>
      </c>
      <c r="H62" s="11">
        <f t="shared" si="27"/>
        <v>7.9629629629629636E-4</v>
      </c>
      <c r="I62" s="11">
        <f t="shared" si="28"/>
        <v>8.3026018850391602E-4</v>
      </c>
      <c r="J62" s="11">
        <f t="shared" si="29"/>
        <v>8.3928475577026292E-4</v>
      </c>
      <c r="K62" s="11">
        <f t="shared" si="30"/>
        <v>8.7743406285072947E-4</v>
      </c>
      <c r="L62" s="11">
        <f t="shared" si="31"/>
        <v>9.1921663727219285E-4</v>
      </c>
      <c r="M62" s="25">
        <f>WO2025Jan7men11915171923252931333539414345474955575963656769717375777913171921232729333539[[#This Row],[Thresh]]</f>
        <v>8.7743406285072947E-4</v>
      </c>
      <c r="N62" s="28">
        <f>WO2025Jan7men11915171923252931333539414345474955575963656769717375777913171921232729333539[[#This Row],[Thresh]]*1.5</f>
        <v>1.3161510942760941E-3</v>
      </c>
      <c r="O62" s="25">
        <f>WO2025Jan7men11915171923252931333539414345474955575963656769717375777913171921232729333539[[#This Row],[Thresh]]*2</f>
        <v>1.7548681257014589E-3</v>
      </c>
      <c r="P62" s="28">
        <f>WO2025Jan7men11915171923252931333539414345474955575963656769717375777913171921232729333539[[#This Row],[Thresh]]*3</f>
        <v>2.6323021885521882E-3</v>
      </c>
      <c r="Q62" s="25">
        <f>WO2025Jan7men11915171923252931333539414345474955575963656769717375777913171921232729333539[[#This Row],[CV]]</f>
        <v>8.3928475577026292E-4</v>
      </c>
      <c r="R62" s="28">
        <f>WO2025Jan7men11915171923252931333539414345474955575963656769717375777913171921232729333539[[#This Row],[CV]]*2</f>
        <v>1.6785695115405258E-3</v>
      </c>
      <c r="S62" s="25">
        <f>WO2025Jan7men11915171923252931333539414345474955575963656769717375777913171921232729333539[[#This Row],[I]]</f>
        <v>7.9629629629629636E-4</v>
      </c>
      <c r="T62" s="25">
        <f>WO2025Jan7men11915171923252931333539414345474955575963656769717375777913171921232729333539[[#This Row],[I]]*1.5</f>
        <v>1.1944444444444446E-3</v>
      </c>
      <c r="U62" s="28">
        <f>WO2025Jan7men11915171923252931333539414345474955575963656769717375777913171921232729333539[[#This Row],[VO2]]</f>
        <v>7.7214197530864196E-4</v>
      </c>
      <c r="V62" s="25"/>
      <c r="W62" s="15" t="s">
        <v>26</v>
      </c>
      <c r="X62" s="52"/>
    </row>
    <row r="63" spans="1:24" ht="20.45" customHeight="1">
      <c r="A63" s="10" t="s">
        <v>82</v>
      </c>
      <c r="B63" s="11">
        <v>9.9537037037037042E-3</v>
      </c>
      <c r="C63" s="11">
        <v>2.8935185185185188E-3</v>
      </c>
      <c r="D63" s="11">
        <f t="shared" si="24"/>
        <v>5.7910648148148149E-3</v>
      </c>
      <c r="E63" s="12">
        <v>0.58179999999999998</v>
      </c>
      <c r="F63" s="11">
        <f t="shared" si="25"/>
        <v>7.233796296296297E-4</v>
      </c>
      <c r="G63" s="11">
        <f t="shared" si="26"/>
        <v>7.7214197530864196E-4</v>
      </c>
      <c r="H63" s="11">
        <f t="shared" si="27"/>
        <v>7.9629629629629636E-4</v>
      </c>
      <c r="I63" s="11">
        <f t="shared" si="28"/>
        <v>8.3026018850391602E-4</v>
      </c>
      <c r="J63" s="11">
        <f t="shared" si="29"/>
        <v>8.3928475577026292E-4</v>
      </c>
      <c r="K63" s="11">
        <f t="shared" si="30"/>
        <v>8.7743406285072947E-4</v>
      </c>
      <c r="L63" s="11">
        <f t="shared" si="31"/>
        <v>9.1921663727219285E-4</v>
      </c>
      <c r="M63" s="25">
        <f>WO2025Jan7men11915171923252931333539414345474955575963656769717375777913171921232729333539[[#This Row],[Thresh]]</f>
        <v>8.7743406285072947E-4</v>
      </c>
      <c r="N63" s="28">
        <f>WO2025Jan7men11915171923252931333539414345474955575963656769717375777913171921232729333539[[#This Row],[Thresh]]*1.5</f>
        <v>1.3161510942760941E-3</v>
      </c>
      <c r="O63" s="25">
        <f>WO2025Jan7men11915171923252931333539414345474955575963656769717375777913171921232729333539[[#This Row],[Thresh]]*2</f>
        <v>1.7548681257014589E-3</v>
      </c>
      <c r="P63" s="28">
        <f>WO2025Jan7men11915171923252931333539414345474955575963656769717375777913171921232729333539[[#This Row],[Thresh]]*3</f>
        <v>2.6323021885521882E-3</v>
      </c>
      <c r="Q63" s="25">
        <f>WO2025Jan7men11915171923252931333539414345474955575963656769717375777913171921232729333539[[#This Row],[CV]]</f>
        <v>8.3928475577026292E-4</v>
      </c>
      <c r="R63" s="28">
        <f>WO2025Jan7men11915171923252931333539414345474955575963656769717375777913171921232729333539[[#This Row],[CV]]*2</f>
        <v>1.6785695115405258E-3</v>
      </c>
      <c r="S63" s="25">
        <f>WO2025Jan7men11915171923252931333539414345474955575963656769717375777913171921232729333539[[#This Row],[I]]</f>
        <v>7.9629629629629636E-4</v>
      </c>
      <c r="T63" s="25">
        <f>WO2025Jan7men11915171923252931333539414345474955575963656769717375777913171921232729333539[[#This Row],[I]]*1.5</f>
        <v>1.1944444444444446E-3</v>
      </c>
      <c r="U63" s="28">
        <f>WO2025Jan7men11915171923252931333539414345474955575963656769717375777913171921232729333539[[#This Row],[VO2]]</f>
        <v>7.7214197530864196E-4</v>
      </c>
      <c r="V63" s="25"/>
      <c r="W63" s="15" t="s">
        <v>26</v>
      </c>
      <c r="X63" s="52"/>
    </row>
    <row r="64" spans="1:24" ht="20.45" customHeight="1">
      <c r="A64" s="10" t="s">
        <v>110</v>
      </c>
      <c r="B64" s="11">
        <v>1.0069444444444445E-2</v>
      </c>
      <c r="C64" s="11">
        <v>2.8935185185185184E-3</v>
      </c>
      <c r="D64" s="11">
        <f t="shared" si="24"/>
        <v>5.8584027777777783E-3</v>
      </c>
      <c r="E64" s="12">
        <v>0.58179999999999998</v>
      </c>
      <c r="F64" s="11">
        <f t="shared" si="25"/>
        <v>7.2337962962962959E-4</v>
      </c>
      <c r="G64" s="11">
        <f t="shared" si="26"/>
        <v>7.811203703703705E-4</v>
      </c>
      <c r="H64" s="11">
        <f t="shared" si="27"/>
        <v>8.0555555555555556E-4</v>
      </c>
      <c r="I64" s="11">
        <f t="shared" si="28"/>
        <v>8.3991437674233382E-4</v>
      </c>
      <c r="J64" s="11">
        <f t="shared" si="29"/>
        <v>8.4904388083735917E-4</v>
      </c>
      <c r="K64" s="11">
        <f t="shared" si="30"/>
        <v>8.8763678451178466E-4</v>
      </c>
      <c r="L64" s="11">
        <f t="shared" si="31"/>
        <v>9.2990520282186973E-4</v>
      </c>
      <c r="M64" s="25">
        <f>WO2025Jan7men11915171923252931333539414345474955575963656769717375777913171921232729333539[[#This Row],[Thresh]]</f>
        <v>8.8763678451178466E-4</v>
      </c>
      <c r="N64" s="28">
        <f>WO2025Jan7men11915171923252931333539414345474955575963656769717375777913171921232729333539[[#This Row],[Thresh]]*1.5</f>
        <v>1.3314551767676769E-3</v>
      </c>
      <c r="O64" s="25">
        <f>WO2025Jan7men11915171923252931333539414345474955575963656769717375777913171921232729333539[[#This Row],[Thresh]]*2</f>
        <v>1.7752735690235693E-3</v>
      </c>
      <c r="P64" s="28">
        <f>WO2025Jan7men11915171923252931333539414345474955575963656769717375777913171921232729333539[[#This Row],[Thresh]]*3</f>
        <v>2.6629103535353539E-3</v>
      </c>
      <c r="Q64" s="25">
        <f>WO2025Jan7men11915171923252931333539414345474955575963656769717375777913171921232729333539[[#This Row],[CV]]</f>
        <v>8.4904388083735917E-4</v>
      </c>
      <c r="R64" s="28">
        <f>WO2025Jan7men11915171923252931333539414345474955575963656769717375777913171921232729333539[[#This Row],[CV]]*2</f>
        <v>1.6980877616747183E-3</v>
      </c>
      <c r="S64" s="25">
        <f>WO2025Jan7men11915171923252931333539414345474955575963656769717375777913171921232729333539[[#This Row],[I]]</f>
        <v>8.0555555555555556E-4</v>
      </c>
      <c r="T64" s="25">
        <f>WO2025Jan7men11915171923252931333539414345474955575963656769717375777913171921232729333539[[#This Row],[I]]*1.5</f>
        <v>1.2083333333333334E-3</v>
      </c>
      <c r="U64" s="28">
        <f>WO2025Jan7men11915171923252931333539414345474955575963656769717375777913171921232729333539[[#This Row],[VO2]]</f>
        <v>7.811203703703705E-4</v>
      </c>
      <c r="V64" s="25"/>
      <c r="W64" s="15" t="s">
        <v>26</v>
      </c>
      <c r="X64" s="52"/>
    </row>
    <row r="65" spans="1:24" ht="20.45" customHeight="1">
      <c r="A65" s="10" t="s">
        <v>83</v>
      </c>
      <c r="B65" s="11">
        <v>1.0069444444444445E-2</v>
      </c>
      <c r="C65" s="11">
        <v>3.0671296296296297E-3</v>
      </c>
      <c r="D65" s="11">
        <f t="shared" si="24"/>
        <v>5.8584027777777783E-3</v>
      </c>
      <c r="E65" s="12">
        <v>0.58179999999999998</v>
      </c>
      <c r="F65" s="11">
        <f t="shared" si="25"/>
        <v>7.6678240740740743E-4</v>
      </c>
      <c r="G65" s="11">
        <f t="shared" si="26"/>
        <v>7.811203703703705E-4</v>
      </c>
      <c r="H65" s="11">
        <f t="shared" si="27"/>
        <v>8.0555555555555556E-4</v>
      </c>
      <c r="I65" s="11">
        <f t="shared" si="28"/>
        <v>8.3991437674233382E-4</v>
      </c>
      <c r="J65" s="11">
        <f t="shared" si="29"/>
        <v>8.4904388083735917E-4</v>
      </c>
      <c r="K65" s="11">
        <f t="shared" si="30"/>
        <v>8.8763678451178466E-4</v>
      </c>
      <c r="L65" s="11">
        <f t="shared" si="31"/>
        <v>9.2990520282186973E-4</v>
      </c>
      <c r="M65" s="25">
        <f>WO2025Jan7men11915171923252931333539414345474955575963656769717375777913171921232729333539[[#This Row],[Thresh]]</f>
        <v>8.8763678451178466E-4</v>
      </c>
      <c r="N65" s="28">
        <f>WO2025Jan7men11915171923252931333539414345474955575963656769717375777913171921232729333539[[#This Row],[Thresh]]*1.5</f>
        <v>1.3314551767676769E-3</v>
      </c>
      <c r="O65" s="25">
        <f>WO2025Jan7men11915171923252931333539414345474955575963656769717375777913171921232729333539[[#This Row],[Thresh]]*2</f>
        <v>1.7752735690235693E-3</v>
      </c>
      <c r="P65" s="28">
        <f>WO2025Jan7men11915171923252931333539414345474955575963656769717375777913171921232729333539[[#This Row],[Thresh]]*3</f>
        <v>2.6629103535353539E-3</v>
      </c>
      <c r="Q65" s="25">
        <f>WO2025Jan7men11915171923252931333539414345474955575963656769717375777913171921232729333539[[#This Row],[CV]]</f>
        <v>8.4904388083735917E-4</v>
      </c>
      <c r="R65" s="28">
        <f>WO2025Jan7men11915171923252931333539414345474955575963656769717375777913171921232729333539[[#This Row],[CV]]*2</f>
        <v>1.6980877616747183E-3</v>
      </c>
      <c r="S65" s="25">
        <f>WO2025Jan7men11915171923252931333539414345474955575963656769717375777913171921232729333539[[#This Row],[I]]</f>
        <v>8.0555555555555556E-4</v>
      </c>
      <c r="T65" s="25">
        <f>WO2025Jan7men11915171923252931333539414345474955575963656769717375777913171921232729333539[[#This Row],[I]]*1.5</f>
        <v>1.2083333333333334E-3</v>
      </c>
      <c r="U65" s="28">
        <f>WO2025Jan7men11915171923252931333539414345474955575963656769717375777913171921232729333539[[#This Row],[VO2]]</f>
        <v>7.811203703703705E-4</v>
      </c>
      <c r="V65" s="25"/>
      <c r="W65" s="15" t="s">
        <v>26</v>
      </c>
      <c r="X65" s="52"/>
    </row>
    <row r="66" spans="1:24" ht="20.45" customHeight="1">
      <c r="A66" s="10" t="s">
        <v>111</v>
      </c>
      <c r="B66" s="11">
        <v>1.0069444444444445E-2</v>
      </c>
      <c r="C66" s="11">
        <v>3.0092592592592588E-3</v>
      </c>
      <c r="D66" s="11">
        <f t="shared" si="24"/>
        <v>5.8584027777777783E-3</v>
      </c>
      <c r="E66" s="12">
        <v>0.58179999999999998</v>
      </c>
      <c r="F66" s="11">
        <f t="shared" si="25"/>
        <v>7.5231481481481471E-4</v>
      </c>
      <c r="G66" s="11">
        <f t="shared" si="26"/>
        <v>7.811203703703705E-4</v>
      </c>
      <c r="H66" s="11">
        <f t="shared" si="27"/>
        <v>8.0555555555555556E-4</v>
      </c>
      <c r="I66" s="11">
        <f t="shared" si="28"/>
        <v>8.3991437674233382E-4</v>
      </c>
      <c r="J66" s="11">
        <f t="shared" si="29"/>
        <v>8.4904388083735917E-4</v>
      </c>
      <c r="K66" s="11">
        <f t="shared" si="30"/>
        <v>8.8763678451178466E-4</v>
      </c>
      <c r="L66" s="11">
        <f t="shared" si="31"/>
        <v>9.2990520282186973E-4</v>
      </c>
      <c r="M66" s="25">
        <f>WO2025Jan7men11915171923252931333539414345474955575963656769717375777913171921232729333539[[#This Row],[Thresh]]</f>
        <v>8.8763678451178466E-4</v>
      </c>
      <c r="N66" s="28">
        <f>WO2025Jan7men11915171923252931333539414345474955575963656769717375777913171921232729333539[[#This Row],[Thresh]]*1.5</f>
        <v>1.3314551767676769E-3</v>
      </c>
      <c r="O66" s="25">
        <f>WO2025Jan7men11915171923252931333539414345474955575963656769717375777913171921232729333539[[#This Row],[Thresh]]*2</f>
        <v>1.7752735690235693E-3</v>
      </c>
      <c r="P66" s="28">
        <f>WO2025Jan7men11915171923252931333539414345474955575963656769717375777913171921232729333539[[#This Row],[Thresh]]*3</f>
        <v>2.6629103535353539E-3</v>
      </c>
      <c r="Q66" s="25">
        <f>WO2025Jan7men11915171923252931333539414345474955575963656769717375777913171921232729333539[[#This Row],[CV]]</f>
        <v>8.4904388083735917E-4</v>
      </c>
      <c r="R66" s="28">
        <f>WO2025Jan7men11915171923252931333539414345474955575963656769717375777913171921232729333539[[#This Row],[CV]]*2</f>
        <v>1.6980877616747183E-3</v>
      </c>
      <c r="S66" s="25">
        <f>WO2025Jan7men11915171923252931333539414345474955575963656769717375777913171921232729333539[[#This Row],[I]]</f>
        <v>8.0555555555555556E-4</v>
      </c>
      <c r="T66" s="25">
        <f>WO2025Jan7men11915171923252931333539414345474955575963656769717375777913171921232729333539[[#This Row],[I]]*1.5</f>
        <v>1.2083333333333334E-3</v>
      </c>
      <c r="U66" s="28">
        <f>WO2025Jan7men11915171923252931333539414345474955575963656769717375777913171921232729333539[[#This Row],[VO2]]</f>
        <v>7.811203703703705E-4</v>
      </c>
      <c r="V66" s="25"/>
      <c r="W66" s="15" t="s">
        <v>26</v>
      </c>
      <c r="X66" s="52"/>
    </row>
    <row r="67" spans="1:24" ht="20.45" customHeight="1">
      <c r="A67" s="10"/>
      <c r="B67" s="11"/>
      <c r="C67" s="11"/>
      <c r="D67" s="11"/>
      <c r="E67" s="12"/>
      <c r="F67" s="11"/>
      <c r="G67" s="11"/>
      <c r="H67" s="11"/>
      <c r="I67" s="11"/>
      <c r="J67" s="11"/>
      <c r="K67" s="11"/>
      <c r="L67" s="11"/>
      <c r="M67" s="25"/>
      <c r="N67" s="28"/>
      <c r="O67" s="25"/>
      <c r="P67" s="25"/>
      <c r="Q67" s="25"/>
      <c r="R67" s="28"/>
      <c r="S67" s="25"/>
      <c r="T67" s="25"/>
      <c r="U67" s="28"/>
      <c r="V67" s="25"/>
      <c r="W67" s="15"/>
      <c r="X67" s="52"/>
    </row>
    <row r="68" spans="1:24" ht="20.45" customHeight="1">
      <c r="A68" s="19"/>
      <c r="B68" s="6"/>
      <c r="C68" s="6"/>
      <c r="D68" s="6"/>
      <c r="E68" s="20"/>
      <c r="F68" s="6"/>
      <c r="G68" s="6"/>
      <c r="H68" s="6"/>
      <c r="I68" s="6"/>
      <c r="J68" s="6"/>
      <c r="K68" s="6"/>
      <c r="L68" s="6"/>
      <c r="M68" s="6" t="s">
        <v>12</v>
      </c>
      <c r="N68" s="6" t="s">
        <v>174</v>
      </c>
      <c r="O68" s="6" t="s">
        <v>14</v>
      </c>
      <c r="P68" s="6" t="s">
        <v>156</v>
      </c>
      <c r="Q68" s="6" t="s">
        <v>153</v>
      </c>
      <c r="R68" s="6" t="s">
        <v>191</v>
      </c>
      <c r="S68" s="6"/>
      <c r="T68" s="6"/>
      <c r="U68" s="6"/>
      <c r="V68" s="23"/>
      <c r="W68" s="35"/>
      <c r="X68" s="52" t="s">
        <v>192</v>
      </c>
    </row>
    <row r="69" spans="1:24" ht="20.45" customHeight="1">
      <c r="A69" s="10" t="s">
        <v>95</v>
      </c>
      <c r="B69" s="11">
        <v>1.0243055555555556E-2</v>
      </c>
      <c r="C69" s="11">
        <v>2.9513888888888888E-3</v>
      </c>
      <c r="D69" s="11">
        <f>B69*E69</f>
        <v>5.9594097222222218E-3</v>
      </c>
      <c r="E69" s="12">
        <v>0.58179999999999998</v>
      </c>
      <c r="F69" s="11">
        <f>C69/4</f>
        <v>7.378472222222222E-4</v>
      </c>
      <c r="G69" s="11">
        <f>D69/7.5</f>
        <v>7.9458796296296287E-4</v>
      </c>
      <c r="H69" s="11">
        <f>B69/12.5</f>
        <v>8.1944444444444447E-4</v>
      </c>
      <c r="I69" s="11">
        <f>G69/0.93</f>
        <v>8.5439565909996003E-4</v>
      </c>
      <c r="J69" s="11">
        <f>G69/0.92</f>
        <v>8.636825684380031E-4</v>
      </c>
      <c r="K69" s="11">
        <f>G69/0.88</f>
        <v>9.0294086700336686E-4</v>
      </c>
      <c r="L69" s="11">
        <f>G69/0.84</f>
        <v>9.4593805114638445E-4</v>
      </c>
      <c r="M69" s="25">
        <f>WO2025Jan7men11915171923252931333539414345474955575963656769717375777913171921232729333539[[#This Row],[Thresh]]</f>
        <v>9.0294086700336686E-4</v>
      </c>
      <c r="N69" s="28">
        <f>WO2025Jan7men11915171923252931333539414345474955575963656769717375777913171921232729333539[[#This Row],[Thresh]]*3</f>
        <v>2.7088226010101007E-3</v>
      </c>
      <c r="O69" s="25">
        <f>WO2025Jan7men11915171923252931333539414345474955575963656769717375777913171921232729333539[[#This Row],[CV]]</f>
        <v>8.636825684380031E-4</v>
      </c>
      <c r="P69" s="28">
        <f>WO2025Jan7men11915171923252931333539414345474955575963656769717375777913171921232729333539[[#This Row],[CV]]*2</f>
        <v>1.7273651368760062E-3</v>
      </c>
      <c r="Q69" s="25">
        <f>WO2025Jan7men11915171923252931333539414345474955575963656769717375777913171921232729333539[[#This Row],[R]]/2</f>
        <v>3.689236111111111E-4</v>
      </c>
      <c r="R69" s="28">
        <f>WO2025Jan7men11915171923252931333539414345474955575963656769717375777913171921232729333539[[#This Row],[R]]-(3*0.0000115740740740741)</f>
        <v>7.0312499999999987E-4</v>
      </c>
      <c r="S69" s="25"/>
      <c r="T69" s="25"/>
      <c r="U69" s="28"/>
      <c r="V69" s="25"/>
      <c r="W69" s="15" t="s">
        <v>48</v>
      </c>
      <c r="X69" s="52"/>
    </row>
    <row r="70" spans="1:24" ht="20.45" customHeight="1">
      <c r="A70" s="10" t="s">
        <v>94</v>
      </c>
      <c r="B70" s="11">
        <v>1.0416666666666666E-2</v>
      </c>
      <c r="C70" s="11">
        <v>2.8935185185185188E-3</v>
      </c>
      <c r="D70" s="11">
        <f>B70*E70</f>
        <v>6.0604166666666662E-3</v>
      </c>
      <c r="E70" s="12">
        <v>0.58179999999999998</v>
      </c>
      <c r="F70" s="11">
        <f>C70/4</f>
        <v>7.233796296296297E-4</v>
      </c>
      <c r="G70" s="11">
        <f>D70/7.5</f>
        <v>8.0805555555555546E-4</v>
      </c>
      <c r="H70" s="11">
        <f>B70/12.5</f>
        <v>8.3333333333333328E-4</v>
      </c>
      <c r="I70" s="11">
        <f>G70/0.93</f>
        <v>8.6887694145758646E-4</v>
      </c>
      <c r="J70" s="11">
        <f>G70/0.92</f>
        <v>8.7832125603864715E-4</v>
      </c>
      <c r="K70" s="11">
        <f>G70/0.88</f>
        <v>9.1824494949494938E-4</v>
      </c>
      <c r="L70" s="17">
        <f>G70/0.84</f>
        <v>9.6197089947089938E-4</v>
      </c>
      <c r="M70" s="25">
        <f>WO2025Jan7men11915171923252931333539414345474955575963656769717375777913171921232729333539[[#This Row],[Thresh]]</f>
        <v>9.1824494949494938E-4</v>
      </c>
      <c r="N70" s="28">
        <f>WO2025Jan7men11915171923252931333539414345474955575963656769717375777913171921232729333539[[#This Row],[Thresh]]*3</f>
        <v>2.7547348484848484E-3</v>
      </c>
      <c r="O70" s="25">
        <f>WO2025Jan7men11915171923252931333539414345474955575963656769717375777913171921232729333539[[#This Row],[CV]]</f>
        <v>8.7832125603864715E-4</v>
      </c>
      <c r="P70" s="28">
        <f>WO2025Jan7men11915171923252931333539414345474955575963656769717375777913171921232729333539[[#This Row],[CV]]*2</f>
        <v>1.7566425120772943E-3</v>
      </c>
      <c r="Q70" s="25">
        <f>WO2025Jan7men11915171923252931333539414345474955575963656769717375777913171921232729333539[[#This Row],[R]]/2</f>
        <v>3.6168981481481485E-4</v>
      </c>
      <c r="R70" s="28">
        <f>WO2025Jan7men11915171923252931333539414345474955575963656769717375777913171921232729333539[[#This Row],[R]]-(3*0.0000115740740740741)</f>
        <v>6.8865740740740736E-4</v>
      </c>
      <c r="S70" s="25"/>
      <c r="T70" s="25"/>
      <c r="U70" s="28"/>
      <c r="V70" s="25"/>
      <c r="W70" s="15" t="s">
        <v>48</v>
      </c>
      <c r="X70" s="52"/>
    </row>
    <row r="71" spans="1:24" ht="20.45" customHeight="1">
      <c r="A71" s="10" t="s">
        <v>115</v>
      </c>
      <c r="B71" s="11">
        <v>1.0532407407407407E-2</v>
      </c>
      <c r="C71" s="11">
        <v>2.9513888888888888E-3</v>
      </c>
      <c r="D71" s="11">
        <f>B71*E71</f>
        <v>6.1277546296296288E-3</v>
      </c>
      <c r="E71" s="12">
        <v>0.58179999999999998</v>
      </c>
      <c r="F71" s="11">
        <f>C71/4</f>
        <v>7.378472222222222E-4</v>
      </c>
      <c r="G71" s="11">
        <f>D71/7.5</f>
        <v>8.1703395061728389E-4</v>
      </c>
      <c r="H71" s="11">
        <f>B71/12.5</f>
        <v>8.4259259259259259E-4</v>
      </c>
      <c r="I71" s="11">
        <f>G71/0.93</f>
        <v>8.7853112969600415E-4</v>
      </c>
      <c r="J71" s="11">
        <f>G71/0.92</f>
        <v>8.8808038110574329E-4</v>
      </c>
      <c r="K71" s="11">
        <f>G71/0.88</f>
        <v>9.2844767115600447E-4</v>
      </c>
      <c r="L71" s="11">
        <f>G71/0.84</f>
        <v>9.7265946502057604E-4</v>
      </c>
      <c r="M71" s="25">
        <f>WO2025Jan7men11915171923252931333539414345474955575963656769717375777913171921232729333539[[#This Row],[Thresh]]</f>
        <v>9.2844767115600447E-4</v>
      </c>
      <c r="N71" s="28">
        <f>WO2025Jan7men11915171923252931333539414345474955575963656769717375777913171921232729333539[[#This Row],[Thresh]]*3</f>
        <v>2.7853430134680132E-3</v>
      </c>
      <c r="O71" s="25">
        <f>WO2025Jan7men11915171923252931333539414345474955575963656769717375777913171921232729333539[[#This Row],[CV]]</f>
        <v>8.8808038110574329E-4</v>
      </c>
      <c r="P71" s="28">
        <f>WO2025Jan7men11915171923252931333539414345474955575963656769717375777913171921232729333539[[#This Row],[CV]]*2</f>
        <v>1.7761607622114866E-3</v>
      </c>
      <c r="Q71" s="25">
        <f>WO2025Jan7men11915171923252931333539414345474955575963656769717375777913171921232729333539[[#This Row],[R]]/2</f>
        <v>3.689236111111111E-4</v>
      </c>
      <c r="R71" s="28">
        <f>WO2025Jan7men11915171923252931333539414345474955575963656769717375777913171921232729333539[[#This Row],[R]]-(3*0.0000115740740740741)</f>
        <v>7.0312499999999987E-4</v>
      </c>
      <c r="S71" s="25"/>
      <c r="T71" s="25"/>
      <c r="U71" s="28"/>
      <c r="V71" s="25"/>
      <c r="W71" s="15" t="s">
        <v>48</v>
      </c>
      <c r="X71" s="52"/>
    </row>
    <row r="72" spans="1:24" ht="20.45" customHeight="1">
      <c r="A72" s="10" t="s">
        <v>96</v>
      </c>
      <c r="B72" s="11">
        <v>1.0648148148148148E-2</v>
      </c>
      <c r="C72" s="11">
        <v>2.9513888888888888E-3</v>
      </c>
      <c r="D72" s="11">
        <f>B72*E72</f>
        <v>6.1950925925925923E-3</v>
      </c>
      <c r="E72" s="12">
        <v>0.58179999999999998</v>
      </c>
      <c r="F72" s="11">
        <f>C72/4</f>
        <v>7.378472222222222E-4</v>
      </c>
      <c r="G72" s="11">
        <f>D72/7.5</f>
        <v>8.2601234567901232E-4</v>
      </c>
      <c r="H72" s="11">
        <f>B72/12.5</f>
        <v>8.5185185185185179E-4</v>
      </c>
      <c r="I72" s="11">
        <f>G72/0.93</f>
        <v>8.8818531793442184E-4</v>
      </c>
      <c r="J72" s="11">
        <f>G72/0.92</f>
        <v>8.9783950617283942E-4</v>
      </c>
      <c r="K72" s="11">
        <f>G72/0.88</f>
        <v>9.3865039281705945E-4</v>
      </c>
      <c r="L72" s="17">
        <f>G72/0.84</f>
        <v>9.833480305702527E-4</v>
      </c>
      <c r="M72" s="25">
        <f>WO2025Jan7men11915171923252931333539414345474955575963656769717375777913171921232729333539[[#This Row],[Thresh]]</f>
        <v>9.3865039281705945E-4</v>
      </c>
      <c r="N72" s="28">
        <f>WO2025Jan7men11915171923252931333539414345474955575963656769717375777913171921232729333539[[#This Row],[Thresh]]*3</f>
        <v>2.8159511784511784E-3</v>
      </c>
      <c r="O72" s="25">
        <f>WO2025Jan7men11915171923252931333539414345474955575963656769717375777913171921232729333539[[#This Row],[CV]]</f>
        <v>8.9783950617283942E-4</v>
      </c>
      <c r="P72" s="28">
        <f>WO2025Jan7men11915171923252931333539414345474955575963656769717375777913171921232729333539[[#This Row],[CV]]*2</f>
        <v>1.7956790123456788E-3</v>
      </c>
      <c r="Q72" s="25">
        <f>WO2025Jan7men11915171923252931333539414345474955575963656769717375777913171921232729333539[[#This Row],[R]]/2</f>
        <v>3.689236111111111E-4</v>
      </c>
      <c r="R72" s="28">
        <f>WO2025Jan7men11915171923252931333539414345474955575963656769717375777913171921232729333539[[#This Row],[R]]-(3*0.0000115740740740741)</f>
        <v>7.0312499999999987E-4</v>
      </c>
      <c r="S72" s="25"/>
      <c r="T72" s="25"/>
      <c r="U72" s="28"/>
      <c r="V72" s="25"/>
      <c r="W72" s="15" t="s">
        <v>48</v>
      </c>
      <c r="X72" s="52"/>
    </row>
    <row r="73" spans="1:24" ht="20.45" customHeight="1">
      <c r="A73" s="10" t="s">
        <v>97</v>
      </c>
      <c r="B73" s="11">
        <v>1.0763888888888889E-2</v>
      </c>
      <c r="C73" s="11">
        <v>2.9513888888888888E-3</v>
      </c>
      <c r="D73" s="11">
        <f t="shared" ref="D73:D82" si="32">B73*E73</f>
        <v>6.2624305555555549E-3</v>
      </c>
      <c r="E73" s="12">
        <v>0.58179999999999998</v>
      </c>
      <c r="F73" s="11">
        <f t="shared" ref="F73:F82" si="33">C73/4</f>
        <v>7.378472222222222E-4</v>
      </c>
      <c r="G73" s="11">
        <f t="shared" ref="G73:G82" si="34">D73/7.5</f>
        <v>8.3499074074074064E-4</v>
      </c>
      <c r="H73" s="11">
        <f t="shared" ref="H73:H82" si="35">B73/12.5</f>
        <v>8.611111111111111E-4</v>
      </c>
      <c r="I73" s="11">
        <f t="shared" ref="I73:I82" si="36">G73/0.93</f>
        <v>8.9783950617283931E-4</v>
      </c>
      <c r="J73" s="11">
        <f t="shared" ref="J73:J82" si="37">G73/0.92</f>
        <v>9.0759863123993545E-4</v>
      </c>
      <c r="K73" s="11">
        <f t="shared" ref="K73:K82" si="38">G73/0.88</f>
        <v>9.4885311447811432E-4</v>
      </c>
      <c r="L73" s="11">
        <f t="shared" ref="L73:L82" si="39">G73/0.84</f>
        <v>9.9403659611992947E-4</v>
      </c>
      <c r="M73" s="25">
        <f>WO2025Jan7men11915171923252931333539414345474955575963656769717375777913171921232729333539[[#This Row],[Thresh]]</f>
        <v>9.4885311447811432E-4</v>
      </c>
      <c r="N73" s="28">
        <f>WO2025Jan7men11915171923252931333539414345474955575963656769717375777913171921232729333539[[#This Row],[Thresh]]*3</f>
        <v>2.8465593434343428E-3</v>
      </c>
      <c r="O73" s="25">
        <f>WO2025Jan7men11915171923252931333539414345474955575963656769717375777913171921232729333539[[#This Row],[CV]]</f>
        <v>9.0759863123993545E-4</v>
      </c>
      <c r="P73" s="28">
        <f>WO2025Jan7men11915171923252931333539414345474955575963656769717375777913171921232729333539[[#This Row],[CV]]*2</f>
        <v>1.8151972624798709E-3</v>
      </c>
      <c r="Q73" s="25">
        <f>WO2025Jan7men11915171923252931333539414345474955575963656769717375777913171921232729333539[[#This Row],[R]]/2</f>
        <v>3.689236111111111E-4</v>
      </c>
      <c r="R73" s="28">
        <f>WO2025Jan7men11915171923252931333539414345474955575963656769717375777913171921232729333539[[#This Row],[R]]-(3*0.0000115740740740741)</f>
        <v>7.0312499999999987E-4</v>
      </c>
      <c r="S73" s="25"/>
      <c r="T73" s="25"/>
      <c r="U73" s="28"/>
      <c r="V73" s="25"/>
      <c r="W73" s="15" t="s">
        <v>48</v>
      </c>
      <c r="X73" s="52"/>
    </row>
    <row r="74" spans="1:24" ht="20.45" customHeight="1">
      <c r="A74" s="10" t="s">
        <v>137</v>
      </c>
      <c r="B74" s="11">
        <v>1.0763888888888891E-2</v>
      </c>
      <c r="C74" s="11">
        <v>3.0092592592592593E-3</v>
      </c>
      <c r="D74" s="11">
        <f>B74*E74</f>
        <v>6.2624305555555567E-3</v>
      </c>
      <c r="E74" s="12">
        <v>0.58179999999999998</v>
      </c>
      <c r="F74" s="11">
        <f>C74/4</f>
        <v>7.5231481481481482E-4</v>
      </c>
      <c r="G74" s="11">
        <f>D74/7.5</f>
        <v>8.3499074074074085E-4</v>
      </c>
      <c r="H74" s="11">
        <f>B74/12.5</f>
        <v>8.6111111111111121E-4</v>
      </c>
      <c r="I74" s="11">
        <f>G74/0.93</f>
        <v>8.9783950617283953E-4</v>
      </c>
      <c r="J74" s="11">
        <f>G74/0.92</f>
        <v>9.0759863123993567E-4</v>
      </c>
      <c r="K74" s="11">
        <f>G74/0.88</f>
        <v>9.4885311447811464E-4</v>
      </c>
      <c r="L74" s="11">
        <f>G74/0.84</f>
        <v>9.9403659611992969E-4</v>
      </c>
      <c r="M74" s="25">
        <f>WO2025Jan7men11915171923252931333539414345474955575963656769717375777913171921232729333539[[#This Row],[Thresh]]</f>
        <v>9.4885311447811464E-4</v>
      </c>
      <c r="N74" s="28">
        <f>WO2025Jan7men11915171923252931333539414345474955575963656769717375777913171921232729333539[[#This Row],[Thresh]]*3</f>
        <v>2.8465593434343437E-3</v>
      </c>
      <c r="O74" s="25">
        <f>WO2025Jan7men11915171923252931333539414345474955575963656769717375777913171921232729333539[[#This Row],[CV]]</f>
        <v>9.0759863123993567E-4</v>
      </c>
      <c r="P74" s="28">
        <f>WO2025Jan7men11915171923252931333539414345474955575963656769717375777913171921232729333539[[#This Row],[CV]]*2</f>
        <v>1.8151972624798713E-3</v>
      </c>
      <c r="Q74" s="25">
        <f>WO2025Jan7men11915171923252931333539414345474955575963656769717375777913171921232729333539[[#This Row],[R]]/2</f>
        <v>3.7615740740740741E-4</v>
      </c>
      <c r="R74" s="28">
        <f>WO2025Jan7men11915171923252931333539414345474955575963656769717375777913171921232729333539[[#This Row],[R]]-(3*0.0000115740740740741)</f>
        <v>7.1759259259259248E-4</v>
      </c>
      <c r="S74" s="25"/>
      <c r="T74" s="25"/>
      <c r="U74" s="28"/>
      <c r="V74" s="25"/>
      <c r="W74" s="15" t="s">
        <v>48</v>
      </c>
      <c r="X74" s="52"/>
    </row>
    <row r="75" spans="1:24" ht="20.45" customHeight="1">
      <c r="A75" s="10" t="s">
        <v>100</v>
      </c>
      <c r="B75" s="11">
        <v>1.0763888888888889E-2</v>
      </c>
      <c r="C75" s="11">
        <v>3.0671296296296297E-3</v>
      </c>
      <c r="D75" s="11">
        <f>B75*E75</f>
        <v>6.2624305555555549E-3</v>
      </c>
      <c r="E75" s="12">
        <v>0.58179999999999998</v>
      </c>
      <c r="F75" s="11">
        <f>C75/4</f>
        <v>7.6678240740740743E-4</v>
      </c>
      <c r="G75" s="11">
        <f>D75/7.5</f>
        <v>8.3499074074074064E-4</v>
      </c>
      <c r="H75" s="11">
        <f>B75/12.5</f>
        <v>8.611111111111111E-4</v>
      </c>
      <c r="I75" s="11">
        <f>G75/0.93</f>
        <v>8.9783950617283931E-4</v>
      </c>
      <c r="J75" s="11">
        <f>G75/0.92</f>
        <v>9.0759863123993545E-4</v>
      </c>
      <c r="K75" s="11">
        <f>G75/0.88</f>
        <v>9.4885311447811432E-4</v>
      </c>
      <c r="L75" s="17">
        <f>G75/0.84</f>
        <v>9.9403659611992947E-4</v>
      </c>
      <c r="M75" s="25">
        <f>WO2025Jan7men11915171923252931333539414345474955575963656769717375777913171921232729333539[[#This Row],[Thresh]]</f>
        <v>9.4885311447811432E-4</v>
      </c>
      <c r="N75" s="28">
        <f>WO2025Jan7men11915171923252931333539414345474955575963656769717375777913171921232729333539[[#This Row],[Thresh]]*3</f>
        <v>2.8465593434343428E-3</v>
      </c>
      <c r="O75" s="25">
        <f>WO2025Jan7men11915171923252931333539414345474955575963656769717375777913171921232729333539[[#This Row],[CV]]</f>
        <v>9.0759863123993545E-4</v>
      </c>
      <c r="P75" s="28">
        <f>WO2025Jan7men11915171923252931333539414345474955575963656769717375777913171921232729333539[[#This Row],[CV]]*2</f>
        <v>1.8151972624798709E-3</v>
      </c>
      <c r="Q75" s="25">
        <f>WO2025Jan7men11915171923252931333539414345474955575963656769717375777913171921232729333539[[#This Row],[R]]/2</f>
        <v>3.8339120370370371E-4</v>
      </c>
      <c r="R75" s="28">
        <f>WO2025Jan7men11915171923252931333539414345474955575963656769717375777913171921232729333539[[#This Row],[R]]-(3*0.0000115740740740741)</f>
        <v>7.3206018518518509E-4</v>
      </c>
      <c r="S75" s="25"/>
      <c r="T75" s="25"/>
      <c r="U75" s="28"/>
      <c r="V75" s="25"/>
      <c r="W75" s="15" t="s">
        <v>48</v>
      </c>
      <c r="X75" s="52"/>
    </row>
    <row r="76" spans="1:24" ht="20.45" customHeight="1">
      <c r="A76" s="10" t="s">
        <v>101</v>
      </c>
      <c r="B76" s="11">
        <v>1.1111111111111112E-2</v>
      </c>
      <c r="C76" s="11">
        <v>3.0671296296296297E-3</v>
      </c>
      <c r="D76" s="11">
        <f t="shared" si="32"/>
        <v>6.4644444444444445E-3</v>
      </c>
      <c r="E76" s="12">
        <v>0.58179999999999998</v>
      </c>
      <c r="F76" s="11">
        <f t="shared" si="33"/>
        <v>7.6678240740740743E-4</v>
      </c>
      <c r="G76" s="11">
        <f t="shared" si="34"/>
        <v>8.6192592592592592E-4</v>
      </c>
      <c r="H76" s="11">
        <f t="shared" si="35"/>
        <v>8.8888888888888893E-4</v>
      </c>
      <c r="I76" s="11">
        <f t="shared" si="36"/>
        <v>9.2680207088809239E-4</v>
      </c>
      <c r="J76" s="11">
        <f t="shared" si="37"/>
        <v>9.3687600644122375E-4</v>
      </c>
      <c r="K76" s="11">
        <f t="shared" si="38"/>
        <v>9.7946127946127947E-4</v>
      </c>
      <c r="L76" s="11">
        <f t="shared" si="39"/>
        <v>1.0261022927689596E-3</v>
      </c>
      <c r="M76" s="25">
        <f>WO2025Jan7men11915171923252931333539414345474955575963656769717375777913171921232729333539[[#This Row],[Thresh]]</f>
        <v>9.7946127946127947E-4</v>
      </c>
      <c r="N76" s="28">
        <f>WO2025Jan7men11915171923252931333539414345474955575963656769717375777913171921232729333539[[#This Row],[Thresh]]*3</f>
        <v>2.9383838383838382E-3</v>
      </c>
      <c r="O76" s="25">
        <f>WO2025Jan7men11915171923252931333539414345474955575963656769717375777913171921232729333539[[#This Row],[CV]]</f>
        <v>9.3687600644122375E-4</v>
      </c>
      <c r="P76" s="28">
        <f>WO2025Jan7men11915171923252931333539414345474955575963656769717375777913171921232729333539[[#This Row],[CV]]*2</f>
        <v>1.8737520128824475E-3</v>
      </c>
      <c r="Q76" s="25">
        <f>WO2025Jan7men11915171923252931333539414345474955575963656769717375777913171921232729333539[[#This Row],[R]]/2</f>
        <v>3.8339120370370371E-4</v>
      </c>
      <c r="R76" s="28">
        <f>WO2025Jan7men11915171923252931333539414345474955575963656769717375777913171921232729333539[[#This Row],[R]]-(3*0.0000115740740740741)</f>
        <v>7.3206018518518509E-4</v>
      </c>
      <c r="S76" s="25"/>
      <c r="T76" s="25"/>
      <c r="U76" s="28"/>
      <c r="V76" s="25"/>
      <c r="W76" s="15" t="s">
        <v>48</v>
      </c>
      <c r="X76" s="52"/>
    </row>
    <row r="77" spans="1:24" ht="20.45" customHeight="1">
      <c r="A77" s="10" t="s">
        <v>98</v>
      </c>
      <c r="B77" s="11">
        <v>1.1111111111111112E-2</v>
      </c>
      <c r="C77" s="11">
        <v>3.0671296296296297E-3</v>
      </c>
      <c r="D77" s="11">
        <f t="shared" si="32"/>
        <v>6.4644444444444445E-3</v>
      </c>
      <c r="E77" s="12">
        <v>0.58179999999999998</v>
      </c>
      <c r="F77" s="11">
        <f t="shared" si="33"/>
        <v>7.6678240740740743E-4</v>
      </c>
      <c r="G77" s="11">
        <f t="shared" si="34"/>
        <v>8.6192592592592592E-4</v>
      </c>
      <c r="H77" s="11">
        <f t="shared" si="35"/>
        <v>8.8888888888888893E-4</v>
      </c>
      <c r="I77" s="11">
        <f t="shared" si="36"/>
        <v>9.2680207088809239E-4</v>
      </c>
      <c r="J77" s="11">
        <f t="shared" si="37"/>
        <v>9.3687600644122375E-4</v>
      </c>
      <c r="K77" s="11">
        <f t="shared" si="38"/>
        <v>9.7946127946127947E-4</v>
      </c>
      <c r="L77" s="11">
        <f t="shared" si="39"/>
        <v>1.0261022927689596E-3</v>
      </c>
      <c r="M77" s="25">
        <f>WO2025Jan7men11915171923252931333539414345474955575963656769717375777913171921232729333539[[#This Row],[Thresh]]</f>
        <v>9.7946127946127947E-4</v>
      </c>
      <c r="N77" s="28">
        <f>WO2025Jan7men11915171923252931333539414345474955575963656769717375777913171921232729333539[[#This Row],[Thresh]]*3</f>
        <v>2.9383838383838382E-3</v>
      </c>
      <c r="O77" s="25">
        <f>WO2025Jan7men11915171923252931333539414345474955575963656769717375777913171921232729333539[[#This Row],[CV]]</f>
        <v>9.3687600644122375E-4</v>
      </c>
      <c r="P77" s="28">
        <f>WO2025Jan7men11915171923252931333539414345474955575963656769717375777913171921232729333539[[#This Row],[CV]]*2</f>
        <v>1.8737520128824475E-3</v>
      </c>
      <c r="Q77" s="25">
        <f>WO2025Jan7men11915171923252931333539414345474955575963656769717375777913171921232729333539[[#This Row],[R]]/2</f>
        <v>3.8339120370370371E-4</v>
      </c>
      <c r="R77" s="28">
        <f>WO2025Jan7men11915171923252931333539414345474955575963656769717375777913171921232729333539[[#This Row],[R]]-(3*0.0000115740740740741)</f>
        <v>7.3206018518518509E-4</v>
      </c>
      <c r="S77" s="25"/>
      <c r="T77" s="25"/>
      <c r="U77" s="28"/>
      <c r="V77" s="25"/>
      <c r="W77" s="27" t="s">
        <v>48</v>
      </c>
      <c r="X77" s="52"/>
    </row>
    <row r="78" spans="1:24" ht="20.45" customHeight="1">
      <c r="A78" s="10" t="s">
        <v>103</v>
      </c>
      <c r="B78" s="11">
        <v>1.1111111111111112E-2</v>
      </c>
      <c r="C78" s="11">
        <v>3.0671296296296297E-3</v>
      </c>
      <c r="D78" s="11">
        <f t="shared" si="32"/>
        <v>6.4644444444444445E-3</v>
      </c>
      <c r="E78" s="12">
        <v>0.58179999999999998</v>
      </c>
      <c r="F78" s="11">
        <f t="shared" si="33"/>
        <v>7.6678240740740743E-4</v>
      </c>
      <c r="G78" s="11">
        <f t="shared" si="34"/>
        <v>8.6192592592592592E-4</v>
      </c>
      <c r="H78" s="11">
        <f t="shared" si="35"/>
        <v>8.8888888888888893E-4</v>
      </c>
      <c r="I78" s="11">
        <f t="shared" si="36"/>
        <v>9.2680207088809239E-4</v>
      </c>
      <c r="J78" s="11">
        <f t="shared" si="37"/>
        <v>9.3687600644122375E-4</v>
      </c>
      <c r="K78" s="11">
        <f t="shared" si="38"/>
        <v>9.7946127946127947E-4</v>
      </c>
      <c r="L78" s="17">
        <f t="shared" si="39"/>
        <v>1.0261022927689596E-3</v>
      </c>
      <c r="M78" s="25">
        <f>WO2025Jan7men11915171923252931333539414345474955575963656769717375777913171921232729333539[[#This Row],[Thresh]]</f>
        <v>9.7946127946127947E-4</v>
      </c>
      <c r="N78" s="28">
        <f>WO2025Jan7men11915171923252931333539414345474955575963656769717375777913171921232729333539[[#This Row],[Thresh]]*3</f>
        <v>2.9383838383838382E-3</v>
      </c>
      <c r="O78" s="25">
        <f>WO2025Jan7men11915171923252931333539414345474955575963656769717375777913171921232729333539[[#This Row],[CV]]</f>
        <v>9.3687600644122375E-4</v>
      </c>
      <c r="P78" s="28">
        <f>WO2025Jan7men11915171923252931333539414345474955575963656769717375777913171921232729333539[[#This Row],[CV]]*2</f>
        <v>1.8737520128824475E-3</v>
      </c>
      <c r="Q78" s="25">
        <f>WO2025Jan7men11915171923252931333539414345474955575963656769717375777913171921232729333539[[#This Row],[R]]/2</f>
        <v>3.8339120370370371E-4</v>
      </c>
      <c r="R78" s="28">
        <f>WO2025Jan7men11915171923252931333539414345474955575963656769717375777913171921232729333539[[#This Row],[R]]-(3*0.0000115740740740741)</f>
        <v>7.3206018518518509E-4</v>
      </c>
      <c r="S78" s="25"/>
      <c r="T78" s="25"/>
      <c r="U78" s="28"/>
      <c r="V78" s="25"/>
      <c r="W78" s="15" t="s">
        <v>48</v>
      </c>
      <c r="X78" s="52" t="s">
        <v>193</v>
      </c>
    </row>
    <row r="79" spans="1:24" ht="20.45" customHeight="1">
      <c r="A79" s="10" t="s">
        <v>136</v>
      </c>
      <c r="B79" s="11">
        <v>1.1111111111111112E-2</v>
      </c>
      <c r="C79" s="11">
        <v>3.1828703703703702E-3</v>
      </c>
      <c r="D79" s="11">
        <f>B79*E79</f>
        <v>6.4644444444444445E-3</v>
      </c>
      <c r="E79" s="12">
        <v>0.58179999999999998</v>
      </c>
      <c r="F79" s="11">
        <f>C79/4</f>
        <v>7.9571759259259255E-4</v>
      </c>
      <c r="G79" s="11">
        <f>D79/7.5</f>
        <v>8.6192592592592592E-4</v>
      </c>
      <c r="H79" s="11">
        <f>B79/12.5</f>
        <v>8.8888888888888893E-4</v>
      </c>
      <c r="I79" s="11">
        <f>G79/0.93</f>
        <v>9.2680207088809239E-4</v>
      </c>
      <c r="J79" s="11">
        <f>G79/0.92</f>
        <v>9.3687600644122375E-4</v>
      </c>
      <c r="K79" s="11">
        <f>G79/0.88</f>
        <v>9.7946127946127947E-4</v>
      </c>
      <c r="L79" s="11">
        <f>G79/0.84</f>
        <v>1.0261022927689596E-3</v>
      </c>
      <c r="M79" s="25">
        <f>WO2025Jan7men11915171923252931333539414345474955575963656769717375777913171921232729333539[[#This Row],[Thresh]]</f>
        <v>9.7946127946127947E-4</v>
      </c>
      <c r="N79" s="28">
        <f>WO2025Jan7men11915171923252931333539414345474955575963656769717375777913171921232729333539[[#This Row],[Thresh]]*3</f>
        <v>2.9383838383838382E-3</v>
      </c>
      <c r="O79" s="25">
        <f>WO2025Jan7men11915171923252931333539414345474955575963656769717375777913171921232729333539[[#This Row],[CV]]</f>
        <v>9.3687600644122375E-4</v>
      </c>
      <c r="P79" s="28">
        <f>WO2025Jan7men11915171923252931333539414345474955575963656769717375777913171921232729333539[[#This Row],[CV]]*2</f>
        <v>1.8737520128824475E-3</v>
      </c>
      <c r="Q79" s="25">
        <f>WO2025Jan7men11915171923252931333539414345474955575963656769717375777913171921232729333539[[#This Row],[R]]/2</f>
        <v>3.9785879629629627E-4</v>
      </c>
      <c r="R79" s="28">
        <f>WO2025Jan7men11915171923252931333539414345474955575963656769717375777913171921232729333539[[#This Row],[R]]-(3*0.0000115740740740741)</f>
        <v>7.6099537037037021E-4</v>
      </c>
      <c r="S79" s="25"/>
      <c r="T79" s="25"/>
      <c r="U79" s="28"/>
      <c r="V79" s="25"/>
      <c r="W79" s="15" t="s">
        <v>48</v>
      </c>
      <c r="X79" s="52"/>
    </row>
    <row r="80" spans="1:24" ht="20.45" customHeight="1">
      <c r="A80" s="10" t="s">
        <v>99</v>
      </c>
      <c r="B80" s="11">
        <v>1.1458333333333333E-2</v>
      </c>
      <c r="C80" s="11">
        <v>3.0092592592592593E-3</v>
      </c>
      <c r="D80" s="11">
        <f>B80*E80</f>
        <v>6.6664583333333324E-3</v>
      </c>
      <c r="E80" s="12">
        <v>0.58179999999999998</v>
      </c>
      <c r="F80" s="11">
        <f>C80/4</f>
        <v>7.5231481481481482E-4</v>
      </c>
      <c r="G80" s="11">
        <f>D80/7.5</f>
        <v>8.8886111111111099E-4</v>
      </c>
      <c r="H80" s="11">
        <f>B80/12.5</f>
        <v>9.1666666666666665E-4</v>
      </c>
      <c r="I80" s="11">
        <f>G80/0.93</f>
        <v>9.5576463560334514E-4</v>
      </c>
      <c r="J80" s="11">
        <f>G80/0.92</f>
        <v>9.6615338164251195E-4</v>
      </c>
      <c r="K80" s="11">
        <f>G80/0.88</f>
        <v>1.0100694444444443E-3</v>
      </c>
      <c r="L80" s="11">
        <f>G80/0.84</f>
        <v>1.0581679894179892E-3</v>
      </c>
      <c r="M80" s="25">
        <f>WO2025Jan7men11915171923252931333539414345474955575963656769717375777913171921232729333539[[#This Row],[Thresh]]</f>
        <v>1.0100694444444443E-3</v>
      </c>
      <c r="N80" s="28">
        <f>WO2025Jan7men11915171923252931333539414345474955575963656769717375777913171921232729333539[[#This Row],[Thresh]]*3</f>
        <v>3.0302083333333327E-3</v>
      </c>
      <c r="O80" s="25">
        <f>WO2025Jan7men11915171923252931333539414345474955575963656769717375777913171921232729333539[[#This Row],[CV]]</f>
        <v>9.6615338164251195E-4</v>
      </c>
      <c r="P80" s="28">
        <f>WO2025Jan7men11915171923252931333539414345474955575963656769717375777913171921232729333539[[#This Row],[CV]]*2</f>
        <v>1.9323067632850239E-3</v>
      </c>
      <c r="Q80" s="25">
        <f>WO2025Jan7men11915171923252931333539414345474955575963656769717375777913171921232729333539[[#This Row],[R]]/2</f>
        <v>3.7615740740740741E-4</v>
      </c>
      <c r="R80" s="28">
        <f>WO2025Jan7men11915171923252931333539414345474955575963656769717375777913171921232729333539[[#This Row],[R]]-(3*0.0000115740740740741)</f>
        <v>7.1759259259259248E-4</v>
      </c>
      <c r="S80" s="25"/>
      <c r="T80" s="25"/>
      <c r="U80" s="28"/>
      <c r="V80" s="25"/>
      <c r="W80" s="27" t="s">
        <v>48</v>
      </c>
      <c r="X80" s="52"/>
    </row>
    <row r="81" spans="1:24" ht="20.45" customHeight="1">
      <c r="A81" s="10" t="s">
        <v>102</v>
      </c>
      <c r="B81" s="11">
        <v>1.1458333333333333E-2</v>
      </c>
      <c r="C81" s="11">
        <v>3.0671296296296297E-3</v>
      </c>
      <c r="D81" s="11">
        <f>B81*E81</f>
        <v>6.6664583333333324E-3</v>
      </c>
      <c r="E81" s="12">
        <v>0.58179999999999998</v>
      </c>
      <c r="F81" s="11">
        <f>C81/4</f>
        <v>7.6678240740740743E-4</v>
      </c>
      <c r="G81" s="11">
        <f>D81/7.5</f>
        <v>8.8886111111111099E-4</v>
      </c>
      <c r="H81" s="11">
        <f>B81/12.5</f>
        <v>9.1666666666666665E-4</v>
      </c>
      <c r="I81" s="11">
        <f>G81/0.93</f>
        <v>9.5576463560334514E-4</v>
      </c>
      <c r="J81" s="11">
        <f>G81/0.92</f>
        <v>9.6615338164251195E-4</v>
      </c>
      <c r="K81" s="11">
        <f>G81/0.88</f>
        <v>1.0100694444444443E-3</v>
      </c>
      <c r="L81" s="11">
        <f>G81/0.84</f>
        <v>1.0581679894179892E-3</v>
      </c>
      <c r="M81" s="25">
        <f>WO2025Jan7men11915171923252931333539414345474955575963656769717375777913171921232729333539[[#This Row],[Thresh]]</f>
        <v>1.0100694444444443E-3</v>
      </c>
      <c r="N81" s="28">
        <f>WO2025Jan7men11915171923252931333539414345474955575963656769717375777913171921232729333539[[#This Row],[Thresh]]*3</f>
        <v>3.0302083333333327E-3</v>
      </c>
      <c r="O81" s="25">
        <f>WO2025Jan7men11915171923252931333539414345474955575963656769717375777913171921232729333539[[#This Row],[CV]]</f>
        <v>9.6615338164251195E-4</v>
      </c>
      <c r="P81" s="28">
        <f>WO2025Jan7men11915171923252931333539414345474955575963656769717375777913171921232729333539[[#This Row],[CV]]*2</f>
        <v>1.9323067632850239E-3</v>
      </c>
      <c r="Q81" s="25">
        <f>WO2025Jan7men11915171923252931333539414345474955575963656769717375777913171921232729333539[[#This Row],[R]]/2</f>
        <v>3.8339120370370371E-4</v>
      </c>
      <c r="R81" s="28">
        <f>WO2025Jan7men11915171923252931333539414345474955575963656769717375777913171921232729333539[[#This Row],[R]]-(3*0.0000115740740740741)</f>
        <v>7.3206018518518509E-4</v>
      </c>
      <c r="S81" s="25"/>
      <c r="T81" s="25"/>
      <c r="U81" s="28"/>
      <c r="V81" s="25"/>
      <c r="W81" s="27" t="s">
        <v>48</v>
      </c>
      <c r="X81" s="52"/>
    </row>
    <row r="82" spans="1:24" ht="20.45" customHeight="1">
      <c r="A82" s="10" t="s">
        <v>104</v>
      </c>
      <c r="B82" s="11">
        <v>1.1458333333333333E-2</v>
      </c>
      <c r="C82" s="11">
        <v>3.2986111111111111E-3</v>
      </c>
      <c r="D82" s="11">
        <f t="shared" si="32"/>
        <v>6.6664583333333324E-3</v>
      </c>
      <c r="E82" s="12">
        <v>0.58179999999999998</v>
      </c>
      <c r="F82" s="11">
        <f t="shared" si="33"/>
        <v>8.2465277777777778E-4</v>
      </c>
      <c r="G82" s="11">
        <f t="shared" si="34"/>
        <v>8.8886111111111099E-4</v>
      </c>
      <c r="H82" s="11">
        <f t="shared" si="35"/>
        <v>9.1666666666666665E-4</v>
      </c>
      <c r="I82" s="11">
        <f t="shared" si="36"/>
        <v>9.5576463560334514E-4</v>
      </c>
      <c r="J82" s="11">
        <f t="shared" si="37"/>
        <v>9.6615338164251195E-4</v>
      </c>
      <c r="K82" s="11">
        <f t="shared" si="38"/>
        <v>1.0100694444444443E-3</v>
      </c>
      <c r="L82" s="11">
        <f t="shared" si="39"/>
        <v>1.0581679894179892E-3</v>
      </c>
      <c r="M82" s="25">
        <f>WO2025Jan7men11915171923252931333539414345474955575963656769717375777913171921232729333539[[#This Row],[Thresh]]</f>
        <v>1.0100694444444443E-3</v>
      </c>
      <c r="N82" s="28">
        <f>WO2025Jan7men11915171923252931333539414345474955575963656769717375777913171921232729333539[[#This Row],[Thresh]]*3</f>
        <v>3.0302083333333327E-3</v>
      </c>
      <c r="O82" s="25">
        <f>WO2025Jan7men11915171923252931333539414345474955575963656769717375777913171921232729333539[[#This Row],[CV]]</f>
        <v>9.6615338164251195E-4</v>
      </c>
      <c r="P82" s="28">
        <f>WO2025Jan7men11915171923252931333539414345474955575963656769717375777913171921232729333539[[#This Row],[CV]]*2</f>
        <v>1.9323067632850239E-3</v>
      </c>
      <c r="Q82" s="25">
        <f>WO2025Jan7men11915171923252931333539414345474955575963656769717375777913171921232729333539[[#This Row],[R]]/2</f>
        <v>4.1232638888888889E-4</v>
      </c>
      <c r="R82" s="28">
        <f>WO2025Jan7men11915171923252931333539414345474955575963656769717375777913171921232729333539[[#This Row],[R]]-(3*0.0000115740740740741)</f>
        <v>7.8993055555555544E-4</v>
      </c>
      <c r="S82" s="25"/>
      <c r="T82" s="25"/>
      <c r="U82" s="28"/>
      <c r="V82" s="25"/>
      <c r="W82" s="15" t="s">
        <v>48</v>
      </c>
      <c r="X82" s="52"/>
    </row>
    <row r="83" spans="1:24" ht="20.45" customHeight="1">
      <c r="A83" s="10"/>
      <c r="B83" s="11"/>
      <c r="C83" s="11"/>
      <c r="D83" s="11"/>
      <c r="E83" s="12"/>
      <c r="F83" s="11"/>
      <c r="G83" s="11"/>
      <c r="H83" s="11"/>
      <c r="I83" s="11"/>
      <c r="J83" s="11"/>
      <c r="K83" s="11"/>
      <c r="L83" s="11"/>
      <c r="M83" s="25"/>
      <c r="N83" s="28"/>
      <c r="O83" s="25"/>
      <c r="P83" s="25"/>
      <c r="Q83" s="25"/>
      <c r="R83" s="28"/>
      <c r="S83" s="25"/>
      <c r="T83" s="25"/>
      <c r="U83" s="28"/>
      <c r="V83" s="25"/>
      <c r="W83" s="15"/>
      <c r="X83" s="52"/>
    </row>
    <row r="84" spans="1:24" ht="20.45" customHeight="1">
      <c r="A84" s="10"/>
      <c r="B84" s="11"/>
      <c r="C84" s="11"/>
      <c r="D84" s="11"/>
      <c r="E84" s="12"/>
      <c r="F84" s="11"/>
      <c r="G84" s="11"/>
      <c r="H84" s="11"/>
      <c r="I84" s="11"/>
      <c r="J84" s="11"/>
      <c r="K84" s="11"/>
      <c r="L84" s="17"/>
      <c r="M84" s="11"/>
      <c r="N84" s="26"/>
      <c r="P84" s="26"/>
      <c r="Q84" s="26"/>
      <c r="R84" s="26"/>
      <c r="S84" s="14"/>
      <c r="T84" s="14"/>
      <c r="U84" s="26"/>
      <c r="V84" s="38"/>
      <c r="W84" s="31"/>
      <c r="X84" s="52"/>
    </row>
    <row r="85" spans="1:24" ht="20.45" customHeight="1">
      <c r="A85" s="10"/>
      <c r="B85" s="11"/>
      <c r="C85" s="11"/>
      <c r="D85" s="11"/>
      <c r="E85" s="12"/>
      <c r="F85" s="11"/>
      <c r="G85" s="11"/>
      <c r="H85" s="11"/>
      <c r="I85" s="11"/>
      <c r="J85" s="11"/>
      <c r="K85" s="11"/>
      <c r="L85" s="17"/>
      <c r="M85" s="11"/>
      <c r="N85" s="26"/>
      <c r="P85" s="26"/>
      <c r="Q85" s="26"/>
      <c r="R85" s="26"/>
      <c r="S85" s="14"/>
      <c r="T85" s="14"/>
      <c r="U85" s="26"/>
      <c r="V85" s="38"/>
      <c r="W85" s="31"/>
      <c r="X85" s="52"/>
    </row>
    <row r="86" spans="1:24" ht="20.45" customHeight="1" thickBot="1">
      <c r="A86" s="10"/>
      <c r="B86" s="11"/>
      <c r="C86" s="11"/>
      <c r="D86" s="11"/>
      <c r="E86" s="12"/>
      <c r="F86" s="11"/>
      <c r="G86" s="11"/>
      <c r="H86" s="11"/>
      <c r="I86" s="11"/>
      <c r="J86" s="11"/>
      <c r="K86" s="11"/>
      <c r="L86" s="11"/>
      <c r="M86" s="25"/>
      <c r="N86" s="28"/>
      <c r="O86" s="25"/>
      <c r="P86" s="25"/>
      <c r="Q86" s="25"/>
      <c r="R86" s="25"/>
      <c r="S86" s="25"/>
      <c r="T86" s="25"/>
      <c r="U86" s="28"/>
      <c r="V86" s="25"/>
      <c r="W86" s="15"/>
      <c r="X86" s="52"/>
    </row>
    <row r="87" spans="1:24" ht="20.45" customHeight="1">
      <c r="A87" s="1" t="s">
        <v>185</v>
      </c>
      <c r="B87" s="6"/>
      <c r="C87" s="6"/>
      <c r="D87" s="6"/>
      <c r="E87" s="20"/>
      <c r="F87" s="6"/>
      <c r="G87" s="6"/>
      <c r="H87" s="6"/>
      <c r="I87" s="6"/>
      <c r="J87" s="6"/>
      <c r="K87" s="6"/>
      <c r="L87" s="6"/>
      <c r="M87" s="6" t="s">
        <v>12</v>
      </c>
      <c r="N87" s="6" t="s">
        <v>155</v>
      </c>
      <c r="O87" s="6" t="s">
        <v>14</v>
      </c>
      <c r="P87" s="6" t="s">
        <v>156</v>
      </c>
      <c r="Q87" s="6" t="s">
        <v>17</v>
      </c>
      <c r="R87" s="6" t="s">
        <v>157</v>
      </c>
      <c r="S87" s="6" t="s">
        <v>158</v>
      </c>
      <c r="T87" s="6"/>
      <c r="U87" s="6"/>
      <c r="V87" s="23"/>
      <c r="W87" s="35"/>
      <c r="X87" s="52"/>
    </row>
    <row r="88" spans="1:24" ht="20.45" customHeight="1">
      <c r="A88" s="10" t="s">
        <v>84</v>
      </c>
      <c r="B88" s="11">
        <v>1.0069444444444445E-2</v>
      </c>
      <c r="C88" s="11">
        <v>3.0092592592592593E-3</v>
      </c>
      <c r="D88" s="11">
        <f>B88*E88</f>
        <v>5.8584027777777783E-3</v>
      </c>
      <c r="E88" s="12">
        <v>0.58179999999999998</v>
      </c>
      <c r="F88" s="11">
        <f>C88/4</f>
        <v>7.5231481481481482E-4</v>
      </c>
      <c r="G88" s="11">
        <f>D88/7.5</f>
        <v>7.811203703703705E-4</v>
      </c>
      <c r="H88" s="11">
        <f>B88/12.5</f>
        <v>8.0555555555555556E-4</v>
      </c>
      <c r="I88" s="11">
        <f>G88/0.93</f>
        <v>8.3991437674233382E-4</v>
      </c>
      <c r="J88" s="11">
        <f>G88/0.92</f>
        <v>8.4904388083735917E-4</v>
      </c>
      <c r="K88" s="11">
        <f>G88/0.88</f>
        <v>8.8763678451178466E-4</v>
      </c>
      <c r="L88" s="11">
        <f>G88/0.84</f>
        <v>9.2990520282186973E-4</v>
      </c>
      <c r="M88" s="25">
        <f>WO2025Jan7men11915171923252931333539414345474955575963656769717375777913171921232729333539[[#This Row],[Thresh]]</f>
        <v>8.8763678451178466E-4</v>
      </c>
      <c r="N88" s="28">
        <f>WO2025Jan7men11915171923252931333539414345474955575963656769717375777913171921232729333539[[#This Row],[Thresh]]*2</f>
        <v>1.7752735690235693E-3</v>
      </c>
      <c r="O88" s="25">
        <f>WO2025Jan7men11915171923252931333539414345474955575963656769717375777913171921232729333539[[#This Row],[CV]]</f>
        <v>8.4904388083735917E-4</v>
      </c>
      <c r="P88" s="28">
        <f>WO2025Jan7men11915171923252931333539414345474955575963656769717375777913171921232729333539[[#This Row],[CV]]*2</f>
        <v>1.6980877616747183E-3</v>
      </c>
      <c r="Q88" s="25">
        <f>WO2025Jan7men11915171923252931333539414345474955575963656769717375777913171921232729333539[[#This Row],[I]]</f>
        <v>8.0555555555555556E-4</v>
      </c>
      <c r="R88" s="28">
        <f>WO2025Jan7men11915171923252931333539414345474955575963656769717375777913171921232729333539[[#This Row],[I]]*2</f>
        <v>1.6111111111111111E-3</v>
      </c>
      <c r="S88" s="25">
        <f>WO2025Jan7men11915171923252931333539414345474955575963656769717375777913171921232729333539[[#This Row],[VO2]]</f>
        <v>7.811203703703705E-4</v>
      </c>
      <c r="T88" s="25"/>
      <c r="U88" s="28"/>
      <c r="V88" s="25"/>
      <c r="W88" s="15" t="s">
        <v>35</v>
      </c>
      <c r="X88" s="52" t="s">
        <v>143</v>
      </c>
    </row>
    <row r="89" spans="1:24" ht="20.45" customHeight="1">
      <c r="A89" s="10" t="s">
        <v>112</v>
      </c>
      <c r="B89" s="11">
        <v>1.0243055555555556E-2</v>
      </c>
      <c r="C89" s="11">
        <v>2.8587962962962963E-3</v>
      </c>
      <c r="D89" s="11">
        <f t="shared" ref="D89:D118" si="40">B89*E89</f>
        <v>5.9594097222222218E-3</v>
      </c>
      <c r="E89" s="12">
        <v>0.58179999999999998</v>
      </c>
      <c r="F89" s="11">
        <f t="shared" ref="F89:F118" si="41">C89/4</f>
        <v>7.1469907407407409E-4</v>
      </c>
      <c r="G89" s="11">
        <f t="shared" ref="G89:G118" si="42">D89/7.5</f>
        <v>7.9458796296296287E-4</v>
      </c>
      <c r="H89" s="11">
        <f t="shared" ref="H89:H118" si="43">B89/12.5</f>
        <v>8.1944444444444447E-4</v>
      </c>
      <c r="I89" s="11">
        <f t="shared" ref="I89:I118" si="44">G89/0.93</f>
        <v>8.5439565909996003E-4</v>
      </c>
      <c r="J89" s="11">
        <f t="shared" ref="J89:J118" si="45">G89/0.92</f>
        <v>8.636825684380031E-4</v>
      </c>
      <c r="K89" s="11">
        <f t="shared" ref="K89:K118" si="46">G89/0.88</f>
        <v>9.0294086700336686E-4</v>
      </c>
      <c r="L89" s="11">
        <f t="shared" ref="L89:L118" si="47">G89/0.84</f>
        <v>9.4593805114638445E-4</v>
      </c>
      <c r="M89" s="25">
        <f>WO2025Jan7men11915171923252931333539414345474955575963656769717375777913171921232729333539[[#This Row],[Thresh]]</f>
        <v>9.0294086700336686E-4</v>
      </c>
      <c r="N89" s="28">
        <f>WO2025Jan7men11915171923252931333539414345474955575963656769717375777913171921232729333539[[#This Row],[Thresh]]*2</f>
        <v>1.8058817340067337E-3</v>
      </c>
      <c r="O89" s="25">
        <f>WO2025Jan7men11915171923252931333539414345474955575963656769717375777913171921232729333539[[#This Row],[CV]]</f>
        <v>8.636825684380031E-4</v>
      </c>
      <c r="P89" s="28">
        <f>WO2025Jan7men11915171923252931333539414345474955575963656769717375777913171921232729333539[[#This Row],[CV]]*2</f>
        <v>1.7273651368760062E-3</v>
      </c>
      <c r="Q89" s="25">
        <f>WO2025Jan7men11915171923252931333539414345474955575963656769717375777913171921232729333539[[#This Row],[I]]</f>
        <v>8.1944444444444447E-4</v>
      </c>
      <c r="R89" s="28">
        <f>WO2025Jan7men11915171923252931333539414345474955575963656769717375777913171921232729333539[[#This Row],[I]]*2</f>
        <v>1.6388888888888889E-3</v>
      </c>
      <c r="S89" s="25">
        <f>WO2025Jan7men11915171923252931333539414345474955575963656769717375777913171921232729333539[[#This Row],[VO2]]</f>
        <v>7.9458796296296287E-4</v>
      </c>
      <c r="T89" s="25"/>
      <c r="U89" s="28"/>
      <c r="V89" s="25"/>
      <c r="W89" s="15" t="s">
        <v>35</v>
      </c>
      <c r="X89" s="52"/>
    </row>
    <row r="90" spans="1:24" ht="20.45" customHeight="1">
      <c r="A90" s="10" t="s">
        <v>116</v>
      </c>
      <c r="B90" s="11">
        <v>1.0243055555555556E-2</v>
      </c>
      <c r="C90" s="11">
        <v>2.9513888888888888E-3</v>
      </c>
      <c r="D90" s="11">
        <f>B90*E90</f>
        <v>5.9594097222222218E-3</v>
      </c>
      <c r="E90" s="12">
        <v>0.58179999999999998</v>
      </c>
      <c r="F90" s="11">
        <f>C90/4</f>
        <v>7.378472222222222E-4</v>
      </c>
      <c r="G90" s="11">
        <f>D90/7.5</f>
        <v>7.9458796296296287E-4</v>
      </c>
      <c r="H90" s="11">
        <f>B90/12.5</f>
        <v>8.1944444444444447E-4</v>
      </c>
      <c r="I90" s="11">
        <f>G90/0.93</f>
        <v>8.5439565909996003E-4</v>
      </c>
      <c r="J90" s="11">
        <f>G90/0.92</f>
        <v>8.636825684380031E-4</v>
      </c>
      <c r="K90" s="11">
        <f>G90/0.88</f>
        <v>9.0294086700336686E-4</v>
      </c>
      <c r="L90" s="17">
        <f>G90/0.84</f>
        <v>9.4593805114638445E-4</v>
      </c>
      <c r="M90" s="25">
        <f>WO2025Jan7men11915171923252931333539414345474955575963656769717375777913171921232729333539[[#This Row],[Thresh]]</f>
        <v>9.0294086700336686E-4</v>
      </c>
      <c r="N90" s="28">
        <f>WO2025Jan7men11915171923252931333539414345474955575963656769717375777913171921232729333539[[#This Row],[Thresh]]*2</f>
        <v>1.8058817340067337E-3</v>
      </c>
      <c r="O90" s="25">
        <f>WO2025Jan7men11915171923252931333539414345474955575963656769717375777913171921232729333539[[#This Row],[CV]]</f>
        <v>8.636825684380031E-4</v>
      </c>
      <c r="P90" s="28">
        <f>WO2025Jan7men11915171923252931333539414345474955575963656769717375777913171921232729333539[[#This Row],[CV]]*2</f>
        <v>1.7273651368760062E-3</v>
      </c>
      <c r="Q90" s="25">
        <f>WO2025Jan7men11915171923252931333539414345474955575963656769717375777913171921232729333539[[#This Row],[I]]</f>
        <v>8.1944444444444447E-4</v>
      </c>
      <c r="R90" s="28">
        <f>WO2025Jan7men11915171923252931333539414345474955575963656769717375777913171921232729333539[[#This Row],[I]]*2</f>
        <v>1.6388888888888889E-3</v>
      </c>
      <c r="S90" s="25">
        <f>WO2025Jan7men11915171923252931333539414345474955575963656769717375777913171921232729333539[[#This Row],[VO2]]</f>
        <v>7.9458796296296287E-4</v>
      </c>
      <c r="T90" s="25"/>
      <c r="U90" s="28"/>
      <c r="V90" s="25"/>
      <c r="W90" s="15" t="s">
        <v>35</v>
      </c>
      <c r="X90" s="52"/>
    </row>
    <row r="91" spans="1:24" ht="20.45" customHeight="1">
      <c r="A91" s="10" t="s">
        <v>93</v>
      </c>
      <c r="B91" s="11">
        <v>1.0300925925925925E-2</v>
      </c>
      <c r="C91" s="11"/>
      <c r="D91" s="11">
        <f>B91*E91</f>
        <v>5.9930787037037027E-3</v>
      </c>
      <c r="E91" s="12">
        <v>0.58179999999999998</v>
      </c>
      <c r="F91" s="11">
        <f>C91/4</f>
        <v>0</v>
      </c>
      <c r="G91" s="11">
        <f>D91/7.5</f>
        <v>7.9907716049382703E-4</v>
      </c>
      <c r="H91" s="11">
        <f>B91/12.5</f>
        <v>8.2407407407407397E-4</v>
      </c>
      <c r="I91" s="11">
        <f>G91/0.93</f>
        <v>8.5922275321916877E-4</v>
      </c>
      <c r="J91" s="11">
        <f>G91/0.92</f>
        <v>8.6856213097155112E-4</v>
      </c>
      <c r="K91" s="11">
        <f>G91/0.88</f>
        <v>9.080422278338944E-4</v>
      </c>
      <c r="L91" s="11">
        <f>G91/0.84</f>
        <v>9.5128233392122272E-4</v>
      </c>
      <c r="M91" s="25">
        <f>WO2025Jan7men11915171923252931333539414345474955575963656769717375777913171921232729333539[[#This Row],[Thresh]]</f>
        <v>9.080422278338944E-4</v>
      </c>
      <c r="N91" s="28">
        <f>WO2025Jan7men11915171923252931333539414345474955575963656769717375777913171921232729333539[[#This Row],[Thresh]]*2</f>
        <v>1.8160844556677888E-3</v>
      </c>
      <c r="O91" s="25">
        <f>WO2025Jan7men11915171923252931333539414345474955575963656769717375777913171921232729333539[[#This Row],[CV]]</f>
        <v>8.6856213097155112E-4</v>
      </c>
      <c r="P91" s="28">
        <f>WO2025Jan7men11915171923252931333539414345474955575963656769717375777913171921232729333539[[#This Row],[CV]]*2</f>
        <v>1.7371242619431022E-3</v>
      </c>
      <c r="Q91" s="25">
        <f>WO2025Jan7men11915171923252931333539414345474955575963656769717375777913171921232729333539[[#This Row],[I]]</f>
        <v>8.2407407407407397E-4</v>
      </c>
      <c r="R91" s="28">
        <f>WO2025Jan7men11915171923252931333539414345474955575963656769717375777913171921232729333539[[#This Row],[I]]*2</f>
        <v>1.6481481481481479E-3</v>
      </c>
      <c r="S91" s="25">
        <f>WO2025Jan7men11915171923252931333539414345474955575963656769717375777913171921232729333539[[#This Row],[VO2]]</f>
        <v>7.9907716049382703E-4</v>
      </c>
      <c r="T91" s="25"/>
      <c r="U91" s="28"/>
      <c r="V91" s="25"/>
      <c r="W91" s="15" t="s">
        <v>35</v>
      </c>
      <c r="X91" s="52"/>
    </row>
    <row r="92" spans="1:24" ht="20.45" customHeight="1">
      <c r="A92" s="10" t="s">
        <v>92</v>
      </c>
      <c r="B92" s="11">
        <v>1.0300925925925925E-2</v>
      </c>
      <c r="C92" s="11">
        <v>2.9745370370370373E-3</v>
      </c>
      <c r="D92" s="11">
        <f>B92*E92</f>
        <v>5.9930787037037027E-3</v>
      </c>
      <c r="E92" s="12">
        <v>0.58179999999999998</v>
      </c>
      <c r="F92" s="11">
        <f>C92/4</f>
        <v>7.4363425925925931E-4</v>
      </c>
      <c r="G92" s="11">
        <f>D92/7.5</f>
        <v>7.9907716049382703E-4</v>
      </c>
      <c r="H92" s="11">
        <f>B92/12.5</f>
        <v>8.2407407407407397E-4</v>
      </c>
      <c r="I92" s="11">
        <f>G92/0.93</f>
        <v>8.5922275321916877E-4</v>
      </c>
      <c r="J92" s="11">
        <f>G92/0.92</f>
        <v>8.6856213097155112E-4</v>
      </c>
      <c r="K92" s="11">
        <f>G92/0.88</f>
        <v>9.080422278338944E-4</v>
      </c>
      <c r="L92" s="11">
        <f>G92/0.84</f>
        <v>9.5128233392122272E-4</v>
      </c>
      <c r="M92" s="25">
        <f>WO2025Jan7men11915171923252931333539414345474955575963656769717375777913171921232729333539[[#This Row],[Thresh]]</f>
        <v>9.080422278338944E-4</v>
      </c>
      <c r="N92" s="28">
        <f>WO2025Jan7men11915171923252931333539414345474955575963656769717375777913171921232729333539[[#This Row],[Thresh]]*2</f>
        <v>1.8160844556677888E-3</v>
      </c>
      <c r="O92" s="25">
        <f>WO2025Jan7men11915171923252931333539414345474955575963656769717375777913171921232729333539[[#This Row],[CV]]</f>
        <v>8.6856213097155112E-4</v>
      </c>
      <c r="P92" s="28">
        <f>WO2025Jan7men11915171923252931333539414345474955575963656769717375777913171921232729333539[[#This Row],[CV]]*2</f>
        <v>1.7371242619431022E-3</v>
      </c>
      <c r="Q92" s="25">
        <f>WO2025Jan7men11915171923252931333539414345474955575963656769717375777913171921232729333539[[#This Row],[I]]</f>
        <v>8.2407407407407397E-4</v>
      </c>
      <c r="R92" s="28">
        <f>WO2025Jan7men11915171923252931333539414345474955575963656769717375777913171921232729333539[[#This Row],[I]]*2</f>
        <v>1.6481481481481479E-3</v>
      </c>
      <c r="S92" s="25">
        <f>WO2025Jan7men11915171923252931333539414345474955575963656769717375777913171921232729333539[[#This Row],[VO2]]</f>
        <v>7.9907716049382703E-4</v>
      </c>
      <c r="T92" s="25"/>
      <c r="U92" s="28"/>
      <c r="V92" s="25"/>
      <c r="W92" s="15" t="s">
        <v>35</v>
      </c>
      <c r="X92" s="52"/>
    </row>
    <row r="93" spans="1:24" ht="20.45" customHeight="1">
      <c r="A93" s="10" t="s">
        <v>85</v>
      </c>
      <c r="B93" s="11">
        <v>1.0300925925925925E-2</v>
      </c>
      <c r="C93" s="11">
        <v>3.0671296296296297E-3</v>
      </c>
      <c r="D93" s="11">
        <f>B93*E93</f>
        <v>5.9930787037037027E-3</v>
      </c>
      <c r="E93" s="12">
        <v>0.58179999999999998</v>
      </c>
      <c r="F93" s="11">
        <f>C93/4</f>
        <v>7.6678240740740743E-4</v>
      </c>
      <c r="G93" s="11">
        <f>D93/7.5</f>
        <v>7.9907716049382703E-4</v>
      </c>
      <c r="H93" s="11">
        <f>B93/12.5</f>
        <v>8.2407407407407397E-4</v>
      </c>
      <c r="I93" s="11">
        <f>G93/0.93</f>
        <v>8.5922275321916877E-4</v>
      </c>
      <c r="J93" s="11">
        <f>G93/0.92</f>
        <v>8.6856213097155112E-4</v>
      </c>
      <c r="K93" s="11">
        <f>G93/0.88</f>
        <v>9.080422278338944E-4</v>
      </c>
      <c r="L93" s="17">
        <f>G93/0.84</f>
        <v>9.5128233392122272E-4</v>
      </c>
      <c r="M93" s="25">
        <f>WO2025Jan7men11915171923252931333539414345474955575963656769717375777913171921232729333539[[#This Row],[Thresh]]</f>
        <v>9.080422278338944E-4</v>
      </c>
      <c r="N93" s="28">
        <f>WO2025Jan7men11915171923252931333539414345474955575963656769717375777913171921232729333539[[#This Row],[Thresh]]*2</f>
        <v>1.8160844556677888E-3</v>
      </c>
      <c r="O93" s="25">
        <f>WO2025Jan7men11915171923252931333539414345474955575963656769717375777913171921232729333539[[#This Row],[CV]]</f>
        <v>8.6856213097155112E-4</v>
      </c>
      <c r="P93" s="28">
        <f>WO2025Jan7men11915171923252931333539414345474955575963656769717375777913171921232729333539[[#This Row],[CV]]*2</f>
        <v>1.7371242619431022E-3</v>
      </c>
      <c r="Q93" s="25">
        <f>WO2025Jan7men11915171923252931333539414345474955575963656769717375777913171921232729333539[[#This Row],[I]]</f>
        <v>8.2407407407407397E-4</v>
      </c>
      <c r="R93" s="28">
        <f>WO2025Jan7men11915171923252931333539414345474955575963656769717375777913171921232729333539[[#This Row],[I]]*2</f>
        <v>1.6481481481481479E-3</v>
      </c>
      <c r="S93" s="25">
        <f>WO2025Jan7men11915171923252931333539414345474955575963656769717375777913171921232729333539[[#This Row],[VO2]]</f>
        <v>7.9907716049382703E-4</v>
      </c>
      <c r="T93" s="25"/>
      <c r="U93" s="28"/>
      <c r="V93" s="25"/>
      <c r="W93" s="15" t="s">
        <v>35</v>
      </c>
      <c r="X93" s="52"/>
    </row>
    <row r="94" spans="1:24" ht="20.45" customHeight="1">
      <c r="A94" s="10" t="s">
        <v>117</v>
      </c>
      <c r="B94" s="11">
        <v>1.0300925925925925E-2</v>
      </c>
      <c r="C94" s="11">
        <v>3.0671296296296297E-3</v>
      </c>
      <c r="D94" s="11">
        <f t="shared" si="40"/>
        <v>5.9930787037037027E-3</v>
      </c>
      <c r="E94" s="12">
        <v>0.58179999999999998</v>
      </c>
      <c r="F94" s="11">
        <f t="shared" si="41"/>
        <v>7.6678240740740743E-4</v>
      </c>
      <c r="G94" s="11">
        <f t="shared" si="42"/>
        <v>7.9907716049382703E-4</v>
      </c>
      <c r="H94" s="11">
        <f t="shared" si="43"/>
        <v>8.2407407407407397E-4</v>
      </c>
      <c r="I94" s="11">
        <f t="shared" si="44"/>
        <v>8.5922275321916877E-4</v>
      </c>
      <c r="J94" s="11">
        <f t="shared" si="45"/>
        <v>8.6856213097155112E-4</v>
      </c>
      <c r="K94" s="11">
        <f t="shared" si="46"/>
        <v>9.080422278338944E-4</v>
      </c>
      <c r="L94" s="11">
        <f t="shared" si="47"/>
        <v>9.5128233392122272E-4</v>
      </c>
      <c r="M94" s="25">
        <f>WO2025Jan7men11915171923252931333539414345474955575963656769717375777913171921232729333539[[#This Row],[Thresh]]</f>
        <v>9.080422278338944E-4</v>
      </c>
      <c r="N94" s="28">
        <f>WO2025Jan7men11915171923252931333539414345474955575963656769717375777913171921232729333539[[#This Row],[Thresh]]*2</f>
        <v>1.8160844556677888E-3</v>
      </c>
      <c r="O94" s="25">
        <f>WO2025Jan7men11915171923252931333539414345474955575963656769717375777913171921232729333539[[#This Row],[CV]]</f>
        <v>8.6856213097155112E-4</v>
      </c>
      <c r="P94" s="28">
        <f>WO2025Jan7men11915171923252931333539414345474955575963656769717375777913171921232729333539[[#This Row],[CV]]*2</f>
        <v>1.7371242619431022E-3</v>
      </c>
      <c r="Q94" s="25">
        <f>WO2025Jan7men11915171923252931333539414345474955575963656769717375777913171921232729333539[[#This Row],[I]]</f>
        <v>8.2407407407407397E-4</v>
      </c>
      <c r="R94" s="28">
        <f>WO2025Jan7men11915171923252931333539414345474955575963656769717375777913171921232729333539[[#This Row],[I]]*2</f>
        <v>1.6481481481481479E-3</v>
      </c>
      <c r="S94" s="25">
        <f>WO2025Jan7men11915171923252931333539414345474955575963656769717375777913171921232729333539[[#This Row],[VO2]]</f>
        <v>7.9907716049382703E-4</v>
      </c>
      <c r="T94" s="25"/>
      <c r="U94" s="28"/>
      <c r="V94" s="25"/>
      <c r="W94" s="15" t="s">
        <v>35</v>
      </c>
      <c r="X94" s="52"/>
    </row>
    <row r="95" spans="1:24" ht="20.45" customHeight="1">
      <c r="A95" s="10" t="s">
        <v>118</v>
      </c>
      <c r="B95" s="11">
        <v>1.0300925925925925E-2</v>
      </c>
      <c r="C95" s="11">
        <v>3.0671296296296297E-3</v>
      </c>
      <c r="D95" s="11">
        <f>B95*E95</f>
        <v>5.9930787037037027E-3</v>
      </c>
      <c r="E95" s="12">
        <v>0.58179999999999998</v>
      </c>
      <c r="F95" s="11">
        <f>C95/4</f>
        <v>7.6678240740740743E-4</v>
      </c>
      <c r="G95" s="11">
        <f>D95/7.5</f>
        <v>7.9907716049382703E-4</v>
      </c>
      <c r="H95" s="11">
        <f>B95/12.5</f>
        <v>8.2407407407407397E-4</v>
      </c>
      <c r="I95" s="11">
        <f>G95/0.93</f>
        <v>8.5922275321916877E-4</v>
      </c>
      <c r="J95" s="11">
        <f>G95/0.92</f>
        <v>8.6856213097155112E-4</v>
      </c>
      <c r="K95" s="11">
        <f>G95/0.88</f>
        <v>9.080422278338944E-4</v>
      </c>
      <c r="L95" s="11">
        <f>G95/0.84</f>
        <v>9.5128233392122272E-4</v>
      </c>
      <c r="M95" s="25">
        <f>WO2025Jan7men11915171923252931333539414345474955575963656769717375777913171921232729333539[[#This Row],[Thresh]]</f>
        <v>9.080422278338944E-4</v>
      </c>
      <c r="N95" s="28">
        <f>WO2025Jan7men11915171923252931333539414345474955575963656769717375777913171921232729333539[[#This Row],[Thresh]]*2</f>
        <v>1.8160844556677888E-3</v>
      </c>
      <c r="O95" s="25">
        <f>WO2025Jan7men11915171923252931333539414345474955575963656769717375777913171921232729333539[[#This Row],[CV]]</f>
        <v>8.6856213097155112E-4</v>
      </c>
      <c r="P95" s="28">
        <f>WO2025Jan7men11915171923252931333539414345474955575963656769717375777913171921232729333539[[#This Row],[CV]]*2</f>
        <v>1.7371242619431022E-3</v>
      </c>
      <c r="Q95" s="25">
        <f>WO2025Jan7men11915171923252931333539414345474955575963656769717375777913171921232729333539[[#This Row],[I]]</f>
        <v>8.2407407407407397E-4</v>
      </c>
      <c r="R95" s="28">
        <f>WO2025Jan7men11915171923252931333539414345474955575963656769717375777913171921232729333539[[#This Row],[I]]*2</f>
        <v>1.6481481481481479E-3</v>
      </c>
      <c r="S95" s="25">
        <f>WO2025Jan7men11915171923252931333539414345474955575963656769717375777913171921232729333539[[#This Row],[VO2]]</f>
        <v>7.9907716049382703E-4</v>
      </c>
      <c r="T95" s="25"/>
      <c r="U95" s="28"/>
      <c r="V95" s="25"/>
      <c r="W95" s="15" t="s">
        <v>35</v>
      </c>
      <c r="X95" s="52"/>
    </row>
    <row r="96" spans="1:24" ht="20.45" customHeight="1">
      <c r="A96" s="10" t="s">
        <v>86</v>
      </c>
      <c r="B96" s="11">
        <v>1.0416666666666666E-2</v>
      </c>
      <c r="C96" s="11">
        <v>3.0671296296296297E-3</v>
      </c>
      <c r="D96" s="11">
        <f>B96*E96</f>
        <v>6.0604166666666662E-3</v>
      </c>
      <c r="E96" s="12">
        <v>0.58179999999999998</v>
      </c>
      <c r="F96" s="11">
        <f>C96/4</f>
        <v>7.6678240740740743E-4</v>
      </c>
      <c r="G96" s="11">
        <f>D96/7.5</f>
        <v>8.0805555555555546E-4</v>
      </c>
      <c r="H96" s="11">
        <f>B96/12.5</f>
        <v>8.3333333333333328E-4</v>
      </c>
      <c r="I96" s="11">
        <f>G96/0.93</f>
        <v>8.6887694145758646E-4</v>
      </c>
      <c r="J96" s="11">
        <f>G96/0.92</f>
        <v>8.7832125603864715E-4</v>
      </c>
      <c r="K96" s="11">
        <f>G96/0.88</f>
        <v>9.1824494949494938E-4</v>
      </c>
      <c r="L96" s="11">
        <f>G96/0.84</f>
        <v>9.6197089947089938E-4</v>
      </c>
      <c r="M96" s="25">
        <f>WO2025Jan7men11915171923252931333539414345474955575963656769717375777913171921232729333539[[#This Row],[Thresh]]</f>
        <v>9.1824494949494938E-4</v>
      </c>
      <c r="N96" s="28">
        <f>WO2025Jan7men11915171923252931333539414345474955575963656769717375777913171921232729333539[[#This Row],[Thresh]]*2</f>
        <v>1.8364898989898988E-3</v>
      </c>
      <c r="O96" s="25">
        <f>WO2025Jan7men11915171923252931333539414345474955575963656769717375777913171921232729333539[[#This Row],[CV]]</f>
        <v>8.7832125603864715E-4</v>
      </c>
      <c r="P96" s="28">
        <f>WO2025Jan7men11915171923252931333539414345474955575963656769717375777913171921232729333539[[#This Row],[CV]]*2</f>
        <v>1.7566425120772943E-3</v>
      </c>
      <c r="Q96" s="25">
        <f>WO2025Jan7men11915171923252931333539414345474955575963656769717375777913171921232729333539[[#This Row],[I]]</f>
        <v>8.3333333333333328E-4</v>
      </c>
      <c r="R96" s="28">
        <f>WO2025Jan7men11915171923252931333539414345474955575963656769717375777913171921232729333539[[#This Row],[I]]*2</f>
        <v>1.6666666666666666E-3</v>
      </c>
      <c r="S96" s="25">
        <f>WO2025Jan7men11915171923252931333539414345474955575963656769717375777913171921232729333539[[#This Row],[VO2]]</f>
        <v>8.0805555555555546E-4</v>
      </c>
      <c r="T96" s="25"/>
      <c r="U96" s="28"/>
      <c r="V96" s="25"/>
      <c r="W96" s="15" t="s">
        <v>35</v>
      </c>
      <c r="X96" s="52"/>
    </row>
    <row r="97" spans="1:24" ht="20.45" customHeight="1">
      <c r="A97" s="10" t="s">
        <v>119</v>
      </c>
      <c r="B97" s="11">
        <v>1.0416666666666666E-2</v>
      </c>
      <c r="C97" s="11"/>
      <c r="D97" s="11">
        <f t="shared" si="40"/>
        <v>6.0604166666666662E-3</v>
      </c>
      <c r="E97" s="12">
        <v>0.58179999999999998</v>
      </c>
      <c r="F97" s="11">
        <f t="shared" si="41"/>
        <v>0</v>
      </c>
      <c r="G97" s="11">
        <f t="shared" si="42"/>
        <v>8.0805555555555546E-4</v>
      </c>
      <c r="H97" s="11">
        <f t="shared" si="43"/>
        <v>8.3333333333333328E-4</v>
      </c>
      <c r="I97" s="11">
        <f t="shared" si="44"/>
        <v>8.6887694145758646E-4</v>
      </c>
      <c r="J97" s="11">
        <f t="shared" si="45"/>
        <v>8.7832125603864715E-4</v>
      </c>
      <c r="K97" s="11">
        <f t="shared" si="46"/>
        <v>9.1824494949494938E-4</v>
      </c>
      <c r="L97" s="11">
        <f t="shared" si="47"/>
        <v>9.6197089947089938E-4</v>
      </c>
      <c r="M97" s="25">
        <f>WO2025Jan7men11915171923252931333539414345474955575963656769717375777913171921232729333539[[#This Row],[Thresh]]</f>
        <v>9.1824494949494938E-4</v>
      </c>
      <c r="N97" s="28">
        <f>WO2025Jan7men11915171923252931333539414345474955575963656769717375777913171921232729333539[[#This Row],[Thresh]]*2</f>
        <v>1.8364898989898988E-3</v>
      </c>
      <c r="O97" s="25">
        <f>WO2025Jan7men11915171923252931333539414345474955575963656769717375777913171921232729333539[[#This Row],[CV]]</f>
        <v>8.7832125603864715E-4</v>
      </c>
      <c r="P97" s="28">
        <f>WO2025Jan7men11915171923252931333539414345474955575963656769717375777913171921232729333539[[#This Row],[CV]]*2</f>
        <v>1.7566425120772943E-3</v>
      </c>
      <c r="Q97" s="25">
        <f>WO2025Jan7men11915171923252931333539414345474955575963656769717375777913171921232729333539[[#This Row],[I]]</f>
        <v>8.3333333333333328E-4</v>
      </c>
      <c r="R97" s="28">
        <f>WO2025Jan7men11915171923252931333539414345474955575963656769717375777913171921232729333539[[#This Row],[I]]*2</f>
        <v>1.6666666666666666E-3</v>
      </c>
      <c r="S97" s="25">
        <f>WO2025Jan7men11915171923252931333539414345474955575963656769717375777913171921232729333539[[#This Row],[VO2]]</f>
        <v>8.0805555555555546E-4</v>
      </c>
      <c r="T97" s="25"/>
      <c r="U97" s="28"/>
      <c r="V97" s="25"/>
      <c r="W97" s="15" t="s">
        <v>35</v>
      </c>
      <c r="X97" s="52"/>
    </row>
    <row r="98" spans="1:24" ht="20.45" customHeight="1">
      <c r="A98" s="10" t="s">
        <v>120</v>
      </c>
      <c r="B98" s="11">
        <v>1.0416666666666666E-2</v>
      </c>
      <c r="C98" s="11">
        <v>3.1250000000000002E-3</v>
      </c>
      <c r="D98" s="11">
        <f t="shared" si="40"/>
        <v>6.0604166666666662E-3</v>
      </c>
      <c r="E98" s="12">
        <v>0.58179999999999998</v>
      </c>
      <c r="F98" s="11">
        <f t="shared" si="41"/>
        <v>7.8125000000000004E-4</v>
      </c>
      <c r="G98" s="11">
        <f t="shared" si="42"/>
        <v>8.0805555555555546E-4</v>
      </c>
      <c r="H98" s="11">
        <f t="shared" si="43"/>
        <v>8.3333333333333328E-4</v>
      </c>
      <c r="I98" s="11">
        <f t="shared" si="44"/>
        <v>8.6887694145758646E-4</v>
      </c>
      <c r="J98" s="11">
        <f t="shared" si="45"/>
        <v>8.7832125603864715E-4</v>
      </c>
      <c r="K98" s="11">
        <f t="shared" si="46"/>
        <v>9.1824494949494938E-4</v>
      </c>
      <c r="L98" s="11">
        <f t="shared" si="47"/>
        <v>9.6197089947089938E-4</v>
      </c>
      <c r="M98" s="25">
        <f>WO2025Jan7men11915171923252931333539414345474955575963656769717375777913171921232729333539[[#This Row],[Thresh]]</f>
        <v>9.1824494949494938E-4</v>
      </c>
      <c r="N98" s="28">
        <f>WO2025Jan7men11915171923252931333539414345474955575963656769717375777913171921232729333539[[#This Row],[Thresh]]*2</f>
        <v>1.8364898989898988E-3</v>
      </c>
      <c r="O98" s="25">
        <f>WO2025Jan7men11915171923252931333539414345474955575963656769717375777913171921232729333539[[#This Row],[CV]]</f>
        <v>8.7832125603864715E-4</v>
      </c>
      <c r="P98" s="28">
        <f>WO2025Jan7men11915171923252931333539414345474955575963656769717375777913171921232729333539[[#This Row],[CV]]*2</f>
        <v>1.7566425120772943E-3</v>
      </c>
      <c r="Q98" s="25">
        <f>WO2025Jan7men11915171923252931333539414345474955575963656769717375777913171921232729333539[[#This Row],[I]]</f>
        <v>8.3333333333333328E-4</v>
      </c>
      <c r="R98" s="28">
        <f>WO2025Jan7men11915171923252931333539414345474955575963656769717375777913171921232729333539[[#This Row],[I]]*2</f>
        <v>1.6666666666666666E-3</v>
      </c>
      <c r="S98" s="25">
        <f>WO2025Jan7men11915171923252931333539414345474955575963656769717375777913171921232729333539[[#This Row],[VO2]]</f>
        <v>8.0805555555555546E-4</v>
      </c>
      <c r="T98" s="25"/>
      <c r="U98" s="28"/>
      <c r="V98" s="25"/>
      <c r="W98" s="15" t="s">
        <v>35</v>
      </c>
      <c r="X98" s="52"/>
    </row>
    <row r="99" spans="1:24" ht="20.45" customHeight="1">
      <c r="A99" s="10" t="s">
        <v>121</v>
      </c>
      <c r="B99" s="11">
        <v>1.0416666666666666E-2</v>
      </c>
      <c r="C99" s="11"/>
      <c r="D99" s="11">
        <f>B99*E99</f>
        <v>6.0604166666666662E-3</v>
      </c>
      <c r="E99" s="12">
        <v>0.58179999999999998</v>
      </c>
      <c r="F99" s="11">
        <f>C99/4</f>
        <v>0</v>
      </c>
      <c r="G99" s="11">
        <f>D99/7.5</f>
        <v>8.0805555555555546E-4</v>
      </c>
      <c r="H99" s="11">
        <f>B99/12.5</f>
        <v>8.3333333333333328E-4</v>
      </c>
      <c r="I99" s="11">
        <f>G99/0.93</f>
        <v>8.6887694145758646E-4</v>
      </c>
      <c r="J99" s="11">
        <f>G99/0.92</f>
        <v>8.7832125603864715E-4</v>
      </c>
      <c r="K99" s="11">
        <f>G99/0.88</f>
        <v>9.1824494949494938E-4</v>
      </c>
      <c r="L99" s="11">
        <f>G99/0.84</f>
        <v>9.6197089947089938E-4</v>
      </c>
      <c r="M99" s="25">
        <f>WO2025Jan7men11915171923252931333539414345474955575963656769717375777913171921232729333539[[#This Row],[Thresh]]</f>
        <v>9.1824494949494938E-4</v>
      </c>
      <c r="N99" s="28">
        <f>WO2025Jan7men11915171923252931333539414345474955575963656769717375777913171921232729333539[[#This Row],[Thresh]]*2</f>
        <v>1.8364898989898988E-3</v>
      </c>
      <c r="O99" s="25">
        <f>WO2025Jan7men11915171923252931333539414345474955575963656769717375777913171921232729333539[[#This Row],[CV]]</f>
        <v>8.7832125603864715E-4</v>
      </c>
      <c r="P99" s="28">
        <f>WO2025Jan7men11915171923252931333539414345474955575963656769717375777913171921232729333539[[#This Row],[CV]]*2</f>
        <v>1.7566425120772943E-3</v>
      </c>
      <c r="Q99" s="25">
        <f>WO2025Jan7men11915171923252931333539414345474955575963656769717375777913171921232729333539[[#This Row],[I]]</f>
        <v>8.3333333333333328E-4</v>
      </c>
      <c r="R99" s="28">
        <f>WO2025Jan7men11915171923252931333539414345474955575963656769717375777913171921232729333539[[#This Row],[I]]*2</f>
        <v>1.6666666666666666E-3</v>
      </c>
      <c r="S99" s="25">
        <f>WO2025Jan7men11915171923252931333539414345474955575963656769717375777913171921232729333539[[#This Row],[VO2]]</f>
        <v>8.0805555555555546E-4</v>
      </c>
      <c r="T99" s="25"/>
      <c r="U99" s="28"/>
      <c r="V99" s="25"/>
      <c r="W99" s="15" t="s">
        <v>35</v>
      </c>
      <c r="X99" s="52"/>
    </row>
    <row r="100" spans="1:24" ht="20.45" customHeight="1">
      <c r="A100" s="10" t="s">
        <v>87</v>
      </c>
      <c r="B100" s="11">
        <v>1.0532407407407407E-2</v>
      </c>
      <c r="C100" s="11">
        <v>2.9745370370370373E-3</v>
      </c>
      <c r="D100" s="11">
        <f t="shared" si="40"/>
        <v>6.1277546296296288E-3</v>
      </c>
      <c r="E100" s="12">
        <v>0.58179999999999998</v>
      </c>
      <c r="F100" s="11">
        <f t="shared" si="41"/>
        <v>7.4363425925925931E-4</v>
      </c>
      <c r="G100" s="11">
        <f t="shared" si="42"/>
        <v>8.1703395061728389E-4</v>
      </c>
      <c r="H100" s="11">
        <f t="shared" si="43"/>
        <v>8.4259259259259259E-4</v>
      </c>
      <c r="I100" s="11">
        <f t="shared" si="44"/>
        <v>8.7853112969600415E-4</v>
      </c>
      <c r="J100" s="11">
        <f t="shared" si="45"/>
        <v>8.8808038110574329E-4</v>
      </c>
      <c r="K100" s="11">
        <f t="shared" si="46"/>
        <v>9.2844767115600447E-4</v>
      </c>
      <c r="L100" s="11">
        <f t="shared" si="47"/>
        <v>9.7265946502057604E-4</v>
      </c>
      <c r="M100" s="25">
        <f>WO2025Jan7men11915171923252931333539414345474955575963656769717375777913171921232729333539[[#This Row],[Thresh]]</f>
        <v>9.2844767115600447E-4</v>
      </c>
      <c r="N100" s="28">
        <f>WO2025Jan7men11915171923252931333539414345474955575963656769717375777913171921232729333539[[#This Row],[Thresh]]*2</f>
        <v>1.8568953423120089E-3</v>
      </c>
      <c r="O100" s="25">
        <f>WO2025Jan7men11915171923252931333539414345474955575963656769717375777913171921232729333539[[#This Row],[CV]]</f>
        <v>8.8808038110574329E-4</v>
      </c>
      <c r="P100" s="28">
        <f>WO2025Jan7men11915171923252931333539414345474955575963656769717375777913171921232729333539[[#This Row],[CV]]*2</f>
        <v>1.7761607622114866E-3</v>
      </c>
      <c r="Q100" s="25">
        <f>WO2025Jan7men11915171923252931333539414345474955575963656769717375777913171921232729333539[[#This Row],[I]]</f>
        <v>8.4259259259259259E-4</v>
      </c>
      <c r="R100" s="28">
        <f>WO2025Jan7men11915171923252931333539414345474955575963656769717375777913171921232729333539[[#This Row],[I]]*2</f>
        <v>1.6851851851851852E-3</v>
      </c>
      <c r="S100" s="25">
        <f>WO2025Jan7men11915171923252931333539414345474955575963656769717375777913171921232729333539[[#This Row],[VO2]]</f>
        <v>8.1703395061728389E-4</v>
      </c>
      <c r="T100" s="25"/>
      <c r="U100" s="28"/>
      <c r="V100" s="25"/>
      <c r="W100" s="15" t="s">
        <v>35</v>
      </c>
      <c r="X100" s="52"/>
    </row>
    <row r="101" spans="1:24" ht="20.45" customHeight="1">
      <c r="A101" s="10" t="s">
        <v>88</v>
      </c>
      <c r="B101" s="11">
        <v>1.0532407407407407E-2</v>
      </c>
      <c r="C101" s="11">
        <v>3.0671296296296297E-3</v>
      </c>
      <c r="D101" s="11">
        <f t="shared" si="40"/>
        <v>6.1277546296296288E-3</v>
      </c>
      <c r="E101" s="12">
        <v>0.58179999999999998</v>
      </c>
      <c r="F101" s="11">
        <f t="shared" si="41"/>
        <v>7.6678240740740743E-4</v>
      </c>
      <c r="G101" s="11">
        <f t="shared" si="42"/>
        <v>8.1703395061728389E-4</v>
      </c>
      <c r="H101" s="11">
        <f t="shared" si="43"/>
        <v>8.4259259259259259E-4</v>
      </c>
      <c r="I101" s="11">
        <f t="shared" si="44"/>
        <v>8.7853112969600415E-4</v>
      </c>
      <c r="J101" s="11">
        <f t="shared" si="45"/>
        <v>8.8808038110574329E-4</v>
      </c>
      <c r="K101" s="11">
        <f t="shared" si="46"/>
        <v>9.2844767115600447E-4</v>
      </c>
      <c r="L101" s="11">
        <f t="shared" si="47"/>
        <v>9.7265946502057604E-4</v>
      </c>
      <c r="M101" s="25">
        <f>WO2025Jan7men11915171923252931333539414345474955575963656769717375777913171921232729333539[[#This Row],[Thresh]]</f>
        <v>9.2844767115600447E-4</v>
      </c>
      <c r="N101" s="28">
        <f>WO2025Jan7men11915171923252931333539414345474955575963656769717375777913171921232729333539[[#This Row],[Thresh]]*2</f>
        <v>1.8568953423120089E-3</v>
      </c>
      <c r="O101" s="25">
        <f>WO2025Jan7men11915171923252931333539414345474955575963656769717375777913171921232729333539[[#This Row],[CV]]</f>
        <v>8.8808038110574329E-4</v>
      </c>
      <c r="P101" s="28">
        <f>WO2025Jan7men11915171923252931333539414345474955575963656769717375777913171921232729333539[[#This Row],[CV]]*2</f>
        <v>1.7761607622114866E-3</v>
      </c>
      <c r="Q101" s="25">
        <f>WO2025Jan7men11915171923252931333539414345474955575963656769717375777913171921232729333539[[#This Row],[I]]</f>
        <v>8.4259259259259259E-4</v>
      </c>
      <c r="R101" s="28">
        <f>WO2025Jan7men11915171923252931333539414345474955575963656769717375777913171921232729333539[[#This Row],[I]]*2</f>
        <v>1.6851851851851852E-3</v>
      </c>
      <c r="S101" s="25">
        <f>WO2025Jan7men11915171923252931333539414345474955575963656769717375777913171921232729333539[[#This Row],[VO2]]</f>
        <v>8.1703395061728389E-4</v>
      </c>
      <c r="T101" s="25"/>
      <c r="U101" s="28"/>
      <c r="V101" s="25"/>
      <c r="W101" s="15" t="s">
        <v>35</v>
      </c>
      <c r="X101" s="52"/>
    </row>
    <row r="102" spans="1:24" ht="20.45" customHeight="1">
      <c r="A102" s="10" t="s">
        <v>90</v>
      </c>
      <c r="B102" s="11">
        <v>1.0532407407407407E-2</v>
      </c>
      <c r="C102" s="11">
        <v>3.0671296296296297E-3</v>
      </c>
      <c r="D102" s="11">
        <f>B102*E102</f>
        <v>6.1277546296296288E-3</v>
      </c>
      <c r="E102" s="12">
        <v>0.58179999999999998</v>
      </c>
      <c r="F102" s="11">
        <f>C102/4</f>
        <v>7.6678240740740743E-4</v>
      </c>
      <c r="G102" s="11">
        <f>D102/7.5</f>
        <v>8.1703395061728389E-4</v>
      </c>
      <c r="H102" s="11">
        <f>B102/12.5</f>
        <v>8.4259259259259259E-4</v>
      </c>
      <c r="I102" s="11">
        <f>G102/0.93</f>
        <v>8.7853112969600415E-4</v>
      </c>
      <c r="J102" s="11">
        <f>G102/0.92</f>
        <v>8.8808038110574329E-4</v>
      </c>
      <c r="K102" s="11">
        <f>G102/0.88</f>
        <v>9.2844767115600447E-4</v>
      </c>
      <c r="L102" s="17">
        <f>G102/0.84</f>
        <v>9.7265946502057604E-4</v>
      </c>
      <c r="M102" s="25">
        <f>WO2025Jan7men11915171923252931333539414345474955575963656769717375777913171921232729333539[[#This Row],[Thresh]]</f>
        <v>9.2844767115600447E-4</v>
      </c>
      <c r="N102" s="28">
        <f>WO2025Jan7men11915171923252931333539414345474955575963656769717375777913171921232729333539[[#This Row],[Thresh]]*2</f>
        <v>1.8568953423120089E-3</v>
      </c>
      <c r="O102" s="25">
        <f>WO2025Jan7men11915171923252931333539414345474955575963656769717375777913171921232729333539[[#This Row],[CV]]</f>
        <v>8.8808038110574329E-4</v>
      </c>
      <c r="P102" s="28">
        <f>WO2025Jan7men11915171923252931333539414345474955575963656769717375777913171921232729333539[[#This Row],[CV]]*2</f>
        <v>1.7761607622114866E-3</v>
      </c>
      <c r="Q102" s="25">
        <f>WO2025Jan7men11915171923252931333539414345474955575963656769717375777913171921232729333539[[#This Row],[I]]</f>
        <v>8.4259259259259259E-4</v>
      </c>
      <c r="R102" s="28">
        <f>WO2025Jan7men11915171923252931333539414345474955575963656769717375777913171921232729333539[[#This Row],[I]]*2</f>
        <v>1.6851851851851852E-3</v>
      </c>
      <c r="S102" s="25">
        <f>WO2025Jan7men11915171923252931333539414345474955575963656769717375777913171921232729333539[[#This Row],[VO2]]</f>
        <v>8.1703395061728389E-4</v>
      </c>
      <c r="T102" s="25"/>
      <c r="U102" s="28"/>
      <c r="V102" s="25"/>
      <c r="W102" s="15" t="s">
        <v>35</v>
      </c>
      <c r="X102" s="52"/>
    </row>
    <row r="103" spans="1:24" ht="20.45" customHeight="1">
      <c r="A103" s="10" t="s">
        <v>122</v>
      </c>
      <c r="B103" s="11">
        <v>1.0590277777777778E-2</v>
      </c>
      <c r="C103" s="11">
        <v>3.0671296296296297E-3</v>
      </c>
      <c r="D103" s="11">
        <f t="shared" si="40"/>
        <v>6.1614236111111114E-3</v>
      </c>
      <c r="E103" s="12">
        <v>0.58179999999999998</v>
      </c>
      <c r="F103" s="11">
        <f t="shared" si="41"/>
        <v>7.6678240740740743E-4</v>
      </c>
      <c r="G103" s="11">
        <f t="shared" si="42"/>
        <v>8.2152314814814816E-4</v>
      </c>
      <c r="H103" s="11">
        <f t="shared" si="43"/>
        <v>8.472222222222223E-4</v>
      </c>
      <c r="I103" s="11">
        <f t="shared" si="44"/>
        <v>8.8335822381521299E-4</v>
      </c>
      <c r="J103" s="11">
        <f t="shared" si="45"/>
        <v>8.9295994363929141E-4</v>
      </c>
      <c r="K103" s="11">
        <f t="shared" si="46"/>
        <v>9.3354903198653201E-4</v>
      </c>
      <c r="L103" s="11">
        <f t="shared" si="47"/>
        <v>9.7800374779541442E-4</v>
      </c>
      <c r="M103" s="25">
        <f>WO2025Jan7men11915171923252931333539414345474955575963656769717375777913171921232729333539[[#This Row],[Thresh]]</f>
        <v>9.3354903198653201E-4</v>
      </c>
      <c r="N103" s="28">
        <f>WO2025Jan7men11915171923252931333539414345474955575963656769717375777913171921232729333539[[#This Row],[Thresh]]*2</f>
        <v>1.867098063973064E-3</v>
      </c>
      <c r="O103" s="25">
        <f>WO2025Jan7men11915171923252931333539414345474955575963656769717375777913171921232729333539[[#This Row],[CV]]</f>
        <v>8.9295994363929141E-4</v>
      </c>
      <c r="P103" s="28">
        <f>WO2025Jan7men11915171923252931333539414345474955575963656769717375777913171921232729333539[[#This Row],[CV]]*2</f>
        <v>1.7859198872785828E-3</v>
      </c>
      <c r="Q103" s="25">
        <f>WO2025Jan7men11915171923252931333539414345474955575963656769717375777913171921232729333539[[#This Row],[I]]</f>
        <v>8.472222222222223E-4</v>
      </c>
      <c r="R103" s="28">
        <f>WO2025Jan7men11915171923252931333539414345474955575963656769717375777913171921232729333539[[#This Row],[I]]*2</f>
        <v>1.6944444444444446E-3</v>
      </c>
      <c r="S103" s="25">
        <f>WO2025Jan7men11915171923252931333539414345474955575963656769717375777913171921232729333539[[#This Row],[VO2]]</f>
        <v>8.2152314814814816E-4</v>
      </c>
      <c r="T103" s="25"/>
      <c r="U103" s="28"/>
      <c r="V103" s="25"/>
      <c r="W103" s="15" t="s">
        <v>35</v>
      </c>
      <c r="X103" s="52"/>
    </row>
    <row r="104" spans="1:24" ht="20.45" customHeight="1">
      <c r="A104" s="10" t="s">
        <v>106</v>
      </c>
      <c r="B104" s="11">
        <v>1.0590277777777778E-2</v>
      </c>
      <c r="C104" s="11">
        <v>2.9745370370370373E-3</v>
      </c>
      <c r="D104" s="11">
        <f t="shared" si="40"/>
        <v>6.1614236111111114E-3</v>
      </c>
      <c r="E104" s="12">
        <v>0.58179999999999998</v>
      </c>
      <c r="F104" s="11">
        <f t="shared" si="41"/>
        <v>7.4363425925925931E-4</v>
      </c>
      <c r="G104" s="11">
        <f t="shared" si="42"/>
        <v>8.2152314814814816E-4</v>
      </c>
      <c r="H104" s="11">
        <f t="shared" si="43"/>
        <v>8.472222222222223E-4</v>
      </c>
      <c r="I104" s="11">
        <f t="shared" si="44"/>
        <v>8.8335822381521299E-4</v>
      </c>
      <c r="J104" s="11">
        <f t="shared" si="45"/>
        <v>8.9295994363929141E-4</v>
      </c>
      <c r="K104" s="11">
        <f t="shared" si="46"/>
        <v>9.3354903198653201E-4</v>
      </c>
      <c r="L104" s="11">
        <f t="shared" si="47"/>
        <v>9.7800374779541442E-4</v>
      </c>
      <c r="M104" s="25">
        <f>WO2025Jan7men11915171923252931333539414345474955575963656769717375777913171921232729333539[[#This Row],[Thresh]]</f>
        <v>9.3354903198653201E-4</v>
      </c>
      <c r="N104" s="28">
        <f>WO2025Jan7men11915171923252931333539414345474955575963656769717375777913171921232729333539[[#This Row],[Thresh]]*2</f>
        <v>1.867098063973064E-3</v>
      </c>
      <c r="O104" s="25">
        <f>WO2025Jan7men11915171923252931333539414345474955575963656769717375777913171921232729333539[[#This Row],[CV]]</f>
        <v>8.9295994363929141E-4</v>
      </c>
      <c r="P104" s="28">
        <f>WO2025Jan7men11915171923252931333539414345474955575963656769717375777913171921232729333539[[#This Row],[CV]]*2</f>
        <v>1.7859198872785828E-3</v>
      </c>
      <c r="Q104" s="25">
        <f>WO2025Jan7men11915171923252931333539414345474955575963656769717375777913171921232729333539[[#This Row],[I]]</f>
        <v>8.472222222222223E-4</v>
      </c>
      <c r="R104" s="28">
        <f>WO2025Jan7men11915171923252931333539414345474955575963656769717375777913171921232729333539[[#This Row],[I]]*2</f>
        <v>1.6944444444444446E-3</v>
      </c>
      <c r="S104" s="25">
        <f>WO2025Jan7men11915171923252931333539414345474955575963656769717375777913171921232729333539[[#This Row],[VO2]]</f>
        <v>8.2152314814814816E-4</v>
      </c>
      <c r="T104" s="25"/>
      <c r="U104" s="28"/>
      <c r="V104" s="25"/>
      <c r="W104" s="15" t="s">
        <v>35</v>
      </c>
      <c r="X104" s="52"/>
    </row>
    <row r="105" spans="1:24" ht="20.45" customHeight="1">
      <c r="A105" s="10" t="s">
        <v>123</v>
      </c>
      <c r="B105" s="11">
        <v>1.0590277777777778E-2</v>
      </c>
      <c r="C105" s="11">
        <v>3.1828703703703702E-3</v>
      </c>
      <c r="D105" s="11">
        <f t="shared" si="40"/>
        <v>6.1614236111111114E-3</v>
      </c>
      <c r="E105" s="12">
        <v>0.58179999999999998</v>
      </c>
      <c r="F105" s="11">
        <f t="shared" si="41"/>
        <v>7.9571759259259255E-4</v>
      </c>
      <c r="G105" s="11">
        <f t="shared" si="42"/>
        <v>8.2152314814814816E-4</v>
      </c>
      <c r="H105" s="11">
        <f t="shared" si="43"/>
        <v>8.472222222222223E-4</v>
      </c>
      <c r="I105" s="11">
        <f t="shared" si="44"/>
        <v>8.8335822381521299E-4</v>
      </c>
      <c r="J105" s="11">
        <f t="shared" si="45"/>
        <v>8.9295994363929141E-4</v>
      </c>
      <c r="K105" s="11">
        <f t="shared" si="46"/>
        <v>9.3354903198653201E-4</v>
      </c>
      <c r="L105" s="11">
        <f t="shared" si="47"/>
        <v>9.7800374779541442E-4</v>
      </c>
      <c r="M105" s="25">
        <f>WO2025Jan7men11915171923252931333539414345474955575963656769717375777913171921232729333539[[#This Row],[Thresh]]</f>
        <v>9.3354903198653201E-4</v>
      </c>
      <c r="N105" s="28">
        <f>WO2025Jan7men11915171923252931333539414345474955575963656769717375777913171921232729333539[[#This Row],[Thresh]]*2</f>
        <v>1.867098063973064E-3</v>
      </c>
      <c r="O105" s="25">
        <f>WO2025Jan7men11915171923252931333539414345474955575963656769717375777913171921232729333539[[#This Row],[CV]]</f>
        <v>8.9295994363929141E-4</v>
      </c>
      <c r="P105" s="28">
        <f>WO2025Jan7men11915171923252931333539414345474955575963656769717375777913171921232729333539[[#This Row],[CV]]*2</f>
        <v>1.7859198872785828E-3</v>
      </c>
      <c r="Q105" s="25">
        <f>WO2025Jan7men11915171923252931333539414345474955575963656769717375777913171921232729333539[[#This Row],[I]]</f>
        <v>8.472222222222223E-4</v>
      </c>
      <c r="R105" s="28">
        <f>WO2025Jan7men11915171923252931333539414345474955575963656769717375777913171921232729333539[[#This Row],[I]]*2</f>
        <v>1.6944444444444446E-3</v>
      </c>
      <c r="S105" s="25">
        <f>WO2025Jan7men11915171923252931333539414345474955575963656769717375777913171921232729333539[[#This Row],[VO2]]</f>
        <v>8.2152314814814816E-4</v>
      </c>
      <c r="T105" s="25"/>
      <c r="U105" s="28"/>
      <c r="V105" s="25"/>
      <c r="W105" s="15" t="s">
        <v>35</v>
      </c>
      <c r="X105" s="52"/>
    </row>
    <row r="106" spans="1:24" ht="20.45" customHeight="1">
      <c r="A106" s="10" t="s">
        <v>91</v>
      </c>
      <c r="B106" s="11">
        <v>1.0590277777777778E-2</v>
      </c>
      <c r="C106" s="11">
        <v>3.1249999999999997E-3</v>
      </c>
      <c r="D106" s="11">
        <f t="shared" si="40"/>
        <v>6.1614236111111114E-3</v>
      </c>
      <c r="E106" s="12">
        <v>0.58179999999999998</v>
      </c>
      <c r="F106" s="11">
        <f t="shared" si="41"/>
        <v>7.8124999999999993E-4</v>
      </c>
      <c r="G106" s="11">
        <f t="shared" si="42"/>
        <v>8.2152314814814816E-4</v>
      </c>
      <c r="H106" s="11">
        <f t="shared" si="43"/>
        <v>8.472222222222223E-4</v>
      </c>
      <c r="I106" s="11">
        <f t="shared" si="44"/>
        <v>8.8335822381521299E-4</v>
      </c>
      <c r="J106" s="11">
        <f t="shared" si="45"/>
        <v>8.9295994363929141E-4</v>
      </c>
      <c r="K106" s="11">
        <f t="shared" si="46"/>
        <v>9.3354903198653201E-4</v>
      </c>
      <c r="L106" s="11">
        <f t="shared" si="47"/>
        <v>9.7800374779541442E-4</v>
      </c>
      <c r="M106" s="25">
        <f>WO2025Jan7men11915171923252931333539414345474955575963656769717375777913171921232729333539[[#This Row],[Thresh]]</f>
        <v>9.3354903198653201E-4</v>
      </c>
      <c r="N106" s="28">
        <f>WO2025Jan7men11915171923252931333539414345474955575963656769717375777913171921232729333539[[#This Row],[Thresh]]*2</f>
        <v>1.867098063973064E-3</v>
      </c>
      <c r="O106" s="25">
        <f>WO2025Jan7men11915171923252931333539414345474955575963656769717375777913171921232729333539[[#This Row],[CV]]</f>
        <v>8.9295994363929141E-4</v>
      </c>
      <c r="P106" s="28">
        <f>WO2025Jan7men11915171923252931333539414345474955575963656769717375777913171921232729333539[[#This Row],[CV]]*2</f>
        <v>1.7859198872785828E-3</v>
      </c>
      <c r="Q106" s="25">
        <f>WO2025Jan7men11915171923252931333539414345474955575963656769717375777913171921232729333539[[#This Row],[I]]</f>
        <v>8.472222222222223E-4</v>
      </c>
      <c r="R106" s="28">
        <f>WO2025Jan7men11915171923252931333539414345474955575963656769717375777913171921232729333539[[#This Row],[I]]*2</f>
        <v>1.6944444444444446E-3</v>
      </c>
      <c r="S106" s="25">
        <f>WO2025Jan7men11915171923252931333539414345474955575963656769717375777913171921232729333539[[#This Row],[VO2]]</f>
        <v>8.2152314814814816E-4</v>
      </c>
      <c r="T106" s="25"/>
      <c r="U106" s="28"/>
      <c r="V106" s="25"/>
      <c r="W106" s="15" t="s">
        <v>35</v>
      </c>
      <c r="X106" s="52"/>
    </row>
    <row r="107" spans="1:24" ht="20.45" customHeight="1">
      <c r="A107" s="10" t="s">
        <v>124</v>
      </c>
      <c r="B107" s="11">
        <v>1.0590277777777778E-2</v>
      </c>
      <c r="C107" s="11"/>
      <c r="D107" s="11">
        <f>B107*E107</f>
        <v>6.1614236111111114E-3</v>
      </c>
      <c r="E107" s="12">
        <v>0.58179999999999998</v>
      </c>
      <c r="F107" s="11">
        <f>C107/4</f>
        <v>0</v>
      </c>
      <c r="G107" s="11">
        <f>D107/7.5</f>
        <v>8.2152314814814816E-4</v>
      </c>
      <c r="H107" s="11">
        <f>B107/12.5</f>
        <v>8.472222222222223E-4</v>
      </c>
      <c r="I107" s="11">
        <f>G107/0.93</f>
        <v>8.8335822381521299E-4</v>
      </c>
      <c r="J107" s="11">
        <f>G107/0.92</f>
        <v>8.9295994363929141E-4</v>
      </c>
      <c r="K107" s="11">
        <f>G107/0.88</f>
        <v>9.3354903198653201E-4</v>
      </c>
      <c r="L107" s="11">
        <f>G107/0.84</f>
        <v>9.7800374779541442E-4</v>
      </c>
      <c r="M107" s="25">
        <f>WO2025Jan7men11915171923252931333539414345474955575963656769717375777913171921232729333539[[#This Row],[Thresh]]</f>
        <v>9.3354903198653201E-4</v>
      </c>
      <c r="N107" s="28">
        <f>WO2025Jan7men11915171923252931333539414345474955575963656769717375777913171921232729333539[[#This Row],[Thresh]]*2</f>
        <v>1.867098063973064E-3</v>
      </c>
      <c r="O107" s="25">
        <f>WO2025Jan7men11915171923252931333539414345474955575963656769717375777913171921232729333539[[#This Row],[CV]]</f>
        <v>8.9295994363929141E-4</v>
      </c>
      <c r="P107" s="28">
        <f>WO2025Jan7men11915171923252931333539414345474955575963656769717375777913171921232729333539[[#This Row],[CV]]*2</f>
        <v>1.7859198872785828E-3</v>
      </c>
      <c r="Q107" s="25">
        <f>WO2025Jan7men11915171923252931333539414345474955575963656769717375777913171921232729333539[[#This Row],[I]]</f>
        <v>8.472222222222223E-4</v>
      </c>
      <c r="R107" s="28">
        <f>WO2025Jan7men11915171923252931333539414345474955575963656769717375777913171921232729333539[[#This Row],[I]]*2</f>
        <v>1.6944444444444446E-3</v>
      </c>
      <c r="S107" s="25">
        <f>WO2025Jan7men11915171923252931333539414345474955575963656769717375777913171921232729333539[[#This Row],[VO2]]</f>
        <v>8.2152314814814816E-4</v>
      </c>
      <c r="T107" s="25"/>
      <c r="U107" s="28"/>
      <c r="V107" s="25"/>
      <c r="W107" s="15" t="s">
        <v>35</v>
      </c>
      <c r="X107" s="52"/>
    </row>
    <row r="108" spans="1:24" ht="20.45" customHeight="1">
      <c r="A108" s="10" t="s">
        <v>125</v>
      </c>
      <c r="B108" s="11">
        <v>1.0648148148148148E-2</v>
      </c>
      <c r="C108" s="11"/>
      <c r="D108" s="11">
        <f t="shared" si="40"/>
        <v>6.1950925925925923E-3</v>
      </c>
      <c r="E108" s="12">
        <v>0.58179999999999998</v>
      </c>
      <c r="F108" s="11">
        <f t="shared" si="41"/>
        <v>0</v>
      </c>
      <c r="G108" s="11">
        <f t="shared" si="42"/>
        <v>8.2601234567901232E-4</v>
      </c>
      <c r="H108" s="11">
        <f t="shared" si="43"/>
        <v>8.5185185185185179E-4</v>
      </c>
      <c r="I108" s="11">
        <f t="shared" si="44"/>
        <v>8.8818531793442184E-4</v>
      </c>
      <c r="J108" s="11">
        <f t="shared" si="45"/>
        <v>8.9783950617283942E-4</v>
      </c>
      <c r="K108" s="11">
        <f t="shared" si="46"/>
        <v>9.3865039281705945E-4</v>
      </c>
      <c r="L108" s="11">
        <f t="shared" si="47"/>
        <v>9.833480305702527E-4</v>
      </c>
      <c r="M108" s="25">
        <f>WO2025Jan7men11915171923252931333539414345474955575963656769717375777913171921232729333539[[#This Row],[Thresh]]</f>
        <v>9.3865039281705945E-4</v>
      </c>
      <c r="N108" s="28">
        <f>WO2025Jan7men11915171923252931333539414345474955575963656769717375777913171921232729333539[[#This Row],[Thresh]]*2</f>
        <v>1.8773007856341189E-3</v>
      </c>
      <c r="O108" s="25">
        <f>WO2025Jan7men11915171923252931333539414345474955575963656769717375777913171921232729333539[[#This Row],[CV]]</f>
        <v>8.9783950617283942E-4</v>
      </c>
      <c r="P108" s="28">
        <f>WO2025Jan7men11915171923252931333539414345474955575963656769717375777913171921232729333539[[#This Row],[CV]]*2</f>
        <v>1.7956790123456788E-3</v>
      </c>
      <c r="Q108" s="25">
        <f>WO2025Jan7men11915171923252931333539414345474955575963656769717375777913171921232729333539[[#This Row],[I]]</f>
        <v>8.5185185185185179E-4</v>
      </c>
      <c r="R108" s="28">
        <f>WO2025Jan7men11915171923252931333539414345474955575963656769717375777913171921232729333539[[#This Row],[I]]*2</f>
        <v>1.7037037037037036E-3</v>
      </c>
      <c r="S108" s="25">
        <f>WO2025Jan7men11915171923252931333539414345474955575963656769717375777913171921232729333539[[#This Row],[VO2]]</f>
        <v>8.2601234567901232E-4</v>
      </c>
      <c r="T108" s="25"/>
      <c r="U108" s="28"/>
      <c r="V108" s="25"/>
      <c r="W108" s="15" t="s">
        <v>35</v>
      </c>
      <c r="X108" s="52"/>
    </row>
    <row r="109" spans="1:24" ht="20.45" customHeight="1">
      <c r="A109" s="10" t="s">
        <v>126</v>
      </c>
      <c r="B109" s="11">
        <v>1.0648148148148148E-2</v>
      </c>
      <c r="C109" s="11"/>
      <c r="D109" s="11">
        <f t="shared" si="40"/>
        <v>6.1950925925925923E-3</v>
      </c>
      <c r="E109" s="12">
        <v>0.58179999999999998</v>
      </c>
      <c r="F109" s="11">
        <f t="shared" si="41"/>
        <v>0</v>
      </c>
      <c r="G109" s="11">
        <f t="shared" si="42"/>
        <v>8.2601234567901232E-4</v>
      </c>
      <c r="H109" s="11">
        <f t="shared" si="43"/>
        <v>8.5185185185185179E-4</v>
      </c>
      <c r="I109" s="11">
        <f t="shared" si="44"/>
        <v>8.8818531793442184E-4</v>
      </c>
      <c r="J109" s="11">
        <f t="shared" si="45"/>
        <v>8.9783950617283942E-4</v>
      </c>
      <c r="K109" s="11">
        <f t="shared" si="46"/>
        <v>9.3865039281705945E-4</v>
      </c>
      <c r="L109" s="11">
        <f t="shared" si="47"/>
        <v>9.833480305702527E-4</v>
      </c>
      <c r="M109" s="25">
        <f>WO2025Jan7men11915171923252931333539414345474955575963656769717375777913171921232729333539[[#This Row],[Thresh]]</f>
        <v>9.3865039281705945E-4</v>
      </c>
      <c r="N109" s="28">
        <f>WO2025Jan7men11915171923252931333539414345474955575963656769717375777913171921232729333539[[#This Row],[Thresh]]*2</f>
        <v>1.8773007856341189E-3</v>
      </c>
      <c r="O109" s="25">
        <f>WO2025Jan7men11915171923252931333539414345474955575963656769717375777913171921232729333539[[#This Row],[CV]]</f>
        <v>8.9783950617283942E-4</v>
      </c>
      <c r="P109" s="28">
        <f>WO2025Jan7men11915171923252931333539414345474955575963656769717375777913171921232729333539[[#This Row],[CV]]*2</f>
        <v>1.7956790123456788E-3</v>
      </c>
      <c r="Q109" s="25">
        <f>WO2025Jan7men11915171923252931333539414345474955575963656769717375777913171921232729333539[[#This Row],[I]]</f>
        <v>8.5185185185185179E-4</v>
      </c>
      <c r="R109" s="28">
        <f>WO2025Jan7men11915171923252931333539414345474955575963656769717375777913171921232729333539[[#This Row],[I]]*2</f>
        <v>1.7037037037037036E-3</v>
      </c>
      <c r="S109" s="25">
        <f>WO2025Jan7men11915171923252931333539414345474955575963656769717375777913171921232729333539[[#This Row],[VO2]]</f>
        <v>8.2601234567901232E-4</v>
      </c>
      <c r="T109" s="25"/>
      <c r="U109" s="28"/>
      <c r="V109" s="25"/>
      <c r="W109" s="15" t="s">
        <v>35</v>
      </c>
      <c r="X109" s="52"/>
    </row>
    <row r="110" spans="1:24" ht="20.45" customHeight="1">
      <c r="A110" s="10" t="s">
        <v>127</v>
      </c>
      <c r="B110" s="11">
        <v>1.0648148148148148E-2</v>
      </c>
      <c r="C110" s="11">
        <v>2.9513888888888888E-3</v>
      </c>
      <c r="D110" s="11">
        <f>B110*E110</f>
        <v>6.1950925925925923E-3</v>
      </c>
      <c r="E110" s="12">
        <v>0.58179999999999998</v>
      </c>
      <c r="F110" s="11">
        <f>C110/4</f>
        <v>7.378472222222222E-4</v>
      </c>
      <c r="G110" s="11">
        <f>D110/7.5</f>
        <v>8.2601234567901232E-4</v>
      </c>
      <c r="H110" s="11">
        <f>B110/12.5</f>
        <v>8.5185185185185179E-4</v>
      </c>
      <c r="I110" s="11">
        <f>G110/0.93</f>
        <v>8.8818531793442184E-4</v>
      </c>
      <c r="J110" s="11">
        <f>G110/0.92</f>
        <v>8.9783950617283942E-4</v>
      </c>
      <c r="K110" s="11">
        <f>G110/0.88</f>
        <v>9.3865039281705945E-4</v>
      </c>
      <c r="L110" s="11">
        <f>G110/0.84</f>
        <v>9.833480305702527E-4</v>
      </c>
      <c r="M110" s="25">
        <f>WO2025Jan7men11915171923252931333539414345474955575963656769717375777913171921232729333539[[#This Row],[Thresh]]</f>
        <v>9.3865039281705945E-4</v>
      </c>
      <c r="N110" s="28">
        <f>WO2025Jan7men11915171923252931333539414345474955575963656769717375777913171921232729333539[[#This Row],[Thresh]]*2</f>
        <v>1.8773007856341189E-3</v>
      </c>
      <c r="O110" s="25">
        <f>WO2025Jan7men11915171923252931333539414345474955575963656769717375777913171921232729333539[[#This Row],[CV]]</f>
        <v>8.9783950617283942E-4</v>
      </c>
      <c r="P110" s="28">
        <f>WO2025Jan7men11915171923252931333539414345474955575963656769717375777913171921232729333539[[#This Row],[CV]]*2</f>
        <v>1.7956790123456788E-3</v>
      </c>
      <c r="Q110" s="25">
        <f>WO2025Jan7men11915171923252931333539414345474955575963656769717375777913171921232729333539[[#This Row],[I]]</f>
        <v>8.5185185185185179E-4</v>
      </c>
      <c r="R110" s="28">
        <f>WO2025Jan7men11915171923252931333539414345474955575963656769717375777913171921232729333539[[#This Row],[I]]*2</f>
        <v>1.7037037037037036E-3</v>
      </c>
      <c r="S110" s="25">
        <f>WO2025Jan7men11915171923252931333539414345474955575963656769717375777913171921232729333539[[#This Row],[VO2]]</f>
        <v>8.2601234567901232E-4</v>
      </c>
      <c r="T110" s="25"/>
      <c r="U110" s="28"/>
      <c r="V110" s="25"/>
      <c r="W110" s="15" t="s">
        <v>35</v>
      </c>
      <c r="X110" s="52"/>
    </row>
    <row r="111" spans="1:24" ht="20.45" customHeight="1">
      <c r="A111" s="10" t="s">
        <v>128</v>
      </c>
      <c r="B111" s="11">
        <v>1.0648148148148148E-2</v>
      </c>
      <c r="C111" s="11"/>
      <c r="D111" s="11">
        <f>B111*E111</f>
        <v>6.1950925925925923E-3</v>
      </c>
      <c r="E111" s="12">
        <v>0.58179999999999998</v>
      </c>
      <c r="F111" s="11">
        <f>C111/4</f>
        <v>0</v>
      </c>
      <c r="G111" s="11">
        <f>D111/7.5</f>
        <v>8.2601234567901232E-4</v>
      </c>
      <c r="H111" s="11">
        <f>B111/12.5</f>
        <v>8.5185185185185179E-4</v>
      </c>
      <c r="I111" s="11">
        <f>G111/0.93</f>
        <v>8.8818531793442184E-4</v>
      </c>
      <c r="J111" s="11">
        <f>G111/0.92</f>
        <v>8.9783950617283942E-4</v>
      </c>
      <c r="K111" s="11">
        <f>G111/0.88</f>
        <v>9.3865039281705945E-4</v>
      </c>
      <c r="L111" s="11">
        <f>G111/0.84</f>
        <v>9.833480305702527E-4</v>
      </c>
      <c r="M111" s="25">
        <f>WO2025Jan7men11915171923252931333539414345474955575963656769717375777913171921232729333539[[#This Row],[Thresh]]</f>
        <v>9.3865039281705945E-4</v>
      </c>
      <c r="N111" s="28">
        <f>WO2025Jan7men11915171923252931333539414345474955575963656769717375777913171921232729333539[[#This Row],[Thresh]]*2</f>
        <v>1.8773007856341189E-3</v>
      </c>
      <c r="O111" s="25">
        <f>WO2025Jan7men11915171923252931333539414345474955575963656769717375777913171921232729333539[[#This Row],[CV]]</f>
        <v>8.9783950617283942E-4</v>
      </c>
      <c r="P111" s="28">
        <f>WO2025Jan7men11915171923252931333539414345474955575963656769717375777913171921232729333539[[#This Row],[CV]]*2</f>
        <v>1.7956790123456788E-3</v>
      </c>
      <c r="Q111" s="25">
        <f>WO2025Jan7men11915171923252931333539414345474955575963656769717375777913171921232729333539[[#This Row],[I]]</f>
        <v>8.5185185185185179E-4</v>
      </c>
      <c r="R111" s="28">
        <f>WO2025Jan7men11915171923252931333539414345474955575963656769717375777913171921232729333539[[#This Row],[I]]*2</f>
        <v>1.7037037037037036E-3</v>
      </c>
      <c r="S111" s="25">
        <f>WO2025Jan7men11915171923252931333539414345474955575963656769717375777913171921232729333539[[#This Row],[VO2]]</f>
        <v>8.2601234567901232E-4</v>
      </c>
      <c r="T111" s="25"/>
      <c r="U111" s="28"/>
      <c r="V111" s="25"/>
      <c r="W111" s="15" t="s">
        <v>35</v>
      </c>
      <c r="X111" s="52"/>
    </row>
    <row r="112" spans="1:24" ht="20.45" customHeight="1">
      <c r="A112" s="10" t="s">
        <v>129</v>
      </c>
      <c r="B112" s="11">
        <v>1.0763888888888891E-2</v>
      </c>
      <c r="C112" s="11">
        <v>3.0092592592592593E-3</v>
      </c>
      <c r="D112" s="11">
        <f>B112*E112</f>
        <v>6.2624305555555567E-3</v>
      </c>
      <c r="E112" s="12">
        <v>0.58179999999999998</v>
      </c>
      <c r="F112" s="11">
        <f>C112/4</f>
        <v>7.5231481481481482E-4</v>
      </c>
      <c r="G112" s="11">
        <f>D112/7.5</f>
        <v>8.3499074074074085E-4</v>
      </c>
      <c r="H112" s="11">
        <f>B112/12.5</f>
        <v>8.6111111111111121E-4</v>
      </c>
      <c r="I112" s="11">
        <f>G112/0.93</f>
        <v>8.9783950617283953E-4</v>
      </c>
      <c r="J112" s="11">
        <f>G112/0.92</f>
        <v>9.0759863123993567E-4</v>
      </c>
      <c r="K112" s="11">
        <f>G112/0.88</f>
        <v>9.4885311447811464E-4</v>
      </c>
      <c r="L112" s="11">
        <f>G112/0.84</f>
        <v>9.9403659611992969E-4</v>
      </c>
      <c r="M112" s="25">
        <f>WO2025Jan7men11915171923252931333539414345474955575963656769717375777913171921232729333539[[#This Row],[Thresh]]</f>
        <v>9.4885311447811464E-4</v>
      </c>
      <c r="N112" s="28">
        <f>WO2025Jan7men11915171923252931333539414345474955575963656769717375777913171921232729333539[[#This Row],[Thresh]]*2</f>
        <v>1.8977062289562293E-3</v>
      </c>
      <c r="O112" s="25">
        <f>WO2025Jan7men11915171923252931333539414345474955575963656769717375777913171921232729333539[[#This Row],[CV]]</f>
        <v>9.0759863123993567E-4</v>
      </c>
      <c r="P112" s="28">
        <f>WO2025Jan7men11915171923252931333539414345474955575963656769717375777913171921232729333539[[#This Row],[CV]]*2</f>
        <v>1.8151972624798713E-3</v>
      </c>
      <c r="Q112" s="25">
        <f>WO2025Jan7men11915171923252931333539414345474955575963656769717375777913171921232729333539[[#This Row],[I]]</f>
        <v>8.6111111111111121E-4</v>
      </c>
      <c r="R112" s="28">
        <f>WO2025Jan7men11915171923252931333539414345474955575963656769717375777913171921232729333539[[#This Row],[I]]*2</f>
        <v>1.7222222222222224E-3</v>
      </c>
      <c r="S112" s="25">
        <f>WO2025Jan7men11915171923252931333539414345474955575963656769717375777913171921232729333539[[#This Row],[VO2]]</f>
        <v>8.3499074074074085E-4</v>
      </c>
      <c r="T112" s="25"/>
      <c r="U112" s="28"/>
      <c r="V112" s="25"/>
      <c r="W112" s="15" t="s">
        <v>35</v>
      </c>
      <c r="X112" s="52"/>
    </row>
    <row r="113" spans="1:24" ht="20.45" customHeight="1">
      <c r="A113" s="10" t="s">
        <v>130</v>
      </c>
      <c r="B113" s="11">
        <v>1.0763888888888891E-2</v>
      </c>
      <c r="C113" s="11">
        <v>3.1828703703703702E-3</v>
      </c>
      <c r="D113" s="11">
        <f>B113*E113</f>
        <v>6.2624305555555567E-3</v>
      </c>
      <c r="E113" s="12">
        <v>0.58179999999999998</v>
      </c>
      <c r="F113" s="11">
        <f>C113/4</f>
        <v>7.9571759259259255E-4</v>
      </c>
      <c r="G113" s="11">
        <f>D113/7.5</f>
        <v>8.3499074074074085E-4</v>
      </c>
      <c r="H113" s="11">
        <f>B113/12.5</f>
        <v>8.6111111111111121E-4</v>
      </c>
      <c r="I113" s="11">
        <f>G113/0.93</f>
        <v>8.9783950617283953E-4</v>
      </c>
      <c r="J113" s="11">
        <f>G113/0.92</f>
        <v>9.0759863123993567E-4</v>
      </c>
      <c r="K113" s="11">
        <f>G113/0.88</f>
        <v>9.4885311447811464E-4</v>
      </c>
      <c r="L113" s="11">
        <f>G113/0.84</f>
        <v>9.9403659611992969E-4</v>
      </c>
      <c r="M113" s="25">
        <f>WO2025Jan7men11915171923252931333539414345474955575963656769717375777913171921232729333539[[#This Row],[Thresh]]</f>
        <v>9.4885311447811464E-4</v>
      </c>
      <c r="N113" s="28">
        <f>WO2025Jan7men11915171923252931333539414345474955575963656769717375777913171921232729333539[[#This Row],[Thresh]]*2</f>
        <v>1.8977062289562293E-3</v>
      </c>
      <c r="O113" s="25">
        <f>WO2025Jan7men11915171923252931333539414345474955575963656769717375777913171921232729333539[[#This Row],[CV]]</f>
        <v>9.0759863123993567E-4</v>
      </c>
      <c r="P113" s="28">
        <f>WO2025Jan7men11915171923252931333539414345474955575963656769717375777913171921232729333539[[#This Row],[CV]]*2</f>
        <v>1.8151972624798713E-3</v>
      </c>
      <c r="Q113" s="25">
        <f>WO2025Jan7men11915171923252931333539414345474955575963656769717375777913171921232729333539[[#This Row],[I]]</f>
        <v>8.6111111111111121E-4</v>
      </c>
      <c r="R113" s="28">
        <f>WO2025Jan7men11915171923252931333539414345474955575963656769717375777913171921232729333539[[#This Row],[I]]*2</f>
        <v>1.7222222222222224E-3</v>
      </c>
      <c r="S113" s="25">
        <f>WO2025Jan7men11915171923252931333539414345474955575963656769717375777913171921232729333539[[#This Row],[VO2]]</f>
        <v>8.3499074074074085E-4</v>
      </c>
      <c r="T113" s="25"/>
      <c r="U113" s="28"/>
      <c r="V113" s="25"/>
      <c r="W113" s="15" t="s">
        <v>35</v>
      </c>
      <c r="X113" s="52"/>
    </row>
    <row r="114" spans="1:24" ht="20.45" customHeight="1" thickBot="1">
      <c r="A114" s="10" t="s">
        <v>131</v>
      </c>
      <c r="B114" s="11">
        <v>1.0763888888888891E-2</v>
      </c>
      <c r="C114" s="11">
        <v>3.1828703703703702E-3</v>
      </c>
      <c r="D114" s="11">
        <f t="shared" si="40"/>
        <v>6.2624305555555567E-3</v>
      </c>
      <c r="E114" s="12">
        <v>0.58179999999999998</v>
      </c>
      <c r="F114" s="11">
        <f t="shared" si="41"/>
        <v>7.9571759259259255E-4</v>
      </c>
      <c r="G114" s="11">
        <f t="shared" si="42"/>
        <v>8.3499074074074085E-4</v>
      </c>
      <c r="H114" s="11">
        <f t="shared" si="43"/>
        <v>8.6111111111111121E-4</v>
      </c>
      <c r="I114" s="11">
        <f t="shared" si="44"/>
        <v>8.9783950617283953E-4</v>
      </c>
      <c r="J114" s="11">
        <f t="shared" si="45"/>
        <v>9.0759863123993567E-4</v>
      </c>
      <c r="K114" s="11">
        <f t="shared" si="46"/>
        <v>9.4885311447811464E-4</v>
      </c>
      <c r="L114" s="11">
        <f t="shared" si="47"/>
        <v>9.9403659611992969E-4</v>
      </c>
      <c r="M114" s="25">
        <f>WO2025Jan7men11915171923252931333539414345474955575963656769717375777913171921232729333539[[#This Row],[Thresh]]</f>
        <v>9.4885311447811464E-4</v>
      </c>
      <c r="N114" s="28">
        <f>WO2025Jan7men11915171923252931333539414345474955575963656769717375777913171921232729333539[[#This Row],[Thresh]]*2</f>
        <v>1.8977062289562293E-3</v>
      </c>
      <c r="O114" s="25">
        <f>WO2025Jan7men11915171923252931333539414345474955575963656769717375777913171921232729333539[[#This Row],[CV]]</f>
        <v>9.0759863123993567E-4</v>
      </c>
      <c r="P114" s="28">
        <f>WO2025Jan7men11915171923252931333539414345474955575963656769717375777913171921232729333539[[#This Row],[CV]]*2</f>
        <v>1.8151972624798713E-3</v>
      </c>
      <c r="Q114" s="25">
        <f>WO2025Jan7men11915171923252931333539414345474955575963656769717375777913171921232729333539[[#This Row],[I]]</f>
        <v>8.6111111111111121E-4</v>
      </c>
      <c r="R114" s="28">
        <f>WO2025Jan7men11915171923252931333539414345474955575963656769717375777913171921232729333539[[#This Row],[I]]*2</f>
        <v>1.7222222222222224E-3</v>
      </c>
      <c r="S114" s="25">
        <f>WO2025Jan7men11915171923252931333539414345474955575963656769717375777913171921232729333539[[#This Row],[VO2]]</f>
        <v>8.3499074074074085E-4</v>
      </c>
      <c r="T114" s="25"/>
      <c r="U114" s="28"/>
      <c r="V114" s="25"/>
      <c r="W114" s="15" t="s">
        <v>35</v>
      </c>
      <c r="X114" s="52"/>
    </row>
    <row r="115" spans="1:24" ht="20.45" customHeight="1">
      <c r="A115" s="1" t="s">
        <v>185</v>
      </c>
      <c r="B115" s="6"/>
      <c r="C115" s="6"/>
      <c r="D115" s="6"/>
      <c r="E115" s="20"/>
      <c r="F115" s="6"/>
      <c r="G115" s="6"/>
      <c r="H115" s="6"/>
      <c r="I115" s="6"/>
      <c r="J115" s="6"/>
      <c r="K115" s="6"/>
      <c r="L115" s="6"/>
      <c r="M115" s="6" t="s">
        <v>12</v>
      </c>
      <c r="N115" s="6" t="s">
        <v>155</v>
      </c>
      <c r="O115" s="6" t="s">
        <v>14</v>
      </c>
      <c r="P115" s="6" t="s">
        <v>156</v>
      </c>
      <c r="Q115" s="6" t="s">
        <v>17</v>
      </c>
      <c r="R115" s="6" t="s">
        <v>157</v>
      </c>
      <c r="S115" s="6" t="s">
        <v>158</v>
      </c>
      <c r="T115" s="6"/>
      <c r="U115" s="6"/>
      <c r="V115" s="23"/>
      <c r="W115" s="35"/>
      <c r="X115" s="52"/>
    </row>
    <row r="116" spans="1:24" ht="20.45" customHeight="1">
      <c r="A116" s="10" t="s">
        <v>113</v>
      </c>
      <c r="B116" s="11">
        <v>1.0763888888888891E-2</v>
      </c>
      <c r="C116" s="11">
        <v>3.2986111111111111E-3</v>
      </c>
      <c r="D116" s="11">
        <f>B116*E116</f>
        <v>6.2624305555555567E-3</v>
      </c>
      <c r="E116" s="12">
        <v>0.58179999999999998</v>
      </c>
      <c r="F116" s="11">
        <f>C116/4</f>
        <v>8.2465277777777778E-4</v>
      </c>
      <c r="G116" s="11">
        <f>D116/7.5</f>
        <v>8.3499074074074085E-4</v>
      </c>
      <c r="H116" s="11">
        <f>B116/12.5</f>
        <v>8.6111111111111121E-4</v>
      </c>
      <c r="I116" s="11">
        <f>G116/0.93</f>
        <v>8.9783950617283953E-4</v>
      </c>
      <c r="J116" s="11">
        <f>G116/0.92</f>
        <v>9.0759863123993567E-4</v>
      </c>
      <c r="K116" s="11">
        <f>G116/0.88</f>
        <v>9.4885311447811464E-4</v>
      </c>
      <c r="L116" s="11">
        <f>G116/0.84</f>
        <v>9.9403659611992969E-4</v>
      </c>
      <c r="M116" s="25">
        <f>WO2025Jan7men11915171923252931333539414345474955575963656769717375777913171921232729333539[[#This Row],[Thresh]]</f>
        <v>9.4885311447811464E-4</v>
      </c>
      <c r="N116" s="28">
        <f>WO2025Jan7men11915171923252931333539414345474955575963656769717375777913171921232729333539[[#This Row],[Thresh]]*2</f>
        <v>1.8977062289562293E-3</v>
      </c>
      <c r="O116" s="25">
        <f>WO2025Jan7men11915171923252931333539414345474955575963656769717375777913171921232729333539[[#This Row],[CV]]</f>
        <v>9.0759863123993567E-4</v>
      </c>
      <c r="P116" s="28">
        <f>WO2025Jan7men11915171923252931333539414345474955575963656769717375777913171921232729333539[[#This Row],[CV]]*2</f>
        <v>1.8151972624798713E-3</v>
      </c>
      <c r="Q116" s="25">
        <f>WO2025Jan7men11915171923252931333539414345474955575963656769717375777913171921232729333539[[#This Row],[I]]</f>
        <v>8.6111111111111121E-4</v>
      </c>
      <c r="R116" s="28">
        <f>WO2025Jan7men11915171923252931333539414345474955575963656769717375777913171921232729333539[[#This Row],[I]]*2</f>
        <v>1.7222222222222224E-3</v>
      </c>
      <c r="S116" s="25">
        <f>WO2025Jan7men11915171923252931333539414345474955575963656769717375777913171921232729333539[[#This Row],[VO2]]</f>
        <v>8.3499074074074085E-4</v>
      </c>
      <c r="T116" s="25"/>
      <c r="U116" s="28"/>
      <c r="V116" s="25"/>
      <c r="W116" s="15" t="s">
        <v>35</v>
      </c>
      <c r="X116" s="52"/>
    </row>
    <row r="117" spans="1:24" ht="20.45" customHeight="1">
      <c r="A117" s="10" t="s">
        <v>132</v>
      </c>
      <c r="B117" s="11">
        <v>1.0763888888888891E-2</v>
      </c>
      <c r="C117" s="11"/>
      <c r="D117" s="11">
        <f t="shared" si="40"/>
        <v>6.2624305555555567E-3</v>
      </c>
      <c r="E117" s="12">
        <v>0.58179999999999998</v>
      </c>
      <c r="F117" s="11">
        <f t="shared" si="41"/>
        <v>0</v>
      </c>
      <c r="G117" s="11">
        <f t="shared" si="42"/>
        <v>8.3499074074074085E-4</v>
      </c>
      <c r="H117" s="11">
        <f t="shared" si="43"/>
        <v>8.6111111111111121E-4</v>
      </c>
      <c r="I117" s="11">
        <f t="shared" si="44"/>
        <v>8.9783950617283953E-4</v>
      </c>
      <c r="J117" s="11">
        <f t="shared" si="45"/>
        <v>9.0759863123993567E-4</v>
      </c>
      <c r="K117" s="11">
        <f t="shared" si="46"/>
        <v>9.4885311447811464E-4</v>
      </c>
      <c r="L117" s="11">
        <f t="shared" si="47"/>
        <v>9.9403659611992969E-4</v>
      </c>
      <c r="M117" s="25">
        <f>WO2025Jan7men11915171923252931333539414345474955575963656769717375777913171921232729333539[[#This Row],[Thresh]]</f>
        <v>9.4885311447811464E-4</v>
      </c>
      <c r="N117" s="28">
        <f>WO2025Jan7men11915171923252931333539414345474955575963656769717375777913171921232729333539[[#This Row],[Thresh]]*2</f>
        <v>1.8977062289562293E-3</v>
      </c>
      <c r="O117" s="25">
        <f>WO2025Jan7men11915171923252931333539414345474955575963656769717375777913171921232729333539[[#This Row],[CV]]</f>
        <v>9.0759863123993567E-4</v>
      </c>
      <c r="P117" s="28">
        <f>WO2025Jan7men11915171923252931333539414345474955575963656769717375777913171921232729333539[[#This Row],[CV]]*2</f>
        <v>1.8151972624798713E-3</v>
      </c>
      <c r="Q117" s="25">
        <f>WO2025Jan7men11915171923252931333539414345474955575963656769717375777913171921232729333539[[#This Row],[I]]</f>
        <v>8.6111111111111121E-4</v>
      </c>
      <c r="R117" s="28">
        <f>WO2025Jan7men11915171923252931333539414345474955575963656769717375777913171921232729333539[[#This Row],[I]]*2</f>
        <v>1.7222222222222224E-3</v>
      </c>
      <c r="S117" s="25">
        <f>WO2025Jan7men11915171923252931333539414345474955575963656769717375777913171921232729333539[[#This Row],[VO2]]</f>
        <v>8.3499074074074085E-4</v>
      </c>
      <c r="T117" s="25"/>
      <c r="U117" s="28"/>
      <c r="V117" s="25"/>
      <c r="W117" s="27" t="s">
        <v>35</v>
      </c>
      <c r="X117" s="52"/>
    </row>
    <row r="118" spans="1:24" ht="20.45" customHeight="1">
      <c r="A118" s="10" t="s">
        <v>133</v>
      </c>
      <c r="B118" s="11">
        <v>1.0763888888888891E-2</v>
      </c>
      <c r="C118" s="11">
        <v>3.1250000000000002E-3</v>
      </c>
      <c r="D118" s="11">
        <f t="shared" si="40"/>
        <v>6.2624305555555567E-3</v>
      </c>
      <c r="E118" s="12">
        <v>0.58179999999999998</v>
      </c>
      <c r="F118" s="11">
        <f t="shared" si="41"/>
        <v>7.8125000000000004E-4</v>
      </c>
      <c r="G118" s="11">
        <f t="shared" si="42"/>
        <v>8.3499074074074085E-4</v>
      </c>
      <c r="H118" s="11">
        <f t="shared" si="43"/>
        <v>8.6111111111111121E-4</v>
      </c>
      <c r="I118" s="11">
        <f t="shared" si="44"/>
        <v>8.9783950617283953E-4</v>
      </c>
      <c r="J118" s="11">
        <f t="shared" si="45"/>
        <v>9.0759863123993567E-4</v>
      </c>
      <c r="K118" s="11">
        <f t="shared" si="46"/>
        <v>9.4885311447811464E-4</v>
      </c>
      <c r="L118" s="11">
        <f t="shared" si="47"/>
        <v>9.9403659611992969E-4</v>
      </c>
      <c r="M118" s="25">
        <f>WO2025Jan7men11915171923252931333539414345474955575963656769717375777913171921232729333539[[#This Row],[Thresh]]</f>
        <v>9.4885311447811464E-4</v>
      </c>
      <c r="N118" s="28">
        <f>WO2025Jan7men11915171923252931333539414345474955575963656769717375777913171921232729333539[[#This Row],[Thresh]]*2</f>
        <v>1.8977062289562293E-3</v>
      </c>
      <c r="O118" s="25">
        <f>WO2025Jan7men11915171923252931333539414345474955575963656769717375777913171921232729333539[[#This Row],[CV]]</f>
        <v>9.0759863123993567E-4</v>
      </c>
      <c r="P118" s="28">
        <f>WO2025Jan7men11915171923252931333539414345474955575963656769717375777913171921232729333539[[#This Row],[CV]]*2</f>
        <v>1.8151972624798713E-3</v>
      </c>
      <c r="Q118" s="25">
        <f>WO2025Jan7men11915171923252931333539414345474955575963656769717375777913171921232729333539[[#This Row],[I]]</f>
        <v>8.6111111111111121E-4</v>
      </c>
      <c r="R118" s="28">
        <f>WO2025Jan7men11915171923252931333539414345474955575963656769717375777913171921232729333539[[#This Row],[I]]*2</f>
        <v>1.7222222222222224E-3</v>
      </c>
      <c r="S118" s="25">
        <f>WO2025Jan7men11915171923252931333539414345474955575963656769717375777913171921232729333539[[#This Row],[VO2]]</f>
        <v>8.3499074074074085E-4</v>
      </c>
      <c r="T118" s="25"/>
      <c r="U118" s="28"/>
      <c r="V118" s="25"/>
      <c r="W118" s="15" t="s">
        <v>35</v>
      </c>
      <c r="X118" s="50"/>
    </row>
    <row r="119" spans="1:24" ht="20.45" customHeight="1">
      <c r="A119" s="10" t="s">
        <v>114</v>
      </c>
      <c r="B119" s="11">
        <v>1.0763888888888891E-2</v>
      </c>
      <c r="C119" s="11">
        <v>3.0671296296296297E-3</v>
      </c>
      <c r="D119" s="11">
        <f>B119*E119</f>
        <v>6.2624305555555567E-3</v>
      </c>
      <c r="E119" s="12">
        <v>0.58179999999999998</v>
      </c>
      <c r="F119" s="11">
        <f>C119/4</f>
        <v>7.6678240740740743E-4</v>
      </c>
      <c r="G119" s="11">
        <f>D119/7.5</f>
        <v>8.3499074074074085E-4</v>
      </c>
      <c r="H119" s="11">
        <f>B119/12.5</f>
        <v>8.6111111111111121E-4</v>
      </c>
      <c r="I119" s="11">
        <f>G119/0.93</f>
        <v>8.9783950617283953E-4</v>
      </c>
      <c r="J119" s="11">
        <f>G119/0.92</f>
        <v>9.0759863123993567E-4</v>
      </c>
      <c r="K119" s="11">
        <f>G119/0.88</f>
        <v>9.4885311447811464E-4</v>
      </c>
      <c r="L119" s="11">
        <f>G119/0.84</f>
        <v>9.9403659611992969E-4</v>
      </c>
      <c r="M119" s="25">
        <f>WO2025Jan7men11915171923252931333539414345474955575963656769717375777913171921232729333539[[#This Row],[Thresh]]</f>
        <v>9.4885311447811464E-4</v>
      </c>
      <c r="N119" s="28">
        <f>WO2025Jan7men11915171923252931333539414345474955575963656769717375777913171921232729333539[[#This Row],[Thresh]]*2</f>
        <v>1.8977062289562293E-3</v>
      </c>
      <c r="O119" s="25">
        <f>WO2025Jan7men11915171923252931333539414345474955575963656769717375777913171921232729333539[[#This Row],[CV]]</f>
        <v>9.0759863123993567E-4</v>
      </c>
      <c r="P119" s="28">
        <f>WO2025Jan7men11915171923252931333539414345474955575963656769717375777913171921232729333539[[#This Row],[CV]]*2</f>
        <v>1.8151972624798713E-3</v>
      </c>
      <c r="Q119" s="25">
        <f>WO2025Jan7men11915171923252931333539414345474955575963656769717375777913171921232729333539[[#This Row],[I]]</f>
        <v>8.6111111111111121E-4</v>
      </c>
      <c r="R119" s="28">
        <f>WO2025Jan7men11915171923252931333539414345474955575963656769717375777913171921232729333539[[#This Row],[I]]*2</f>
        <v>1.7222222222222224E-3</v>
      </c>
      <c r="S119" s="25">
        <f>WO2025Jan7men11915171923252931333539414345474955575963656769717375777913171921232729333539[[#This Row],[VO2]]</f>
        <v>8.3499074074074085E-4</v>
      </c>
      <c r="T119" s="25"/>
      <c r="U119" s="28"/>
      <c r="V119" s="25"/>
      <c r="W119" s="15" t="s">
        <v>35</v>
      </c>
      <c r="X119" s="50"/>
    </row>
    <row r="120" spans="1:24" ht="20.45" customHeight="1">
      <c r="A120" s="10" t="s">
        <v>134</v>
      </c>
      <c r="B120" s="11">
        <v>1.1631944444444445E-2</v>
      </c>
      <c r="C120" s="11"/>
      <c r="D120" s="11">
        <f>B120*E120</f>
        <v>6.7674652777777776E-3</v>
      </c>
      <c r="E120" s="12">
        <v>0.58179999999999998</v>
      </c>
      <c r="F120" s="11">
        <f>C120/4</f>
        <v>0</v>
      </c>
      <c r="G120" s="11">
        <f>D120/7.5</f>
        <v>9.0232870370370369E-4</v>
      </c>
      <c r="H120" s="11">
        <f>B120/12.5</f>
        <v>9.3055555555555556E-4</v>
      </c>
      <c r="I120" s="11">
        <f>G120/0.93</f>
        <v>9.7024591796097167E-4</v>
      </c>
      <c r="J120" s="11">
        <f>G120/0.92</f>
        <v>9.8079206924315621E-4</v>
      </c>
      <c r="K120" s="11">
        <f>G120/0.88</f>
        <v>1.0253735269360269E-3</v>
      </c>
      <c r="L120" s="11">
        <f>G120/0.84</f>
        <v>1.0742008377425045E-3</v>
      </c>
      <c r="M120" s="25">
        <f>WO2025Jan7men11915171923252931333539414345474955575963656769717375777913171921232729333539[[#This Row],[Thresh]]</f>
        <v>1.0253735269360269E-3</v>
      </c>
      <c r="N120" s="28">
        <f>WO2025Jan7men11915171923252931333539414345474955575963656769717375777913171921232729333539[[#This Row],[Thresh]]*2</f>
        <v>2.0507470538720539E-3</v>
      </c>
      <c r="O120" s="25">
        <f>WO2025Jan7men11915171923252931333539414345474955575963656769717375777913171921232729333539[[#This Row],[CV]]</f>
        <v>9.8079206924315621E-4</v>
      </c>
      <c r="P120" s="28">
        <f>WO2025Jan7men11915171923252931333539414345474955575963656769717375777913171921232729333539[[#This Row],[CV]]*2</f>
        <v>1.9615841384863124E-3</v>
      </c>
      <c r="Q120" s="25">
        <f>WO2025Jan7men11915171923252931333539414345474955575963656769717375777913171921232729333539[[#This Row],[I]]</f>
        <v>9.3055555555555556E-4</v>
      </c>
      <c r="R120" s="28">
        <f>WO2025Jan7men11915171923252931333539414345474955575963656769717375777913171921232729333539[[#This Row],[I]]*2</f>
        <v>1.8611111111111111E-3</v>
      </c>
      <c r="S120" s="25">
        <f>WO2025Jan7men11915171923252931333539414345474955575963656769717375777913171921232729333539[[#This Row],[VO2]]</f>
        <v>9.0232870370370369E-4</v>
      </c>
      <c r="T120" s="25"/>
      <c r="U120" s="28"/>
      <c r="V120" s="25"/>
      <c r="W120" s="27" t="s">
        <v>35</v>
      </c>
      <c r="X120" s="50"/>
    </row>
    <row r="121" spans="1:24" ht="20.45" customHeight="1">
      <c r="A121" s="10" t="s">
        <v>135</v>
      </c>
      <c r="B121" s="11">
        <v>1.1631944444444445E-2</v>
      </c>
      <c r="C121" s="11">
        <v>3.414351851851852E-3</v>
      </c>
      <c r="D121" s="11">
        <f>B121*E121</f>
        <v>6.7674652777777776E-3</v>
      </c>
      <c r="E121" s="12">
        <v>0.58179999999999998</v>
      </c>
      <c r="F121" s="11">
        <f>C121/4</f>
        <v>8.53587962962963E-4</v>
      </c>
      <c r="G121" s="11">
        <f>D121/7.5</f>
        <v>9.0232870370370369E-4</v>
      </c>
      <c r="H121" s="11">
        <f>B121/12.5</f>
        <v>9.3055555555555556E-4</v>
      </c>
      <c r="I121" s="11">
        <f>G121/0.93</f>
        <v>9.7024591796097167E-4</v>
      </c>
      <c r="J121" s="11">
        <f>G121/0.92</f>
        <v>9.8079206924315621E-4</v>
      </c>
      <c r="K121" s="11">
        <f>G121/0.88</f>
        <v>1.0253735269360269E-3</v>
      </c>
      <c r="L121" s="17">
        <f>G121/0.84</f>
        <v>1.0742008377425045E-3</v>
      </c>
      <c r="M121" s="25">
        <f>WO2025Jan7men11915171923252931333539414345474955575963656769717375777913171921232729333539[[#This Row],[Thresh]]</f>
        <v>1.0253735269360269E-3</v>
      </c>
      <c r="N121" s="28">
        <f>WO2025Jan7men11915171923252931333539414345474955575963656769717375777913171921232729333539[[#This Row],[Thresh]]*2</f>
        <v>2.0507470538720539E-3</v>
      </c>
      <c r="O121" s="25">
        <f>WO2025Jan7men11915171923252931333539414345474955575963656769717375777913171921232729333539[[#This Row],[CV]]</f>
        <v>9.8079206924315621E-4</v>
      </c>
      <c r="P121" s="28">
        <f>WO2025Jan7men11915171923252931333539414345474955575963656769717375777913171921232729333539[[#This Row],[CV]]*2</f>
        <v>1.9615841384863124E-3</v>
      </c>
      <c r="Q121" s="25">
        <f>WO2025Jan7men11915171923252931333539414345474955575963656769717375777913171921232729333539[[#This Row],[I]]</f>
        <v>9.3055555555555556E-4</v>
      </c>
      <c r="R121" s="28">
        <f>WO2025Jan7men11915171923252931333539414345474955575963656769717375777913171921232729333539[[#This Row],[I]]*2</f>
        <v>1.8611111111111111E-3</v>
      </c>
      <c r="S121" s="25">
        <f>WO2025Jan7men11915171923252931333539414345474955575963656769717375777913171921232729333539[[#This Row],[VO2]]</f>
        <v>9.0232870370370369E-4</v>
      </c>
      <c r="T121" s="25"/>
      <c r="U121" s="28"/>
      <c r="V121" s="25"/>
      <c r="W121" s="15" t="s">
        <v>35</v>
      </c>
      <c r="X121" s="50"/>
    </row>
    <row r="122" spans="1:24" ht="20.45" customHeight="1">
      <c r="A122" s="10"/>
      <c r="B122" s="11"/>
      <c r="C122" s="11"/>
      <c r="D122" s="11"/>
      <c r="E122" s="12"/>
      <c r="F122" s="11"/>
      <c r="G122" s="11"/>
      <c r="H122" s="11"/>
      <c r="I122" s="11"/>
      <c r="J122" s="11"/>
      <c r="K122" s="11"/>
      <c r="L122" s="11"/>
      <c r="M122" s="25"/>
      <c r="N122" s="28"/>
      <c r="O122" s="25"/>
      <c r="P122" s="28"/>
      <c r="Q122" s="25"/>
      <c r="R122" s="28"/>
      <c r="S122" s="25"/>
      <c r="T122" s="28"/>
      <c r="U122" s="28"/>
      <c r="V122" s="25"/>
      <c r="W122" s="15"/>
      <c r="X122" s="50"/>
    </row>
    <row r="123" spans="1:24" ht="20.45" customHeight="1">
      <c r="A123" s="19"/>
      <c r="B123" s="6"/>
      <c r="C123" s="6"/>
      <c r="D123" s="6"/>
      <c r="E123" s="20"/>
      <c r="F123" s="6"/>
      <c r="G123" s="6"/>
      <c r="H123" s="6"/>
      <c r="I123" s="6"/>
      <c r="J123" s="6"/>
      <c r="K123" s="6"/>
      <c r="L123" s="6"/>
      <c r="M123" s="6"/>
      <c r="N123" s="6"/>
      <c r="O123" s="6"/>
      <c r="P123" s="6"/>
      <c r="Q123" s="6"/>
      <c r="R123" s="6"/>
      <c r="S123" s="6"/>
      <c r="T123" s="6"/>
      <c r="U123" s="6"/>
      <c r="V123" s="23"/>
      <c r="W123" s="35"/>
      <c r="X123" s="50"/>
    </row>
    <row r="124" spans="1:24" ht="20.45" customHeight="1">
      <c r="A124" s="10" t="s">
        <v>107</v>
      </c>
      <c r="B124" s="11">
        <v>1.1111111111111112E-2</v>
      </c>
      <c r="C124" s="11">
        <v>3.2407407407407406E-3</v>
      </c>
      <c r="D124" s="11">
        <f t="shared" ref="D124:D127" si="48">B124*E124</f>
        <v>6.4644444444444445E-3</v>
      </c>
      <c r="E124" s="12">
        <v>0.58179999999999998</v>
      </c>
      <c r="F124" s="11">
        <f t="shared" ref="F124:F127" si="49">C124/4</f>
        <v>8.1018518518518516E-4</v>
      </c>
      <c r="G124" s="11">
        <f t="shared" ref="G124:G127" si="50">D124/7.5</f>
        <v>8.6192592592592592E-4</v>
      </c>
      <c r="H124" s="11">
        <f t="shared" ref="H124:H127" si="51">B124/12.5</f>
        <v>8.8888888888888893E-4</v>
      </c>
      <c r="I124" s="11">
        <f t="shared" ref="I124:I127" si="52">G124/0.93</f>
        <v>9.2680207088809239E-4</v>
      </c>
      <c r="J124" s="11">
        <f t="shared" ref="J124:J127" si="53">G124/0.92</f>
        <v>9.3687600644122375E-4</v>
      </c>
      <c r="K124" s="11">
        <f t="shared" ref="K124:K127" si="54">G124/0.88</f>
        <v>9.7946127946127947E-4</v>
      </c>
      <c r="L124" s="11">
        <f t="shared" ref="L124:L127" si="55">G124/0.84</f>
        <v>1.0261022927689596E-3</v>
      </c>
      <c r="M124" s="25"/>
      <c r="N124" s="28"/>
      <c r="O124" s="25"/>
      <c r="P124" s="25"/>
      <c r="Q124" s="25"/>
      <c r="R124" s="28"/>
      <c r="S124" s="25"/>
      <c r="T124" s="25"/>
      <c r="U124" s="28"/>
      <c r="V124" s="28"/>
      <c r="W124" s="15" t="s">
        <v>52</v>
      </c>
      <c r="X124" s="50"/>
    </row>
    <row r="125" spans="1:24" ht="20.45" customHeight="1">
      <c r="A125" s="10" t="s">
        <v>164</v>
      </c>
      <c r="B125" s="11">
        <v>1.1342592592592593E-2</v>
      </c>
      <c r="C125" s="11">
        <v>3.2407407407407406E-3</v>
      </c>
      <c r="D125" s="11">
        <f t="shared" si="48"/>
        <v>6.5991203703703706E-3</v>
      </c>
      <c r="E125" s="12">
        <v>0.58179999999999998</v>
      </c>
      <c r="F125" s="11">
        <f t="shared" si="49"/>
        <v>8.1018518518518516E-4</v>
      </c>
      <c r="G125" s="11">
        <f t="shared" si="50"/>
        <v>8.7988271604938278E-4</v>
      </c>
      <c r="H125" s="11">
        <f t="shared" si="51"/>
        <v>9.0740740740740745E-4</v>
      </c>
      <c r="I125" s="11">
        <f t="shared" si="52"/>
        <v>9.4611044736492766E-4</v>
      </c>
      <c r="J125" s="11">
        <f t="shared" si="53"/>
        <v>9.5639425657541603E-4</v>
      </c>
      <c r="K125" s="11">
        <f t="shared" si="54"/>
        <v>9.9986672278338943E-4</v>
      </c>
      <c r="L125" s="11">
        <f t="shared" si="55"/>
        <v>1.0474794238683129E-3</v>
      </c>
      <c r="M125" s="25"/>
      <c r="N125" s="28"/>
      <c r="O125" s="25"/>
      <c r="P125" s="28"/>
      <c r="Q125" s="28"/>
      <c r="R125" s="11"/>
      <c r="S125" s="14"/>
      <c r="T125" s="14"/>
      <c r="U125" s="26"/>
      <c r="V125" s="28"/>
      <c r="W125" s="27" t="s">
        <v>52</v>
      </c>
      <c r="X125" s="50"/>
    </row>
    <row r="126" spans="1:24" ht="20.45" customHeight="1">
      <c r="A126" s="10" t="s">
        <v>108</v>
      </c>
      <c r="B126" s="11">
        <v>1.0763888888888891E-2</v>
      </c>
      <c r="C126" s="11">
        <v>3.0671296296296297E-3</v>
      </c>
      <c r="D126" s="11">
        <f t="shared" si="48"/>
        <v>6.2624305555555567E-3</v>
      </c>
      <c r="E126" s="12">
        <v>0.58179999999999998</v>
      </c>
      <c r="F126" s="11">
        <f t="shared" si="49"/>
        <v>7.6678240740740743E-4</v>
      </c>
      <c r="G126" s="11">
        <f t="shared" si="50"/>
        <v>8.3499074074074085E-4</v>
      </c>
      <c r="H126" s="11">
        <f t="shared" si="51"/>
        <v>8.6111111111111121E-4</v>
      </c>
      <c r="I126" s="11">
        <f t="shared" si="52"/>
        <v>8.9783950617283953E-4</v>
      </c>
      <c r="J126" s="11">
        <f t="shared" si="53"/>
        <v>9.0759863123993567E-4</v>
      </c>
      <c r="K126" s="11">
        <f t="shared" si="54"/>
        <v>9.4885311447811464E-4</v>
      </c>
      <c r="L126" s="11">
        <f t="shared" si="55"/>
        <v>9.9403659611992969E-4</v>
      </c>
      <c r="M126" s="25"/>
      <c r="N126" s="28"/>
      <c r="O126" s="25"/>
      <c r="P126" s="28"/>
      <c r="Q126" s="25"/>
      <c r="R126" s="28"/>
      <c r="S126" s="25"/>
      <c r="T126" s="25"/>
      <c r="U126" s="28"/>
      <c r="V126" s="28"/>
      <c r="W126" s="15" t="s">
        <v>52</v>
      </c>
      <c r="X126" s="50"/>
    </row>
    <row r="127" spans="1:24" ht="20.45" customHeight="1">
      <c r="A127" s="10" t="s">
        <v>105</v>
      </c>
      <c r="B127" s="11">
        <v>1.0648148148148148E-2</v>
      </c>
      <c r="C127" s="11">
        <v>2.9745370370370373E-3</v>
      </c>
      <c r="D127" s="11">
        <f t="shared" si="48"/>
        <v>6.1950925925925923E-3</v>
      </c>
      <c r="E127" s="12">
        <v>0.58179999999999998</v>
      </c>
      <c r="F127" s="11">
        <f t="shared" si="49"/>
        <v>7.4363425925925931E-4</v>
      </c>
      <c r="G127" s="11">
        <f t="shared" si="50"/>
        <v>8.2601234567901232E-4</v>
      </c>
      <c r="H127" s="11">
        <f t="shared" si="51"/>
        <v>8.5185185185185179E-4</v>
      </c>
      <c r="I127" s="11">
        <f t="shared" si="52"/>
        <v>8.8818531793442184E-4</v>
      </c>
      <c r="J127" s="11">
        <f t="shared" si="53"/>
        <v>8.9783950617283942E-4</v>
      </c>
      <c r="K127" s="11">
        <f t="shared" si="54"/>
        <v>9.3865039281705945E-4</v>
      </c>
      <c r="L127" s="11">
        <f t="shared" si="55"/>
        <v>9.833480305702527E-4</v>
      </c>
      <c r="M127" s="37"/>
      <c r="N127" s="28"/>
      <c r="O127" s="25"/>
      <c r="P127" s="25"/>
      <c r="Q127" s="25"/>
      <c r="R127" s="25"/>
      <c r="S127" s="25"/>
      <c r="T127" s="25"/>
      <c r="U127" s="28"/>
      <c r="V127" s="25"/>
      <c r="W127" s="15" t="s">
        <v>52</v>
      </c>
      <c r="X127" s="50"/>
    </row>
    <row r="128" spans="1:24" ht="20.45" customHeight="1">
      <c r="A128" s="10"/>
      <c r="B128" s="11"/>
      <c r="C128" s="11"/>
      <c r="D128" s="11"/>
      <c r="E128" s="12"/>
      <c r="F128" s="11"/>
      <c r="G128" s="11"/>
      <c r="H128" s="11"/>
      <c r="I128" s="11"/>
      <c r="J128" s="11"/>
      <c r="K128" s="11"/>
      <c r="L128" s="11"/>
      <c r="M128" s="25"/>
      <c r="N128" s="28"/>
      <c r="O128" s="25"/>
      <c r="P128" s="25"/>
      <c r="Q128" s="25"/>
      <c r="R128" s="25"/>
      <c r="S128" s="25"/>
      <c r="T128" s="25"/>
      <c r="U128" s="28"/>
      <c r="V128" s="25"/>
      <c r="W128" s="15"/>
      <c r="X128" s="50"/>
    </row>
    <row r="129" spans="1:24" ht="20.45" customHeight="1">
      <c r="A129" s="10"/>
      <c r="B129" s="11"/>
      <c r="C129" s="11"/>
      <c r="D129" s="11"/>
      <c r="E129" s="12"/>
      <c r="F129" s="11"/>
      <c r="G129" s="11"/>
      <c r="H129" s="11"/>
      <c r="I129" s="11"/>
      <c r="J129" s="11"/>
      <c r="K129" s="11"/>
      <c r="L129" s="11"/>
      <c r="M129" s="25"/>
      <c r="N129" s="28"/>
      <c r="O129" s="25"/>
      <c r="P129" s="25"/>
      <c r="Q129" s="25"/>
      <c r="R129" s="25"/>
      <c r="S129" s="25"/>
      <c r="T129" s="25"/>
      <c r="U129" s="25"/>
      <c r="V129" s="25"/>
      <c r="W129" s="27"/>
      <c r="X129" s="50"/>
    </row>
    <row r="130" spans="1:24" ht="20.45" customHeight="1">
      <c r="A130" s="10"/>
      <c r="B130" s="11"/>
      <c r="C130" s="11"/>
      <c r="D130" s="11"/>
      <c r="E130" s="12"/>
      <c r="F130" s="11"/>
      <c r="G130" s="11"/>
      <c r="H130" s="11"/>
      <c r="I130" s="11"/>
      <c r="J130" s="11"/>
      <c r="K130" s="11"/>
      <c r="L130" s="11"/>
      <c r="M130" s="25"/>
      <c r="N130" s="28"/>
      <c r="O130" s="25"/>
      <c r="P130" s="28"/>
      <c r="Q130" s="25"/>
      <c r="R130" s="28"/>
      <c r="S130" s="25"/>
      <c r="T130" s="25"/>
      <c r="U130" s="28"/>
      <c r="V130" s="28"/>
      <c r="W130" s="27"/>
      <c r="X130" s="50"/>
    </row>
    <row r="131" spans="1:24" ht="20.45" customHeight="1">
      <c r="A131" s="10"/>
      <c r="B131" s="11"/>
      <c r="C131" s="11"/>
      <c r="D131" s="11"/>
      <c r="E131" s="12"/>
      <c r="F131" s="11"/>
      <c r="G131" s="11"/>
      <c r="H131" s="11"/>
      <c r="I131" s="11"/>
      <c r="J131" s="11"/>
      <c r="K131" s="11"/>
      <c r="L131" s="17"/>
      <c r="M131" s="25"/>
      <c r="N131" s="28"/>
      <c r="O131" s="25"/>
      <c r="P131" s="25"/>
      <c r="Q131" s="25"/>
      <c r="R131" s="25"/>
      <c r="S131" s="25"/>
      <c r="T131" s="25"/>
      <c r="U131" s="28"/>
      <c r="V131" s="25"/>
      <c r="W131" s="15"/>
      <c r="X131" s="50"/>
    </row>
    <row r="132" spans="1:24" ht="20.45" customHeight="1">
      <c r="A132" s="10"/>
      <c r="B132" s="11"/>
      <c r="C132" s="11"/>
      <c r="D132" s="11"/>
      <c r="E132" s="12"/>
      <c r="F132" s="11"/>
      <c r="G132" s="11"/>
      <c r="H132" s="11"/>
      <c r="I132" s="11"/>
      <c r="J132" s="11"/>
      <c r="K132" s="11"/>
      <c r="L132" s="11"/>
      <c r="M132" s="25"/>
      <c r="N132" s="28"/>
      <c r="O132" s="25"/>
      <c r="P132" s="25"/>
      <c r="Q132" s="25"/>
      <c r="R132" s="25"/>
      <c r="S132" s="25"/>
      <c r="T132" s="25"/>
      <c r="U132" s="28"/>
      <c r="V132" s="25"/>
      <c r="W132" s="15"/>
      <c r="X132" s="50"/>
    </row>
    <row r="133" spans="1:24" ht="20.45" customHeight="1">
      <c r="A133" s="10"/>
      <c r="B133" s="11"/>
      <c r="C133" s="11"/>
      <c r="D133" s="11"/>
      <c r="E133" s="12"/>
      <c r="F133" s="11"/>
      <c r="G133" s="11"/>
      <c r="H133" s="11"/>
      <c r="I133" s="11"/>
      <c r="J133" s="11"/>
      <c r="K133" s="11"/>
      <c r="L133" s="11"/>
      <c r="M133" s="25"/>
      <c r="N133" s="28"/>
      <c r="O133" s="25"/>
      <c r="P133" s="25"/>
      <c r="Q133" s="28"/>
      <c r="R133" s="28"/>
      <c r="S133" s="25"/>
      <c r="T133" s="25"/>
      <c r="U133" s="28"/>
      <c r="V133" s="25"/>
      <c r="W133" s="15"/>
      <c r="X133" s="50"/>
    </row>
    <row r="134" spans="1:24" ht="20.45" customHeight="1">
      <c r="A134" s="10"/>
      <c r="B134" s="11"/>
      <c r="C134" s="11"/>
      <c r="D134" s="11"/>
      <c r="E134" s="12"/>
      <c r="F134" s="11"/>
      <c r="G134" s="11"/>
      <c r="H134" s="11"/>
      <c r="I134" s="11"/>
      <c r="J134" s="11"/>
      <c r="K134" s="11"/>
      <c r="L134" s="17"/>
      <c r="M134" s="25"/>
      <c r="N134" s="28"/>
      <c r="O134" s="25"/>
      <c r="P134" s="25"/>
      <c r="Q134" s="25"/>
      <c r="R134" s="25"/>
      <c r="S134" s="25"/>
      <c r="T134" s="25"/>
      <c r="U134" s="28"/>
      <c r="V134" s="25"/>
      <c r="W134" s="15"/>
      <c r="X134" s="50"/>
    </row>
    <row r="135" spans="1:24" ht="20.45" customHeight="1">
      <c r="A135" s="10"/>
      <c r="B135" s="11"/>
      <c r="C135" s="11"/>
      <c r="D135" s="11"/>
      <c r="E135" s="12"/>
      <c r="F135" s="11"/>
      <c r="G135" s="11"/>
      <c r="H135" s="11"/>
      <c r="I135" s="11"/>
      <c r="J135" s="11"/>
      <c r="K135" s="11"/>
      <c r="L135" s="11"/>
      <c r="M135" s="25"/>
      <c r="N135" s="28"/>
      <c r="O135" s="25"/>
      <c r="P135" s="25"/>
      <c r="Q135" s="25"/>
      <c r="R135" s="28"/>
      <c r="S135" s="25"/>
      <c r="T135" s="25"/>
      <c r="U135" s="28"/>
      <c r="V135" s="25"/>
      <c r="W135" s="15"/>
      <c r="X135" s="50"/>
    </row>
    <row r="136" spans="1:24" ht="20.45" customHeight="1">
      <c r="A136" s="10"/>
      <c r="B136" s="11"/>
      <c r="C136" s="11"/>
      <c r="D136" s="11"/>
      <c r="E136" s="12"/>
      <c r="F136" s="11"/>
      <c r="G136" s="11"/>
      <c r="H136" s="11"/>
      <c r="I136" s="11"/>
      <c r="J136" s="11"/>
      <c r="K136" s="11"/>
      <c r="L136" s="17"/>
      <c r="M136" s="25"/>
      <c r="N136" s="28"/>
      <c r="O136" s="25"/>
      <c r="P136" s="25"/>
      <c r="Q136" s="25"/>
      <c r="R136" s="28"/>
      <c r="S136" s="25"/>
      <c r="T136" s="25"/>
      <c r="U136" s="28"/>
      <c r="V136" s="25"/>
      <c r="W136" s="15"/>
      <c r="X136" s="50"/>
    </row>
    <row r="137" spans="1:24" ht="20.45" customHeight="1">
      <c r="A137" s="10"/>
      <c r="B137" s="11"/>
      <c r="C137" s="11"/>
      <c r="D137" s="11"/>
      <c r="E137" s="12"/>
      <c r="F137" s="11"/>
      <c r="G137" s="11"/>
      <c r="H137" s="11"/>
      <c r="I137" s="11"/>
      <c r="J137" s="11"/>
      <c r="K137" s="11"/>
      <c r="L137" s="11"/>
      <c r="M137" s="25"/>
      <c r="N137" s="28"/>
      <c r="O137" s="25"/>
      <c r="P137" s="25"/>
      <c r="Q137" s="28"/>
      <c r="R137" s="28"/>
      <c r="S137" s="25"/>
      <c r="T137" s="25"/>
      <c r="U137" s="28"/>
      <c r="V137" s="25"/>
      <c r="W137" s="15"/>
      <c r="X137" s="50"/>
    </row>
    <row r="138" spans="1:24" ht="20.45" customHeight="1">
      <c r="A138" s="10"/>
      <c r="B138" s="11"/>
      <c r="C138" s="11"/>
      <c r="D138" s="11"/>
      <c r="E138" s="12"/>
      <c r="F138" s="11"/>
      <c r="G138" s="11"/>
      <c r="H138" s="11"/>
      <c r="I138" s="11"/>
      <c r="J138" s="11"/>
      <c r="K138" s="11"/>
      <c r="L138" s="11"/>
      <c r="M138" s="25"/>
      <c r="N138" s="28"/>
      <c r="O138" s="25"/>
      <c r="P138" s="28"/>
      <c r="Q138" s="25"/>
      <c r="R138" s="28"/>
      <c r="S138" s="25"/>
      <c r="T138" s="28"/>
      <c r="U138" s="28"/>
      <c r="V138" s="25"/>
      <c r="W138" s="15"/>
      <c r="X138" s="51"/>
    </row>
    <row r="139" spans="1:24" ht="20.45" customHeight="1">
      <c r="A139" s="10"/>
      <c r="B139" s="11"/>
      <c r="C139" s="11"/>
      <c r="D139" s="11"/>
      <c r="E139" s="12"/>
      <c r="F139" s="11"/>
      <c r="G139" s="11"/>
      <c r="H139" s="11"/>
      <c r="I139" s="11"/>
      <c r="J139" s="11"/>
      <c r="K139" s="11"/>
      <c r="L139" s="11"/>
      <c r="M139" s="25"/>
      <c r="N139" s="28"/>
      <c r="O139" s="25"/>
      <c r="P139" s="25"/>
      <c r="Q139" s="25"/>
      <c r="R139" s="25"/>
      <c r="S139" s="25"/>
      <c r="T139" s="25"/>
      <c r="U139" s="28"/>
      <c r="V139" s="25"/>
      <c r="W139" s="15"/>
      <c r="X139" s="51"/>
    </row>
    <row r="140" spans="1:24" ht="20.45" customHeight="1">
      <c r="A140" s="10"/>
      <c r="B140" s="11"/>
      <c r="C140" s="11"/>
      <c r="D140" s="11"/>
      <c r="E140" s="12"/>
      <c r="F140" s="11"/>
      <c r="G140" s="11"/>
      <c r="H140" s="11"/>
      <c r="I140" s="11"/>
      <c r="J140" s="11"/>
      <c r="K140" s="11"/>
      <c r="L140" s="17"/>
      <c r="M140" s="25"/>
      <c r="N140" s="28"/>
      <c r="O140" s="25"/>
      <c r="P140" s="28"/>
      <c r="Q140" s="25"/>
      <c r="R140" s="28"/>
      <c r="S140" s="25"/>
      <c r="T140" s="25"/>
      <c r="U140" s="28"/>
      <c r="V140" s="28"/>
      <c r="W140" s="27"/>
      <c r="X140" s="51"/>
    </row>
    <row r="141" spans="1:24" ht="20.45" customHeight="1">
      <c r="A141" s="10"/>
      <c r="B141" s="11"/>
      <c r="C141" s="11"/>
      <c r="D141" s="11"/>
      <c r="E141" s="12"/>
      <c r="F141" s="11"/>
      <c r="G141" s="11"/>
      <c r="H141" s="11"/>
      <c r="I141" s="11"/>
      <c r="J141" s="11"/>
      <c r="K141" s="11"/>
      <c r="L141" s="11"/>
      <c r="M141" s="11"/>
      <c r="N141" s="26"/>
      <c r="P141" s="26"/>
      <c r="Q141" s="26"/>
      <c r="R141" s="26"/>
      <c r="S141" s="14"/>
      <c r="T141" s="14"/>
      <c r="U141" s="26"/>
      <c r="V141" s="28"/>
      <c r="W141" s="27"/>
      <c r="X141" s="51"/>
    </row>
    <row r="142" spans="1:24" ht="20.100000000000001" customHeight="1">
      <c r="A142" s="10"/>
      <c r="B142" s="11"/>
      <c r="C142" s="11"/>
      <c r="D142" s="11">
        <f>B142*E142</f>
        <v>0</v>
      </c>
      <c r="E142" s="12"/>
      <c r="F142" s="11">
        <f>C142/4</f>
        <v>0</v>
      </c>
      <c r="G142" s="11">
        <f>D142/7.5</f>
        <v>0</v>
      </c>
      <c r="H142" s="11">
        <f>B142/12.5</f>
        <v>0</v>
      </c>
      <c r="I142" s="11">
        <f>G142/0.93</f>
        <v>0</v>
      </c>
      <c r="J142" s="11">
        <f>G142/0.92</f>
        <v>0</v>
      </c>
      <c r="K142" s="11">
        <f>G142/0.88</f>
        <v>0</v>
      </c>
      <c r="L142" s="17">
        <f>G142/0.84</f>
        <v>0</v>
      </c>
      <c r="M142" s="11"/>
      <c r="N142" s="26"/>
      <c r="P142" s="26"/>
      <c r="Q142" s="26"/>
      <c r="R142" s="26"/>
      <c r="S142" s="14"/>
      <c r="T142" s="14"/>
      <c r="U142" s="26"/>
      <c r="V142" s="38"/>
      <c r="W142" s="31"/>
      <c r="X142" s="51"/>
    </row>
    <row r="143" spans="1:24" ht="20.100000000000001" customHeight="1">
      <c r="A143" s="10"/>
      <c r="B143" s="11"/>
      <c r="C143" s="11"/>
      <c r="D143" s="11">
        <f>B143*E143</f>
        <v>0</v>
      </c>
      <c r="E143" s="12"/>
      <c r="F143" s="11">
        <f>C143/4</f>
        <v>0</v>
      </c>
      <c r="G143" s="11">
        <f>D143/7.5</f>
        <v>0</v>
      </c>
      <c r="H143" s="11">
        <f>B143/12.5</f>
        <v>0</v>
      </c>
      <c r="I143" s="11">
        <f>G143/0.93</f>
        <v>0</v>
      </c>
      <c r="J143" s="11">
        <f>G143/0.92</f>
        <v>0</v>
      </c>
      <c r="K143" s="11">
        <f>G143/0.88</f>
        <v>0</v>
      </c>
      <c r="L143" s="17">
        <f>G143/0.84</f>
        <v>0</v>
      </c>
      <c r="M143" s="11"/>
      <c r="N143" s="26"/>
      <c r="P143" s="26"/>
      <c r="Q143" s="26"/>
      <c r="R143" s="26"/>
      <c r="S143" s="14"/>
      <c r="T143" s="14"/>
      <c r="U143" s="26"/>
      <c r="V143" s="38"/>
      <c r="W143" s="31"/>
      <c r="X143" s="51"/>
    </row>
    <row r="144" spans="1:24" ht="20.100000000000001" customHeight="1">
      <c r="A144" s="10"/>
      <c r="B144" s="11"/>
      <c r="C144" s="11"/>
      <c r="D144" s="11">
        <f>B144*E144</f>
        <v>0</v>
      </c>
      <c r="E144" s="12"/>
      <c r="F144" s="11">
        <f>C144/4</f>
        <v>0</v>
      </c>
      <c r="G144" s="11">
        <f>D144/7.5</f>
        <v>0</v>
      </c>
      <c r="H144" s="11">
        <f>B144/12.5</f>
        <v>0</v>
      </c>
      <c r="I144" s="11">
        <f>G144/0.93</f>
        <v>0</v>
      </c>
      <c r="J144" s="11">
        <f>G144/0.92</f>
        <v>0</v>
      </c>
      <c r="K144" s="11">
        <f>G144/0.88</f>
        <v>0</v>
      </c>
      <c r="L144" s="17">
        <f>G144/0.84</f>
        <v>0</v>
      </c>
      <c r="M144" s="11"/>
      <c r="N144" s="26"/>
      <c r="P144" s="26"/>
      <c r="Q144" s="26"/>
      <c r="R144" s="26"/>
      <c r="S144" s="14"/>
      <c r="T144" s="14"/>
      <c r="U144" s="26"/>
      <c r="V144" s="38"/>
      <c r="W144" s="31"/>
      <c r="X144" s="51"/>
    </row>
  </sheetData>
  <mergeCells count="15">
    <mergeCell ref="X51:X57"/>
    <mergeCell ref="X1:X10"/>
    <mergeCell ref="X11:X20"/>
    <mergeCell ref="X21:X30"/>
    <mergeCell ref="X31:X40"/>
    <mergeCell ref="X41:X50"/>
    <mergeCell ref="X118:X127"/>
    <mergeCell ref="X128:X137"/>
    <mergeCell ref="X138:X144"/>
    <mergeCell ref="X58:X67"/>
    <mergeCell ref="X68:X77"/>
    <mergeCell ref="X78:X87"/>
    <mergeCell ref="X88:X97"/>
    <mergeCell ref="X98:X107"/>
    <mergeCell ref="X108:X117"/>
  </mergeCells>
  <pageMargins left="0.25" right="0.25" top="0.25" bottom="0.25" header="0" footer="0"/>
  <pageSetup scale="95" fitToHeight="0" orientation="landscape" r:id="rId1"/>
  <tableParts count="2">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997F4-BB6C-4B71-8DFD-8EA6E361335D}">
  <sheetPr>
    <pageSetUpPr fitToPage="1"/>
  </sheetPr>
  <dimension ref="A1:Z144"/>
  <sheetViews>
    <sheetView topLeftCell="A51" zoomScale="70" zoomScaleNormal="70" workbookViewId="0">
      <selection activeCell="N59" sqref="N59"/>
    </sheetView>
  </sheetViews>
  <sheetFormatPr defaultColWidth="8.7109375" defaultRowHeight="14.45"/>
  <cols>
    <col min="1" max="1" width="19.5703125" customWidth="1"/>
    <col min="2" max="2" width="8.7109375" style="29" hidden="1" customWidth="1"/>
    <col min="3" max="3" width="10.140625" hidden="1" customWidth="1"/>
    <col min="4" max="4" width="8.7109375" style="29" hidden="1" customWidth="1"/>
    <col min="5" max="5" width="9.28515625" hidden="1" customWidth="1"/>
    <col min="6" max="6" width="8.7109375" hidden="1" customWidth="1"/>
    <col min="7" max="7" width="9.28515625" hidden="1" customWidth="1"/>
    <col min="8" max="9" width="8.7109375" hidden="1" customWidth="1"/>
    <col min="10" max="10" width="10.7109375" hidden="1" customWidth="1"/>
    <col min="11" max="11" width="11.42578125" hidden="1" customWidth="1"/>
    <col min="12" max="12" width="6.140625" hidden="1" customWidth="1"/>
    <col min="13" max="13" width="8.7109375" customWidth="1"/>
    <col min="14" max="19" width="10.140625" customWidth="1"/>
    <col min="20" max="22" width="8.7109375" customWidth="1"/>
    <col min="23" max="23" width="3.42578125" customWidth="1"/>
    <col min="24" max="24" width="20.42578125" customWidth="1"/>
    <col min="25" max="25" width="12.28515625" bestFit="1" customWidth="1"/>
    <col min="26" max="27" width="12.85546875" bestFit="1" customWidth="1"/>
  </cols>
  <sheetData>
    <row r="1" spans="1:26" ht="14.45" customHeight="1">
      <c r="A1" s="1" t="s">
        <v>194</v>
      </c>
      <c r="B1" s="2" t="s">
        <v>1</v>
      </c>
      <c r="C1" s="2" t="s">
        <v>2</v>
      </c>
      <c r="D1" s="2" t="s">
        <v>3</v>
      </c>
      <c r="E1" s="3" t="s">
        <v>4</v>
      </c>
      <c r="F1" s="2" t="s">
        <v>5</v>
      </c>
      <c r="G1" s="2" t="s">
        <v>6</v>
      </c>
      <c r="H1" s="2" t="s">
        <v>7</v>
      </c>
      <c r="I1" s="4" t="s">
        <v>8</v>
      </c>
      <c r="J1" s="2" t="s">
        <v>9</v>
      </c>
      <c r="K1" s="2" t="s">
        <v>10</v>
      </c>
      <c r="L1" s="2" t="s">
        <v>11</v>
      </c>
      <c r="M1" s="6" t="s">
        <v>12</v>
      </c>
      <c r="N1" s="6" t="s">
        <v>155</v>
      </c>
      <c r="O1" s="7" t="s">
        <v>14</v>
      </c>
      <c r="P1" s="8" t="s">
        <v>156</v>
      </c>
      <c r="Q1" s="8" t="s">
        <v>158</v>
      </c>
      <c r="R1" s="7" t="s">
        <v>148</v>
      </c>
      <c r="S1" s="7" t="s">
        <v>149</v>
      </c>
      <c r="T1" s="7" t="s">
        <v>77</v>
      </c>
      <c r="U1" s="7" t="s">
        <v>20</v>
      </c>
      <c r="V1" s="7" t="s">
        <v>21</v>
      </c>
      <c r="W1" s="9" t="s">
        <v>22</v>
      </c>
      <c r="X1" s="52" t="s">
        <v>195</v>
      </c>
    </row>
    <row r="2" spans="1:26" ht="21" customHeight="1">
      <c r="A2" s="10" t="s">
        <v>34</v>
      </c>
      <c r="B2" s="11">
        <v>1.1979166666666667E-2</v>
      </c>
      <c r="C2" s="11">
        <v>3.472222222222222E-3</v>
      </c>
      <c r="D2" s="11">
        <f t="shared" ref="D2:D11" si="0">B2*E2</f>
        <v>6.9694791666666672E-3</v>
      </c>
      <c r="E2" s="12">
        <v>0.58179999999999998</v>
      </c>
      <c r="F2" s="11">
        <f t="shared" ref="F2:F11" si="1">C2/4</f>
        <v>8.6805555555555551E-4</v>
      </c>
      <c r="G2" s="11">
        <f t="shared" ref="G2:G11" si="2">D2/7.5</f>
        <v>9.2926388888888898E-4</v>
      </c>
      <c r="H2" s="11">
        <f t="shared" ref="H2:H11" si="3">B2/12.5</f>
        <v>9.5833333333333339E-4</v>
      </c>
      <c r="I2" s="11">
        <f t="shared" ref="I2:I11" si="4">G2/0.93</f>
        <v>9.9920848267622464E-4</v>
      </c>
      <c r="J2" s="11">
        <f t="shared" ref="J2:J11" si="5">G2/0.92</f>
        <v>1.0100694444444445E-3</v>
      </c>
      <c r="K2" s="11">
        <f t="shared" ref="K2:K11" si="6">G2/0.88</f>
        <v>1.055981691919192E-3</v>
      </c>
      <c r="L2" s="11">
        <f t="shared" ref="L2:L11" si="7">G2/0.84</f>
        <v>1.1062665343915346E-3</v>
      </c>
      <c r="M2" s="25">
        <f>WO2025Jan710814161822242830323438404244464854565862646668707274766812161820222628323440[[#This Row],[Thresh]]</f>
        <v>1.055981691919192E-3</v>
      </c>
      <c r="N2" s="28">
        <f>WO2025Jan710814161822242830323438404244464854565862646668707274766812161820222628323440[[#This Row],[Thresh]]*2</f>
        <v>2.1119633838383839E-3</v>
      </c>
      <c r="O2" s="25">
        <f>WO2025Jan710814161822242830323438404244464854565862646668707274766812161820222628323440[[#This Row],[CV]]</f>
        <v>1.0100694444444445E-3</v>
      </c>
      <c r="P2" s="28">
        <f>WO2025Jan710814161822242830323438404244464854565862646668707274766812161820222628323440[[#This Row],[CV]]*2</f>
        <v>2.020138888888889E-3</v>
      </c>
      <c r="Q2" s="25">
        <f>WO2025Jan710814161822242830323438404244464854565862646668707274766812161820222628323440[[#This Row],[VO2]]</f>
        <v>9.2926388888888898E-4</v>
      </c>
      <c r="R2" s="25"/>
      <c r="S2" s="25"/>
      <c r="T2" s="28"/>
      <c r="U2" s="11"/>
      <c r="V2" s="36"/>
      <c r="W2" s="15" t="s">
        <v>26</v>
      </c>
      <c r="X2" s="52"/>
    </row>
    <row r="3" spans="1:26" ht="21" customHeight="1">
      <c r="A3" s="10" t="s">
        <v>24</v>
      </c>
      <c r="B3" s="11">
        <v>1.1979166666666667E-2</v>
      </c>
      <c r="C3" s="11">
        <v>3.5300925925925925E-3</v>
      </c>
      <c r="D3" s="11">
        <f t="shared" si="0"/>
        <v>6.9694791666666672E-3</v>
      </c>
      <c r="E3" s="12">
        <v>0.58179999999999998</v>
      </c>
      <c r="F3" s="11">
        <f t="shared" si="1"/>
        <v>8.8252314814814812E-4</v>
      </c>
      <c r="G3" s="11">
        <f t="shared" si="2"/>
        <v>9.2926388888888898E-4</v>
      </c>
      <c r="H3" s="11">
        <f t="shared" si="3"/>
        <v>9.5833333333333339E-4</v>
      </c>
      <c r="I3" s="11">
        <f t="shared" si="4"/>
        <v>9.9920848267622464E-4</v>
      </c>
      <c r="J3" s="11">
        <f t="shared" si="5"/>
        <v>1.0100694444444445E-3</v>
      </c>
      <c r="K3" s="11">
        <f t="shared" si="6"/>
        <v>1.055981691919192E-3</v>
      </c>
      <c r="L3" s="11">
        <f t="shared" si="7"/>
        <v>1.1062665343915346E-3</v>
      </c>
      <c r="M3" s="25">
        <f>WO2025Jan710814161822242830323438404244464854565862646668707274766812161820222628323440[[#This Row],[Thresh]]</f>
        <v>1.055981691919192E-3</v>
      </c>
      <c r="N3" s="28">
        <f>WO2025Jan710814161822242830323438404244464854565862646668707274766812161820222628323440[[#This Row],[Thresh]]*2</f>
        <v>2.1119633838383839E-3</v>
      </c>
      <c r="O3" s="25">
        <f>WO2025Jan710814161822242830323438404244464854565862646668707274766812161820222628323440[[#This Row],[CV]]</f>
        <v>1.0100694444444445E-3</v>
      </c>
      <c r="P3" s="28">
        <f>WO2025Jan710814161822242830323438404244464854565862646668707274766812161820222628323440[[#This Row],[CV]]*2</f>
        <v>2.020138888888889E-3</v>
      </c>
      <c r="Q3" s="25">
        <f>WO2025Jan710814161822242830323438404244464854565862646668707274766812161820222628323440[[#This Row],[VO2]]</f>
        <v>9.2926388888888898E-4</v>
      </c>
      <c r="R3" s="25"/>
      <c r="S3" s="25"/>
      <c r="T3" s="28"/>
      <c r="U3" s="11"/>
      <c r="V3" s="36"/>
      <c r="W3" s="15" t="s">
        <v>35</v>
      </c>
      <c r="X3" s="52"/>
      <c r="Z3" s="16"/>
    </row>
    <row r="4" spans="1:26" ht="21" customHeight="1">
      <c r="A4" s="10" t="s">
        <v>60</v>
      </c>
      <c r="B4" s="11">
        <v>1.2268518518518519E-2</v>
      </c>
      <c r="C4" s="11">
        <v>3.6458333333333334E-3</v>
      </c>
      <c r="D4" s="11">
        <f t="shared" si="0"/>
        <v>7.1378240740740742E-3</v>
      </c>
      <c r="E4" s="12">
        <v>0.58179999999999998</v>
      </c>
      <c r="F4" s="11">
        <f t="shared" si="1"/>
        <v>9.1145833333333335E-4</v>
      </c>
      <c r="G4" s="11">
        <f t="shared" si="2"/>
        <v>9.5170987654320989E-4</v>
      </c>
      <c r="H4" s="11">
        <f t="shared" si="3"/>
        <v>9.8148148148148161E-4</v>
      </c>
      <c r="I4" s="11">
        <f t="shared" si="4"/>
        <v>1.0233439532722685E-3</v>
      </c>
      <c r="J4" s="11">
        <f t="shared" si="5"/>
        <v>1.0344672571121847E-3</v>
      </c>
      <c r="K4" s="11">
        <f t="shared" si="6"/>
        <v>1.0814884960718295E-3</v>
      </c>
      <c r="L4" s="11">
        <f t="shared" si="7"/>
        <v>1.1329879482657262E-3</v>
      </c>
      <c r="M4" s="25">
        <f>WO2025Jan710814161822242830323438404244464854565862646668707274766812161820222628323440[[#This Row],[Thresh]]</f>
        <v>1.0814884960718295E-3</v>
      </c>
      <c r="N4" s="28">
        <f>WO2025Jan710814161822242830323438404244464854565862646668707274766812161820222628323440[[#This Row],[Thresh]]*2</f>
        <v>2.1629769921436589E-3</v>
      </c>
      <c r="O4" s="25">
        <f>WO2025Jan710814161822242830323438404244464854565862646668707274766812161820222628323440[[#This Row],[CV]]</f>
        <v>1.0344672571121847E-3</v>
      </c>
      <c r="P4" s="28">
        <f>WO2025Jan710814161822242830323438404244464854565862646668707274766812161820222628323440[[#This Row],[CV]]*2</f>
        <v>2.0689345142243694E-3</v>
      </c>
      <c r="Q4" s="25">
        <f>WO2025Jan710814161822242830323438404244464854565862646668707274766812161820222628323440[[#This Row],[VO2]]</f>
        <v>9.5170987654320989E-4</v>
      </c>
      <c r="R4" s="25"/>
      <c r="S4" s="25"/>
      <c r="T4" s="28"/>
      <c r="U4" s="11"/>
      <c r="V4" s="36"/>
      <c r="W4" s="15" t="s">
        <v>26</v>
      </c>
      <c r="X4" s="52"/>
    </row>
    <row r="5" spans="1:26" ht="21" customHeight="1">
      <c r="A5" s="10" t="s">
        <v>27</v>
      </c>
      <c r="B5" s="11">
        <v>1.2268518518518519E-2</v>
      </c>
      <c r="C5" s="11">
        <v>3.6458333333333334E-3</v>
      </c>
      <c r="D5" s="11">
        <f>B5*E5</f>
        <v>7.1378240740740742E-3</v>
      </c>
      <c r="E5" s="12">
        <v>0.58179999999999998</v>
      </c>
      <c r="F5" s="11">
        <f>C5/4</f>
        <v>9.1145833333333335E-4</v>
      </c>
      <c r="G5" s="11">
        <f>D5/7.5</f>
        <v>9.5170987654320989E-4</v>
      </c>
      <c r="H5" s="11">
        <f>B5/12.5</f>
        <v>9.8148148148148161E-4</v>
      </c>
      <c r="I5" s="11">
        <f>G5/0.93</f>
        <v>1.0233439532722685E-3</v>
      </c>
      <c r="J5" s="11">
        <f>G5/0.92</f>
        <v>1.0344672571121847E-3</v>
      </c>
      <c r="K5" s="11">
        <f>G5/0.88</f>
        <v>1.0814884960718295E-3</v>
      </c>
      <c r="L5" s="11">
        <f>G5/0.84</f>
        <v>1.1329879482657262E-3</v>
      </c>
      <c r="M5" s="25">
        <f>WO2025Jan710814161822242830323438404244464854565862646668707274766812161820222628323440[[#This Row],[Thresh]]</f>
        <v>1.0814884960718295E-3</v>
      </c>
      <c r="N5" s="28">
        <f>WO2025Jan710814161822242830323438404244464854565862646668707274766812161820222628323440[[#This Row],[Thresh]]*2</f>
        <v>2.1629769921436589E-3</v>
      </c>
      <c r="O5" s="25">
        <f>WO2025Jan710814161822242830323438404244464854565862646668707274766812161820222628323440[[#This Row],[CV]]</f>
        <v>1.0344672571121847E-3</v>
      </c>
      <c r="P5" s="28">
        <f>WO2025Jan710814161822242830323438404244464854565862646668707274766812161820222628323440[[#This Row],[CV]]*2</f>
        <v>2.0689345142243694E-3</v>
      </c>
      <c r="Q5" s="25">
        <f>WO2025Jan710814161822242830323438404244464854565862646668707274766812161820222628323440[[#This Row],[VO2]]</f>
        <v>9.5170987654320989E-4</v>
      </c>
      <c r="R5" s="25"/>
      <c r="S5" s="25"/>
      <c r="T5" s="28"/>
      <c r="U5" s="11"/>
      <c r="V5" s="36"/>
      <c r="W5" s="15" t="s">
        <v>26</v>
      </c>
      <c r="X5" s="52"/>
    </row>
    <row r="6" spans="1:26" ht="21" customHeight="1">
      <c r="A6" s="10" t="s">
        <v>38</v>
      </c>
      <c r="B6" s="11">
        <v>1.238425925925926E-2</v>
      </c>
      <c r="C6" s="11">
        <v>3.5300925925925925E-3</v>
      </c>
      <c r="D6" s="11">
        <f t="shared" si="0"/>
        <v>7.2051620370370368E-3</v>
      </c>
      <c r="E6" s="12">
        <v>0.58179999999999998</v>
      </c>
      <c r="F6" s="11">
        <f t="shared" si="1"/>
        <v>8.8252314814814812E-4</v>
      </c>
      <c r="G6" s="11">
        <f t="shared" si="2"/>
        <v>9.6068827160493821E-4</v>
      </c>
      <c r="H6" s="11">
        <f t="shared" si="3"/>
        <v>9.9074074074074082E-4</v>
      </c>
      <c r="I6" s="11">
        <f t="shared" si="4"/>
        <v>1.0329981415106862E-3</v>
      </c>
      <c r="J6" s="11">
        <f t="shared" si="5"/>
        <v>1.0442263821792807E-3</v>
      </c>
      <c r="K6" s="11">
        <f t="shared" si="6"/>
        <v>1.0916912177328843E-3</v>
      </c>
      <c r="L6" s="11">
        <f t="shared" si="7"/>
        <v>1.1436765138154027E-3</v>
      </c>
      <c r="M6" s="25">
        <f>WO2025Jan710814161822242830323438404244464854565862646668707274766812161820222628323440[[#This Row],[Thresh]]</f>
        <v>1.0916912177328843E-3</v>
      </c>
      <c r="N6" s="28">
        <f>WO2025Jan710814161822242830323438404244464854565862646668707274766812161820222628323440[[#This Row],[Thresh]]*2</f>
        <v>2.1833824354657687E-3</v>
      </c>
      <c r="O6" s="25">
        <f>WO2025Jan710814161822242830323438404244464854565862646668707274766812161820222628323440[[#This Row],[CV]]</f>
        <v>1.0442263821792807E-3</v>
      </c>
      <c r="P6" s="28">
        <f>WO2025Jan710814161822242830323438404244464854565862646668707274766812161820222628323440[[#This Row],[CV]]*2</f>
        <v>2.0884527643585614E-3</v>
      </c>
      <c r="Q6" s="25">
        <f>WO2025Jan710814161822242830323438404244464854565862646668707274766812161820222628323440[[#This Row],[VO2]]</f>
        <v>9.6068827160493821E-4</v>
      </c>
      <c r="R6" s="25"/>
      <c r="S6" s="25"/>
      <c r="T6" s="28"/>
      <c r="U6" s="11"/>
      <c r="V6" s="36"/>
      <c r="W6" s="15" t="s">
        <v>26</v>
      </c>
      <c r="X6" s="52"/>
    </row>
    <row r="7" spans="1:26" ht="21" customHeight="1">
      <c r="A7" s="10" t="s">
        <v>31</v>
      </c>
      <c r="B7" s="11">
        <v>1.238425925925926E-2</v>
      </c>
      <c r="C7" s="11">
        <v>3.7037037037037038E-3</v>
      </c>
      <c r="D7" s="11">
        <f t="shared" si="0"/>
        <v>7.2051620370370368E-3</v>
      </c>
      <c r="E7" s="12">
        <v>0.58179999999999998</v>
      </c>
      <c r="F7" s="11">
        <f t="shared" si="1"/>
        <v>9.2592592592592596E-4</v>
      </c>
      <c r="G7" s="11">
        <f t="shared" si="2"/>
        <v>9.6068827160493821E-4</v>
      </c>
      <c r="H7" s="11">
        <f t="shared" si="3"/>
        <v>9.9074074074074082E-4</v>
      </c>
      <c r="I7" s="11">
        <f t="shared" si="4"/>
        <v>1.0329981415106862E-3</v>
      </c>
      <c r="J7" s="11">
        <f t="shared" si="5"/>
        <v>1.0442263821792807E-3</v>
      </c>
      <c r="K7" s="11">
        <f t="shared" si="6"/>
        <v>1.0916912177328843E-3</v>
      </c>
      <c r="L7" s="11">
        <f t="shared" si="7"/>
        <v>1.1436765138154027E-3</v>
      </c>
      <c r="M7" s="25">
        <f>WO2025Jan710814161822242830323438404244464854565862646668707274766812161820222628323440[[#This Row],[Thresh]]</f>
        <v>1.0916912177328843E-3</v>
      </c>
      <c r="N7" s="28">
        <f>WO2025Jan710814161822242830323438404244464854565862646668707274766812161820222628323440[[#This Row],[Thresh]]*2</f>
        <v>2.1833824354657687E-3</v>
      </c>
      <c r="O7" s="25">
        <f>WO2025Jan710814161822242830323438404244464854565862646668707274766812161820222628323440[[#This Row],[CV]]</f>
        <v>1.0442263821792807E-3</v>
      </c>
      <c r="P7" s="28">
        <f>WO2025Jan710814161822242830323438404244464854565862646668707274766812161820222628323440[[#This Row],[CV]]*2</f>
        <v>2.0884527643585614E-3</v>
      </c>
      <c r="Q7" s="25">
        <f>WO2025Jan710814161822242830323438404244464854565862646668707274766812161820222628323440[[#This Row],[VO2]]</f>
        <v>9.6068827160493821E-4</v>
      </c>
      <c r="R7" s="25"/>
      <c r="S7" s="25"/>
      <c r="T7" s="28"/>
      <c r="U7" s="11"/>
      <c r="V7" s="36"/>
      <c r="W7" s="15" t="s">
        <v>26</v>
      </c>
      <c r="X7" s="52"/>
    </row>
    <row r="8" spans="1:26" ht="21" customHeight="1">
      <c r="A8" s="10" t="s">
        <v>28</v>
      </c>
      <c r="B8" s="11">
        <v>1.238425925925926E-2</v>
      </c>
      <c r="C8" s="11">
        <v>3.7037037037037038E-3</v>
      </c>
      <c r="D8" s="11">
        <f>B8*E8</f>
        <v>7.2051620370370368E-3</v>
      </c>
      <c r="E8" s="12">
        <v>0.58179999999999998</v>
      </c>
      <c r="F8" s="11">
        <f>C8/4</f>
        <v>9.2592592592592596E-4</v>
      </c>
      <c r="G8" s="11">
        <f>D8/7.5</f>
        <v>9.6068827160493821E-4</v>
      </c>
      <c r="H8" s="11">
        <f>B8/12.5</f>
        <v>9.9074074074074082E-4</v>
      </c>
      <c r="I8" s="11">
        <f>G8/0.93</f>
        <v>1.0329981415106862E-3</v>
      </c>
      <c r="J8" s="11">
        <f>G8/0.92</f>
        <v>1.0442263821792807E-3</v>
      </c>
      <c r="K8" s="11">
        <f>G8/0.88</f>
        <v>1.0916912177328843E-3</v>
      </c>
      <c r="L8" s="11">
        <f>G8/0.84</f>
        <v>1.1436765138154027E-3</v>
      </c>
      <c r="M8" s="25">
        <f>WO2025Jan710814161822242830323438404244464854565862646668707274766812161820222628323440[[#This Row],[Thresh]]</f>
        <v>1.0916912177328843E-3</v>
      </c>
      <c r="N8" s="28">
        <f>WO2025Jan710814161822242830323438404244464854565862646668707274766812161820222628323440[[#This Row],[Thresh]]*2</f>
        <v>2.1833824354657687E-3</v>
      </c>
      <c r="O8" s="25">
        <f>WO2025Jan710814161822242830323438404244464854565862646668707274766812161820222628323440[[#This Row],[CV]]</f>
        <v>1.0442263821792807E-3</v>
      </c>
      <c r="P8" s="28">
        <f>WO2025Jan710814161822242830323438404244464854565862646668707274766812161820222628323440[[#This Row],[CV]]*2</f>
        <v>2.0884527643585614E-3</v>
      </c>
      <c r="Q8" s="25">
        <f>WO2025Jan710814161822242830323438404244464854565862646668707274766812161820222628323440[[#This Row],[VO2]]</f>
        <v>9.6068827160493821E-4</v>
      </c>
      <c r="R8" s="25"/>
      <c r="S8" s="25"/>
      <c r="T8" s="28"/>
      <c r="U8" s="11"/>
      <c r="V8" s="36"/>
      <c r="W8" s="15" t="s">
        <v>26</v>
      </c>
      <c r="X8" s="52"/>
    </row>
    <row r="9" spans="1:26" ht="21" customHeight="1">
      <c r="A9" s="10" t="s">
        <v>62</v>
      </c>
      <c r="B9" s="11">
        <v>1.238425925925926E-2</v>
      </c>
      <c r="C9" s="11">
        <v>3.6458333333333334E-3</v>
      </c>
      <c r="D9" s="11">
        <f>B9*E9</f>
        <v>7.2051620370370368E-3</v>
      </c>
      <c r="E9" s="12">
        <v>0.58179999999999998</v>
      </c>
      <c r="F9" s="11">
        <f>C9/4</f>
        <v>9.1145833333333335E-4</v>
      </c>
      <c r="G9" s="11">
        <f>D9/7.5</f>
        <v>9.6068827160493821E-4</v>
      </c>
      <c r="H9" s="11">
        <f>B9/12.5</f>
        <v>9.9074074074074082E-4</v>
      </c>
      <c r="I9" s="11">
        <f>G9/0.93</f>
        <v>1.0329981415106862E-3</v>
      </c>
      <c r="J9" s="11">
        <f>G9/0.92</f>
        <v>1.0442263821792807E-3</v>
      </c>
      <c r="K9" s="11">
        <f>G9/0.88</f>
        <v>1.0916912177328843E-3</v>
      </c>
      <c r="L9" s="11">
        <f>G9/0.84</f>
        <v>1.1436765138154027E-3</v>
      </c>
      <c r="M9" s="25">
        <f>WO2025Jan710814161822242830323438404244464854565862646668707274766812161820222628323440[[#This Row],[Thresh]]</f>
        <v>1.0916912177328843E-3</v>
      </c>
      <c r="N9" s="28">
        <f>WO2025Jan710814161822242830323438404244464854565862646668707274766812161820222628323440[[#This Row],[Thresh]]*2</f>
        <v>2.1833824354657687E-3</v>
      </c>
      <c r="O9" s="25">
        <f>WO2025Jan710814161822242830323438404244464854565862646668707274766812161820222628323440[[#This Row],[CV]]</f>
        <v>1.0442263821792807E-3</v>
      </c>
      <c r="P9" s="28">
        <f>WO2025Jan710814161822242830323438404244464854565862646668707274766812161820222628323440[[#This Row],[CV]]*2</f>
        <v>2.0884527643585614E-3</v>
      </c>
      <c r="Q9" s="25">
        <f>WO2025Jan710814161822242830323438404244464854565862646668707274766812161820222628323440[[#This Row],[VO2]]</f>
        <v>9.6068827160493821E-4</v>
      </c>
      <c r="R9" s="25"/>
      <c r="S9" s="25"/>
      <c r="T9" s="28"/>
      <c r="U9" s="11"/>
      <c r="V9" s="36"/>
      <c r="W9" s="18" t="s">
        <v>26</v>
      </c>
      <c r="X9" s="52"/>
    </row>
    <row r="10" spans="1:26" ht="21" customHeight="1">
      <c r="A10" s="10" t="s">
        <v>59</v>
      </c>
      <c r="B10" s="11">
        <v>1.2500000000000001E-2</v>
      </c>
      <c r="C10" s="11">
        <v>3.7037037037037038E-3</v>
      </c>
      <c r="D10" s="11">
        <f t="shared" si="0"/>
        <v>7.2725000000000003E-3</v>
      </c>
      <c r="E10" s="12">
        <v>0.58179999999999998</v>
      </c>
      <c r="F10" s="11">
        <f t="shared" si="1"/>
        <v>9.2592592592592596E-4</v>
      </c>
      <c r="G10" s="11">
        <f t="shared" si="2"/>
        <v>9.6966666666666675E-4</v>
      </c>
      <c r="H10" s="11">
        <f t="shared" si="3"/>
        <v>1E-3</v>
      </c>
      <c r="I10" s="11">
        <f t="shared" si="4"/>
        <v>1.0426523297491039E-3</v>
      </c>
      <c r="J10" s="11">
        <f t="shared" si="5"/>
        <v>1.0539855072463768E-3</v>
      </c>
      <c r="K10" s="11">
        <f t="shared" si="6"/>
        <v>1.1018939393939394E-3</v>
      </c>
      <c r="L10" s="17">
        <f t="shared" si="7"/>
        <v>1.1543650793650795E-3</v>
      </c>
      <c r="M10" s="25">
        <f>WO2025Jan710814161822242830323438404244464854565862646668707274766812161820222628323440[[#This Row],[Thresh]]</f>
        <v>1.1018939393939394E-3</v>
      </c>
      <c r="N10" s="28">
        <f>WO2025Jan710814161822242830323438404244464854565862646668707274766812161820222628323440[[#This Row],[Thresh]]*2</f>
        <v>2.2037878787878789E-3</v>
      </c>
      <c r="O10" s="25">
        <f>WO2025Jan710814161822242830323438404244464854565862646668707274766812161820222628323440[[#This Row],[CV]]</f>
        <v>1.0539855072463768E-3</v>
      </c>
      <c r="P10" s="28">
        <f>WO2025Jan710814161822242830323438404244464854565862646668707274766812161820222628323440[[#This Row],[CV]]*2</f>
        <v>2.1079710144927535E-3</v>
      </c>
      <c r="Q10" s="25">
        <f>WO2025Jan710814161822242830323438404244464854565862646668707274766812161820222628323440[[#This Row],[VO2]]</f>
        <v>9.6966666666666675E-4</v>
      </c>
      <c r="R10" s="25"/>
      <c r="S10" s="25"/>
      <c r="T10" s="28"/>
      <c r="U10" s="11"/>
      <c r="V10" s="36"/>
      <c r="W10" s="15" t="s">
        <v>26</v>
      </c>
      <c r="X10" s="52"/>
    </row>
    <row r="11" spans="1:26" ht="21" customHeight="1">
      <c r="A11" s="10" t="s">
        <v>55</v>
      </c>
      <c r="B11" s="11">
        <v>1.2500000000000001E-2</v>
      </c>
      <c r="C11" s="11">
        <v>3.5879629629629629E-3</v>
      </c>
      <c r="D11" s="11">
        <f t="shared" si="0"/>
        <v>7.2725000000000003E-3</v>
      </c>
      <c r="E11" s="12">
        <v>0.58179999999999998</v>
      </c>
      <c r="F11" s="11">
        <f t="shared" si="1"/>
        <v>8.9699074074074073E-4</v>
      </c>
      <c r="G11" s="11">
        <f t="shared" si="2"/>
        <v>9.6966666666666675E-4</v>
      </c>
      <c r="H11" s="11">
        <f t="shared" si="3"/>
        <v>1E-3</v>
      </c>
      <c r="I11" s="11">
        <f t="shared" si="4"/>
        <v>1.0426523297491039E-3</v>
      </c>
      <c r="J11" s="11">
        <f t="shared" si="5"/>
        <v>1.0539855072463768E-3</v>
      </c>
      <c r="K11" s="11">
        <f t="shared" si="6"/>
        <v>1.1018939393939394E-3</v>
      </c>
      <c r="L11" s="11">
        <f t="shared" si="7"/>
        <v>1.1543650793650795E-3</v>
      </c>
      <c r="M11" s="25">
        <f>WO2025Jan710814161822242830323438404244464854565862646668707274766812161820222628323440[[#This Row],[Thresh]]</f>
        <v>1.1018939393939394E-3</v>
      </c>
      <c r="N11" s="28">
        <f>WO2025Jan710814161822242830323438404244464854565862646668707274766812161820222628323440[[#This Row],[Thresh]]*2</f>
        <v>2.2037878787878789E-3</v>
      </c>
      <c r="O11" s="25">
        <f>WO2025Jan710814161822242830323438404244464854565862646668707274766812161820222628323440[[#This Row],[CV]]</f>
        <v>1.0539855072463768E-3</v>
      </c>
      <c r="P11" s="28">
        <f>WO2025Jan710814161822242830323438404244464854565862646668707274766812161820222628323440[[#This Row],[CV]]*2</f>
        <v>2.1079710144927535E-3</v>
      </c>
      <c r="Q11" s="25">
        <f>WO2025Jan710814161822242830323438404244464854565862646668707274766812161820222628323440[[#This Row],[VO2]]</f>
        <v>9.6966666666666675E-4</v>
      </c>
      <c r="R11" s="25"/>
      <c r="S11" s="25"/>
      <c r="T11" s="28"/>
      <c r="U11" s="11"/>
      <c r="V11" s="36"/>
      <c r="W11" s="18" t="s">
        <v>26</v>
      </c>
      <c r="X11" s="52" t="s">
        <v>196</v>
      </c>
    </row>
    <row r="12" spans="1:26" ht="21" customHeight="1">
      <c r="A12" s="10" t="s">
        <v>29</v>
      </c>
      <c r="B12" s="11">
        <v>1.2500000000000001E-2</v>
      </c>
      <c r="C12" s="11">
        <v>3.8194444444444443E-3</v>
      </c>
      <c r="D12" s="11">
        <f>B12*E12</f>
        <v>7.2725000000000003E-3</v>
      </c>
      <c r="E12" s="12">
        <v>0.58179999999999998</v>
      </c>
      <c r="F12" s="11">
        <f>C12/4</f>
        <v>9.5486111111111108E-4</v>
      </c>
      <c r="G12" s="11">
        <f>D12/7.5</f>
        <v>9.6966666666666675E-4</v>
      </c>
      <c r="H12" s="11">
        <f>B12/12.5</f>
        <v>1E-3</v>
      </c>
      <c r="I12" s="11">
        <f>G12/0.93</f>
        <v>1.0426523297491039E-3</v>
      </c>
      <c r="J12" s="11">
        <f>G12/0.92</f>
        <v>1.0539855072463768E-3</v>
      </c>
      <c r="K12" s="11">
        <f>G12/0.88</f>
        <v>1.1018939393939394E-3</v>
      </c>
      <c r="L12" s="11">
        <f>G12/0.84</f>
        <v>1.1543650793650795E-3</v>
      </c>
      <c r="M12" s="25">
        <f>WO2025Jan710814161822242830323438404244464854565862646668707274766812161820222628323440[[#This Row],[Thresh]]</f>
        <v>1.1018939393939394E-3</v>
      </c>
      <c r="N12" s="28">
        <f>WO2025Jan710814161822242830323438404244464854565862646668707274766812161820222628323440[[#This Row],[Thresh]]*2</f>
        <v>2.2037878787878789E-3</v>
      </c>
      <c r="O12" s="25">
        <f>WO2025Jan710814161822242830323438404244464854565862646668707274766812161820222628323440[[#This Row],[CV]]</f>
        <v>1.0539855072463768E-3</v>
      </c>
      <c r="P12" s="28">
        <f>WO2025Jan710814161822242830323438404244464854565862646668707274766812161820222628323440[[#This Row],[CV]]*2</f>
        <v>2.1079710144927535E-3</v>
      </c>
      <c r="Q12" s="25">
        <f>WO2025Jan710814161822242830323438404244464854565862646668707274766812161820222628323440[[#This Row],[VO2]]</f>
        <v>9.6966666666666675E-4</v>
      </c>
      <c r="R12" s="25"/>
      <c r="S12" s="25"/>
      <c r="T12" s="28"/>
      <c r="U12" s="11"/>
      <c r="V12" s="36"/>
      <c r="W12" s="18" t="s">
        <v>26</v>
      </c>
      <c r="X12" s="52"/>
    </row>
    <row r="13" spans="1:26" ht="21" customHeight="1">
      <c r="A13" s="10" t="s">
        <v>30</v>
      </c>
      <c r="B13" s="11">
        <v>1.2500000000000001E-2</v>
      </c>
      <c r="C13" s="11">
        <v>3.6458333333333334E-3</v>
      </c>
      <c r="D13" s="11">
        <f>B13*E13</f>
        <v>7.2725000000000003E-3</v>
      </c>
      <c r="E13" s="12">
        <v>0.58179999999999998</v>
      </c>
      <c r="F13" s="11">
        <f>C13/4</f>
        <v>9.1145833333333335E-4</v>
      </c>
      <c r="G13" s="11">
        <f>D13/7.5</f>
        <v>9.6966666666666675E-4</v>
      </c>
      <c r="H13" s="11">
        <f>B13/12.5</f>
        <v>1E-3</v>
      </c>
      <c r="I13" s="11">
        <f>G13/0.93</f>
        <v>1.0426523297491039E-3</v>
      </c>
      <c r="J13" s="11">
        <f>G13/0.92</f>
        <v>1.0539855072463768E-3</v>
      </c>
      <c r="K13" s="11">
        <f>G13/0.88</f>
        <v>1.1018939393939394E-3</v>
      </c>
      <c r="L13" s="11">
        <f>G13/0.84</f>
        <v>1.1543650793650795E-3</v>
      </c>
      <c r="M13" s="25">
        <f>WO2025Jan710814161822242830323438404244464854565862646668707274766812161820222628323440[[#This Row],[Thresh]]</f>
        <v>1.1018939393939394E-3</v>
      </c>
      <c r="N13" s="28">
        <f>WO2025Jan710814161822242830323438404244464854565862646668707274766812161820222628323440[[#This Row],[Thresh]]*2</f>
        <v>2.2037878787878789E-3</v>
      </c>
      <c r="O13" s="25">
        <f>WO2025Jan710814161822242830323438404244464854565862646668707274766812161820222628323440[[#This Row],[CV]]</f>
        <v>1.0539855072463768E-3</v>
      </c>
      <c r="P13" s="28">
        <f>WO2025Jan710814161822242830323438404244464854565862646668707274766812161820222628323440[[#This Row],[CV]]*2</f>
        <v>2.1079710144927535E-3</v>
      </c>
      <c r="Q13" s="25">
        <f>WO2025Jan710814161822242830323438404244464854565862646668707274766812161820222628323440[[#This Row],[VO2]]</f>
        <v>9.6966666666666675E-4</v>
      </c>
      <c r="R13" s="25"/>
      <c r="S13" s="25"/>
      <c r="T13" s="28"/>
      <c r="U13" s="11"/>
      <c r="V13" s="36"/>
      <c r="W13" s="15" t="s">
        <v>26</v>
      </c>
      <c r="X13" s="52"/>
    </row>
    <row r="14" spans="1:26" ht="21" customHeight="1">
      <c r="A14" s="10" t="s">
        <v>63</v>
      </c>
      <c r="B14" s="11">
        <v>1.2615740740740742E-2</v>
      </c>
      <c r="C14" s="11">
        <v>3.7037037037037038E-3</v>
      </c>
      <c r="D14" s="11">
        <f>B14*E14</f>
        <v>7.3398379629629629E-3</v>
      </c>
      <c r="E14" s="12">
        <v>0.58179999999999998</v>
      </c>
      <c r="F14" s="11">
        <f>C14/4</f>
        <v>9.2592592592592596E-4</v>
      </c>
      <c r="G14" s="11">
        <f>D14/7.5</f>
        <v>9.7864506172839496E-4</v>
      </c>
      <c r="H14" s="11">
        <f>B14/12.5</f>
        <v>1.0092592592592592E-3</v>
      </c>
      <c r="I14" s="11">
        <f>G14/0.93</f>
        <v>1.0523065179875214E-3</v>
      </c>
      <c r="J14" s="11">
        <f>G14/0.92</f>
        <v>1.0637446323134728E-3</v>
      </c>
      <c r="K14" s="11">
        <f>G14/0.88</f>
        <v>1.1120966610549943E-3</v>
      </c>
      <c r="L14" s="11">
        <f>G14/0.84</f>
        <v>1.165053644914756E-3</v>
      </c>
      <c r="M14" s="25">
        <f>WO2025Jan710814161822242830323438404244464854565862646668707274766812161820222628323440[[#This Row],[Thresh]]</f>
        <v>1.1120966610549943E-3</v>
      </c>
      <c r="N14" s="28">
        <f>WO2025Jan710814161822242830323438404244464854565862646668707274766812161820222628323440[[#This Row],[Thresh]]*2</f>
        <v>2.2241933221099886E-3</v>
      </c>
      <c r="O14" s="25">
        <f>WO2025Jan710814161822242830323438404244464854565862646668707274766812161820222628323440[[#This Row],[CV]]</f>
        <v>1.0637446323134728E-3</v>
      </c>
      <c r="P14" s="28">
        <f>WO2025Jan710814161822242830323438404244464854565862646668707274766812161820222628323440[[#This Row],[CV]]*2</f>
        <v>2.1274892646269456E-3</v>
      </c>
      <c r="Q14" s="25">
        <f>WO2025Jan710814161822242830323438404244464854565862646668707274766812161820222628323440[[#This Row],[VO2]]</f>
        <v>9.7864506172839496E-4</v>
      </c>
      <c r="R14" s="25"/>
      <c r="S14" s="25"/>
      <c r="T14" s="28"/>
      <c r="U14" s="11"/>
      <c r="V14" s="36"/>
      <c r="W14" s="15" t="s">
        <v>35</v>
      </c>
      <c r="X14" s="52"/>
    </row>
    <row r="15" spans="1:26" ht="21" customHeight="1">
      <c r="A15" s="10" t="s">
        <v>64</v>
      </c>
      <c r="B15" s="11">
        <v>1.2615740740740742E-2</v>
      </c>
      <c r="C15" s="11">
        <v>3.5879629629629629E-3</v>
      </c>
      <c r="D15" s="11">
        <f>B15*E15</f>
        <v>7.3398379629629629E-3</v>
      </c>
      <c r="E15" s="12">
        <v>0.58179999999999998</v>
      </c>
      <c r="F15" s="11">
        <f>C15/4</f>
        <v>8.9699074074074073E-4</v>
      </c>
      <c r="G15" s="11">
        <f>D15/7.5</f>
        <v>9.7864506172839496E-4</v>
      </c>
      <c r="H15" s="11">
        <f>B15/12.5</f>
        <v>1.0092592592592592E-3</v>
      </c>
      <c r="I15" s="11">
        <f>G15/0.93</f>
        <v>1.0523065179875214E-3</v>
      </c>
      <c r="J15" s="11">
        <f>G15/0.92</f>
        <v>1.0637446323134728E-3</v>
      </c>
      <c r="K15" s="11">
        <f>G15/0.88</f>
        <v>1.1120966610549943E-3</v>
      </c>
      <c r="L15" s="11">
        <f>G15/0.84</f>
        <v>1.165053644914756E-3</v>
      </c>
      <c r="M15" s="25">
        <f>WO2025Jan710814161822242830323438404244464854565862646668707274766812161820222628323440[[#This Row],[Thresh]]</f>
        <v>1.1120966610549943E-3</v>
      </c>
      <c r="N15" s="28">
        <f>WO2025Jan710814161822242830323438404244464854565862646668707274766812161820222628323440[[#This Row],[Thresh]]*2</f>
        <v>2.2241933221099886E-3</v>
      </c>
      <c r="O15" s="25">
        <f>WO2025Jan710814161822242830323438404244464854565862646668707274766812161820222628323440[[#This Row],[CV]]</f>
        <v>1.0637446323134728E-3</v>
      </c>
      <c r="P15" s="28">
        <f>WO2025Jan710814161822242830323438404244464854565862646668707274766812161820222628323440[[#This Row],[CV]]*2</f>
        <v>2.1274892646269456E-3</v>
      </c>
      <c r="Q15" s="25">
        <f>WO2025Jan710814161822242830323438404244464854565862646668707274766812161820222628323440[[#This Row],[VO2]]</f>
        <v>9.7864506172839496E-4</v>
      </c>
      <c r="R15" s="25"/>
      <c r="S15" s="25"/>
      <c r="T15" s="28"/>
      <c r="U15" s="11"/>
      <c r="V15" s="36"/>
      <c r="W15" s="15" t="s">
        <v>35</v>
      </c>
      <c r="X15" s="52"/>
    </row>
    <row r="16" spans="1:26" ht="21" customHeight="1">
      <c r="A16" s="10" t="s">
        <v>49</v>
      </c>
      <c r="B16" s="11">
        <v>1.2731481481481481E-2</v>
      </c>
      <c r="C16" s="11">
        <v>3.5879629629629629E-3</v>
      </c>
      <c r="D16" s="11">
        <f t="shared" ref="D16:D26" si="8">B16*E16</f>
        <v>7.4071759259259256E-3</v>
      </c>
      <c r="E16" s="12">
        <v>0.58179999999999998</v>
      </c>
      <c r="F16" s="11">
        <f t="shared" ref="F16:F26" si="9">C16/4</f>
        <v>8.9699074074074073E-4</v>
      </c>
      <c r="G16" s="11">
        <f t="shared" ref="G16:G26" si="10">D16/7.5</f>
        <v>9.8762345679012349E-4</v>
      </c>
      <c r="H16" s="11">
        <f t="shared" ref="H16:H26" si="11">B16/12.5</f>
        <v>1.0185185185185184E-3</v>
      </c>
      <c r="I16" s="11">
        <f t="shared" ref="I16:I26" si="12">G16/0.93</f>
        <v>1.0619607062259391E-3</v>
      </c>
      <c r="J16" s="11">
        <f t="shared" ref="J16:J26" si="13">G16/0.92</f>
        <v>1.073503757380569E-3</v>
      </c>
      <c r="K16" s="11">
        <f t="shared" ref="K16:K26" si="14">G16/0.88</f>
        <v>1.1222993827160494E-3</v>
      </c>
      <c r="L16" s="11">
        <f t="shared" ref="L16:L26" si="15">G16/0.84</f>
        <v>1.1757422104644328E-3</v>
      </c>
      <c r="M16" s="25">
        <f>WO2025Jan710814161822242830323438404244464854565862646668707274766812161820222628323440[[#This Row],[Thresh]]</f>
        <v>1.1222993827160494E-3</v>
      </c>
      <c r="N16" s="28">
        <f>WO2025Jan710814161822242830323438404244464854565862646668707274766812161820222628323440[[#This Row],[Thresh]]*2</f>
        <v>2.2445987654320988E-3</v>
      </c>
      <c r="O16" s="25">
        <f>WO2025Jan710814161822242830323438404244464854565862646668707274766812161820222628323440[[#This Row],[CV]]</f>
        <v>1.073503757380569E-3</v>
      </c>
      <c r="P16" s="28">
        <f>WO2025Jan710814161822242830323438404244464854565862646668707274766812161820222628323440[[#This Row],[CV]]*2</f>
        <v>2.1470075147611381E-3</v>
      </c>
      <c r="Q16" s="25">
        <f>WO2025Jan710814161822242830323438404244464854565862646668707274766812161820222628323440[[#This Row],[VO2]]</f>
        <v>9.8762345679012349E-4</v>
      </c>
      <c r="R16" s="25"/>
      <c r="S16" s="25"/>
      <c r="T16" s="28"/>
      <c r="U16" s="11"/>
      <c r="V16" s="36"/>
      <c r="W16" s="15" t="s">
        <v>26</v>
      </c>
      <c r="X16" s="52"/>
    </row>
    <row r="17" spans="1:24" ht="21" customHeight="1">
      <c r="A17" s="10" t="s">
        <v>65</v>
      </c>
      <c r="B17" s="11">
        <v>1.2731481481481481E-2</v>
      </c>
      <c r="C17" s="11">
        <v>3.8194444444444443E-3</v>
      </c>
      <c r="D17" s="11">
        <f t="shared" si="8"/>
        <v>7.4071759259259256E-3</v>
      </c>
      <c r="E17" s="12">
        <v>0.58179999999999998</v>
      </c>
      <c r="F17" s="11">
        <f t="shared" si="9"/>
        <v>9.5486111111111108E-4</v>
      </c>
      <c r="G17" s="11">
        <f t="shared" si="10"/>
        <v>9.8762345679012349E-4</v>
      </c>
      <c r="H17" s="11">
        <f t="shared" si="11"/>
        <v>1.0185185185185184E-3</v>
      </c>
      <c r="I17" s="11">
        <f t="shared" si="12"/>
        <v>1.0619607062259391E-3</v>
      </c>
      <c r="J17" s="11">
        <f t="shared" si="13"/>
        <v>1.073503757380569E-3</v>
      </c>
      <c r="K17" s="11">
        <f t="shared" si="14"/>
        <v>1.1222993827160494E-3</v>
      </c>
      <c r="L17" s="11">
        <f t="shared" si="15"/>
        <v>1.1757422104644328E-3</v>
      </c>
      <c r="M17" s="25">
        <f>WO2025Jan710814161822242830323438404244464854565862646668707274766812161820222628323440[[#This Row],[Thresh]]</f>
        <v>1.1222993827160494E-3</v>
      </c>
      <c r="N17" s="28">
        <f>WO2025Jan710814161822242830323438404244464854565862646668707274766812161820222628323440[[#This Row],[Thresh]]*2</f>
        <v>2.2445987654320988E-3</v>
      </c>
      <c r="O17" s="25">
        <f>WO2025Jan710814161822242830323438404244464854565862646668707274766812161820222628323440[[#This Row],[CV]]</f>
        <v>1.073503757380569E-3</v>
      </c>
      <c r="P17" s="28">
        <f>WO2025Jan710814161822242830323438404244464854565862646668707274766812161820222628323440[[#This Row],[CV]]*2</f>
        <v>2.1470075147611381E-3</v>
      </c>
      <c r="Q17" s="25">
        <f>WO2025Jan710814161822242830323438404244464854565862646668707274766812161820222628323440[[#This Row],[VO2]]</f>
        <v>9.8762345679012349E-4</v>
      </c>
      <c r="R17" s="25"/>
      <c r="S17" s="25"/>
      <c r="T17" s="28"/>
      <c r="U17" s="11"/>
      <c r="V17" s="36"/>
      <c r="W17" s="15" t="s">
        <v>26</v>
      </c>
      <c r="X17" s="52"/>
    </row>
    <row r="18" spans="1:24" ht="21" customHeight="1">
      <c r="A18" s="10" t="s">
        <v>66</v>
      </c>
      <c r="B18" s="11">
        <v>1.2731481481481481E-2</v>
      </c>
      <c r="C18" s="11">
        <v>3.6458333333333334E-3</v>
      </c>
      <c r="D18" s="11">
        <f>B18*E18</f>
        <v>7.4071759259259256E-3</v>
      </c>
      <c r="E18" s="12">
        <v>0.58179999999999998</v>
      </c>
      <c r="F18" s="11">
        <f>C18/4</f>
        <v>9.1145833333333335E-4</v>
      </c>
      <c r="G18" s="11">
        <f>D18/7.5</f>
        <v>9.8762345679012349E-4</v>
      </c>
      <c r="H18" s="11">
        <f>B18/12.5</f>
        <v>1.0185185185185184E-3</v>
      </c>
      <c r="I18" s="11">
        <f>G18/0.93</f>
        <v>1.0619607062259391E-3</v>
      </c>
      <c r="J18" s="11">
        <f>G18/0.92</f>
        <v>1.073503757380569E-3</v>
      </c>
      <c r="K18" s="11">
        <f>G18/0.88</f>
        <v>1.1222993827160494E-3</v>
      </c>
      <c r="L18" s="17">
        <f>G18/0.84</f>
        <v>1.1757422104644328E-3</v>
      </c>
      <c r="M18" s="25">
        <f>WO2025Jan710814161822242830323438404244464854565862646668707274766812161820222628323440[[#This Row],[Thresh]]</f>
        <v>1.1222993827160494E-3</v>
      </c>
      <c r="N18" s="28">
        <f>WO2025Jan710814161822242830323438404244464854565862646668707274766812161820222628323440[[#This Row],[Thresh]]*2</f>
        <v>2.2445987654320988E-3</v>
      </c>
      <c r="O18" s="25">
        <f>WO2025Jan710814161822242830323438404244464854565862646668707274766812161820222628323440[[#This Row],[CV]]</f>
        <v>1.073503757380569E-3</v>
      </c>
      <c r="P18" s="28">
        <f>WO2025Jan710814161822242830323438404244464854565862646668707274766812161820222628323440[[#This Row],[CV]]*2</f>
        <v>2.1470075147611381E-3</v>
      </c>
      <c r="Q18" s="25">
        <f>WO2025Jan710814161822242830323438404244464854565862646668707274766812161820222628323440[[#This Row],[VO2]]</f>
        <v>9.8762345679012349E-4</v>
      </c>
      <c r="R18" s="25"/>
      <c r="S18" s="25"/>
      <c r="T18" s="28"/>
      <c r="U18" s="11"/>
      <c r="V18" s="36"/>
      <c r="W18" s="15" t="s">
        <v>26</v>
      </c>
      <c r="X18" s="52"/>
    </row>
    <row r="19" spans="1:24" ht="21" customHeight="1">
      <c r="A19" s="10" t="s">
        <v>67</v>
      </c>
      <c r="B19" s="11">
        <v>1.3020833333333334E-2</v>
      </c>
      <c r="C19" s="11">
        <v>3.8194444444444443E-3</v>
      </c>
      <c r="D19" s="11">
        <f>B19*E19</f>
        <v>7.5755208333333334E-3</v>
      </c>
      <c r="E19" s="12">
        <v>0.58179999999999998</v>
      </c>
      <c r="F19" s="11">
        <f>C19/4</f>
        <v>9.5486111111111108E-4</v>
      </c>
      <c r="G19" s="11">
        <f>D19/7.5</f>
        <v>1.0100694444444445E-3</v>
      </c>
      <c r="H19" s="11">
        <f>B19/12.5</f>
        <v>1.0416666666666667E-3</v>
      </c>
      <c r="I19" s="11">
        <f>G19/0.93</f>
        <v>1.0860961768219832E-3</v>
      </c>
      <c r="J19" s="11">
        <f>G19/0.92</f>
        <v>1.0979015700483092E-3</v>
      </c>
      <c r="K19" s="11">
        <f>G19/0.88</f>
        <v>1.1478061868686869E-3</v>
      </c>
      <c r="L19" s="11">
        <f>G19/0.84</f>
        <v>1.2024636243386244E-3</v>
      </c>
      <c r="M19" s="25">
        <f>WO2025Jan710814161822242830323438404244464854565862646668707274766812161820222628323440[[#This Row],[Thresh]]</f>
        <v>1.1478061868686869E-3</v>
      </c>
      <c r="N19" s="28">
        <f>WO2025Jan710814161822242830323438404244464854565862646668707274766812161820222628323440[[#This Row],[Thresh]]*2</f>
        <v>2.2956123737373738E-3</v>
      </c>
      <c r="O19" s="25">
        <f>WO2025Jan710814161822242830323438404244464854565862646668707274766812161820222628323440[[#This Row],[CV]]</f>
        <v>1.0979015700483092E-3</v>
      </c>
      <c r="P19" s="28">
        <f>WO2025Jan710814161822242830323438404244464854565862646668707274766812161820222628323440[[#This Row],[CV]]*2</f>
        <v>2.1958031400966184E-3</v>
      </c>
      <c r="Q19" s="25">
        <f>WO2025Jan710814161822242830323438404244464854565862646668707274766812161820222628323440[[#This Row],[VO2]]</f>
        <v>1.0100694444444445E-3</v>
      </c>
      <c r="R19" s="25"/>
      <c r="S19" s="25"/>
      <c r="T19" s="28"/>
      <c r="U19" s="11"/>
      <c r="V19" s="36"/>
      <c r="W19" s="18" t="s">
        <v>26</v>
      </c>
      <c r="X19" s="52"/>
    </row>
    <row r="20" spans="1:24" ht="21" customHeight="1">
      <c r="A20" s="10" t="s">
        <v>58</v>
      </c>
      <c r="B20" s="11">
        <v>1.3020833333333334E-2</v>
      </c>
      <c r="C20" s="11">
        <v>4.1087962962962962E-3</v>
      </c>
      <c r="D20" s="11">
        <f>B20*E20</f>
        <v>7.5755208333333334E-3</v>
      </c>
      <c r="E20" s="12">
        <v>0.58179999999999998</v>
      </c>
      <c r="F20" s="11">
        <f>C20/4</f>
        <v>1.027199074074074E-3</v>
      </c>
      <c r="G20" s="11">
        <f>D20/7.5</f>
        <v>1.0100694444444445E-3</v>
      </c>
      <c r="H20" s="11">
        <f>B20/12.5</f>
        <v>1.0416666666666667E-3</v>
      </c>
      <c r="I20" s="11">
        <f>G20/0.93</f>
        <v>1.0860961768219832E-3</v>
      </c>
      <c r="J20" s="11">
        <f>G20/0.92</f>
        <v>1.0979015700483092E-3</v>
      </c>
      <c r="K20" s="11">
        <f>G20/0.88</f>
        <v>1.1478061868686869E-3</v>
      </c>
      <c r="L20" s="11">
        <f>G20/0.84</f>
        <v>1.2024636243386244E-3</v>
      </c>
      <c r="M20" s="25">
        <f>WO2025Jan710814161822242830323438404244464854565862646668707274766812161820222628323440[[#This Row],[Thresh]]</f>
        <v>1.1478061868686869E-3</v>
      </c>
      <c r="N20" s="28">
        <f>WO2025Jan710814161822242830323438404244464854565862646668707274766812161820222628323440[[#This Row],[Thresh]]*2</f>
        <v>2.2956123737373738E-3</v>
      </c>
      <c r="O20" s="25">
        <f>WO2025Jan710814161822242830323438404244464854565862646668707274766812161820222628323440[[#This Row],[CV]]</f>
        <v>1.0979015700483092E-3</v>
      </c>
      <c r="P20" s="28">
        <f>WO2025Jan710814161822242830323438404244464854565862646668707274766812161820222628323440[[#This Row],[CV]]*2</f>
        <v>2.1958031400966184E-3</v>
      </c>
      <c r="Q20" s="25">
        <f>WO2025Jan710814161822242830323438404244464854565862646668707274766812161820222628323440[[#This Row],[VO2]]</f>
        <v>1.0100694444444445E-3</v>
      </c>
      <c r="R20" s="25"/>
      <c r="S20" s="25"/>
      <c r="T20" s="28"/>
      <c r="U20" s="11"/>
      <c r="V20" s="36"/>
      <c r="W20" s="15" t="s">
        <v>26</v>
      </c>
      <c r="X20" s="52"/>
    </row>
    <row r="21" spans="1:24" ht="21" customHeight="1">
      <c r="A21" s="10" t="s">
        <v>68</v>
      </c>
      <c r="B21" s="11">
        <v>1.3020833333333334E-2</v>
      </c>
      <c r="C21" s="11">
        <v>3.9351851851851848E-3</v>
      </c>
      <c r="D21" s="11">
        <f>B21*E21</f>
        <v>7.5755208333333334E-3</v>
      </c>
      <c r="E21" s="12">
        <v>0.58179999999999998</v>
      </c>
      <c r="F21" s="11">
        <f>C21/4</f>
        <v>9.837962962962962E-4</v>
      </c>
      <c r="G21" s="11">
        <f>D21/7.5</f>
        <v>1.0100694444444445E-3</v>
      </c>
      <c r="H21" s="11">
        <f>B21/12.5</f>
        <v>1.0416666666666667E-3</v>
      </c>
      <c r="I21" s="11">
        <f>G21/0.93</f>
        <v>1.0860961768219832E-3</v>
      </c>
      <c r="J21" s="11">
        <f>G21/0.92</f>
        <v>1.0979015700483092E-3</v>
      </c>
      <c r="K21" s="11">
        <f>G21/0.88</f>
        <v>1.1478061868686869E-3</v>
      </c>
      <c r="L21" s="11">
        <f>G21/0.84</f>
        <v>1.2024636243386244E-3</v>
      </c>
      <c r="M21" s="25">
        <f>WO2025Jan710814161822242830323438404244464854565862646668707274766812161820222628323440[[#This Row],[Thresh]]</f>
        <v>1.1478061868686869E-3</v>
      </c>
      <c r="N21" s="28">
        <f>WO2025Jan710814161822242830323438404244464854565862646668707274766812161820222628323440[[#This Row],[Thresh]]*2</f>
        <v>2.2956123737373738E-3</v>
      </c>
      <c r="O21" s="25">
        <f>WO2025Jan710814161822242830323438404244464854565862646668707274766812161820222628323440[[#This Row],[CV]]</f>
        <v>1.0979015700483092E-3</v>
      </c>
      <c r="P21" s="28">
        <f>WO2025Jan710814161822242830323438404244464854565862646668707274766812161820222628323440[[#This Row],[CV]]*2</f>
        <v>2.1958031400966184E-3</v>
      </c>
      <c r="Q21" s="25">
        <f>WO2025Jan710814161822242830323438404244464854565862646668707274766812161820222628323440[[#This Row],[VO2]]</f>
        <v>1.0100694444444445E-3</v>
      </c>
      <c r="R21" s="25"/>
      <c r="S21" s="25"/>
      <c r="T21" s="28"/>
      <c r="U21" s="11"/>
      <c r="V21" s="36"/>
      <c r="W21" s="15" t="s">
        <v>35</v>
      </c>
      <c r="X21" s="52" t="s">
        <v>197</v>
      </c>
    </row>
    <row r="22" spans="1:24" ht="21" customHeight="1">
      <c r="A22" s="10" t="s">
        <v>74</v>
      </c>
      <c r="B22" s="11">
        <v>1.3020833333333334E-2</v>
      </c>
      <c r="C22" s="11">
        <v>3.7037037037037038E-3</v>
      </c>
      <c r="D22" s="11">
        <f>B22*E22</f>
        <v>7.5755208333333334E-3</v>
      </c>
      <c r="E22" s="12">
        <v>0.58179999999999998</v>
      </c>
      <c r="F22" s="11">
        <f>C22/4</f>
        <v>9.2592592592592596E-4</v>
      </c>
      <c r="G22" s="11">
        <f>D22/7.5</f>
        <v>1.0100694444444445E-3</v>
      </c>
      <c r="H22" s="11">
        <f>B22/12.5</f>
        <v>1.0416666666666667E-3</v>
      </c>
      <c r="I22" s="11">
        <f>G22/0.93</f>
        <v>1.0860961768219832E-3</v>
      </c>
      <c r="J22" s="11">
        <f>G22/0.92</f>
        <v>1.0979015700483092E-3</v>
      </c>
      <c r="K22" s="11">
        <f>G22/0.88</f>
        <v>1.1478061868686869E-3</v>
      </c>
      <c r="L22" s="11">
        <f>G22/0.84</f>
        <v>1.2024636243386244E-3</v>
      </c>
      <c r="M22" s="25">
        <f>WO2025Jan710814161822242830323438404244464854565862646668707274766812161820222628323440[[#This Row],[Thresh]]</f>
        <v>1.1478061868686869E-3</v>
      </c>
      <c r="N22" s="28">
        <f>WO2025Jan710814161822242830323438404244464854565862646668707274766812161820222628323440[[#This Row],[Thresh]]*2</f>
        <v>2.2956123737373738E-3</v>
      </c>
      <c r="O22" s="25">
        <f>WO2025Jan710814161822242830323438404244464854565862646668707274766812161820222628323440[[#This Row],[CV]]</f>
        <v>1.0979015700483092E-3</v>
      </c>
      <c r="P22" s="28">
        <f>WO2025Jan710814161822242830323438404244464854565862646668707274766812161820222628323440[[#This Row],[CV]]*2</f>
        <v>2.1958031400966184E-3</v>
      </c>
      <c r="Q22" s="25">
        <f>WO2025Jan710814161822242830323438404244464854565862646668707274766812161820222628323440[[#This Row],[VO2]]</f>
        <v>1.0100694444444445E-3</v>
      </c>
      <c r="R22" s="25"/>
      <c r="S22" s="25"/>
      <c r="T22" s="28"/>
      <c r="U22" s="11"/>
      <c r="V22" s="36"/>
      <c r="W22" s="15" t="s">
        <v>35</v>
      </c>
      <c r="X22" s="52"/>
    </row>
    <row r="23" spans="1:24" ht="21" customHeight="1">
      <c r="A23" s="10" t="s">
        <v>69</v>
      </c>
      <c r="B23" s="11">
        <v>1.3541666666666667E-2</v>
      </c>
      <c r="C23" s="11">
        <v>4.0509259259259257E-3</v>
      </c>
      <c r="D23" s="11">
        <f t="shared" si="8"/>
        <v>7.8785416666666674E-3</v>
      </c>
      <c r="E23" s="12">
        <v>0.58179999999999998</v>
      </c>
      <c r="F23" s="11">
        <f t="shared" si="9"/>
        <v>1.0127314814814814E-3</v>
      </c>
      <c r="G23" s="11">
        <f t="shared" si="10"/>
        <v>1.0504722222222224E-3</v>
      </c>
      <c r="H23" s="11">
        <f t="shared" si="11"/>
        <v>1.0833333333333333E-3</v>
      </c>
      <c r="I23" s="11">
        <f t="shared" si="12"/>
        <v>1.1295400238948627E-3</v>
      </c>
      <c r="J23" s="11">
        <f t="shared" si="13"/>
        <v>1.1418176328502417E-3</v>
      </c>
      <c r="K23" s="11">
        <f t="shared" si="14"/>
        <v>1.1937184343434346E-3</v>
      </c>
      <c r="L23" s="11">
        <f t="shared" si="15"/>
        <v>1.2505621693121695E-3</v>
      </c>
      <c r="M23" s="25">
        <f>WO2025Jan710814161822242830323438404244464854565862646668707274766812161820222628323440[[#This Row],[Thresh]]</f>
        <v>1.1937184343434346E-3</v>
      </c>
      <c r="N23" s="28">
        <f>WO2025Jan710814161822242830323438404244464854565862646668707274766812161820222628323440[[#This Row],[Thresh]]*2</f>
        <v>2.3874368686868691E-3</v>
      </c>
      <c r="O23" s="25">
        <f>WO2025Jan710814161822242830323438404244464854565862646668707274766812161820222628323440[[#This Row],[CV]]</f>
        <v>1.1418176328502417E-3</v>
      </c>
      <c r="P23" s="28">
        <f>WO2025Jan710814161822242830323438404244464854565862646668707274766812161820222628323440[[#This Row],[CV]]*2</f>
        <v>2.2836352657004833E-3</v>
      </c>
      <c r="Q23" s="25">
        <f>WO2025Jan710814161822242830323438404244464854565862646668707274766812161820222628323440[[#This Row],[VO2]]</f>
        <v>1.0504722222222224E-3</v>
      </c>
      <c r="R23" s="25"/>
      <c r="S23" s="25"/>
      <c r="T23" s="28"/>
      <c r="U23" s="11"/>
      <c r="V23" s="36"/>
      <c r="W23" s="15" t="s">
        <v>35</v>
      </c>
      <c r="X23" s="52"/>
    </row>
    <row r="24" spans="1:24" ht="21" customHeight="1">
      <c r="A24" s="10" t="s">
        <v>70</v>
      </c>
      <c r="B24" s="11">
        <v>1.3541666666666667E-2</v>
      </c>
      <c r="C24" s="11">
        <v>4.0509259259259257E-3</v>
      </c>
      <c r="D24" s="11">
        <f t="shared" si="8"/>
        <v>7.8785416666666674E-3</v>
      </c>
      <c r="E24" s="12">
        <v>0.58179999999999998</v>
      </c>
      <c r="F24" s="11">
        <f t="shared" si="9"/>
        <v>1.0127314814814814E-3</v>
      </c>
      <c r="G24" s="11">
        <f t="shared" si="10"/>
        <v>1.0504722222222224E-3</v>
      </c>
      <c r="H24" s="11">
        <f t="shared" si="11"/>
        <v>1.0833333333333333E-3</v>
      </c>
      <c r="I24" s="11">
        <f t="shared" si="12"/>
        <v>1.1295400238948627E-3</v>
      </c>
      <c r="J24" s="11">
        <f t="shared" si="13"/>
        <v>1.1418176328502417E-3</v>
      </c>
      <c r="K24" s="11">
        <f t="shared" si="14"/>
        <v>1.1937184343434346E-3</v>
      </c>
      <c r="L24" s="11">
        <f t="shared" si="15"/>
        <v>1.2505621693121695E-3</v>
      </c>
      <c r="M24" s="25">
        <f>WO2025Jan710814161822242830323438404244464854565862646668707274766812161820222628323440[[#This Row],[Thresh]]</f>
        <v>1.1937184343434346E-3</v>
      </c>
      <c r="N24" s="28">
        <f>WO2025Jan710814161822242830323438404244464854565862646668707274766812161820222628323440[[#This Row],[Thresh]]*2</f>
        <v>2.3874368686868691E-3</v>
      </c>
      <c r="O24" s="25">
        <f>WO2025Jan710814161822242830323438404244464854565862646668707274766812161820222628323440[[#This Row],[CV]]</f>
        <v>1.1418176328502417E-3</v>
      </c>
      <c r="P24" s="28">
        <f>WO2025Jan710814161822242830323438404244464854565862646668707274766812161820222628323440[[#This Row],[CV]]*2</f>
        <v>2.2836352657004833E-3</v>
      </c>
      <c r="Q24" s="25">
        <f>WO2025Jan710814161822242830323438404244464854565862646668707274766812161820222628323440[[#This Row],[VO2]]</f>
        <v>1.0504722222222224E-3</v>
      </c>
      <c r="R24" s="25"/>
      <c r="S24" s="25"/>
      <c r="T24" s="28"/>
      <c r="U24" s="11"/>
      <c r="V24" s="36"/>
      <c r="W24" s="15" t="s">
        <v>35</v>
      </c>
      <c r="X24" s="52"/>
    </row>
    <row r="25" spans="1:24" ht="21" customHeight="1">
      <c r="A25" s="10" t="s">
        <v>71</v>
      </c>
      <c r="B25" s="11">
        <v>1.3541666666666667E-2</v>
      </c>
      <c r="C25" s="11">
        <v>4.0509259259259257E-3</v>
      </c>
      <c r="D25" s="11">
        <f>B25*E25</f>
        <v>7.8785416666666674E-3</v>
      </c>
      <c r="E25" s="12">
        <v>0.58179999999999998</v>
      </c>
      <c r="F25" s="11">
        <f>C25/4</f>
        <v>1.0127314814814814E-3</v>
      </c>
      <c r="G25" s="11">
        <f>D25/7.5</f>
        <v>1.0504722222222224E-3</v>
      </c>
      <c r="H25" s="11">
        <f>B25/12.5</f>
        <v>1.0833333333333333E-3</v>
      </c>
      <c r="I25" s="11">
        <f>G25/0.93</f>
        <v>1.1295400238948627E-3</v>
      </c>
      <c r="J25" s="11">
        <f>G25/0.92</f>
        <v>1.1418176328502417E-3</v>
      </c>
      <c r="K25" s="11">
        <f>G25/0.88</f>
        <v>1.1937184343434346E-3</v>
      </c>
      <c r="L25" s="11">
        <f>G25/0.84</f>
        <v>1.2505621693121695E-3</v>
      </c>
      <c r="M25" s="25">
        <f>WO2025Jan710814161822242830323438404244464854565862646668707274766812161820222628323440[[#This Row],[Thresh]]</f>
        <v>1.1937184343434346E-3</v>
      </c>
      <c r="N25" s="28">
        <f>WO2025Jan710814161822242830323438404244464854565862646668707274766812161820222628323440[[#This Row],[Thresh]]*2</f>
        <v>2.3874368686868691E-3</v>
      </c>
      <c r="O25" s="25">
        <f>WO2025Jan710814161822242830323438404244464854565862646668707274766812161820222628323440[[#This Row],[CV]]</f>
        <v>1.1418176328502417E-3</v>
      </c>
      <c r="P25" s="28">
        <f>WO2025Jan710814161822242830323438404244464854565862646668707274766812161820222628323440[[#This Row],[CV]]*2</f>
        <v>2.2836352657004833E-3</v>
      </c>
      <c r="Q25" s="25">
        <f>WO2025Jan710814161822242830323438404244464854565862646668707274766812161820222628323440[[#This Row],[VO2]]</f>
        <v>1.0504722222222224E-3</v>
      </c>
      <c r="R25" s="25"/>
      <c r="S25" s="25"/>
      <c r="T25" s="28"/>
      <c r="U25" s="11"/>
      <c r="V25" s="36"/>
      <c r="W25" s="18" t="s">
        <v>35</v>
      </c>
      <c r="X25" s="52"/>
    </row>
    <row r="26" spans="1:24" ht="21" customHeight="1">
      <c r="A26" s="10" t="s">
        <v>72</v>
      </c>
      <c r="B26" s="11">
        <v>1.3541666666666667E-2</v>
      </c>
      <c r="C26" s="11">
        <v>4.0509259259259257E-3</v>
      </c>
      <c r="D26" s="11">
        <f t="shared" si="8"/>
        <v>7.8785416666666674E-3</v>
      </c>
      <c r="E26" s="12">
        <v>0.58179999999999998</v>
      </c>
      <c r="F26" s="11">
        <f t="shared" si="9"/>
        <v>1.0127314814814814E-3</v>
      </c>
      <c r="G26" s="11">
        <f t="shared" si="10"/>
        <v>1.0504722222222224E-3</v>
      </c>
      <c r="H26" s="11">
        <f t="shared" si="11"/>
        <v>1.0833333333333333E-3</v>
      </c>
      <c r="I26" s="11">
        <f t="shared" si="12"/>
        <v>1.1295400238948627E-3</v>
      </c>
      <c r="J26" s="11">
        <f t="shared" si="13"/>
        <v>1.1418176328502417E-3</v>
      </c>
      <c r="K26" s="11">
        <f t="shared" si="14"/>
        <v>1.1937184343434346E-3</v>
      </c>
      <c r="L26" s="11">
        <f t="shared" si="15"/>
        <v>1.2505621693121695E-3</v>
      </c>
      <c r="M26" s="25">
        <f>WO2025Jan710814161822242830323438404244464854565862646668707274766812161820222628323440[[#This Row],[Thresh]]</f>
        <v>1.1937184343434346E-3</v>
      </c>
      <c r="N26" s="28">
        <f>WO2025Jan710814161822242830323438404244464854565862646668707274766812161820222628323440[[#This Row],[Thresh]]*2</f>
        <v>2.3874368686868691E-3</v>
      </c>
      <c r="O26" s="25">
        <f>WO2025Jan710814161822242830323438404244464854565862646668707274766812161820222628323440[[#This Row],[CV]]</f>
        <v>1.1418176328502417E-3</v>
      </c>
      <c r="P26" s="28">
        <f>WO2025Jan710814161822242830323438404244464854565862646668707274766812161820222628323440[[#This Row],[CV]]*2</f>
        <v>2.2836352657004833E-3</v>
      </c>
      <c r="Q26" s="25">
        <f>WO2025Jan710814161822242830323438404244464854565862646668707274766812161820222628323440[[#This Row],[VO2]]</f>
        <v>1.0504722222222224E-3</v>
      </c>
      <c r="R26" s="25"/>
      <c r="S26" s="25"/>
      <c r="T26" s="28"/>
      <c r="U26" s="11"/>
      <c r="V26" s="36"/>
      <c r="W26" s="15" t="s">
        <v>35</v>
      </c>
      <c r="X26" s="52"/>
    </row>
    <row r="27" spans="1:24" ht="21" customHeight="1">
      <c r="A27" s="10" t="s">
        <v>73</v>
      </c>
      <c r="B27" s="11">
        <v>1.3888888888888888E-2</v>
      </c>
      <c r="C27" s="11">
        <v>4.3981481481481484E-3</v>
      </c>
      <c r="D27" s="11">
        <f>B27*E27</f>
        <v>8.0805555555555544E-3</v>
      </c>
      <c r="E27" s="12">
        <v>0.58179999999999998</v>
      </c>
      <c r="F27" s="11">
        <f>C27/4</f>
        <v>1.0995370370370371E-3</v>
      </c>
      <c r="G27" s="11">
        <f>D27/7.5</f>
        <v>1.0774074074074074E-3</v>
      </c>
      <c r="H27" s="11">
        <f>B27/12.5</f>
        <v>1.1111111111111111E-3</v>
      </c>
      <c r="I27" s="11">
        <f>G27/0.93</f>
        <v>1.1585025886101153E-3</v>
      </c>
      <c r="J27" s="11">
        <f>G27/0.92</f>
        <v>1.1710950080515297E-3</v>
      </c>
      <c r="K27" s="11">
        <f>G27/0.88</f>
        <v>1.2243265993265992E-3</v>
      </c>
      <c r="L27" s="11">
        <f>G27/0.84</f>
        <v>1.2826278659611992E-3</v>
      </c>
      <c r="M27" s="25">
        <f>WO2025Jan710814161822242830323438404244464854565862646668707274766812161820222628323440[[#This Row],[Thresh]]</f>
        <v>1.2243265993265992E-3</v>
      </c>
      <c r="N27" s="28">
        <f>WO2025Jan710814161822242830323438404244464854565862646668707274766812161820222628323440[[#This Row],[Thresh]]*2</f>
        <v>2.4486531986531983E-3</v>
      </c>
      <c r="O27" s="25">
        <f>WO2025Jan710814161822242830323438404244464854565862646668707274766812161820222628323440[[#This Row],[CV]]</f>
        <v>1.1710950080515297E-3</v>
      </c>
      <c r="P27" s="28">
        <f>WO2025Jan710814161822242830323438404244464854565862646668707274766812161820222628323440[[#This Row],[CV]]*2</f>
        <v>2.3421900161030595E-3</v>
      </c>
      <c r="Q27" s="25">
        <f>WO2025Jan710814161822242830323438404244464854565862646668707274766812161820222628323440[[#This Row],[VO2]]</f>
        <v>1.0774074074074074E-3</v>
      </c>
      <c r="R27" s="25"/>
      <c r="S27" s="25"/>
      <c r="T27" s="28"/>
      <c r="U27" s="11"/>
      <c r="V27" s="36"/>
      <c r="W27" s="15" t="s">
        <v>35</v>
      </c>
      <c r="X27" s="52"/>
    </row>
    <row r="28" spans="1:24" ht="21" customHeight="1">
      <c r="A28" s="39"/>
      <c r="B28" s="40"/>
      <c r="C28" s="40"/>
      <c r="D28" s="40"/>
      <c r="E28" s="41"/>
      <c r="F28" s="40"/>
      <c r="G28" s="40"/>
      <c r="H28" s="40"/>
      <c r="I28" s="40"/>
      <c r="J28" s="40"/>
      <c r="K28" s="40"/>
      <c r="L28" s="40"/>
      <c r="M28" s="40" t="s">
        <v>39</v>
      </c>
      <c r="N28" s="40"/>
      <c r="O28" s="40"/>
      <c r="P28" s="40">
        <f>WO2025Jan710814161822242830323438404244464854565862646668707274766812161820222628323440[[#This Row],[CV]]*2</f>
        <v>0</v>
      </c>
      <c r="Q28" s="40">
        <f>WO2025Jan710814161822242830323438404244464854565862646668707274766812161820222628323440[[#This Row],[VO2]]</f>
        <v>0</v>
      </c>
      <c r="R28" s="40"/>
      <c r="S28" s="40"/>
      <c r="T28" s="40"/>
      <c r="U28" s="40"/>
      <c r="V28" s="40"/>
      <c r="W28" s="42"/>
      <c r="X28" s="52"/>
    </row>
    <row r="29" spans="1:24" ht="21" customHeight="1" thickBot="1">
      <c r="A29" s="10"/>
      <c r="B29" s="11"/>
      <c r="C29" s="11"/>
      <c r="D29" s="11"/>
      <c r="E29" s="12"/>
      <c r="F29" s="11"/>
      <c r="G29" s="11"/>
      <c r="H29" s="11"/>
      <c r="I29" s="11"/>
      <c r="J29" s="11"/>
      <c r="K29" s="11"/>
      <c r="L29" s="11"/>
      <c r="M29" s="25"/>
      <c r="N29" s="28"/>
      <c r="O29" s="25"/>
      <c r="P29" s="11"/>
      <c r="Q29" s="14"/>
      <c r="R29" s="11"/>
      <c r="S29" s="14"/>
      <c r="T29" s="14"/>
      <c r="U29" s="14"/>
      <c r="V29" s="17"/>
      <c r="W29" s="18"/>
      <c r="X29" s="52"/>
    </row>
    <row r="30" spans="1:24" ht="21" customHeight="1">
      <c r="A30" s="1" t="s">
        <v>194</v>
      </c>
      <c r="B30" s="6"/>
      <c r="C30" s="6"/>
      <c r="D30" s="6"/>
      <c r="E30" s="20"/>
      <c r="F30" s="6"/>
      <c r="G30" s="6"/>
      <c r="H30" s="6"/>
      <c r="I30" s="6"/>
      <c r="J30" s="6"/>
      <c r="K30" s="6"/>
      <c r="L30" s="6"/>
      <c r="M30" s="6" t="s">
        <v>12</v>
      </c>
      <c r="N30" s="6" t="s">
        <v>145</v>
      </c>
      <c r="O30" s="6" t="s">
        <v>153</v>
      </c>
      <c r="P30" s="6" t="s">
        <v>158</v>
      </c>
      <c r="Q30" s="6"/>
      <c r="R30" s="6"/>
      <c r="S30" s="6"/>
      <c r="T30" s="6"/>
      <c r="U30" s="6"/>
      <c r="V30" s="21"/>
      <c r="W30" s="35"/>
      <c r="X30" s="52"/>
    </row>
    <row r="31" spans="1:24" ht="21" customHeight="1">
      <c r="A31" s="10" t="s">
        <v>36</v>
      </c>
      <c r="B31" s="11">
        <v>1.2615740740740742E-2</v>
      </c>
      <c r="C31" s="11">
        <v>3.6458333333333334E-3</v>
      </c>
      <c r="D31" s="11">
        <f>B31*E31</f>
        <v>7.3398379629629629E-3</v>
      </c>
      <c r="E31" s="12">
        <v>0.58179999999999998</v>
      </c>
      <c r="F31" s="11">
        <f>C31/4</f>
        <v>9.1145833333333335E-4</v>
      </c>
      <c r="G31" s="11">
        <f>D31/7.5</f>
        <v>9.7864506172839496E-4</v>
      </c>
      <c r="H31" s="11">
        <f>B31/12.5</f>
        <v>1.0092592592592592E-3</v>
      </c>
      <c r="I31" s="11">
        <f>G31/0.93</f>
        <v>1.0523065179875214E-3</v>
      </c>
      <c r="J31" s="11">
        <f>G31/0.92</f>
        <v>1.0637446323134728E-3</v>
      </c>
      <c r="K31" s="11">
        <f>G31/0.88</f>
        <v>1.1120966610549943E-3</v>
      </c>
      <c r="L31" s="11">
        <f>G31/0.84</f>
        <v>1.165053644914756E-3</v>
      </c>
      <c r="M31" s="25">
        <f>WO2025Jan710814161822242830323438404244464854565862646668707274766812161820222628323440[[#This Row],[Thresh]]</f>
        <v>1.1120966610549943E-3</v>
      </c>
      <c r="N31" s="28">
        <f>WO2025Jan710814161822242830323438404244464854565862646668707274766812161820222628323440[[#This Row],[Thresh]]*1.5</f>
        <v>1.6681449915824913E-3</v>
      </c>
      <c r="O31" s="25">
        <f>WO2025Jan710814161822242830323438404244464854565862646668707274766812161820222628323440[[#This Row],[R]]/2</f>
        <v>4.5572916666666667E-4</v>
      </c>
      <c r="P31" s="28">
        <f>WO2025Jan710814161822242830323438404244464854565862646668707274766812161820222628323440[[#This Row],[VO2]]</f>
        <v>9.7864506172839496E-4</v>
      </c>
      <c r="Q31" s="25"/>
      <c r="R31" s="25"/>
      <c r="S31" s="25"/>
      <c r="T31" s="28"/>
      <c r="U31" s="11"/>
      <c r="V31" s="36"/>
      <c r="W31" s="15" t="s">
        <v>48</v>
      </c>
      <c r="X31" s="52" t="s">
        <v>160</v>
      </c>
    </row>
    <row r="32" spans="1:24" ht="21" customHeight="1">
      <c r="A32" s="10" t="s">
        <v>50</v>
      </c>
      <c r="B32" s="11">
        <v>1.3020833333333334E-2</v>
      </c>
      <c r="C32" s="11">
        <v>3.7037037037037038E-3</v>
      </c>
      <c r="D32" s="11">
        <f t="shared" ref="D32:D35" si="16">B32*E32</f>
        <v>7.5755208333333334E-3</v>
      </c>
      <c r="E32" s="12">
        <v>0.58179999999999998</v>
      </c>
      <c r="F32" s="11">
        <f t="shared" ref="F32:F35" si="17">C32/4</f>
        <v>9.2592592592592596E-4</v>
      </c>
      <c r="G32" s="11">
        <f t="shared" ref="G32:G35" si="18">D32/7.5</f>
        <v>1.0100694444444445E-3</v>
      </c>
      <c r="H32" s="11">
        <f t="shared" ref="H32:H35" si="19">B32/12.5</f>
        <v>1.0416666666666667E-3</v>
      </c>
      <c r="I32" s="11">
        <f t="shared" ref="I32:I35" si="20">G32/0.93</f>
        <v>1.0860961768219832E-3</v>
      </c>
      <c r="J32" s="11">
        <f t="shared" ref="J32:J35" si="21">G32/0.92</f>
        <v>1.0979015700483092E-3</v>
      </c>
      <c r="K32" s="11">
        <f t="shared" ref="K32:K35" si="22">G32/0.88</f>
        <v>1.1478061868686869E-3</v>
      </c>
      <c r="L32" s="11">
        <f t="shared" ref="L32:L35" si="23">G32/0.84</f>
        <v>1.2024636243386244E-3</v>
      </c>
      <c r="M32" s="25">
        <f>WO2025Jan710814161822242830323438404244464854565862646668707274766812161820222628323440[[#This Row],[Thresh]]</f>
        <v>1.1478061868686869E-3</v>
      </c>
      <c r="N32" s="28">
        <f>WO2025Jan710814161822242830323438404244464854565862646668707274766812161820222628323440[[#This Row],[Thresh]]*1.5</f>
        <v>1.7217092803030304E-3</v>
      </c>
      <c r="O32" s="25">
        <f>WO2025Jan710814161822242830323438404244464854565862646668707274766812161820222628323440[[#This Row],[R]]/2</f>
        <v>4.6296296296296298E-4</v>
      </c>
      <c r="P32" s="28">
        <f>WO2025Jan710814161822242830323438404244464854565862646668707274766812161820222628323440[[#This Row],[VO2]]</f>
        <v>1.0100694444444445E-3</v>
      </c>
      <c r="Q32" s="25"/>
      <c r="R32" s="25"/>
      <c r="S32" s="25"/>
      <c r="T32" s="28"/>
      <c r="U32" s="11"/>
      <c r="V32" s="36"/>
      <c r="W32" s="15" t="s">
        <v>48</v>
      </c>
      <c r="X32" s="52"/>
    </row>
    <row r="33" spans="1:24" ht="21" customHeight="1">
      <c r="A33" s="10" t="s">
        <v>47</v>
      </c>
      <c r="B33" s="11">
        <v>1.3020833333333334E-2</v>
      </c>
      <c r="C33" s="11">
        <v>3.7037037037037038E-3</v>
      </c>
      <c r="D33" s="11">
        <f t="shared" si="16"/>
        <v>7.5755208333333334E-3</v>
      </c>
      <c r="E33" s="12">
        <v>0.58179999999999998</v>
      </c>
      <c r="F33" s="11">
        <f t="shared" si="17"/>
        <v>9.2592592592592596E-4</v>
      </c>
      <c r="G33" s="11">
        <f t="shared" si="18"/>
        <v>1.0100694444444445E-3</v>
      </c>
      <c r="H33" s="11">
        <f t="shared" si="19"/>
        <v>1.0416666666666667E-3</v>
      </c>
      <c r="I33" s="11">
        <f t="shared" si="20"/>
        <v>1.0860961768219832E-3</v>
      </c>
      <c r="J33" s="11">
        <f t="shared" si="21"/>
        <v>1.0979015700483092E-3</v>
      </c>
      <c r="K33" s="11">
        <f t="shared" si="22"/>
        <v>1.1478061868686869E-3</v>
      </c>
      <c r="L33" s="11">
        <f t="shared" si="23"/>
        <v>1.2024636243386244E-3</v>
      </c>
      <c r="M33" s="25">
        <f>WO2025Jan710814161822242830323438404244464854565862646668707274766812161820222628323440[[#This Row],[Thresh]]</f>
        <v>1.1478061868686869E-3</v>
      </c>
      <c r="N33" s="28">
        <f>WO2025Jan710814161822242830323438404244464854565862646668707274766812161820222628323440[[#This Row],[Thresh]]*1.5</f>
        <v>1.7217092803030304E-3</v>
      </c>
      <c r="O33" s="25">
        <f>WO2025Jan710814161822242830323438404244464854565862646668707274766812161820222628323440[[#This Row],[R]]/2</f>
        <v>4.6296296296296298E-4</v>
      </c>
      <c r="P33" s="28">
        <f>WO2025Jan710814161822242830323438404244464854565862646668707274766812161820222628323440[[#This Row],[VO2]]</f>
        <v>1.0100694444444445E-3</v>
      </c>
      <c r="Q33" s="25"/>
      <c r="R33" s="25"/>
      <c r="S33" s="25"/>
      <c r="T33" s="28"/>
      <c r="U33" s="11"/>
      <c r="V33" s="36"/>
      <c r="W33" s="15" t="s">
        <v>48</v>
      </c>
      <c r="X33" s="52"/>
    </row>
    <row r="34" spans="1:24" ht="21" customHeight="1">
      <c r="A34" s="10" t="s">
        <v>75</v>
      </c>
      <c r="B34" s="11">
        <v>1.3541666666666667E-2</v>
      </c>
      <c r="C34" s="11">
        <v>3.8194444444444443E-3</v>
      </c>
      <c r="D34" s="11">
        <f>B34*E34</f>
        <v>7.8785416666666674E-3</v>
      </c>
      <c r="E34" s="12">
        <v>0.58179999999999998</v>
      </c>
      <c r="F34" s="11">
        <f>C34/4</f>
        <v>9.5486111111111108E-4</v>
      </c>
      <c r="G34" s="11">
        <f>D34/7.5</f>
        <v>1.0504722222222224E-3</v>
      </c>
      <c r="H34" s="11">
        <f>B34/12.5</f>
        <v>1.0833333333333333E-3</v>
      </c>
      <c r="I34" s="11">
        <f>G34/0.93</f>
        <v>1.1295400238948627E-3</v>
      </c>
      <c r="J34" s="11">
        <f>G34/0.92</f>
        <v>1.1418176328502417E-3</v>
      </c>
      <c r="K34" s="11">
        <f>G34/0.88</f>
        <v>1.1937184343434346E-3</v>
      </c>
      <c r="L34" s="11">
        <f>G34/0.84</f>
        <v>1.2505621693121695E-3</v>
      </c>
      <c r="M34" s="25">
        <f>WO2025Jan710814161822242830323438404244464854565862646668707274766812161820222628323440[[#This Row],[Thresh]]</f>
        <v>1.1937184343434346E-3</v>
      </c>
      <c r="N34" s="28">
        <f>WO2025Jan710814161822242830323438404244464854565862646668707274766812161820222628323440[[#This Row],[Thresh]]*1.5</f>
        <v>1.790577651515152E-3</v>
      </c>
      <c r="O34" s="25">
        <f>WO2025Jan710814161822242830323438404244464854565862646668707274766812161820222628323440[[#This Row],[R]]/2</f>
        <v>4.7743055555555554E-4</v>
      </c>
      <c r="P34" s="28">
        <f>WO2025Jan710814161822242830323438404244464854565862646668707274766812161820222628323440[[#This Row],[VO2]]</f>
        <v>1.0504722222222224E-3</v>
      </c>
      <c r="Q34" s="25"/>
      <c r="R34" s="25"/>
      <c r="S34" s="25"/>
      <c r="T34" s="28"/>
      <c r="U34" s="11"/>
      <c r="V34" s="36"/>
      <c r="W34" s="15" t="s">
        <v>48</v>
      </c>
      <c r="X34" s="52"/>
    </row>
    <row r="35" spans="1:24" ht="21" customHeight="1">
      <c r="A35" s="10" t="s">
        <v>198</v>
      </c>
      <c r="B35" s="11">
        <v>1.4583333333333334E-2</v>
      </c>
      <c r="C35" s="11">
        <v>4.1666666666666666E-3</v>
      </c>
      <c r="D35" s="11">
        <f t="shared" si="16"/>
        <v>8.4845833333333336E-3</v>
      </c>
      <c r="E35" s="12">
        <v>0.58179999999999998</v>
      </c>
      <c r="F35" s="11">
        <f t="shared" si="17"/>
        <v>1.0416666666666667E-3</v>
      </c>
      <c r="G35" s="11">
        <f t="shared" si="18"/>
        <v>1.1312777777777777E-3</v>
      </c>
      <c r="H35" s="11">
        <f t="shared" si="19"/>
        <v>1.1666666666666668E-3</v>
      </c>
      <c r="I35" s="11">
        <f t="shared" si="20"/>
        <v>1.2164277180406211E-3</v>
      </c>
      <c r="J35" s="11">
        <f t="shared" si="21"/>
        <v>1.2296497584541061E-3</v>
      </c>
      <c r="K35" s="11">
        <f t="shared" si="22"/>
        <v>1.2855429292929293E-3</v>
      </c>
      <c r="L35" s="11">
        <f t="shared" si="23"/>
        <v>1.3467592592592591E-3</v>
      </c>
      <c r="M35" s="25">
        <f>WO2025Jan710814161822242830323438404244464854565862646668707274766812161820222628323440[[#This Row],[Thresh]]</f>
        <v>1.2855429292929293E-3</v>
      </c>
      <c r="N35" s="28">
        <f>WO2025Jan710814161822242830323438404244464854565862646668707274766812161820222628323440[[#This Row],[Thresh]]*1.5</f>
        <v>1.9283143939393939E-3</v>
      </c>
      <c r="O35" s="25">
        <f>WO2025Jan710814161822242830323438404244464854565862646668707274766812161820222628323440[[#This Row],[R]]/2</f>
        <v>5.2083333333333333E-4</v>
      </c>
      <c r="P35" s="28">
        <f>WO2025Jan710814161822242830323438404244464854565862646668707274766812161820222628323440[[#This Row],[VO2]]</f>
        <v>1.1312777777777777E-3</v>
      </c>
      <c r="Q35" s="25"/>
      <c r="R35" s="25"/>
      <c r="S35" s="25"/>
      <c r="T35" s="28"/>
      <c r="U35" s="11"/>
      <c r="V35" s="36"/>
      <c r="W35" s="15" t="s">
        <v>48</v>
      </c>
      <c r="X35" s="52"/>
    </row>
    <row r="36" spans="1:24" ht="21" customHeight="1">
      <c r="A36" s="10"/>
      <c r="B36" s="11"/>
      <c r="C36" s="11"/>
      <c r="D36" s="11"/>
      <c r="E36" s="12"/>
      <c r="F36" s="11"/>
      <c r="G36" s="11"/>
      <c r="H36" s="11"/>
      <c r="I36" s="11"/>
      <c r="J36" s="11"/>
      <c r="K36" s="11"/>
      <c r="L36" s="11"/>
      <c r="M36" s="13"/>
      <c r="N36" s="11"/>
      <c r="O36" s="11"/>
      <c r="P36" s="11"/>
      <c r="Q36" s="14"/>
      <c r="R36" s="11"/>
      <c r="S36" s="14"/>
      <c r="T36" s="14"/>
      <c r="U36" s="14"/>
      <c r="V36" s="17"/>
      <c r="W36" s="18"/>
      <c r="X36" s="52"/>
    </row>
    <row r="37" spans="1:24" ht="21" customHeight="1">
      <c r="A37" s="19"/>
      <c r="B37" s="6"/>
      <c r="C37" s="6"/>
      <c r="D37" s="6"/>
      <c r="E37" s="20"/>
      <c r="F37" s="6"/>
      <c r="G37" s="6"/>
      <c r="H37" s="6"/>
      <c r="I37" s="6"/>
      <c r="J37" s="6"/>
      <c r="K37" s="6"/>
      <c r="L37" s="6"/>
      <c r="M37" s="6"/>
      <c r="N37" s="6"/>
      <c r="O37" s="6"/>
      <c r="P37" s="6"/>
      <c r="Q37" s="6"/>
      <c r="R37" s="6"/>
      <c r="S37" s="6"/>
      <c r="T37" s="6"/>
      <c r="U37" s="6"/>
      <c r="V37" s="6"/>
      <c r="W37" s="35"/>
      <c r="X37" s="52"/>
    </row>
    <row r="38" spans="1:24" ht="21" customHeight="1">
      <c r="A38" s="10" t="s">
        <v>51</v>
      </c>
      <c r="B38" s="11">
        <v>1.2615740740740742E-2</v>
      </c>
      <c r="C38" s="11">
        <v>3.5879629629629629E-3</v>
      </c>
      <c r="D38" s="11">
        <f>B38*E38</f>
        <v>7.3398379629629629E-3</v>
      </c>
      <c r="E38" s="12">
        <v>0.58179999999999998</v>
      </c>
      <c r="F38" s="11">
        <f>C38/4</f>
        <v>8.9699074074074073E-4</v>
      </c>
      <c r="G38" s="11">
        <f>D38/7.5</f>
        <v>9.7864506172839496E-4</v>
      </c>
      <c r="H38" s="11">
        <f>B38/12.5</f>
        <v>1.0092592592592592E-3</v>
      </c>
      <c r="I38" s="11">
        <f>G38/0.93</f>
        <v>1.0523065179875214E-3</v>
      </c>
      <c r="J38" s="11">
        <f>G38/0.92</f>
        <v>1.0637446323134728E-3</v>
      </c>
      <c r="K38" s="11">
        <f>G38/0.88</f>
        <v>1.1120966610549943E-3</v>
      </c>
      <c r="L38" s="11">
        <f>G38/0.84</f>
        <v>1.165053644914756E-3</v>
      </c>
      <c r="M38" s="25"/>
      <c r="N38" s="28"/>
      <c r="O38" s="25"/>
      <c r="P38" s="28"/>
      <c r="Q38" s="25"/>
      <c r="R38" s="25"/>
      <c r="S38" s="25"/>
      <c r="T38" s="28"/>
      <c r="U38" s="11"/>
      <c r="V38" s="36"/>
      <c r="W38" s="15" t="s">
        <v>52</v>
      </c>
      <c r="X38" s="52"/>
    </row>
    <row r="39" spans="1:24" ht="21" customHeight="1">
      <c r="A39" s="10" t="s">
        <v>76</v>
      </c>
      <c r="B39" s="11">
        <v>1.3541666666666667E-2</v>
      </c>
      <c r="C39" s="11">
        <v>4.0509259259259257E-3</v>
      </c>
      <c r="D39" s="11">
        <f>B39*E39</f>
        <v>7.8785416666666674E-3</v>
      </c>
      <c r="E39" s="12">
        <v>0.58179999999999998</v>
      </c>
      <c r="F39" s="11">
        <f>C39/4</f>
        <v>1.0127314814814814E-3</v>
      </c>
      <c r="G39" s="11">
        <f>D39/7.5</f>
        <v>1.0504722222222224E-3</v>
      </c>
      <c r="H39" s="11">
        <f>B39/12.5</f>
        <v>1.0833333333333333E-3</v>
      </c>
      <c r="I39" s="11">
        <f>G39/0.93</f>
        <v>1.1295400238948627E-3</v>
      </c>
      <c r="J39" s="11">
        <f>G39/0.92</f>
        <v>1.1418176328502417E-3</v>
      </c>
      <c r="K39" s="11">
        <f>G39/0.88</f>
        <v>1.1937184343434346E-3</v>
      </c>
      <c r="L39" s="11">
        <f>G39/0.84</f>
        <v>1.2505621693121695E-3</v>
      </c>
      <c r="M39" s="25"/>
      <c r="N39" s="28"/>
      <c r="O39" s="25"/>
      <c r="P39" s="28"/>
      <c r="Q39" s="25"/>
      <c r="R39" s="25"/>
      <c r="S39" s="25"/>
      <c r="T39" s="28"/>
      <c r="U39" s="11"/>
      <c r="V39" s="36"/>
      <c r="W39" s="15" t="s">
        <v>52</v>
      </c>
      <c r="X39" s="52"/>
    </row>
    <row r="40" spans="1:24" ht="21" customHeight="1">
      <c r="A40" s="10" t="s">
        <v>57</v>
      </c>
      <c r="B40" s="11"/>
      <c r="C40" s="11"/>
      <c r="D40" s="11"/>
      <c r="E40" s="12"/>
      <c r="F40" s="11"/>
      <c r="G40" s="11"/>
      <c r="H40" s="11"/>
      <c r="I40" s="11"/>
      <c r="J40" s="11"/>
      <c r="K40" s="11"/>
      <c r="L40" s="11"/>
      <c r="M40" s="25"/>
      <c r="N40" s="28"/>
      <c r="O40" s="25"/>
      <c r="P40" s="28"/>
      <c r="Q40" s="25"/>
      <c r="R40" s="28"/>
      <c r="S40" s="28"/>
      <c r="T40" s="11"/>
      <c r="U40" s="11"/>
      <c r="V40" s="11"/>
      <c r="W40" s="15" t="s">
        <v>52</v>
      </c>
      <c r="X40" s="52"/>
    </row>
    <row r="41" spans="1:24" ht="21" customHeight="1">
      <c r="A41" s="10" t="s">
        <v>61</v>
      </c>
      <c r="B41" s="11">
        <v>1.4583333333333334E-2</v>
      </c>
      <c r="C41" s="11">
        <v>4.3981481481481484E-3</v>
      </c>
      <c r="D41" s="11">
        <f>B41*E41</f>
        <v>8.4845833333333336E-3</v>
      </c>
      <c r="E41" s="12">
        <v>0.58179999999999998</v>
      </c>
      <c r="F41" s="11">
        <f>C41/4</f>
        <v>1.0995370370370371E-3</v>
      </c>
      <c r="G41" s="11">
        <f>D41/7.5</f>
        <v>1.1312777777777777E-3</v>
      </c>
      <c r="H41" s="11">
        <f>B41/12.5</f>
        <v>1.1666666666666668E-3</v>
      </c>
      <c r="I41" s="11">
        <f>G41/0.93</f>
        <v>1.2164277180406211E-3</v>
      </c>
      <c r="J41" s="11">
        <f>G41/0.92</f>
        <v>1.2296497584541061E-3</v>
      </c>
      <c r="K41" s="11">
        <f>G41/0.88</f>
        <v>1.2855429292929293E-3</v>
      </c>
      <c r="L41" s="11">
        <f>G41/0.84</f>
        <v>1.3467592592592591E-3</v>
      </c>
      <c r="M41" s="25"/>
      <c r="N41" s="28"/>
      <c r="O41" s="25"/>
      <c r="P41" s="25"/>
      <c r="Q41" s="25"/>
      <c r="R41" s="25"/>
      <c r="S41" s="28"/>
      <c r="T41" s="28"/>
      <c r="U41" s="28"/>
      <c r="V41" s="28"/>
      <c r="W41" s="15" t="s">
        <v>52</v>
      </c>
      <c r="X41" s="52"/>
    </row>
    <row r="42" spans="1:24" ht="21" customHeight="1">
      <c r="A42" s="10" t="s">
        <v>53</v>
      </c>
      <c r="B42" s="11">
        <v>1.2731481481481481E-2</v>
      </c>
      <c r="C42" s="11">
        <v>3.7615740740740739E-3</v>
      </c>
      <c r="D42" s="11">
        <f>B42*E42</f>
        <v>7.4071759259259256E-3</v>
      </c>
      <c r="E42" s="12">
        <v>0.58179999999999998</v>
      </c>
      <c r="F42" s="11">
        <f>C42/4</f>
        <v>9.4039351851851847E-4</v>
      </c>
      <c r="G42" s="11">
        <f>D42/7.5</f>
        <v>9.8762345679012349E-4</v>
      </c>
      <c r="H42" s="11">
        <f>B42/12.5</f>
        <v>1.0185185185185184E-3</v>
      </c>
      <c r="I42" s="11">
        <f>G42/0.93</f>
        <v>1.0619607062259391E-3</v>
      </c>
      <c r="J42" s="11">
        <f>G42/0.92</f>
        <v>1.073503757380569E-3</v>
      </c>
      <c r="K42" s="11">
        <f>G42/0.88</f>
        <v>1.1222993827160494E-3</v>
      </c>
      <c r="L42" s="11">
        <f>G42/0.84</f>
        <v>1.1757422104644328E-3</v>
      </c>
      <c r="M42" s="25"/>
      <c r="N42" s="28"/>
      <c r="O42" s="25"/>
      <c r="P42" s="28"/>
      <c r="Q42" s="25"/>
      <c r="R42" s="25"/>
      <c r="S42" s="25"/>
      <c r="T42" s="28"/>
      <c r="U42" s="25"/>
      <c r="V42" s="25"/>
      <c r="W42" s="18" t="s">
        <v>52</v>
      </c>
      <c r="X42" s="52"/>
    </row>
    <row r="43" spans="1:24" ht="21" customHeight="1">
      <c r="A43" s="10"/>
      <c r="B43" s="11"/>
      <c r="C43" s="11"/>
      <c r="D43" s="11"/>
      <c r="E43" s="12"/>
      <c r="F43" s="11"/>
      <c r="G43" s="11"/>
      <c r="H43" s="11"/>
      <c r="I43" s="11"/>
      <c r="J43" s="11"/>
      <c r="K43" s="11"/>
      <c r="L43" s="11"/>
      <c r="M43" s="45"/>
      <c r="N43" s="11"/>
      <c r="O43" s="11"/>
      <c r="P43" s="11"/>
      <c r="Q43" s="14"/>
      <c r="R43" s="11"/>
      <c r="S43" s="14"/>
      <c r="T43" s="11"/>
      <c r="U43" s="14"/>
      <c r="V43" s="17"/>
      <c r="W43" s="18"/>
      <c r="X43" s="52"/>
    </row>
    <row r="44" spans="1:24" ht="21" customHeight="1">
      <c r="A44" s="10"/>
      <c r="B44" s="11"/>
      <c r="C44" s="11"/>
      <c r="D44" s="11"/>
      <c r="E44" s="12"/>
      <c r="F44" s="11"/>
      <c r="G44" s="11"/>
      <c r="H44" s="11"/>
      <c r="I44" s="11"/>
      <c r="J44" s="11"/>
      <c r="K44" s="11"/>
      <c r="L44" s="11"/>
      <c r="M44" s="25"/>
      <c r="N44" s="28"/>
      <c r="O44" s="25"/>
      <c r="P44" s="28"/>
      <c r="Q44" s="25"/>
      <c r="R44" s="11"/>
      <c r="S44" s="14"/>
      <c r="T44" s="11"/>
      <c r="U44" s="11"/>
      <c r="V44" s="17"/>
      <c r="W44" s="18"/>
      <c r="X44" s="52"/>
    </row>
    <row r="45" spans="1:24" ht="21" customHeight="1">
      <c r="A45" s="10"/>
      <c r="B45" s="11"/>
      <c r="C45" s="11"/>
      <c r="D45" s="11"/>
      <c r="E45" s="12"/>
      <c r="F45" s="11"/>
      <c r="G45" s="11"/>
      <c r="H45" s="11"/>
      <c r="I45" s="11"/>
      <c r="J45" s="11"/>
      <c r="K45" s="11"/>
      <c r="L45" s="11"/>
      <c r="M45" s="45"/>
      <c r="N45" s="11"/>
      <c r="O45" s="11"/>
      <c r="P45" s="11"/>
      <c r="Q45" s="14"/>
      <c r="R45" s="11"/>
      <c r="S45" s="14"/>
      <c r="T45" s="11"/>
      <c r="U45" s="14"/>
      <c r="V45" s="17"/>
      <c r="W45" s="18"/>
      <c r="X45" s="52"/>
    </row>
    <row r="46" spans="1:24" ht="21" customHeight="1">
      <c r="A46" s="10"/>
      <c r="B46" s="11"/>
      <c r="C46" s="11"/>
      <c r="D46" s="11"/>
      <c r="E46" s="12"/>
      <c r="F46" s="11"/>
      <c r="G46" s="11"/>
      <c r="H46" s="11"/>
      <c r="I46" s="11"/>
      <c r="J46" s="11"/>
      <c r="K46" s="11"/>
      <c r="L46" s="11"/>
      <c r="M46" s="14"/>
      <c r="N46" s="11"/>
      <c r="O46" s="14"/>
      <c r="P46" s="11"/>
      <c r="Q46" s="14"/>
      <c r="R46" s="11"/>
      <c r="S46" s="14"/>
      <c r="T46" s="14"/>
      <c r="U46" s="14"/>
      <c r="V46" s="11"/>
      <c r="W46" s="15"/>
      <c r="X46" s="52"/>
    </row>
    <row r="47" spans="1:24" ht="21" customHeight="1">
      <c r="A47" s="10"/>
      <c r="B47" s="11"/>
      <c r="C47" s="11"/>
      <c r="D47" s="11"/>
      <c r="E47" s="12"/>
      <c r="F47" s="11"/>
      <c r="G47" s="11"/>
      <c r="H47" s="11"/>
      <c r="I47" s="11"/>
      <c r="J47" s="11"/>
      <c r="K47" s="11"/>
      <c r="L47" s="11"/>
      <c r="M47" s="14"/>
      <c r="O47" s="14"/>
      <c r="P47" s="11"/>
      <c r="Q47" s="14"/>
      <c r="R47" s="11"/>
      <c r="S47" s="14"/>
      <c r="T47" s="14"/>
      <c r="U47" s="14"/>
      <c r="V47" s="11"/>
      <c r="W47" s="15"/>
      <c r="X47" s="52"/>
    </row>
    <row r="48" spans="1:24" ht="21" customHeight="1">
      <c r="A48" s="10"/>
      <c r="B48" s="11"/>
      <c r="C48" s="11"/>
      <c r="D48" s="11"/>
      <c r="E48" s="12"/>
      <c r="F48" s="11"/>
      <c r="G48" s="11"/>
      <c r="H48" s="11"/>
      <c r="I48" s="11"/>
      <c r="J48" s="11"/>
      <c r="K48" s="11"/>
      <c r="L48" s="11"/>
      <c r="M48" s="13"/>
      <c r="N48" s="11"/>
      <c r="O48" s="11"/>
      <c r="P48" s="11"/>
      <c r="Q48" s="14"/>
      <c r="R48" s="11"/>
      <c r="S48" s="14"/>
      <c r="T48" s="14"/>
      <c r="U48" s="14"/>
      <c r="V48" s="17"/>
      <c r="W48" s="18"/>
      <c r="X48" s="52"/>
    </row>
    <row r="49" spans="1:24" ht="21" customHeight="1">
      <c r="A49" s="10"/>
      <c r="B49" s="11"/>
      <c r="C49" s="11"/>
      <c r="D49" s="11"/>
      <c r="E49" s="12"/>
      <c r="F49" s="11"/>
      <c r="G49" s="11"/>
      <c r="H49" s="11"/>
      <c r="I49" s="11"/>
      <c r="J49" s="11"/>
      <c r="K49" s="11"/>
      <c r="L49" s="11"/>
      <c r="M49" s="13"/>
      <c r="N49" s="11"/>
      <c r="O49" s="11"/>
      <c r="P49" s="11"/>
      <c r="Q49" s="14"/>
      <c r="R49" s="11"/>
      <c r="S49" s="14"/>
      <c r="T49" s="14"/>
      <c r="U49" s="14"/>
      <c r="V49" s="17"/>
      <c r="W49" s="18"/>
      <c r="X49" s="52"/>
    </row>
    <row r="50" spans="1:24" ht="21" customHeight="1">
      <c r="A50" s="10"/>
      <c r="B50" s="11"/>
      <c r="C50" s="11"/>
      <c r="D50" s="11"/>
      <c r="E50" s="12"/>
      <c r="F50" s="11"/>
      <c r="G50" s="11"/>
      <c r="H50" s="11"/>
      <c r="I50" s="11"/>
      <c r="J50" s="11"/>
      <c r="K50" s="11"/>
      <c r="L50" s="11"/>
      <c r="M50" s="14"/>
      <c r="N50" s="11"/>
      <c r="O50" s="14"/>
      <c r="P50" s="11"/>
      <c r="Q50" s="14"/>
      <c r="R50" s="11"/>
      <c r="S50" s="14"/>
      <c r="T50" s="14"/>
      <c r="U50" s="14"/>
      <c r="V50" s="11"/>
      <c r="W50" s="15"/>
      <c r="X50" s="52"/>
    </row>
    <row r="51" spans="1:24" ht="21" customHeight="1">
      <c r="A51" s="10"/>
      <c r="B51" s="11"/>
      <c r="C51" s="11"/>
      <c r="D51" s="11"/>
      <c r="E51" s="12"/>
      <c r="F51" s="11"/>
      <c r="G51" s="11"/>
      <c r="H51" s="11"/>
      <c r="I51" s="11"/>
      <c r="J51" s="11"/>
      <c r="K51" s="11"/>
      <c r="L51" s="17"/>
      <c r="M51" s="14"/>
      <c r="N51" s="11"/>
      <c r="O51" s="11"/>
      <c r="P51" s="11"/>
      <c r="Q51" s="14"/>
      <c r="R51" s="11"/>
      <c r="S51" s="14"/>
      <c r="T51" s="11"/>
      <c r="U51" s="11"/>
      <c r="V51" s="11"/>
      <c r="W51" s="15"/>
      <c r="X51" s="52"/>
    </row>
    <row r="52" spans="1:24" ht="21" customHeight="1">
      <c r="A52" s="10"/>
      <c r="B52" s="11"/>
      <c r="C52" s="11"/>
      <c r="D52" s="11"/>
      <c r="E52" s="12"/>
      <c r="F52" s="11"/>
      <c r="G52" s="11"/>
      <c r="H52" s="11"/>
      <c r="I52" s="11"/>
      <c r="J52" s="11"/>
      <c r="K52" s="11"/>
      <c r="L52" s="11"/>
      <c r="M52" s="13"/>
      <c r="N52" s="11"/>
      <c r="O52" s="11"/>
      <c r="P52" s="11"/>
      <c r="Q52" s="14"/>
      <c r="R52" s="11"/>
      <c r="S52" s="14"/>
      <c r="T52" s="14"/>
      <c r="U52" s="14"/>
      <c r="V52" s="17"/>
      <c r="W52" s="18"/>
      <c r="X52" s="52"/>
    </row>
    <row r="53" spans="1:24" ht="21" customHeight="1">
      <c r="A53" s="39"/>
      <c r="B53" s="40"/>
      <c r="C53" s="40"/>
      <c r="D53" s="40"/>
      <c r="E53" s="41"/>
      <c r="F53" s="40"/>
      <c r="G53" s="40"/>
      <c r="H53" s="40"/>
      <c r="I53" s="40"/>
      <c r="J53" s="40"/>
      <c r="K53" s="40"/>
      <c r="L53" s="40"/>
      <c r="M53" s="40"/>
      <c r="N53" s="40"/>
      <c r="O53" s="40"/>
      <c r="P53" s="40"/>
      <c r="Q53" s="40"/>
      <c r="R53" s="40"/>
      <c r="S53" s="40"/>
      <c r="T53" s="40"/>
      <c r="U53" s="40"/>
      <c r="V53" s="40"/>
      <c r="W53" s="42"/>
      <c r="X53" s="52"/>
    </row>
    <row r="54" spans="1:24" ht="21" customHeight="1">
      <c r="A54" s="39"/>
      <c r="B54" s="40"/>
      <c r="C54" s="40"/>
      <c r="D54" s="40"/>
      <c r="E54" s="41"/>
      <c r="F54" s="40"/>
      <c r="G54" s="40"/>
      <c r="H54" s="40"/>
      <c r="I54" s="40"/>
      <c r="J54" s="40"/>
      <c r="K54" s="40"/>
      <c r="L54" s="40"/>
      <c r="M54" s="40"/>
      <c r="N54" s="40"/>
      <c r="O54" s="40"/>
      <c r="P54" s="40"/>
      <c r="Q54" s="40"/>
      <c r="R54" s="40"/>
      <c r="S54" s="40"/>
      <c r="T54" s="40"/>
      <c r="U54" s="40"/>
      <c r="V54" s="40"/>
      <c r="W54" s="42"/>
      <c r="X54" s="52"/>
    </row>
    <row r="55" spans="1:24" ht="21" customHeight="1">
      <c r="A55" s="10"/>
      <c r="B55" s="11"/>
      <c r="C55" s="11"/>
      <c r="D55" s="11"/>
      <c r="E55" s="12"/>
      <c r="F55" s="11"/>
      <c r="G55" s="11"/>
      <c r="H55" s="11"/>
      <c r="I55" s="11"/>
      <c r="J55" s="11"/>
      <c r="K55" s="11"/>
      <c r="L55" s="11"/>
      <c r="M55" s="13"/>
      <c r="N55" s="11"/>
      <c r="O55" s="14"/>
      <c r="P55" s="11"/>
      <c r="Q55" s="14"/>
      <c r="R55" s="11"/>
      <c r="S55" s="14"/>
      <c r="T55" s="14"/>
      <c r="U55" s="14"/>
      <c r="V55" s="11"/>
      <c r="W55" s="18"/>
      <c r="X55" s="52"/>
    </row>
    <row r="56" spans="1:24" ht="21" customHeight="1">
      <c r="A56" s="10"/>
      <c r="B56" s="11"/>
      <c r="C56" s="11"/>
      <c r="D56" s="11"/>
      <c r="E56" s="12"/>
      <c r="F56" s="11"/>
      <c r="G56" s="11"/>
      <c r="H56" s="11"/>
      <c r="I56" s="11"/>
      <c r="J56" s="11"/>
      <c r="K56" s="11"/>
      <c r="L56" s="11"/>
      <c r="M56" s="13"/>
      <c r="N56" s="11"/>
      <c r="O56" s="11"/>
      <c r="P56" s="11"/>
      <c r="Q56" s="14"/>
      <c r="R56" s="11"/>
      <c r="S56" s="14"/>
      <c r="T56" s="14"/>
      <c r="U56" s="14"/>
      <c r="V56" s="17"/>
      <c r="W56" s="18"/>
      <c r="X56" s="52"/>
    </row>
    <row r="57" spans="1:24" ht="21" customHeight="1" thickBot="1">
      <c r="A57" s="10"/>
      <c r="B57" s="11"/>
      <c r="C57" s="11"/>
      <c r="D57" s="11"/>
      <c r="E57" s="12"/>
      <c r="F57" s="11"/>
      <c r="G57" s="11"/>
      <c r="H57" s="11"/>
      <c r="I57" s="11"/>
      <c r="J57" s="11"/>
      <c r="K57" s="11"/>
      <c r="L57" s="11"/>
      <c r="M57" s="13"/>
      <c r="N57" s="11"/>
      <c r="O57" s="11"/>
      <c r="P57" s="11"/>
      <c r="Q57" s="14"/>
      <c r="R57" s="11"/>
      <c r="S57" s="14"/>
      <c r="T57" s="14"/>
      <c r="U57" s="14"/>
      <c r="V57" s="17"/>
      <c r="W57" s="18"/>
      <c r="X57" s="52"/>
    </row>
    <row r="58" spans="1:24" ht="20.45" customHeight="1">
      <c r="A58" s="1" t="s">
        <v>194</v>
      </c>
      <c r="B58" s="2" t="s">
        <v>1</v>
      </c>
      <c r="C58" s="2" t="s">
        <v>2</v>
      </c>
      <c r="D58" s="2" t="s">
        <v>3</v>
      </c>
      <c r="E58" s="3" t="s">
        <v>4</v>
      </c>
      <c r="F58" s="2" t="s">
        <v>5</v>
      </c>
      <c r="G58" s="2" t="s">
        <v>6</v>
      </c>
      <c r="H58" s="2" t="s">
        <v>7</v>
      </c>
      <c r="I58" s="4" t="s">
        <v>8</v>
      </c>
      <c r="J58" s="2" t="s">
        <v>9</v>
      </c>
      <c r="K58" s="2" t="s">
        <v>10</v>
      </c>
      <c r="L58" s="2" t="s">
        <v>11</v>
      </c>
      <c r="M58" s="6" t="s">
        <v>12</v>
      </c>
      <c r="N58" s="6" t="s">
        <v>13</v>
      </c>
      <c r="O58" s="7" t="s">
        <v>14</v>
      </c>
      <c r="P58" s="8" t="s">
        <v>161</v>
      </c>
      <c r="Q58" s="8" t="s">
        <v>17</v>
      </c>
      <c r="R58" s="7" t="s">
        <v>199</v>
      </c>
      <c r="S58" s="7" t="s">
        <v>158</v>
      </c>
      <c r="T58" s="7" t="s">
        <v>77</v>
      </c>
      <c r="U58" s="7" t="s">
        <v>20</v>
      </c>
      <c r="V58" s="8" t="s">
        <v>21</v>
      </c>
      <c r="W58" s="24" t="s">
        <v>22</v>
      </c>
      <c r="X58" s="52" t="s">
        <v>200</v>
      </c>
    </row>
    <row r="59" spans="1:24" ht="20.45" customHeight="1">
      <c r="A59" s="10" t="s">
        <v>79</v>
      </c>
      <c r="B59" s="11">
        <v>1.0011574074074074E-2</v>
      </c>
      <c r="C59" s="11">
        <v>2.9745370370370373E-3</v>
      </c>
      <c r="D59" s="11">
        <f>B59*E59</f>
        <v>5.8247337962962957E-3</v>
      </c>
      <c r="E59" s="12">
        <v>0.58179999999999998</v>
      </c>
      <c r="F59" s="11">
        <f>C59/4</f>
        <v>7.4363425925925931E-4</v>
      </c>
      <c r="G59" s="11">
        <f>D59/7.5</f>
        <v>7.7663117283950612E-4</v>
      </c>
      <c r="H59" s="11">
        <f>B59/12.5</f>
        <v>8.0092592592592585E-4</v>
      </c>
      <c r="I59" s="11">
        <f>G59/0.93</f>
        <v>8.3508728262312486E-4</v>
      </c>
      <c r="J59" s="11">
        <f>G59/0.92</f>
        <v>8.4416431830381094E-4</v>
      </c>
      <c r="K59" s="11">
        <f>G59/0.88</f>
        <v>8.825354236812569E-4</v>
      </c>
      <c r="L59" s="11">
        <f>G59/0.84</f>
        <v>9.2456092004703113E-4</v>
      </c>
      <c r="M59" s="25">
        <f>WO2025Jan7men11915171923252931333539414345474955575963656769717375777913171921232729333541[[#This Row],[Thresh]]</f>
        <v>8.825354236812569E-4</v>
      </c>
      <c r="N59" s="28">
        <f>WO2025Jan7men11915171923252931333539414345474955575963656769717375777913171921232729333541[[#This Row],[Thresh]]*2.5</f>
        <v>2.2063385592031421E-3</v>
      </c>
      <c r="O59" s="25">
        <f>WO2025Jan7men11915171923252931333539414345474955575963656769717375777913171921232729333541[[#This Row],[CV]]</f>
        <v>8.4416431830381094E-4</v>
      </c>
      <c r="P59" s="28">
        <f>WO2025Jan7men11915171923252931333539414345474955575963656769717375777913171921232729333541[[#This Row],[CV]]*2.5</f>
        <v>2.1104107957595273E-3</v>
      </c>
      <c r="Q59" s="25">
        <f>WO2025Jan7men11915171923252931333539414345474955575963656769717375777913171921232729333541[[#This Row],[I]]</f>
        <v>8.0092592592592585E-4</v>
      </c>
      <c r="R59" s="28">
        <f>WO2025Jan7men11915171923252931333539414345474955575963656769717375777913171921232729333541[[#This Row],[I]]*2.5</f>
        <v>2.0023148148148144E-3</v>
      </c>
      <c r="S59" s="25">
        <f>WO2025Jan7men11915171923252931333539414345474955575963656769717375777913171921232729333541[[#This Row],[VO2]]</f>
        <v>7.7663117283950612E-4</v>
      </c>
      <c r="T59" s="25"/>
      <c r="U59" s="28"/>
      <c r="V59" s="25"/>
      <c r="W59" s="15" t="s">
        <v>26</v>
      </c>
      <c r="X59" s="52"/>
    </row>
    <row r="60" spans="1:24" ht="20.45" customHeight="1">
      <c r="A60" s="10" t="s">
        <v>109</v>
      </c>
      <c r="B60" s="11">
        <v>9.8379629629629633E-3</v>
      </c>
      <c r="C60" s="11">
        <v>2.9745370370370373E-3</v>
      </c>
      <c r="D60" s="11">
        <f>B60*E60</f>
        <v>5.7237268518518522E-3</v>
      </c>
      <c r="E60" s="12">
        <v>0.58179999999999998</v>
      </c>
      <c r="F60" s="11">
        <f>C60/4</f>
        <v>7.4363425925925931E-4</v>
      </c>
      <c r="G60" s="11">
        <f>D60/7.5</f>
        <v>7.6316358024691364E-4</v>
      </c>
      <c r="H60" s="11">
        <f>B60/12.5</f>
        <v>7.8703703703703705E-4</v>
      </c>
      <c r="I60" s="11">
        <f>G60/0.93</f>
        <v>8.2060600026549854E-4</v>
      </c>
      <c r="J60" s="11">
        <f>G60/0.92</f>
        <v>8.29525630703167E-4</v>
      </c>
      <c r="K60" s="11">
        <f>G60/0.88</f>
        <v>8.6723134118967459E-4</v>
      </c>
      <c r="L60" s="11">
        <f>G60/0.84</f>
        <v>9.085280717225163E-4</v>
      </c>
      <c r="M60" s="25">
        <f>WO2025Jan7men11915171923252931333539414345474955575963656769717375777913171921232729333541[[#This Row],[Thresh]]</f>
        <v>8.6723134118967459E-4</v>
      </c>
      <c r="N60" s="28">
        <f>WO2025Jan7men11915171923252931333539414345474955575963656769717375777913171921232729333541[[#This Row],[Thresh]]*2.5</f>
        <v>2.1680783529741867E-3</v>
      </c>
      <c r="O60" s="25">
        <f>WO2025Jan7men11915171923252931333539414345474955575963656769717375777913171921232729333541[[#This Row],[CV]]</f>
        <v>8.29525630703167E-4</v>
      </c>
      <c r="P60" s="28">
        <f>WO2025Jan7men11915171923252931333539414345474955575963656769717375777913171921232729333541[[#This Row],[CV]]*2.5</f>
        <v>2.0738140767579175E-3</v>
      </c>
      <c r="Q60" s="25">
        <f>WO2025Jan7men11915171923252931333539414345474955575963656769717375777913171921232729333541[[#This Row],[I]]</f>
        <v>7.8703703703703705E-4</v>
      </c>
      <c r="R60" s="28">
        <f>WO2025Jan7men11915171923252931333539414345474955575963656769717375777913171921232729333541[[#This Row],[I]]*2.5</f>
        <v>1.9675925925925928E-3</v>
      </c>
      <c r="S60" s="25">
        <f>WO2025Jan7men11915171923252931333539414345474955575963656769717375777913171921232729333541[[#This Row],[VO2]]</f>
        <v>7.6316358024691364E-4</v>
      </c>
      <c r="T60" s="25"/>
      <c r="U60" s="28"/>
      <c r="V60" s="25"/>
      <c r="W60" s="15" t="s">
        <v>201</v>
      </c>
      <c r="X60" s="52"/>
    </row>
    <row r="61" spans="1:24" ht="20.45" customHeight="1">
      <c r="A61" s="10" t="s">
        <v>80</v>
      </c>
      <c r="B61" s="11">
        <v>9.8379629629629633E-3</v>
      </c>
      <c r="C61" s="11">
        <v>2.8587962962962963E-3</v>
      </c>
      <c r="D61" s="11">
        <f>B61*E61</f>
        <v>5.7237268518518522E-3</v>
      </c>
      <c r="E61" s="12">
        <v>0.58179999999999998</v>
      </c>
      <c r="F61" s="11">
        <f>C61/4</f>
        <v>7.1469907407407409E-4</v>
      </c>
      <c r="G61" s="11">
        <f>D61/7.5</f>
        <v>7.6316358024691364E-4</v>
      </c>
      <c r="H61" s="11">
        <f>B61/12.5</f>
        <v>7.8703703703703705E-4</v>
      </c>
      <c r="I61" s="11">
        <f>G61/0.93</f>
        <v>8.2060600026549854E-4</v>
      </c>
      <c r="J61" s="11">
        <f>G61/0.92</f>
        <v>8.29525630703167E-4</v>
      </c>
      <c r="K61" s="11">
        <f>G61/0.88</f>
        <v>8.6723134118967459E-4</v>
      </c>
      <c r="L61" s="11">
        <f>G61/0.84</f>
        <v>9.085280717225163E-4</v>
      </c>
      <c r="M61" s="25">
        <f>WO2025Jan7men11915171923252931333539414345474955575963656769717375777913171921232729333541[[#This Row],[Thresh]]</f>
        <v>8.6723134118967459E-4</v>
      </c>
      <c r="N61" s="28">
        <f>WO2025Jan7men11915171923252931333539414345474955575963656769717375777913171921232729333541[[#This Row],[Thresh]]*2.5</f>
        <v>2.1680783529741867E-3</v>
      </c>
      <c r="O61" s="25">
        <f>WO2025Jan7men11915171923252931333539414345474955575963656769717375777913171921232729333541[[#This Row],[CV]]</f>
        <v>8.29525630703167E-4</v>
      </c>
      <c r="P61" s="28">
        <f>WO2025Jan7men11915171923252931333539414345474955575963656769717375777913171921232729333541[[#This Row],[CV]]*2.5</f>
        <v>2.0738140767579175E-3</v>
      </c>
      <c r="Q61" s="25">
        <f>WO2025Jan7men11915171923252931333539414345474955575963656769717375777913171921232729333541[[#This Row],[I]]</f>
        <v>7.8703703703703705E-4</v>
      </c>
      <c r="R61" s="28">
        <f>WO2025Jan7men11915171923252931333539414345474955575963656769717375777913171921232729333541[[#This Row],[I]]*2.5</f>
        <v>1.9675925925925928E-3</v>
      </c>
      <c r="S61" s="25">
        <f>WO2025Jan7men11915171923252931333539414345474955575963656769717375777913171921232729333541[[#This Row],[VO2]]</f>
        <v>7.6316358024691364E-4</v>
      </c>
      <c r="T61" s="25"/>
      <c r="U61" s="28"/>
      <c r="V61" s="25"/>
      <c r="W61" s="15" t="s">
        <v>201</v>
      </c>
      <c r="X61" s="52"/>
    </row>
    <row r="62" spans="1:24" ht="20.45" customHeight="1">
      <c r="A62" s="10" t="s">
        <v>81</v>
      </c>
      <c r="B62" s="11">
        <v>1.0127314814814815E-2</v>
      </c>
      <c r="C62" s="11">
        <v>2.9745370370370373E-3</v>
      </c>
      <c r="D62" s="11">
        <f>B62*E62</f>
        <v>5.8920717592592592E-3</v>
      </c>
      <c r="E62" s="12">
        <v>0.58179999999999998</v>
      </c>
      <c r="F62" s="11">
        <f>C62/4</f>
        <v>7.4363425925925931E-4</v>
      </c>
      <c r="G62" s="11">
        <f>D62/7.5</f>
        <v>7.8560956790123455E-4</v>
      </c>
      <c r="H62" s="11">
        <f>B62/12.5</f>
        <v>8.1018518518518516E-4</v>
      </c>
      <c r="I62" s="11">
        <f>G62/0.93</f>
        <v>8.4474147086154245E-4</v>
      </c>
      <c r="J62" s="11">
        <f>G62/0.92</f>
        <v>8.5392344337090708E-4</v>
      </c>
      <c r="K62" s="11">
        <f>G62/0.88</f>
        <v>8.9273814534231199E-4</v>
      </c>
      <c r="L62" s="11">
        <f>G62/0.84</f>
        <v>9.3524948559670779E-4</v>
      </c>
      <c r="M62" s="25">
        <f>WO2025Jan7men11915171923252931333539414345474955575963656769717375777913171921232729333541[[#This Row],[Thresh]]</f>
        <v>8.9273814534231199E-4</v>
      </c>
      <c r="N62" s="28">
        <f>WO2025Jan7men11915171923252931333539414345474955575963656769717375777913171921232729333541[[#This Row],[Thresh]]*2.5</f>
        <v>2.23184536335578E-3</v>
      </c>
      <c r="O62" s="25">
        <f>WO2025Jan7men11915171923252931333539414345474955575963656769717375777913171921232729333541[[#This Row],[CV]]</f>
        <v>8.5392344337090708E-4</v>
      </c>
      <c r="P62" s="28">
        <f>WO2025Jan7men11915171923252931333539414345474955575963656769717375777913171921232729333541[[#This Row],[CV]]*2.5</f>
        <v>2.1348086084272675E-3</v>
      </c>
      <c r="Q62" s="25">
        <f>WO2025Jan7men11915171923252931333539414345474955575963656769717375777913171921232729333541[[#This Row],[I]]</f>
        <v>8.1018518518518516E-4</v>
      </c>
      <c r="R62" s="28">
        <f>WO2025Jan7men11915171923252931333539414345474955575963656769717375777913171921232729333541[[#This Row],[I]]*2.5</f>
        <v>2.0254629629629629E-3</v>
      </c>
      <c r="S62" s="25">
        <f>WO2025Jan7men11915171923252931333539414345474955575963656769717375777913171921232729333541[[#This Row],[VO2]]</f>
        <v>7.8560956790123455E-4</v>
      </c>
      <c r="T62" s="25"/>
      <c r="U62" s="28"/>
      <c r="V62" s="25"/>
      <c r="W62" s="15" t="s">
        <v>26</v>
      </c>
      <c r="X62" s="52"/>
    </row>
    <row r="63" spans="1:24" ht="20.45" customHeight="1">
      <c r="A63" s="10" t="s">
        <v>82</v>
      </c>
      <c r="B63" s="11">
        <v>1.0127314814814815E-2</v>
      </c>
      <c r="C63" s="11">
        <v>2.8935185185185188E-3</v>
      </c>
      <c r="D63" s="11">
        <f>B63*E63</f>
        <v>5.8920717592592592E-3</v>
      </c>
      <c r="E63" s="12">
        <v>0.58179999999999998</v>
      </c>
      <c r="F63" s="11">
        <f>C63/4</f>
        <v>7.233796296296297E-4</v>
      </c>
      <c r="G63" s="11">
        <f>D63/7.5</f>
        <v>7.8560956790123455E-4</v>
      </c>
      <c r="H63" s="11">
        <f>B63/12.5</f>
        <v>8.1018518518518516E-4</v>
      </c>
      <c r="I63" s="11">
        <f>G63/0.93</f>
        <v>8.4474147086154245E-4</v>
      </c>
      <c r="J63" s="11">
        <f>G63/0.92</f>
        <v>8.5392344337090708E-4</v>
      </c>
      <c r="K63" s="11">
        <f>G63/0.88</f>
        <v>8.9273814534231199E-4</v>
      </c>
      <c r="L63" s="11">
        <f>G63/0.84</f>
        <v>9.3524948559670779E-4</v>
      </c>
      <c r="M63" s="25">
        <f>WO2025Jan7men11915171923252931333539414345474955575963656769717375777913171921232729333541[[#This Row],[Thresh]]</f>
        <v>8.9273814534231199E-4</v>
      </c>
      <c r="N63" s="28">
        <f>WO2025Jan7men11915171923252931333539414345474955575963656769717375777913171921232729333541[[#This Row],[Thresh]]*2.5</f>
        <v>2.23184536335578E-3</v>
      </c>
      <c r="O63" s="25">
        <f>WO2025Jan7men11915171923252931333539414345474955575963656769717375777913171921232729333541[[#This Row],[CV]]</f>
        <v>8.5392344337090708E-4</v>
      </c>
      <c r="P63" s="28">
        <f>WO2025Jan7men11915171923252931333539414345474955575963656769717375777913171921232729333541[[#This Row],[CV]]*2.5</f>
        <v>2.1348086084272675E-3</v>
      </c>
      <c r="Q63" s="25">
        <f>WO2025Jan7men11915171923252931333539414345474955575963656769717375777913171921232729333541[[#This Row],[I]]</f>
        <v>8.1018518518518516E-4</v>
      </c>
      <c r="R63" s="28">
        <f>WO2025Jan7men11915171923252931333539414345474955575963656769717375777913171921232729333541[[#This Row],[I]]*2.5</f>
        <v>2.0254629629629629E-3</v>
      </c>
      <c r="S63" s="25">
        <f>WO2025Jan7men11915171923252931333539414345474955575963656769717375777913171921232729333541[[#This Row],[VO2]]</f>
        <v>7.8560956790123455E-4</v>
      </c>
      <c r="T63" s="25"/>
      <c r="U63" s="28"/>
      <c r="V63" s="25"/>
      <c r="W63" s="15" t="s">
        <v>26</v>
      </c>
      <c r="X63" s="52"/>
    </row>
    <row r="64" spans="1:24" ht="20.45" customHeight="1">
      <c r="A64" s="10" t="s">
        <v>84</v>
      </c>
      <c r="B64" s="11">
        <v>1.0243055555555556E-2</v>
      </c>
      <c r="C64" s="11">
        <v>3.0092592592592593E-3</v>
      </c>
      <c r="D64" s="11">
        <f t="shared" ref="D64:D98" si="24">B64*E64</f>
        <v>5.9594097222222218E-3</v>
      </c>
      <c r="E64" s="12">
        <v>0.58179999999999998</v>
      </c>
      <c r="F64" s="11">
        <f t="shared" ref="F64:F98" si="25">C64/4</f>
        <v>7.5231481481481482E-4</v>
      </c>
      <c r="G64" s="11">
        <f t="shared" ref="G64:G98" si="26">D64/7.5</f>
        <v>7.9458796296296287E-4</v>
      </c>
      <c r="H64" s="11">
        <f t="shared" ref="H64:H98" si="27">B64/12.5</f>
        <v>8.1944444444444447E-4</v>
      </c>
      <c r="I64" s="11">
        <f t="shared" ref="I64:I98" si="28">G64/0.93</f>
        <v>8.5439565909996003E-4</v>
      </c>
      <c r="J64" s="11">
        <f t="shared" ref="J64:J98" si="29">G64/0.92</f>
        <v>8.636825684380031E-4</v>
      </c>
      <c r="K64" s="11">
        <f t="shared" ref="K64:K98" si="30">G64/0.88</f>
        <v>9.0294086700336686E-4</v>
      </c>
      <c r="L64" s="11">
        <f t="shared" ref="L64:L98" si="31">G64/0.84</f>
        <v>9.4593805114638445E-4</v>
      </c>
      <c r="M64" s="25">
        <f>WO2025Jan7men11915171923252931333539414345474955575963656769717375777913171921232729333541[[#This Row],[Thresh]]</f>
        <v>9.0294086700336686E-4</v>
      </c>
      <c r="N64" s="28">
        <f>WO2025Jan7men11915171923252931333539414345474955575963656769717375777913171921232729333541[[#This Row],[Thresh]]*2.5</f>
        <v>2.2573521675084171E-3</v>
      </c>
      <c r="O64" s="25">
        <f>WO2025Jan7men11915171923252931333539414345474955575963656769717375777913171921232729333541[[#This Row],[CV]]</f>
        <v>8.636825684380031E-4</v>
      </c>
      <c r="P64" s="28">
        <f>WO2025Jan7men11915171923252931333539414345474955575963656769717375777913171921232729333541[[#This Row],[CV]]*2.5</f>
        <v>2.1592064210950077E-3</v>
      </c>
      <c r="Q64" s="25">
        <f>WO2025Jan7men11915171923252931333539414345474955575963656769717375777913171921232729333541[[#This Row],[I]]</f>
        <v>8.1944444444444447E-4</v>
      </c>
      <c r="R64" s="28">
        <f>WO2025Jan7men11915171923252931333539414345474955575963656769717375777913171921232729333541[[#This Row],[I]]*2.5</f>
        <v>2.0486111111111113E-3</v>
      </c>
      <c r="S64" s="25">
        <f>WO2025Jan7men11915171923252931333539414345474955575963656769717375777913171921232729333541[[#This Row],[VO2]]</f>
        <v>7.9458796296296287E-4</v>
      </c>
      <c r="T64" s="25"/>
      <c r="U64" s="28"/>
      <c r="V64" s="25"/>
      <c r="W64" s="15" t="s">
        <v>26</v>
      </c>
      <c r="X64" s="52"/>
    </row>
    <row r="65" spans="1:24" ht="20.45" customHeight="1">
      <c r="A65" s="10" t="s">
        <v>110</v>
      </c>
      <c r="B65" s="11">
        <v>1.0243055555555556E-2</v>
      </c>
      <c r="C65" s="11">
        <v>2.8935185185185184E-3</v>
      </c>
      <c r="D65" s="11">
        <f>B65*E65</f>
        <v>5.9594097222222218E-3</v>
      </c>
      <c r="E65" s="12">
        <v>0.58179999999999998</v>
      </c>
      <c r="F65" s="11">
        <f>C65/4</f>
        <v>7.2337962962962959E-4</v>
      </c>
      <c r="G65" s="11">
        <f>D65/7.5</f>
        <v>7.9458796296296287E-4</v>
      </c>
      <c r="H65" s="11">
        <f>B65/12.5</f>
        <v>8.1944444444444447E-4</v>
      </c>
      <c r="I65" s="11">
        <f>G65/0.93</f>
        <v>8.5439565909996003E-4</v>
      </c>
      <c r="J65" s="11">
        <f>G65/0.92</f>
        <v>8.636825684380031E-4</v>
      </c>
      <c r="K65" s="11">
        <f>G65/0.88</f>
        <v>9.0294086700336686E-4</v>
      </c>
      <c r="L65" s="11">
        <f>G65/0.84</f>
        <v>9.4593805114638445E-4</v>
      </c>
      <c r="M65" s="25">
        <f>WO2025Jan7men11915171923252931333539414345474955575963656769717375777913171921232729333541[[#This Row],[Thresh]]</f>
        <v>9.0294086700336686E-4</v>
      </c>
      <c r="N65" s="28">
        <f>WO2025Jan7men11915171923252931333539414345474955575963656769717375777913171921232729333541[[#This Row],[Thresh]]*2.5</f>
        <v>2.2573521675084171E-3</v>
      </c>
      <c r="O65" s="25">
        <f>WO2025Jan7men11915171923252931333539414345474955575963656769717375777913171921232729333541[[#This Row],[CV]]</f>
        <v>8.636825684380031E-4</v>
      </c>
      <c r="P65" s="28">
        <f>WO2025Jan7men11915171923252931333539414345474955575963656769717375777913171921232729333541[[#This Row],[CV]]*2.5</f>
        <v>2.1592064210950077E-3</v>
      </c>
      <c r="Q65" s="25">
        <f>WO2025Jan7men11915171923252931333539414345474955575963656769717375777913171921232729333541[[#This Row],[I]]</f>
        <v>8.1944444444444447E-4</v>
      </c>
      <c r="R65" s="28">
        <f>WO2025Jan7men11915171923252931333539414345474955575963656769717375777913171921232729333541[[#This Row],[I]]*2.5</f>
        <v>2.0486111111111113E-3</v>
      </c>
      <c r="S65" s="25">
        <f>WO2025Jan7men11915171923252931333539414345474955575963656769717375777913171921232729333541[[#This Row],[VO2]]</f>
        <v>7.9458796296296287E-4</v>
      </c>
      <c r="T65" s="25"/>
      <c r="U65" s="28"/>
      <c r="V65" s="25"/>
      <c r="W65" s="15" t="s">
        <v>26</v>
      </c>
      <c r="X65" s="52"/>
    </row>
    <row r="66" spans="1:24" ht="20.45" customHeight="1">
      <c r="A66" s="10" t="s">
        <v>83</v>
      </c>
      <c r="B66" s="11">
        <v>1.0243055555555556E-2</v>
      </c>
      <c r="C66" s="11">
        <v>3.0671296296296297E-3</v>
      </c>
      <c r="D66" s="11">
        <f>B66*E66</f>
        <v>5.9594097222222218E-3</v>
      </c>
      <c r="E66" s="12">
        <v>0.58179999999999998</v>
      </c>
      <c r="F66" s="11">
        <f>C66/4</f>
        <v>7.6678240740740743E-4</v>
      </c>
      <c r="G66" s="11">
        <f>D66/7.5</f>
        <v>7.9458796296296287E-4</v>
      </c>
      <c r="H66" s="11">
        <f>B66/12.5</f>
        <v>8.1944444444444447E-4</v>
      </c>
      <c r="I66" s="11">
        <f>G66/0.93</f>
        <v>8.5439565909996003E-4</v>
      </c>
      <c r="J66" s="11">
        <f>G66/0.92</f>
        <v>8.636825684380031E-4</v>
      </c>
      <c r="K66" s="11">
        <f>G66/0.88</f>
        <v>9.0294086700336686E-4</v>
      </c>
      <c r="L66" s="11">
        <f>G66/0.84</f>
        <v>9.4593805114638445E-4</v>
      </c>
      <c r="M66" s="25">
        <f>WO2025Jan7men11915171923252931333539414345474955575963656769717375777913171921232729333541[[#This Row],[Thresh]]</f>
        <v>9.0294086700336686E-4</v>
      </c>
      <c r="N66" s="28">
        <f>WO2025Jan7men11915171923252931333539414345474955575963656769717375777913171921232729333541[[#This Row],[Thresh]]*2.5</f>
        <v>2.2573521675084171E-3</v>
      </c>
      <c r="O66" s="25">
        <f>WO2025Jan7men11915171923252931333539414345474955575963656769717375777913171921232729333541[[#This Row],[CV]]</f>
        <v>8.636825684380031E-4</v>
      </c>
      <c r="P66" s="28">
        <f>WO2025Jan7men11915171923252931333539414345474955575963656769717375777913171921232729333541[[#This Row],[CV]]*2.5</f>
        <v>2.1592064210950077E-3</v>
      </c>
      <c r="Q66" s="25">
        <f>WO2025Jan7men11915171923252931333539414345474955575963656769717375777913171921232729333541[[#This Row],[I]]</f>
        <v>8.1944444444444447E-4</v>
      </c>
      <c r="R66" s="28">
        <f>WO2025Jan7men11915171923252931333539414345474955575963656769717375777913171921232729333541[[#This Row],[I]]*2.5</f>
        <v>2.0486111111111113E-3</v>
      </c>
      <c r="S66" s="25">
        <f>WO2025Jan7men11915171923252931333539414345474955575963656769717375777913171921232729333541[[#This Row],[VO2]]</f>
        <v>7.9458796296296287E-4</v>
      </c>
      <c r="T66" s="25"/>
      <c r="U66" s="28"/>
      <c r="V66" s="25"/>
      <c r="W66" s="15" t="s">
        <v>26</v>
      </c>
      <c r="X66" s="52"/>
    </row>
    <row r="67" spans="1:24" ht="20.45" customHeight="1">
      <c r="A67" s="10" t="s">
        <v>111</v>
      </c>
      <c r="B67" s="11">
        <v>1.0243055555555556E-2</v>
      </c>
      <c r="C67" s="11">
        <v>3.0092592592592588E-3</v>
      </c>
      <c r="D67" s="11">
        <f>B67*E67</f>
        <v>5.9594097222222218E-3</v>
      </c>
      <c r="E67" s="12">
        <v>0.58179999999999998</v>
      </c>
      <c r="F67" s="11">
        <f>C67/4</f>
        <v>7.5231481481481471E-4</v>
      </c>
      <c r="G67" s="11">
        <f>D67/7.5</f>
        <v>7.9458796296296287E-4</v>
      </c>
      <c r="H67" s="11">
        <f>B67/12.5</f>
        <v>8.1944444444444447E-4</v>
      </c>
      <c r="I67" s="11">
        <f>G67/0.93</f>
        <v>8.5439565909996003E-4</v>
      </c>
      <c r="J67" s="11">
        <f>G67/0.92</f>
        <v>8.636825684380031E-4</v>
      </c>
      <c r="K67" s="11">
        <f>G67/0.88</f>
        <v>9.0294086700336686E-4</v>
      </c>
      <c r="L67" s="11">
        <f>G67/0.84</f>
        <v>9.4593805114638445E-4</v>
      </c>
      <c r="M67" s="25">
        <f>WO2025Jan7men11915171923252931333539414345474955575963656769717375777913171921232729333541[[#This Row],[Thresh]]</f>
        <v>9.0294086700336686E-4</v>
      </c>
      <c r="N67" s="28">
        <f>WO2025Jan7men11915171923252931333539414345474955575963656769717375777913171921232729333541[[#This Row],[Thresh]]*2.5</f>
        <v>2.2573521675084171E-3</v>
      </c>
      <c r="O67" s="25">
        <f>WO2025Jan7men11915171923252931333539414345474955575963656769717375777913171921232729333541[[#This Row],[CV]]</f>
        <v>8.636825684380031E-4</v>
      </c>
      <c r="P67" s="28">
        <f>WO2025Jan7men11915171923252931333539414345474955575963656769717375777913171921232729333541[[#This Row],[CV]]*2.5</f>
        <v>2.1592064210950077E-3</v>
      </c>
      <c r="Q67" s="25">
        <f>WO2025Jan7men11915171923252931333539414345474955575963656769717375777913171921232729333541[[#This Row],[I]]</f>
        <v>8.1944444444444447E-4</v>
      </c>
      <c r="R67" s="28">
        <f>WO2025Jan7men11915171923252931333539414345474955575963656769717375777913171921232729333541[[#This Row],[I]]*2.5</f>
        <v>2.0486111111111113E-3</v>
      </c>
      <c r="S67" s="25">
        <f>WO2025Jan7men11915171923252931333539414345474955575963656769717375777913171921232729333541[[#This Row],[VO2]]</f>
        <v>7.9458796296296287E-4</v>
      </c>
      <c r="T67" s="25"/>
      <c r="U67" s="28"/>
      <c r="V67" s="25"/>
      <c r="W67" s="15" t="s">
        <v>26</v>
      </c>
      <c r="X67" s="52"/>
    </row>
    <row r="68" spans="1:24" ht="20.45" customHeight="1">
      <c r="A68" s="10" t="s">
        <v>112</v>
      </c>
      <c r="B68" s="11">
        <v>1.0416666666666666E-2</v>
      </c>
      <c r="C68" s="11">
        <v>2.8587962962962963E-3</v>
      </c>
      <c r="D68" s="11">
        <f t="shared" si="24"/>
        <v>6.0604166666666662E-3</v>
      </c>
      <c r="E68" s="12">
        <v>0.58179999999999998</v>
      </c>
      <c r="F68" s="11">
        <f t="shared" si="25"/>
        <v>7.1469907407407409E-4</v>
      </c>
      <c r="G68" s="11">
        <f t="shared" si="26"/>
        <v>8.0805555555555546E-4</v>
      </c>
      <c r="H68" s="11">
        <f t="shared" si="27"/>
        <v>8.3333333333333328E-4</v>
      </c>
      <c r="I68" s="11">
        <f t="shared" si="28"/>
        <v>8.6887694145758646E-4</v>
      </c>
      <c r="J68" s="11">
        <f t="shared" si="29"/>
        <v>8.7832125603864715E-4</v>
      </c>
      <c r="K68" s="11">
        <f t="shared" si="30"/>
        <v>9.1824494949494938E-4</v>
      </c>
      <c r="L68" s="11">
        <f t="shared" si="31"/>
        <v>9.6197089947089938E-4</v>
      </c>
      <c r="M68" s="25">
        <f>WO2025Jan7men11915171923252931333539414345474955575963656769717375777913171921232729333541[[#This Row],[Thresh]]</f>
        <v>9.1824494949494938E-4</v>
      </c>
      <c r="N68" s="28">
        <f>WO2025Jan7men11915171923252931333539414345474955575963656769717375777913171921232729333541[[#This Row],[Thresh]]*2.5</f>
        <v>2.2956123737373733E-3</v>
      </c>
      <c r="O68" s="25">
        <f>WO2025Jan7men11915171923252931333539414345474955575963656769717375777913171921232729333541[[#This Row],[CV]]</f>
        <v>8.7832125603864715E-4</v>
      </c>
      <c r="P68" s="28">
        <f>WO2025Jan7men11915171923252931333539414345474955575963656769717375777913171921232729333541[[#This Row],[CV]]*2.5</f>
        <v>2.195803140096618E-3</v>
      </c>
      <c r="Q68" s="25">
        <f>WO2025Jan7men11915171923252931333539414345474955575963656769717375777913171921232729333541[[#This Row],[I]]</f>
        <v>8.3333333333333328E-4</v>
      </c>
      <c r="R68" s="28">
        <f>WO2025Jan7men11915171923252931333539414345474955575963656769717375777913171921232729333541[[#This Row],[I]]*2.5</f>
        <v>2.0833333333333333E-3</v>
      </c>
      <c r="S68" s="25">
        <f>WO2025Jan7men11915171923252931333539414345474955575963656769717375777913171921232729333541[[#This Row],[VO2]]</f>
        <v>8.0805555555555546E-4</v>
      </c>
      <c r="T68" s="25"/>
      <c r="U68" s="28"/>
      <c r="V68" s="25"/>
      <c r="W68" s="15" t="s">
        <v>26</v>
      </c>
      <c r="X68" s="52" t="s">
        <v>202</v>
      </c>
    </row>
    <row r="69" spans="1:24" ht="20.45" customHeight="1">
      <c r="A69" s="10" t="s">
        <v>116</v>
      </c>
      <c r="B69" s="11">
        <v>1.0243055555555556E-2</v>
      </c>
      <c r="C69" s="11">
        <v>2.9513888888888888E-3</v>
      </c>
      <c r="D69" s="11">
        <f>B69*E69</f>
        <v>5.9594097222222218E-3</v>
      </c>
      <c r="E69" s="12">
        <v>0.58179999999999998</v>
      </c>
      <c r="F69" s="11">
        <f>C69/4</f>
        <v>7.378472222222222E-4</v>
      </c>
      <c r="G69" s="11">
        <f>D69/7.5</f>
        <v>7.9458796296296287E-4</v>
      </c>
      <c r="H69" s="11">
        <f>B69/12.5</f>
        <v>8.1944444444444447E-4</v>
      </c>
      <c r="I69" s="11">
        <f>G69/0.93</f>
        <v>8.5439565909996003E-4</v>
      </c>
      <c r="J69" s="11">
        <f>G69/0.92</f>
        <v>8.636825684380031E-4</v>
      </c>
      <c r="K69" s="11">
        <f>G69/0.88</f>
        <v>9.0294086700336686E-4</v>
      </c>
      <c r="L69" s="17">
        <f>G69/0.84</f>
        <v>9.4593805114638445E-4</v>
      </c>
      <c r="M69" s="25">
        <f>WO2025Jan7men11915171923252931333539414345474955575963656769717375777913171921232729333541[[#This Row],[Thresh]]</f>
        <v>9.0294086700336686E-4</v>
      </c>
      <c r="N69" s="28">
        <f>WO2025Jan7men11915171923252931333539414345474955575963656769717375777913171921232729333541[[#This Row],[Thresh]]*2.5</f>
        <v>2.2573521675084171E-3</v>
      </c>
      <c r="O69" s="25">
        <f>WO2025Jan7men11915171923252931333539414345474955575963656769717375777913171921232729333541[[#This Row],[CV]]</f>
        <v>8.636825684380031E-4</v>
      </c>
      <c r="P69" s="28">
        <f>WO2025Jan7men11915171923252931333539414345474955575963656769717375777913171921232729333541[[#This Row],[CV]]*2.5</f>
        <v>2.1592064210950077E-3</v>
      </c>
      <c r="Q69" s="25">
        <f>WO2025Jan7men11915171923252931333539414345474955575963656769717375777913171921232729333541[[#This Row],[I]]</f>
        <v>8.1944444444444447E-4</v>
      </c>
      <c r="R69" s="28">
        <f>WO2025Jan7men11915171923252931333539414345474955575963656769717375777913171921232729333541[[#This Row],[I]]*2.5</f>
        <v>2.0486111111111113E-3</v>
      </c>
      <c r="S69" s="25">
        <f>WO2025Jan7men11915171923252931333539414345474955575963656769717375777913171921232729333541[[#This Row],[VO2]]</f>
        <v>7.9458796296296287E-4</v>
      </c>
      <c r="T69" s="25"/>
      <c r="U69" s="28"/>
      <c r="V69" s="25"/>
      <c r="W69" s="15" t="s">
        <v>203</v>
      </c>
      <c r="X69" s="52"/>
    </row>
    <row r="70" spans="1:24" ht="20.45" customHeight="1">
      <c r="A70" s="10" t="s">
        <v>93</v>
      </c>
      <c r="B70" s="11">
        <v>1.0474537037037037E-2</v>
      </c>
      <c r="C70" s="11"/>
      <c r="D70" s="11">
        <f>B70*E70</f>
        <v>6.094085648148148E-3</v>
      </c>
      <c r="E70" s="12">
        <v>0.58179999999999998</v>
      </c>
      <c r="F70" s="11">
        <f>C70/4</f>
        <v>0</v>
      </c>
      <c r="G70" s="11">
        <f>D70/7.5</f>
        <v>8.1254475308641973E-4</v>
      </c>
      <c r="H70" s="11">
        <f>B70/12.5</f>
        <v>8.3796296296296299E-4</v>
      </c>
      <c r="I70" s="11">
        <f>G70/0.93</f>
        <v>8.7370403557679541E-4</v>
      </c>
      <c r="J70" s="11">
        <f>G70/0.92</f>
        <v>8.8320081857219527E-4</v>
      </c>
      <c r="K70" s="11">
        <f>G70/0.88</f>
        <v>9.2334631032547692E-4</v>
      </c>
      <c r="L70" s="11">
        <f>G70/0.84</f>
        <v>9.6731518224573777E-4</v>
      </c>
      <c r="M70" s="25">
        <f>WO2025Jan7men11915171923252931333539414345474955575963656769717375777913171921232729333541[[#This Row],[Thresh]]</f>
        <v>9.2334631032547692E-4</v>
      </c>
      <c r="N70" s="28">
        <f>WO2025Jan7men11915171923252931333539414345474955575963656769717375777913171921232729333541[[#This Row],[Thresh]]*2.5</f>
        <v>2.3083657758136925E-3</v>
      </c>
      <c r="O70" s="25">
        <f>WO2025Jan7men11915171923252931333539414345474955575963656769717375777913171921232729333541[[#This Row],[CV]]</f>
        <v>8.8320081857219527E-4</v>
      </c>
      <c r="P70" s="28">
        <f>WO2025Jan7men11915171923252931333539414345474955575963656769717375777913171921232729333541[[#This Row],[CV]]*2.5</f>
        <v>2.2080020464304881E-3</v>
      </c>
      <c r="Q70" s="25">
        <f>WO2025Jan7men11915171923252931333539414345474955575963656769717375777913171921232729333541[[#This Row],[I]]</f>
        <v>8.3796296296296299E-4</v>
      </c>
      <c r="R70" s="28">
        <f>WO2025Jan7men11915171923252931333539414345474955575963656769717375777913171921232729333541[[#This Row],[I]]*2.5</f>
        <v>2.0949074074074073E-3</v>
      </c>
      <c r="S70" s="25">
        <f>WO2025Jan7men11915171923252931333539414345474955575963656769717375777913171921232729333541[[#This Row],[VO2]]</f>
        <v>8.1254475308641973E-4</v>
      </c>
      <c r="T70" s="25"/>
      <c r="U70" s="28"/>
      <c r="V70" s="25"/>
      <c r="W70" s="27" t="s">
        <v>26</v>
      </c>
      <c r="X70" s="52"/>
    </row>
    <row r="71" spans="1:24" ht="20.45" customHeight="1">
      <c r="A71" s="10" t="s">
        <v>92</v>
      </c>
      <c r="B71" s="11">
        <v>1.0474537037037037E-2</v>
      </c>
      <c r="C71" s="11">
        <v>2.9745370370370373E-3</v>
      </c>
      <c r="D71" s="11">
        <f>B71*E71</f>
        <v>6.094085648148148E-3</v>
      </c>
      <c r="E71" s="12">
        <v>0.58179999999999998</v>
      </c>
      <c r="F71" s="11">
        <f>C71/4</f>
        <v>7.4363425925925931E-4</v>
      </c>
      <c r="G71" s="11">
        <f>D71/7.5</f>
        <v>8.1254475308641973E-4</v>
      </c>
      <c r="H71" s="11">
        <f>B71/12.5</f>
        <v>8.3796296296296299E-4</v>
      </c>
      <c r="I71" s="11">
        <f>G71/0.93</f>
        <v>8.7370403557679541E-4</v>
      </c>
      <c r="J71" s="11">
        <f>G71/0.92</f>
        <v>8.8320081857219527E-4</v>
      </c>
      <c r="K71" s="11">
        <f>G71/0.88</f>
        <v>9.2334631032547692E-4</v>
      </c>
      <c r="L71" s="11">
        <f>G71/0.84</f>
        <v>9.6731518224573777E-4</v>
      </c>
      <c r="M71" s="25">
        <f>WO2025Jan7men11915171923252931333539414345474955575963656769717375777913171921232729333541[[#This Row],[Thresh]]</f>
        <v>9.2334631032547692E-4</v>
      </c>
      <c r="N71" s="28">
        <f>WO2025Jan7men11915171923252931333539414345474955575963656769717375777913171921232729333541[[#This Row],[Thresh]]*2.5</f>
        <v>2.3083657758136925E-3</v>
      </c>
      <c r="O71" s="25">
        <f>WO2025Jan7men11915171923252931333539414345474955575963656769717375777913171921232729333541[[#This Row],[CV]]</f>
        <v>8.8320081857219527E-4</v>
      </c>
      <c r="P71" s="28">
        <f>WO2025Jan7men11915171923252931333539414345474955575963656769717375777913171921232729333541[[#This Row],[CV]]*2.5</f>
        <v>2.2080020464304881E-3</v>
      </c>
      <c r="Q71" s="25">
        <f>WO2025Jan7men11915171923252931333539414345474955575963656769717375777913171921232729333541[[#This Row],[I]]</f>
        <v>8.3796296296296299E-4</v>
      </c>
      <c r="R71" s="28">
        <f>WO2025Jan7men11915171923252931333539414345474955575963656769717375777913171921232729333541[[#This Row],[I]]*2.5</f>
        <v>2.0949074074074073E-3</v>
      </c>
      <c r="S71" s="25">
        <f>WO2025Jan7men11915171923252931333539414345474955575963656769717375777913171921232729333541[[#This Row],[VO2]]</f>
        <v>8.1254475308641973E-4</v>
      </c>
      <c r="T71" s="25"/>
      <c r="U71" s="28"/>
      <c r="V71" s="25"/>
      <c r="W71" s="15" t="s">
        <v>26</v>
      </c>
      <c r="X71" s="52"/>
    </row>
    <row r="72" spans="1:24" ht="20.45" customHeight="1">
      <c r="A72" s="10" t="s">
        <v>85</v>
      </c>
      <c r="B72" s="11">
        <v>1.0474537037037037E-2</v>
      </c>
      <c r="C72" s="11">
        <v>3.0671296296296297E-3</v>
      </c>
      <c r="D72" s="11">
        <f>B72*E72</f>
        <v>6.094085648148148E-3</v>
      </c>
      <c r="E72" s="12">
        <v>0.58179999999999998</v>
      </c>
      <c r="F72" s="11">
        <f>C72/4</f>
        <v>7.6678240740740743E-4</v>
      </c>
      <c r="G72" s="11">
        <f>D72/7.5</f>
        <v>8.1254475308641973E-4</v>
      </c>
      <c r="H72" s="11">
        <f>B72/12.5</f>
        <v>8.3796296296296299E-4</v>
      </c>
      <c r="I72" s="11">
        <f>G72/0.93</f>
        <v>8.7370403557679541E-4</v>
      </c>
      <c r="J72" s="11">
        <f>G72/0.92</f>
        <v>8.8320081857219527E-4</v>
      </c>
      <c r="K72" s="11">
        <f>G72/0.88</f>
        <v>9.2334631032547692E-4</v>
      </c>
      <c r="L72" s="17">
        <f>G72/0.84</f>
        <v>9.6731518224573777E-4</v>
      </c>
      <c r="M72" s="25">
        <f>WO2025Jan7men11915171923252931333539414345474955575963656769717375777913171921232729333541[[#This Row],[Thresh]]</f>
        <v>9.2334631032547692E-4</v>
      </c>
      <c r="N72" s="28">
        <f>WO2025Jan7men11915171923252931333539414345474955575963656769717375777913171921232729333541[[#This Row],[Thresh]]*2.5</f>
        <v>2.3083657758136925E-3</v>
      </c>
      <c r="O72" s="25">
        <f>WO2025Jan7men11915171923252931333539414345474955575963656769717375777913171921232729333541[[#This Row],[CV]]</f>
        <v>8.8320081857219527E-4</v>
      </c>
      <c r="P72" s="28">
        <f>WO2025Jan7men11915171923252931333539414345474955575963656769717375777913171921232729333541[[#This Row],[CV]]*2.5</f>
        <v>2.2080020464304881E-3</v>
      </c>
      <c r="Q72" s="25">
        <f>WO2025Jan7men11915171923252931333539414345474955575963656769717375777913171921232729333541[[#This Row],[I]]</f>
        <v>8.3796296296296299E-4</v>
      </c>
      <c r="R72" s="28">
        <f>WO2025Jan7men11915171923252931333539414345474955575963656769717375777913171921232729333541[[#This Row],[I]]*2.5</f>
        <v>2.0949074074074073E-3</v>
      </c>
      <c r="S72" s="25">
        <f>WO2025Jan7men11915171923252931333539414345474955575963656769717375777913171921232729333541[[#This Row],[VO2]]</f>
        <v>8.1254475308641973E-4</v>
      </c>
      <c r="T72" s="25"/>
      <c r="U72" s="28"/>
      <c r="V72" s="25"/>
      <c r="W72" s="15" t="s">
        <v>26</v>
      </c>
      <c r="X72" s="52"/>
    </row>
    <row r="73" spans="1:24" ht="20.45" customHeight="1">
      <c r="A73" s="10" t="s">
        <v>117</v>
      </c>
      <c r="B73" s="11">
        <v>1.0300925925925925E-2</v>
      </c>
      <c r="C73" s="11">
        <v>3.0671296296296297E-3</v>
      </c>
      <c r="D73" s="11">
        <f t="shared" si="24"/>
        <v>5.9930787037037027E-3</v>
      </c>
      <c r="E73" s="12">
        <v>0.58179999999999998</v>
      </c>
      <c r="F73" s="11">
        <f t="shared" si="25"/>
        <v>7.6678240740740743E-4</v>
      </c>
      <c r="G73" s="11">
        <f t="shared" si="26"/>
        <v>7.9907716049382703E-4</v>
      </c>
      <c r="H73" s="11">
        <f t="shared" si="27"/>
        <v>8.2407407407407397E-4</v>
      </c>
      <c r="I73" s="11">
        <f t="shared" si="28"/>
        <v>8.5922275321916877E-4</v>
      </c>
      <c r="J73" s="11">
        <f t="shared" si="29"/>
        <v>8.6856213097155112E-4</v>
      </c>
      <c r="K73" s="11">
        <f t="shared" si="30"/>
        <v>9.080422278338944E-4</v>
      </c>
      <c r="L73" s="11">
        <f t="shared" si="31"/>
        <v>9.5128233392122272E-4</v>
      </c>
      <c r="M73" s="25">
        <f>WO2025Jan7men11915171923252931333539414345474955575963656769717375777913171921232729333541[[#This Row],[Thresh]]</f>
        <v>9.080422278338944E-4</v>
      </c>
      <c r="N73" s="28">
        <f>WO2025Jan7men11915171923252931333539414345474955575963656769717375777913171921232729333541[[#This Row],[Thresh]]*2.5</f>
        <v>2.2701055695847358E-3</v>
      </c>
      <c r="O73" s="25">
        <f>WO2025Jan7men11915171923252931333539414345474955575963656769717375777913171921232729333541[[#This Row],[CV]]</f>
        <v>8.6856213097155112E-4</v>
      </c>
      <c r="P73" s="28">
        <f>WO2025Jan7men11915171923252931333539414345474955575963656769717375777913171921232729333541[[#This Row],[CV]]*2.5</f>
        <v>2.1714053274288778E-3</v>
      </c>
      <c r="Q73" s="25">
        <f>WO2025Jan7men11915171923252931333539414345474955575963656769717375777913171921232729333541[[#This Row],[I]]</f>
        <v>8.2407407407407397E-4</v>
      </c>
      <c r="R73" s="28">
        <f>WO2025Jan7men11915171923252931333539414345474955575963656769717375777913171921232729333541[[#This Row],[I]]*2.5</f>
        <v>2.0601851851851849E-3</v>
      </c>
      <c r="S73" s="25">
        <f>WO2025Jan7men11915171923252931333539414345474955575963656769717375777913171921232729333541[[#This Row],[VO2]]</f>
        <v>7.9907716049382703E-4</v>
      </c>
      <c r="T73" s="25"/>
      <c r="U73" s="28"/>
      <c r="V73" s="25"/>
      <c r="W73" s="15" t="s">
        <v>201</v>
      </c>
      <c r="X73" s="52"/>
    </row>
    <row r="74" spans="1:24" ht="20.45" customHeight="1">
      <c r="A74" s="10" t="s">
        <v>118</v>
      </c>
      <c r="B74" s="11">
        <v>1.0474537037037037E-2</v>
      </c>
      <c r="C74" s="11">
        <v>3.0671296296296297E-3</v>
      </c>
      <c r="D74" s="11">
        <f>B74*E74</f>
        <v>6.094085648148148E-3</v>
      </c>
      <c r="E74" s="12">
        <v>0.58179999999999998</v>
      </c>
      <c r="F74" s="11">
        <f>C74/4</f>
        <v>7.6678240740740743E-4</v>
      </c>
      <c r="G74" s="11">
        <f>D74/7.5</f>
        <v>8.1254475308641973E-4</v>
      </c>
      <c r="H74" s="11">
        <f>B74/12.5</f>
        <v>8.3796296296296299E-4</v>
      </c>
      <c r="I74" s="11">
        <f>G74/0.93</f>
        <v>8.7370403557679541E-4</v>
      </c>
      <c r="J74" s="11">
        <f>G74/0.92</f>
        <v>8.8320081857219527E-4</v>
      </c>
      <c r="K74" s="11">
        <f>G74/0.88</f>
        <v>9.2334631032547692E-4</v>
      </c>
      <c r="L74" s="11">
        <f>G74/0.84</f>
        <v>9.6731518224573777E-4</v>
      </c>
      <c r="M74" s="25">
        <f>WO2025Jan7men11915171923252931333539414345474955575963656769717375777913171921232729333541[[#This Row],[Thresh]]</f>
        <v>9.2334631032547692E-4</v>
      </c>
      <c r="N74" s="28">
        <f>WO2025Jan7men11915171923252931333539414345474955575963656769717375777913171921232729333541[[#This Row],[Thresh]]*2.5</f>
        <v>2.3083657758136925E-3</v>
      </c>
      <c r="O74" s="25">
        <f>WO2025Jan7men11915171923252931333539414345474955575963656769717375777913171921232729333541[[#This Row],[CV]]</f>
        <v>8.8320081857219527E-4</v>
      </c>
      <c r="P74" s="28">
        <f>WO2025Jan7men11915171923252931333539414345474955575963656769717375777913171921232729333541[[#This Row],[CV]]*2.5</f>
        <v>2.2080020464304881E-3</v>
      </c>
      <c r="Q74" s="25">
        <f>WO2025Jan7men11915171923252931333539414345474955575963656769717375777913171921232729333541[[#This Row],[I]]</f>
        <v>8.3796296296296299E-4</v>
      </c>
      <c r="R74" s="28">
        <f>WO2025Jan7men11915171923252931333539414345474955575963656769717375777913171921232729333541[[#This Row],[I]]*2.5</f>
        <v>2.0949074074074073E-3</v>
      </c>
      <c r="S74" s="25">
        <f>WO2025Jan7men11915171923252931333539414345474955575963656769717375777913171921232729333541[[#This Row],[VO2]]</f>
        <v>8.1254475308641973E-4</v>
      </c>
      <c r="T74" s="25"/>
      <c r="U74" s="28"/>
      <c r="V74" s="25"/>
      <c r="W74" s="15" t="s">
        <v>26</v>
      </c>
      <c r="X74" s="52"/>
    </row>
    <row r="75" spans="1:24" ht="20.45" customHeight="1">
      <c r="A75" s="10" t="s">
        <v>86</v>
      </c>
      <c r="B75" s="11">
        <v>1.0590277777777778E-2</v>
      </c>
      <c r="C75" s="11">
        <v>3.0671296296296297E-3</v>
      </c>
      <c r="D75" s="11">
        <f>B75*E75</f>
        <v>6.1614236111111114E-3</v>
      </c>
      <c r="E75" s="12">
        <v>0.58179999999999998</v>
      </c>
      <c r="F75" s="11">
        <f>C75/4</f>
        <v>7.6678240740740743E-4</v>
      </c>
      <c r="G75" s="11">
        <f>D75/7.5</f>
        <v>8.2152314814814816E-4</v>
      </c>
      <c r="H75" s="11">
        <f>B75/12.5</f>
        <v>8.472222222222223E-4</v>
      </c>
      <c r="I75" s="11">
        <f>G75/0.93</f>
        <v>8.8335822381521299E-4</v>
      </c>
      <c r="J75" s="11">
        <f>G75/0.92</f>
        <v>8.9295994363929141E-4</v>
      </c>
      <c r="K75" s="11">
        <f>G75/0.88</f>
        <v>9.3354903198653201E-4</v>
      </c>
      <c r="L75" s="11">
        <f>G75/0.84</f>
        <v>9.7800374779541442E-4</v>
      </c>
      <c r="M75" s="25">
        <f>WO2025Jan7men11915171923252931333539414345474955575963656769717375777913171921232729333541[[#This Row],[Thresh]]</f>
        <v>9.3354903198653201E-4</v>
      </c>
      <c r="N75" s="28">
        <f>WO2025Jan7men11915171923252931333539414345474955575963656769717375777913171921232729333541[[#This Row],[Thresh]]*2.5</f>
        <v>2.33387257996633E-3</v>
      </c>
      <c r="O75" s="25">
        <f>WO2025Jan7men11915171923252931333539414345474955575963656769717375777913171921232729333541[[#This Row],[CV]]</f>
        <v>8.9295994363929141E-4</v>
      </c>
      <c r="P75" s="28">
        <f>WO2025Jan7men11915171923252931333539414345474955575963656769717375777913171921232729333541[[#This Row],[CV]]*2.5</f>
        <v>2.2323998590982287E-3</v>
      </c>
      <c r="Q75" s="25">
        <f>WO2025Jan7men11915171923252931333539414345474955575963656769717375777913171921232729333541[[#This Row],[I]]</f>
        <v>8.472222222222223E-4</v>
      </c>
      <c r="R75" s="28">
        <f>WO2025Jan7men11915171923252931333539414345474955575963656769717375777913171921232729333541[[#This Row],[I]]*2.5</f>
        <v>2.1180555555555558E-3</v>
      </c>
      <c r="S75" s="25">
        <f>WO2025Jan7men11915171923252931333539414345474955575963656769717375777913171921232729333541[[#This Row],[VO2]]</f>
        <v>8.2152314814814816E-4</v>
      </c>
      <c r="T75" s="25"/>
      <c r="U75" s="28"/>
      <c r="V75" s="25"/>
      <c r="W75" s="15" t="s">
        <v>35</v>
      </c>
      <c r="X75" s="52"/>
    </row>
    <row r="76" spans="1:24" ht="20.45" customHeight="1">
      <c r="A76" s="10" t="s">
        <v>119</v>
      </c>
      <c r="B76" s="11">
        <v>1.0590277777777778E-2</v>
      </c>
      <c r="C76" s="11"/>
      <c r="D76" s="11">
        <f t="shared" si="24"/>
        <v>6.1614236111111114E-3</v>
      </c>
      <c r="E76" s="12">
        <v>0.58179999999999998</v>
      </c>
      <c r="F76" s="11">
        <f t="shared" si="25"/>
        <v>0</v>
      </c>
      <c r="G76" s="11">
        <f t="shared" si="26"/>
        <v>8.2152314814814816E-4</v>
      </c>
      <c r="H76" s="11">
        <f t="shared" si="27"/>
        <v>8.472222222222223E-4</v>
      </c>
      <c r="I76" s="11">
        <f t="shared" si="28"/>
        <v>8.8335822381521299E-4</v>
      </c>
      <c r="J76" s="11">
        <f t="shared" si="29"/>
        <v>8.9295994363929141E-4</v>
      </c>
      <c r="K76" s="11">
        <f t="shared" si="30"/>
        <v>9.3354903198653201E-4</v>
      </c>
      <c r="L76" s="11">
        <f t="shared" si="31"/>
        <v>9.7800374779541442E-4</v>
      </c>
      <c r="M76" s="25">
        <f>WO2025Jan7men11915171923252931333539414345474955575963656769717375777913171921232729333541[[#This Row],[Thresh]]</f>
        <v>9.3354903198653201E-4</v>
      </c>
      <c r="N76" s="28">
        <f>WO2025Jan7men11915171923252931333539414345474955575963656769717375777913171921232729333541[[#This Row],[Thresh]]*2.5</f>
        <v>2.33387257996633E-3</v>
      </c>
      <c r="O76" s="25">
        <f>WO2025Jan7men11915171923252931333539414345474955575963656769717375777913171921232729333541[[#This Row],[CV]]</f>
        <v>8.9295994363929141E-4</v>
      </c>
      <c r="P76" s="28">
        <f>WO2025Jan7men11915171923252931333539414345474955575963656769717375777913171921232729333541[[#This Row],[CV]]*2.5</f>
        <v>2.2323998590982287E-3</v>
      </c>
      <c r="Q76" s="25">
        <f>WO2025Jan7men11915171923252931333539414345474955575963656769717375777913171921232729333541[[#This Row],[I]]</f>
        <v>8.472222222222223E-4</v>
      </c>
      <c r="R76" s="28">
        <f>WO2025Jan7men11915171923252931333539414345474955575963656769717375777913171921232729333541[[#This Row],[I]]*2.5</f>
        <v>2.1180555555555558E-3</v>
      </c>
      <c r="S76" s="25">
        <f>WO2025Jan7men11915171923252931333539414345474955575963656769717375777913171921232729333541[[#This Row],[VO2]]</f>
        <v>8.2152314814814816E-4</v>
      </c>
      <c r="T76" s="25"/>
      <c r="U76" s="28"/>
      <c r="V76" s="25"/>
      <c r="W76" s="27" t="s">
        <v>26</v>
      </c>
      <c r="X76" s="52"/>
    </row>
    <row r="77" spans="1:24" ht="20.45" customHeight="1">
      <c r="A77" s="10" t="s">
        <v>120</v>
      </c>
      <c r="B77" s="11">
        <v>1.0590277777777778E-2</v>
      </c>
      <c r="C77" s="11">
        <v>3.1250000000000002E-3</v>
      </c>
      <c r="D77" s="11">
        <f t="shared" si="24"/>
        <v>6.1614236111111114E-3</v>
      </c>
      <c r="E77" s="12">
        <v>0.58179999999999998</v>
      </c>
      <c r="F77" s="11">
        <f t="shared" si="25"/>
        <v>7.8125000000000004E-4</v>
      </c>
      <c r="G77" s="11">
        <f t="shared" si="26"/>
        <v>8.2152314814814816E-4</v>
      </c>
      <c r="H77" s="11">
        <f t="shared" si="27"/>
        <v>8.472222222222223E-4</v>
      </c>
      <c r="I77" s="11">
        <f t="shared" si="28"/>
        <v>8.8335822381521299E-4</v>
      </c>
      <c r="J77" s="11">
        <f t="shared" si="29"/>
        <v>8.9295994363929141E-4</v>
      </c>
      <c r="K77" s="11">
        <f t="shared" si="30"/>
        <v>9.3354903198653201E-4</v>
      </c>
      <c r="L77" s="11">
        <f t="shared" si="31"/>
        <v>9.7800374779541442E-4</v>
      </c>
      <c r="M77" s="25">
        <f>WO2025Jan7men11915171923252931333539414345474955575963656769717375777913171921232729333541[[#This Row],[Thresh]]</f>
        <v>9.3354903198653201E-4</v>
      </c>
      <c r="N77" s="28">
        <f>WO2025Jan7men11915171923252931333539414345474955575963656769717375777913171921232729333541[[#This Row],[Thresh]]*2.5</f>
        <v>2.33387257996633E-3</v>
      </c>
      <c r="O77" s="25">
        <f>WO2025Jan7men11915171923252931333539414345474955575963656769717375777913171921232729333541[[#This Row],[CV]]</f>
        <v>8.9295994363929141E-4</v>
      </c>
      <c r="P77" s="28">
        <f>WO2025Jan7men11915171923252931333539414345474955575963656769717375777913171921232729333541[[#This Row],[CV]]*2.5</f>
        <v>2.2323998590982287E-3</v>
      </c>
      <c r="Q77" s="25">
        <f>WO2025Jan7men11915171923252931333539414345474955575963656769717375777913171921232729333541[[#This Row],[I]]</f>
        <v>8.472222222222223E-4</v>
      </c>
      <c r="R77" s="28">
        <f>WO2025Jan7men11915171923252931333539414345474955575963656769717375777913171921232729333541[[#This Row],[I]]*2.5</f>
        <v>2.1180555555555558E-3</v>
      </c>
      <c r="S77" s="25">
        <f>WO2025Jan7men11915171923252931333539414345474955575963656769717375777913171921232729333541[[#This Row],[VO2]]</f>
        <v>8.2152314814814816E-4</v>
      </c>
      <c r="T77" s="25"/>
      <c r="U77" s="28"/>
      <c r="V77" s="25"/>
      <c r="W77" s="15" t="s">
        <v>26</v>
      </c>
      <c r="X77" s="52"/>
    </row>
    <row r="78" spans="1:24" ht="20.45" customHeight="1">
      <c r="A78" s="10" t="s">
        <v>115</v>
      </c>
      <c r="B78" s="11">
        <v>1.0532407407407407E-2</v>
      </c>
      <c r="C78" s="11">
        <v>2.9513888888888888E-3</v>
      </c>
      <c r="D78" s="11">
        <f>B78*E78</f>
        <v>6.1277546296296288E-3</v>
      </c>
      <c r="E78" s="12">
        <v>0.58179999999999998</v>
      </c>
      <c r="F78" s="11">
        <f>C78/4</f>
        <v>7.378472222222222E-4</v>
      </c>
      <c r="G78" s="11">
        <f>D78/7.5</f>
        <v>8.1703395061728389E-4</v>
      </c>
      <c r="H78" s="11">
        <f>B78/12.5</f>
        <v>8.4259259259259259E-4</v>
      </c>
      <c r="I78" s="11">
        <f>G78/0.93</f>
        <v>8.7853112969600415E-4</v>
      </c>
      <c r="J78" s="11">
        <f>G78/0.92</f>
        <v>8.8808038110574329E-4</v>
      </c>
      <c r="K78" s="11">
        <f>G78/0.88</f>
        <v>9.2844767115600447E-4</v>
      </c>
      <c r="L78" s="11">
        <f>G78/0.84</f>
        <v>9.7265946502057604E-4</v>
      </c>
      <c r="M78" s="25">
        <f>WO2025Jan7men11915171923252931333539414345474955575963656769717375777913171921232729333541[[#This Row],[Thresh]]</f>
        <v>9.2844767115600447E-4</v>
      </c>
      <c r="N78" s="28">
        <f>WO2025Jan7men11915171923252931333539414345474955575963656769717375777913171921232729333541[[#This Row],[Thresh]]*2.5</f>
        <v>2.3211191778900113E-3</v>
      </c>
      <c r="O78" s="25">
        <f>WO2025Jan7men11915171923252931333539414345474955575963656769717375777913171921232729333541[[#This Row],[CV]]</f>
        <v>8.8808038110574329E-4</v>
      </c>
      <c r="P78" s="28">
        <f>WO2025Jan7men11915171923252931333539414345474955575963656769717375777913171921232729333541[[#This Row],[CV]]*2.5</f>
        <v>2.2202009527643582E-3</v>
      </c>
      <c r="Q78" s="25">
        <f>WO2025Jan7men11915171923252931333539414345474955575963656769717375777913171921232729333541[[#This Row],[I]]</f>
        <v>8.4259259259259259E-4</v>
      </c>
      <c r="R78" s="28">
        <f>WO2025Jan7men11915171923252931333539414345474955575963656769717375777913171921232729333541[[#This Row],[I]]*2.5</f>
        <v>2.1064814814814813E-3</v>
      </c>
      <c r="S78" s="25">
        <f>WO2025Jan7men11915171923252931333539414345474955575963656769717375777913171921232729333541[[#This Row],[VO2]]</f>
        <v>8.1703395061728389E-4</v>
      </c>
      <c r="T78" s="25"/>
      <c r="U78" s="28"/>
      <c r="V78" s="25"/>
      <c r="W78" s="27" t="s">
        <v>203</v>
      </c>
      <c r="X78" s="52" t="s">
        <v>204</v>
      </c>
    </row>
    <row r="79" spans="1:24" ht="20.45" customHeight="1">
      <c r="A79" s="10" t="s">
        <v>87</v>
      </c>
      <c r="B79" s="11">
        <v>1.0706018518518519E-2</v>
      </c>
      <c r="C79" s="11">
        <v>2.9745370370370373E-3</v>
      </c>
      <c r="D79" s="11">
        <f t="shared" si="24"/>
        <v>6.2287615740740741E-3</v>
      </c>
      <c r="E79" s="12">
        <v>0.58179999999999998</v>
      </c>
      <c r="F79" s="11">
        <f t="shared" si="25"/>
        <v>7.4363425925925931E-4</v>
      </c>
      <c r="G79" s="11">
        <f t="shared" si="26"/>
        <v>8.3050154320987658E-4</v>
      </c>
      <c r="H79" s="11">
        <f t="shared" si="27"/>
        <v>8.564814814814815E-4</v>
      </c>
      <c r="I79" s="11">
        <f t="shared" si="28"/>
        <v>8.9301241205363069E-4</v>
      </c>
      <c r="J79" s="11">
        <f t="shared" si="29"/>
        <v>9.0271906870638755E-4</v>
      </c>
      <c r="K79" s="11">
        <f t="shared" si="30"/>
        <v>9.4375175364758699E-4</v>
      </c>
      <c r="L79" s="11">
        <f t="shared" si="31"/>
        <v>9.8869231334509119E-4</v>
      </c>
      <c r="M79" s="25">
        <f>WO2025Jan7men11915171923252931333539414345474955575963656769717375777913171921232729333541[[#This Row],[Thresh]]</f>
        <v>9.4375175364758699E-4</v>
      </c>
      <c r="N79" s="28">
        <f>WO2025Jan7men11915171923252931333539414345474955575963656769717375777913171921232729333541[[#This Row],[Thresh]]*2.5</f>
        <v>2.3593793841189675E-3</v>
      </c>
      <c r="O79" s="25">
        <f>WO2025Jan7men11915171923252931333539414345474955575963656769717375777913171921232729333541[[#This Row],[CV]]</f>
        <v>9.0271906870638755E-4</v>
      </c>
      <c r="P79" s="28">
        <f>WO2025Jan7men11915171923252931333539414345474955575963656769717375777913171921232729333541[[#This Row],[CV]]*2.5</f>
        <v>2.2567976717659689E-3</v>
      </c>
      <c r="Q79" s="25">
        <f>WO2025Jan7men11915171923252931333539414345474955575963656769717375777913171921232729333541[[#This Row],[I]]</f>
        <v>8.564814814814815E-4</v>
      </c>
      <c r="R79" s="28">
        <f>WO2025Jan7men11915171923252931333539414345474955575963656769717375777913171921232729333541[[#This Row],[I]]*2.5</f>
        <v>2.1412037037037038E-3</v>
      </c>
      <c r="S79" s="25">
        <f>WO2025Jan7men11915171923252931333539414345474955575963656769717375777913171921232729333541[[#This Row],[VO2]]</f>
        <v>8.3050154320987658E-4</v>
      </c>
      <c r="T79" s="25"/>
      <c r="U79" s="28"/>
      <c r="V79" s="25"/>
      <c r="W79" s="15" t="s">
        <v>26</v>
      </c>
      <c r="X79" s="52"/>
    </row>
    <row r="80" spans="1:24" ht="20.45" customHeight="1">
      <c r="A80" s="10" t="s">
        <v>88</v>
      </c>
      <c r="B80" s="11">
        <v>1.0706018518518519E-2</v>
      </c>
      <c r="C80" s="11">
        <v>3.0671296296296297E-3</v>
      </c>
      <c r="D80" s="11">
        <f t="shared" si="24"/>
        <v>6.2287615740740741E-3</v>
      </c>
      <c r="E80" s="12">
        <v>0.58179999999999998</v>
      </c>
      <c r="F80" s="11">
        <f t="shared" si="25"/>
        <v>7.6678240740740743E-4</v>
      </c>
      <c r="G80" s="11">
        <f t="shared" si="26"/>
        <v>8.3050154320987658E-4</v>
      </c>
      <c r="H80" s="11">
        <f t="shared" si="27"/>
        <v>8.564814814814815E-4</v>
      </c>
      <c r="I80" s="11">
        <f t="shared" si="28"/>
        <v>8.9301241205363069E-4</v>
      </c>
      <c r="J80" s="11">
        <f t="shared" si="29"/>
        <v>9.0271906870638755E-4</v>
      </c>
      <c r="K80" s="11">
        <f t="shared" si="30"/>
        <v>9.4375175364758699E-4</v>
      </c>
      <c r="L80" s="11">
        <f t="shared" si="31"/>
        <v>9.8869231334509119E-4</v>
      </c>
      <c r="M80" s="25">
        <f>WO2025Jan7men11915171923252931333539414345474955575963656769717375777913171921232729333541[[#This Row],[Thresh]]</f>
        <v>9.4375175364758699E-4</v>
      </c>
      <c r="N80" s="28">
        <f>WO2025Jan7men11915171923252931333539414345474955575963656769717375777913171921232729333541[[#This Row],[Thresh]]*2.5</f>
        <v>2.3593793841189675E-3</v>
      </c>
      <c r="O80" s="25">
        <f>WO2025Jan7men11915171923252931333539414345474955575963656769717375777913171921232729333541[[#This Row],[CV]]</f>
        <v>9.0271906870638755E-4</v>
      </c>
      <c r="P80" s="28">
        <f>WO2025Jan7men11915171923252931333539414345474955575963656769717375777913171921232729333541[[#This Row],[CV]]*2.5</f>
        <v>2.2567976717659689E-3</v>
      </c>
      <c r="Q80" s="25">
        <f>WO2025Jan7men11915171923252931333539414345474955575963656769717375777913171921232729333541[[#This Row],[I]]</f>
        <v>8.564814814814815E-4</v>
      </c>
      <c r="R80" s="28">
        <f>WO2025Jan7men11915171923252931333539414345474955575963656769717375777913171921232729333541[[#This Row],[I]]*2.5</f>
        <v>2.1412037037037038E-3</v>
      </c>
      <c r="S80" s="25">
        <f>WO2025Jan7men11915171923252931333539414345474955575963656769717375777913171921232729333541[[#This Row],[VO2]]</f>
        <v>8.3050154320987658E-4</v>
      </c>
      <c r="T80" s="25"/>
      <c r="U80" s="28"/>
      <c r="V80" s="25"/>
      <c r="W80" s="15" t="s">
        <v>26</v>
      </c>
      <c r="X80" s="52"/>
    </row>
    <row r="81" spans="1:24" ht="20.45" customHeight="1">
      <c r="A81" s="10" t="s">
        <v>121</v>
      </c>
      <c r="B81" s="11">
        <v>1.0706018518518519E-2</v>
      </c>
      <c r="C81" s="11"/>
      <c r="D81" s="11">
        <f t="shared" si="24"/>
        <v>6.2287615740740741E-3</v>
      </c>
      <c r="E81" s="12">
        <v>0.58179999999999998</v>
      </c>
      <c r="F81" s="11">
        <f t="shared" si="25"/>
        <v>0</v>
      </c>
      <c r="G81" s="11">
        <f t="shared" si="26"/>
        <v>8.3050154320987658E-4</v>
      </c>
      <c r="H81" s="11">
        <f t="shared" si="27"/>
        <v>8.564814814814815E-4</v>
      </c>
      <c r="I81" s="11">
        <f t="shared" si="28"/>
        <v>8.9301241205363069E-4</v>
      </c>
      <c r="J81" s="11">
        <f t="shared" si="29"/>
        <v>9.0271906870638755E-4</v>
      </c>
      <c r="K81" s="11">
        <f t="shared" si="30"/>
        <v>9.4375175364758699E-4</v>
      </c>
      <c r="L81" s="11">
        <f t="shared" si="31"/>
        <v>9.8869231334509119E-4</v>
      </c>
      <c r="M81" s="25">
        <f>WO2025Jan7men11915171923252931333539414345474955575963656769717375777913171921232729333541[[#This Row],[Thresh]]</f>
        <v>9.4375175364758699E-4</v>
      </c>
      <c r="N81" s="28">
        <f>WO2025Jan7men11915171923252931333539414345474955575963656769717375777913171921232729333541[[#This Row],[Thresh]]*2.5</f>
        <v>2.3593793841189675E-3</v>
      </c>
      <c r="O81" s="25">
        <f>WO2025Jan7men11915171923252931333539414345474955575963656769717375777913171921232729333541[[#This Row],[CV]]</f>
        <v>9.0271906870638755E-4</v>
      </c>
      <c r="P81" s="28">
        <f>WO2025Jan7men11915171923252931333539414345474955575963656769717375777913171921232729333541[[#This Row],[CV]]*2.5</f>
        <v>2.2567976717659689E-3</v>
      </c>
      <c r="Q81" s="25">
        <f>WO2025Jan7men11915171923252931333539414345474955575963656769717375777913171921232729333541[[#This Row],[I]]</f>
        <v>8.564814814814815E-4</v>
      </c>
      <c r="R81" s="28">
        <f>WO2025Jan7men11915171923252931333539414345474955575963656769717375777913171921232729333541[[#This Row],[I]]*2.5</f>
        <v>2.1412037037037038E-3</v>
      </c>
      <c r="S81" s="25">
        <f>WO2025Jan7men11915171923252931333539414345474955575963656769717375777913171921232729333541[[#This Row],[VO2]]</f>
        <v>8.3050154320987658E-4</v>
      </c>
      <c r="T81" s="25"/>
      <c r="U81" s="28"/>
      <c r="V81" s="25"/>
      <c r="W81" s="27" t="s">
        <v>26</v>
      </c>
      <c r="X81" s="52"/>
    </row>
    <row r="82" spans="1:24" ht="20.45" customHeight="1">
      <c r="A82" s="10" t="s">
        <v>90</v>
      </c>
      <c r="B82" s="11">
        <v>1.0706018518518519E-2</v>
      </c>
      <c r="C82" s="11">
        <v>3.0671296296296297E-3</v>
      </c>
      <c r="D82" s="11">
        <f>B82*E82</f>
        <v>6.2287615740740741E-3</v>
      </c>
      <c r="E82" s="12">
        <v>0.58179999999999998</v>
      </c>
      <c r="F82" s="11">
        <f>C82/4</f>
        <v>7.6678240740740743E-4</v>
      </c>
      <c r="G82" s="11">
        <f>D82/7.5</f>
        <v>8.3050154320987658E-4</v>
      </c>
      <c r="H82" s="11">
        <f>B82/12.5</f>
        <v>8.564814814814815E-4</v>
      </c>
      <c r="I82" s="11">
        <f>G82/0.93</f>
        <v>8.9301241205363069E-4</v>
      </c>
      <c r="J82" s="11">
        <f>G82/0.92</f>
        <v>9.0271906870638755E-4</v>
      </c>
      <c r="K82" s="11">
        <f>G82/0.88</f>
        <v>9.4375175364758699E-4</v>
      </c>
      <c r="L82" s="17">
        <f>G82/0.84</f>
        <v>9.8869231334509119E-4</v>
      </c>
      <c r="M82" s="25">
        <f>WO2025Jan7men11915171923252931333539414345474955575963656769717375777913171921232729333541[[#This Row],[Thresh]]</f>
        <v>9.4375175364758699E-4</v>
      </c>
      <c r="N82" s="28">
        <f>WO2025Jan7men11915171923252931333539414345474955575963656769717375777913171921232729333541[[#This Row],[Thresh]]*2.5</f>
        <v>2.3593793841189675E-3</v>
      </c>
      <c r="O82" s="25">
        <f>WO2025Jan7men11915171923252931333539414345474955575963656769717375777913171921232729333541[[#This Row],[CV]]</f>
        <v>9.0271906870638755E-4</v>
      </c>
      <c r="P82" s="28">
        <f>WO2025Jan7men11915171923252931333539414345474955575963656769717375777913171921232729333541[[#This Row],[CV]]*2.5</f>
        <v>2.2567976717659689E-3</v>
      </c>
      <c r="Q82" s="25">
        <f>WO2025Jan7men11915171923252931333539414345474955575963656769717375777913171921232729333541[[#This Row],[I]]</f>
        <v>8.564814814814815E-4</v>
      </c>
      <c r="R82" s="28">
        <f>WO2025Jan7men11915171923252931333539414345474955575963656769717375777913171921232729333541[[#This Row],[I]]*2.5</f>
        <v>2.1412037037037038E-3</v>
      </c>
      <c r="S82" s="25">
        <f>WO2025Jan7men11915171923252931333539414345474955575963656769717375777913171921232729333541[[#This Row],[VO2]]</f>
        <v>8.3050154320987658E-4</v>
      </c>
      <c r="T82" s="25"/>
      <c r="U82" s="28"/>
      <c r="V82" s="25"/>
      <c r="W82" s="15" t="s">
        <v>26</v>
      </c>
      <c r="X82" s="52"/>
    </row>
    <row r="83" spans="1:24" ht="20.45" customHeight="1">
      <c r="A83" s="10" t="s">
        <v>122</v>
      </c>
      <c r="B83" s="11">
        <v>1.0590277777777778E-2</v>
      </c>
      <c r="C83" s="11">
        <v>3.0671296296296297E-3</v>
      </c>
      <c r="D83" s="11">
        <f t="shared" si="24"/>
        <v>6.1614236111111114E-3</v>
      </c>
      <c r="E83" s="12">
        <v>0.58179999999999998</v>
      </c>
      <c r="F83" s="11">
        <f t="shared" si="25"/>
        <v>7.6678240740740743E-4</v>
      </c>
      <c r="G83" s="11">
        <f t="shared" si="26"/>
        <v>8.2152314814814816E-4</v>
      </c>
      <c r="H83" s="11">
        <f t="shared" si="27"/>
        <v>8.472222222222223E-4</v>
      </c>
      <c r="I83" s="11">
        <f t="shared" si="28"/>
        <v>8.8335822381521299E-4</v>
      </c>
      <c r="J83" s="11">
        <f t="shared" si="29"/>
        <v>8.9295994363929141E-4</v>
      </c>
      <c r="K83" s="11">
        <f t="shared" si="30"/>
        <v>9.3354903198653201E-4</v>
      </c>
      <c r="L83" s="11">
        <f t="shared" si="31"/>
        <v>9.7800374779541442E-4</v>
      </c>
      <c r="M83" s="25">
        <f>WO2025Jan7men11915171923252931333539414345474955575963656769717375777913171921232729333541[[#This Row],[Thresh]]</f>
        <v>9.3354903198653201E-4</v>
      </c>
      <c r="N83" s="28">
        <f>WO2025Jan7men11915171923252931333539414345474955575963656769717375777913171921232729333541[[#This Row],[Thresh]]*2.5</f>
        <v>2.33387257996633E-3</v>
      </c>
      <c r="O83" s="25">
        <f>WO2025Jan7men11915171923252931333539414345474955575963656769717375777913171921232729333541[[#This Row],[CV]]</f>
        <v>8.9295994363929141E-4</v>
      </c>
      <c r="P83" s="28">
        <f>WO2025Jan7men11915171923252931333539414345474955575963656769717375777913171921232729333541[[#This Row],[CV]]*2.5</f>
        <v>2.2323998590982287E-3</v>
      </c>
      <c r="Q83" s="25">
        <f>WO2025Jan7men11915171923252931333539414345474955575963656769717375777913171921232729333541[[#This Row],[I]]</f>
        <v>8.472222222222223E-4</v>
      </c>
      <c r="R83" s="28">
        <f>WO2025Jan7men11915171923252931333539414345474955575963656769717375777913171921232729333541[[#This Row],[I]]*2.5</f>
        <v>2.1180555555555558E-3</v>
      </c>
      <c r="S83" s="25">
        <f>WO2025Jan7men11915171923252931333539414345474955575963656769717375777913171921232729333541[[#This Row],[VO2]]</f>
        <v>8.2152314814814816E-4</v>
      </c>
      <c r="T83" s="25"/>
      <c r="U83" s="28"/>
      <c r="V83" s="25"/>
      <c r="W83" s="15" t="s">
        <v>203</v>
      </c>
      <c r="X83" s="52"/>
    </row>
    <row r="84" spans="1:24" ht="20.45" customHeight="1">
      <c r="A84" s="10" t="s">
        <v>106</v>
      </c>
      <c r="B84" s="11">
        <v>1.0763888888888889E-2</v>
      </c>
      <c r="C84" s="11">
        <v>2.9745370370370373E-3</v>
      </c>
      <c r="D84" s="11">
        <f t="shared" si="24"/>
        <v>6.2624305555555549E-3</v>
      </c>
      <c r="E84" s="12">
        <v>0.58179999999999998</v>
      </c>
      <c r="F84" s="11">
        <f t="shared" si="25"/>
        <v>7.4363425925925931E-4</v>
      </c>
      <c r="G84" s="11">
        <f t="shared" si="26"/>
        <v>8.3499074074074064E-4</v>
      </c>
      <c r="H84" s="11">
        <f t="shared" si="27"/>
        <v>8.611111111111111E-4</v>
      </c>
      <c r="I84" s="11">
        <f t="shared" si="28"/>
        <v>8.9783950617283931E-4</v>
      </c>
      <c r="J84" s="11">
        <f t="shared" si="29"/>
        <v>9.0759863123993545E-4</v>
      </c>
      <c r="K84" s="11">
        <f t="shared" si="30"/>
        <v>9.4885311447811432E-4</v>
      </c>
      <c r="L84" s="11">
        <f t="shared" si="31"/>
        <v>9.9403659611992947E-4</v>
      </c>
      <c r="M84" s="25">
        <f>WO2025Jan7men11915171923252931333539414345474955575963656769717375777913171921232729333541[[#This Row],[Thresh]]</f>
        <v>9.4885311447811432E-4</v>
      </c>
      <c r="N84" s="28">
        <f>WO2025Jan7men11915171923252931333539414345474955575963656769717375777913171921232729333541[[#This Row],[Thresh]]*2.5</f>
        <v>2.3721327861952858E-3</v>
      </c>
      <c r="O84" s="25">
        <f>WO2025Jan7men11915171923252931333539414345474955575963656769717375777913171921232729333541[[#This Row],[CV]]</f>
        <v>9.0759863123993545E-4</v>
      </c>
      <c r="P84" s="28">
        <f>WO2025Jan7men11915171923252931333539414345474955575963656769717375777913171921232729333541[[#This Row],[CV]]*2.5</f>
        <v>2.2689965780998385E-3</v>
      </c>
      <c r="Q84" s="25">
        <f>WO2025Jan7men11915171923252931333539414345474955575963656769717375777913171921232729333541[[#This Row],[I]]</f>
        <v>8.611111111111111E-4</v>
      </c>
      <c r="R84" s="28">
        <f>WO2025Jan7men11915171923252931333539414345474955575963656769717375777913171921232729333541[[#This Row],[I]]*2.5</f>
        <v>2.1527777777777778E-3</v>
      </c>
      <c r="S84" s="25">
        <f>WO2025Jan7men11915171923252931333539414345474955575963656769717375777913171921232729333541[[#This Row],[VO2]]</f>
        <v>8.3499074074074064E-4</v>
      </c>
      <c r="T84" s="25"/>
      <c r="U84" s="28"/>
      <c r="V84" s="25"/>
      <c r="W84" s="15" t="s">
        <v>26</v>
      </c>
      <c r="X84" s="52"/>
    </row>
    <row r="85" spans="1:24" ht="20.45" customHeight="1">
      <c r="A85" s="10" t="s">
        <v>123</v>
      </c>
      <c r="B85" s="11">
        <v>1.0763888888888889E-2</v>
      </c>
      <c r="C85" s="11">
        <v>3.1828703703703702E-3</v>
      </c>
      <c r="D85" s="11">
        <f t="shared" si="24"/>
        <v>6.2624305555555549E-3</v>
      </c>
      <c r="E85" s="12">
        <v>0.58179999999999998</v>
      </c>
      <c r="F85" s="11">
        <f t="shared" si="25"/>
        <v>7.9571759259259255E-4</v>
      </c>
      <c r="G85" s="11">
        <f t="shared" si="26"/>
        <v>8.3499074074074064E-4</v>
      </c>
      <c r="H85" s="11">
        <f t="shared" si="27"/>
        <v>8.611111111111111E-4</v>
      </c>
      <c r="I85" s="11">
        <f t="shared" si="28"/>
        <v>8.9783950617283931E-4</v>
      </c>
      <c r="J85" s="11">
        <f t="shared" si="29"/>
        <v>9.0759863123993545E-4</v>
      </c>
      <c r="K85" s="11">
        <f t="shared" si="30"/>
        <v>9.4885311447811432E-4</v>
      </c>
      <c r="L85" s="11">
        <f t="shared" si="31"/>
        <v>9.9403659611992947E-4</v>
      </c>
      <c r="M85" s="25">
        <f>WO2025Jan7men11915171923252931333539414345474955575963656769717375777913171921232729333541[[#This Row],[Thresh]]</f>
        <v>9.4885311447811432E-4</v>
      </c>
      <c r="N85" s="28">
        <f>WO2025Jan7men11915171923252931333539414345474955575963656769717375777913171921232729333541[[#This Row],[Thresh]]*2.5</f>
        <v>2.3721327861952858E-3</v>
      </c>
      <c r="O85" s="25">
        <f>WO2025Jan7men11915171923252931333539414345474955575963656769717375777913171921232729333541[[#This Row],[CV]]</f>
        <v>9.0759863123993545E-4</v>
      </c>
      <c r="P85" s="28">
        <f>WO2025Jan7men11915171923252931333539414345474955575963656769717375777913171921232729333541[[#This Row],[CV]]*2.5</f>
        <v>2.2689965780998385E-3</v>
      </c>
      <c r="Q85" s="25">
        <f>WO2025Jan7men11915171923252931333539414345474955575963656769717375777913171921232729333541[[#This Row],[I]]</f>
        <v>8.611111111111111E-4</v>
      </c>
      <c r="R85" s="28">
        <f>WO2025Jan7men11915171923252931333539414345474955575963656769717375777913171921232729333541[[#This Row],[I]]*2.5</f>
        <v>2.1527777777777778E-3</v>
      </c>
      <c r="S85" s="25">
        <f>WO2025Jan7men11915171923252931333539414345474955575963656769717375777913171921232729333541[[#This Row],[VO2]]</f>
        <v>8.3499074074074064E-4</v>
      </c>
      <c r="T85" s="25"/>
      <c r="U85" s="28"/>
      <c r="V85" s="25"/>
      <c r="W85" s="15" t="s">
        <v>26</v>
      </c>
      <c r="X85" s="52"/>
    </row>
    <row r="86" spans="1:24" ht="20.45" customHeight="1" thickBot="1">
      <c r="A86" s="10" t="s">
        <v>91</v>
      </c>
      <c r="B86" s="11">
        <v>1.0763888888888889E-2</v>
      </c>
      <c r="C86" s="11">
        <v>3.1249999999999997E-3</v>
      </c>
      <c r="D86" s="11">
        <f t="shared" si="24"/>
        <v>6.2624305555555549E-3</v>
      </c>
      <c r="E86" s="12">
        <v>0.58179999999999998</v>
      </c>
      <c r="F86" s="11">
        <f t="shared" si="25"/>
        <v>7.8124999999999993E-4</v>
      </c>
      <c r="G86" s="11">
        <f t="shared" si="26"/>
        <v>8.3499074074074064E-4</v>
      </c>
      <c r="H86" s="11">
        <f t="shared" si="27"/>
        <v>8.611111111111111E-4</v>
      </c>
      <c r="I86" s="11">
        <f t="shared" si="28"/>
        <v>8.9783950617283931E-4</v>
      </c>
      <c r="J86" s="11">
        <f t="shared" si="29"/>
        <v>9.0759863123993545E-4</v>
      </c>
      <c r="K86" s="11">
        <f t="shared" si="30"/>
        <v>9.4885311447811432E-4</v>
      </c>
      <c r="L86" s="11">
        <f t="shared" si="31"/>
        <v>9.9403659611992947E-4</v>
      </c>
      <c r="M86" s="25">
        <f>WO2025Jan7men11915171923252931333539414345474955575963656769717375777913171921232729333541[[#This Row],[Thresh]]</f>
        <v>9.4885311447811432E-4</v>
      </c>
      <c r="N86" s="28">
        <f>WO2025Jan7men11915171923252931333539414345474955575963656769717375777913171921232729333541[[#This Row],[Thresh]]*2.5</f>
        <v>2.3721327861952858E-3</v>
      </c>
      <c r="O86" s="25">
        <f>WO2025Jan7men11915171923252931333539414345474955575963656769717375777913171921232729333541[[#This Row],[CV]]</f>
        <v>9.0759863123993545E-4</v>
      </c>
      <c r="P86" s="28">
        <f>WO2025Jan7men11915171923252931333539414345474955575963656769717375777913171921232729333541[[#This Row],[CV]]*2.5</f>
        <v>2.2689965780998385E-3</v>
      </c>
      <c r="Q86" s="25">
        <f>WO2025Jan7men11915171923252931333539414345474955575963656769717375777913171921232729333541[[#This Row],[I]]</f>
        <v>8.611111111111111E-4</v>
      </c>
      <c r="R86" s="28">
        <f>WO2025Jan7men11915171923252931333539414345474955575963656769717375777913171921232729333541[[#This Row],[I]]*2.5</f>
        <v>2.1527777777777778E-3</v>
      </c>
      <c r="S86" s="25">
        <f>WO2025Jan7men11915171923252931333539414345474955575963656769717375777913171921232729333541[[#This Row],[VO2]]</f>
        <v>8.3499074074074064E-4</v>
      </c>
      <c r="T86" s="25"/>
      <c r="U86" s="28"/>
      <c r="V86" s="25"/>
      <c r="W86" s="15" t="s">
        <v>26</v>
      </c>
      <c r="X86" s="52"/>
    </row>
    <row r="87" spans="1:24" ht="20.45" customHeight="1">
      <c r="A87" s="1" t="s">
        <v>194</v>
      </c>
      <c r="B87" s="6"/>
      <c r="C87" s="6"/>
      <c r="D87" s="6"/>
      <c r="E87" s="20"/>
      <c r="F87" s="6"/>
      <c r="G87" s="6"/>
      <c r="H87" s="6"/>
      <c r="I87" s="6"/>
      <c r="J87" s="6"/>
      <c r="K87" s="6"/>
      <c r="L87" s="6"/>
      <c r="M87" s="6" t="s">
        <v>12</v>
      </c>
      <c r="N87" s="6" t="s">
        <v>13</v>
      </c>
      <c r="O87" s="6" t="s">
        <v>14</v>
      </c>
      <c r="P87" s="6" t="s">
        <v>161</v>
      </c>
      <c r="Q87" s="6" t="s">
        <v>17</v>
      </c>
      <c r="R87" s="6" t="s">
        <v>199</v>
      </c>
      <c r="S87" s="6" t="s">
        <v>158</v>
      </c>
      <c r="T87" s="6"/>
      <c r="U87" s="6"/>
      <c r="V87" s="23"/>
      <c r="W87" s="35"/>
      <c r="X87" s="52"/>
    </row>
    <row r="88" spans="1:24" ht="20.45" customHeight="1">
      <c r="A88" s="10" t="s">
        <v>124</v>
      </c>
      <c r="B88" s="11">
        <v>1.0590277777777778E-2</v>
      </c>
      <c r="C88" s="11"/>
      <c r="D88" s="11">
        <f>B88*E88</f>
        <v>6.1614236111111114E-3</v>
      </c>
      <c r="E88" s="12">
        <v>0.58179999999999998</v>
      </c>
      <c r="F88" s="11">
        <f>C88/4</f>
        <v>0</v>
      </c>
      <c r="G88" s="11">
        <f>D88/7.5</f>
        <v>8.2152314814814816E-4</v>
      </c>
      <c r="H88" s="11">
        <f>B88/12.5</f>
        <v>8.472222222222223E-4</v>
      </c>
      <c r="I88" s="11">
        <f>G88/0.93</f>
        <v>8.8335822381521299E-4</v>
      </c>
      <c r="J88" s="11">
        <f>G88/0.92</f>
        <v>8.9295994363929141E-4</v>
      </c>
      <c r="K88" s="11">
        <f>G88/0.88</f>
        <v>9.3354903198653201E-4</v>
      </c>
      <c r="L88" s="11">
        <f>G88/0.84</f>
        <v>9.7800374779541442E-4</v>
      </c>
      <c r="M88" s="25">
        <f>WO2025Jan7men11915171923252931333539414345474955575963656769717375777913171921232729333541[[#This Row],[Thresh]]</f>
        <v>9.3354903198653201E-4</v>
      </c>
      <c r="N88" s="28">
        <f>WO2025Jan7men11915171923252931333539414345474955575963656769717375777913171921232729333541[[#This Row],[Thresh]]*2.5</f>
        <v>2.33387257996633E-3</v>
      </c>
      <c r="O88" s="25">
        <f>WO2025Jan7men11915171923252931333539414345474955575963656769717375777913171921232729333541[[#This Row],[CV]]</f>
        <v>8.9295994363929141E-4</v>
      </c>
      <c r="P88" s="28">
        <f>WO2025Jan7men11915171923252931333539414345474955575963656769717375777913171921232729333541[[#This Row],[CV]]*2.5</f>
        <v>2.2323998590982287E-3</v>
      </c>
      <c r="Q88" s="25">
        <f>WO2025Jan7men11915171923252931333539414345474955575963656769717375777913171921232729333541[[#This Row],[I]]</f>
        <v>8.472222222222223E-4</v>
      </c>
      <c r="R88" s="28">
        <f>WO2025Jan7men11915171923252931333539414345474955575963656769717375777913171921232729333541[[#This Row],[I]]*2.5</f>
        <v>2.1180555555555558E-3</v>
      </c>
      <c r="S88" s="25">
        <f>WO2025Jan7men11915171923252931333539414345474955575963656769717375777913171921232729333541[[#This Row],[VO2]]</f>
        <v>8.2152314814814816E-4</v>
      </c>
      <c r="T88" s="25"/>
      <c r="U88" s="28"/>
      <c r="V88" s="25"/>
      <c r="W88" s="27" t="s">
        <v>203</v>
      </c>
      <c r="X88" s="52" t="s">
        <v>160</v>
      </c>
    </row>
    <row r="89" spans="1:24" ht="20.45" customHeight="1">
      <c r="A89" s="10" t="s">
        <v>125</v>
      </c>
      <c r="B89" s="11">
        <v>1.0821759259259258E-2</v>
      </c>
      <c r="C89" s="11"/>
      <c r="D89" s="11">
        <f t="shared" si="24"/>
        <v>6.2960995370370367E-3</v>
      </c>
      <c r="E89" s="12">
        <v>0.58179999999999998</v>
      </c>
      <c r="F89" s="11">
        <f t="shared" si="25"/>
        <v>0</v>
      </c>
      <c r="G89" s="11">
        <f t="shared" si="26"/>
        <v>8.3947993827160491E-4</v>
      </c>
      <c r="H89" s="11">
        <f t="shared" si="27"/>
        <v>8.6574074074074071E-4</v>
      </c>
      <c r="I89" s="11">
        <f t="shared" si="28"/>
        <v>9.0266660029204827E-4</v>
      </c>
      <c r="J89" s="11">
        <f t="shared" si="29"/>
        <v>9.1247819377348357E-4</v>
      </c>
      <c r="K89" s="11">
        <f t="shared" si="30"/>
        <v>9.5395447530864197E-4</v>
      </c>
      <c r="L89" s="11">
        <f t="shared" si="31"/>
        <v>9.9938087889476774E-4</v>
      </c>
      <c r="M89" s="25">
        <f>WO2025Jan7men11915171923252931333539414345474955575963656769717375777913171921232729333541[[#This Row],[Thresh]]</f>
        <v>9.5395447530864197E-4</v>
      </c>
      <c r="N89" s="28">
        <f>WO2025Jan7men11915171923252931333539414345474955575963656769717375777913171921232729333541[[#This Row],[Thresh]]*2.5</f>
        <v>2.384886188271605E-3</v>
      </c>
      <c r="O89" s="25">
        <f>WO2025Jan7men11915171923252931333539414345474955575963656769717375777913171921232729333541[[#This Row],[CV]]</f>
        <v>9.1247819377348357E-4</v>
      </c>
      <c r="P89" s="28">
        <f>WO2025Jan7men11915171923252931333539414345474955575963656769717375777913171921232729333541[[#This Row],[CV]]*2.5</f>
        <v>2.281195484433709E-3</v>
      </c>
      <c r="Q89" s="25">
        <f>WO2025Jan7men11915171923252931333539414345474955575963656769717375777913171921232729333541[[#This Row],[I]]</f>
        <v>8.6574074074074071E-4</v>
      </c>
      <c r="R89" s="28">
        <f>WO2025Jan7men11915171923252931333539414345474955575963656769717375777913171921232729333541[[#This Row],[I]]*2.5</f>
        <v>2.1643518518518518E-3</v>
      </c>
      <c r="S89" s="25">
        <f>WO2025Jan7men11915171923252931333539414345474955575963656769717375777913171921232729333541[[#This Row],[VO2]]</f>
        <v>8.3947993827160491E-4</v>
      </c>
      <c r="T89" s="25"/>
      <c r="U89" s="28"/>
      <c r="V89" s="25"/>
      <c r="W89" s="15" t="s">
        <v>26</v>
      </c>
      <c r="X89" s="52"/>
    </row>
    <row r="90" spans="1:24" ht="20.45" customHeight="1">
      <c r="A90" s="10" t="s">
        <v>126</v>
      </c>
      <c r="B90" s="11">
        <v>1.0821759259259258E-2</v>
      </c>
      <c r="C90" s="11"/>
      <c r="D90" s="11">
        <f t="shared" si="24"/>
        <v>6.2960995370370367E-3</v>
      </c>
      <c r="E90" s="12">
        <v>0.58179999999999998</v>
      </c>
      <c r="F90" s="11">
        <f t="shared" si="25"/>
        <v>0</v>
      </c>
      <c r="G90" s="11">
        <f t="shared" si="26"/>
        <v>8.3947993827160491E-4</v>
      </c>
      <c r="H90" s="11">
        <f t="shared" si="27"/>
        <v>8.6574074074074071E-4</v>
      </c>
      <c r="I90" s="11">
        <f t="shared" si="28"/>
        <v>9.0266660029204827E-4</v>
      </c>
      <c r="J90" s="11">
        <f t="shared" si="29"/>
        <v>9.1247819377348357E-4</v>
      </c>
      <c r="K90" s="11">
        <f t="shared" si="30"/>
        <v>9.5395447530864197E-4</v>
      </c>
      <c r="L90" s="11">
        <f t="shared" si="31"/>
        <v>9.9938087889476774E-4</v>
      </c>
      <c r="M90" s="25">
        <f>WO2025Jan7men11915171923252931333539414345474955575963656769717375777913171921232729333541[[#This Row],[Thresh]]</f>
        <v>9.5395447530864197E-4</v>
      </c>
      <c r="N90" s="28">
        <f>WO2025Jan7men11915171923252931333539414345474955575963656769717375777913171921232729333541[[#This Row],[Thresh]]*2.5</f>
        <v>2.384886188271605E-3</v>
      </c>
      <c r="O90" s="25">
        <f>WO2025Jan7men11915171923252931333539414345474955575963656769717375777913171921232729333541[[#This Row],[CV]]</f>
        <v>9.1247819377348357E-4</v>
      </c>
      <c r="P90" s="28">
        <f>WO2025Jan7men11915171923252931333539414345474955575963656769717375777913171921232729333541[[#This Row],[CV]]*2.5</f>
        <v>2.281195484433709E-3</v>
      </c>
      <c r="Q90" s="25">
        <f>WO2025Jan7men11915171923252931333539414345474955575963656769717375777913171921232729333541[[#This Row],[I]]</f>
        <v>8.6574074074074071E-4</v>
      </c>
      <c r="R90" s="28">
        <f>WO2025Jan7men11915171923252931333539414345474955575963656769717375777913171921232729333541[[#This Row],[I]]*2.5</f>
        <v>2.1643518518518518E-3</v>
      </c>
      <c r="S90" s="25">
        <f>WO2025Jan7men11915171923252931333539414345474955575963656769717375777913171921232729333541[[#This Row],[VO2]]</f>
        <v>8.3947993827160491E-4</v>
      </c>
      <c r="T90" s="25"/>
      <c r="U90" s="28"/>
      <c r="V90" s="25"/>
      <c r="W90" s="27" t="s">
        <v>26</v>
      </c>
      <c r="X90" s="52"/>
    </row>
    <row r="91" spans="1:24" ht="20.45" customHeight="1">
      <c r="A91" s="10" t="s">
        <v>127</v>
      </c>
      <c r="B91" s="11">
        <v>1.0648148148148148E-2</v>
      </c>
      <c r="C91" s="11">
        <v>2.9513888888888888E-3</v>
      </c>
      <c r="D91" s="11">
        <f>B91*E91</f>
        <v>6.1950925925925923E-3</v>
      </c>
      <c r="E91" s="12">
        <v>0.58179999999999998</v>
      </c>
      <c r="F91" s="11">
        <f>C91/4</f>
        <v>7.378472222222222E-4</v>
      </c>
      <c r="G91" s="11">
        <f>D91/7.5</f>
        <v>8.2601234567901232E-4</v>
      </c>
      <c r="H91" s="11">
        <f>B91/12.5</f>
        <v>8.5185185185185179E-4</v>
      </c>
      <c r="I91" s="11">
        <f>G91/0.93</f>
        <v>8.8818531793442184E-4</v>
      </c>
      <c r="J91" s="11">
        <f>G91/0.92</f>
        <v>8.9783950617283942E-4</v>
      </c>
      <c r="K91" s="11">
        <f>G91/0.88</f>
        <v>9.3865039281705945E-4</v>
      </c>
      <c r="L91" s="11">
        <f>G91/0.84</f>
        <v>9.833480305702527E-4</v>
      </c>
      <c r="M91" s="25">
        <f>WO2025Jan7men11915171923252931333539414345474955575963656769717375777913171921232729333541[[#This Row],[Thresh]]</f>
        <v>9.3865039281705945E-4</v>
      </c>
      <c r="N91" s="28">
        <f>WO2025Jan7men11915171923252931333539414345474955575963656769717375777913171921232729333541[[#This Row],[Thresh]]*2.5</f>
        <v>2.3466259820426488E-3</v>
      </c>
      <c r="O91" s="25">
        <f>WO2025Jan7men11915171923252931333539414345474955575963656769717375777913171921232729333541[[#This Row],[CV]]</f>
        <v>8.9783950617283942E-4</v>
      </c>
      <c r="P91" s="28">
        <f>WO2025Jan7men11915171923252931333539414345474955575963656769717375777913171921232729333541[[#This Row],[CV]]*2.5</f>
        <v>2.2445987654320983E-3</v>
      </c>
      <c r="Q91" s="25">
        <f>WO2025Jan7men11915171923252931333539414345474955575963656769717375777913171921232729333541[[#This Row],[I]]</f>
        <v>8.5185185185185179E-4</v>
      </c>
      <c r="R91" s="28">
        <f>WO2025Jan7men11915171923252931333539414345474955575963656769717375777913171921232729333541[[#This Row],[I]]*2.5</f>
        <v>2.1296296296296293E-3</v>
      </c>
      <c r="S91" s="25">
        <f>WO2025Jan7men11915171923252931333539414345474955575963656769717375777913171921232729333541[[#This Row],[VO2]]</f>
        <v>8.2601234567901232E-4</v>
      </c>
      <c r="T91" s="25"/>
      <c r="U91" s="28"/>
      <c r="V91" s="25"/>
      <c r="W91" s="15" t="s">
        <v>203</v>
      </c>
      <c r="X91" s="52"/>
    </row>
    <row r="92" spans="1:24" ht="20.45" customHeight="1">
      <c r="A92" s="10" t="s">
        <v>128</v>
      </c>
      <c r="B92" s="11">
        <v>1.0821759259259258E-2</v>
      </c>
      <c r="C92" s="11"/>
      <c r="D92" s="11">
        <f>B92*E92</f>
        <v>6.2960995370370367E-3</v>
      </c>
      <c r="E92" s="12">
        <v>0.58179999999999998</v>
      </c>
      <c r="F92" s="11">
        <f>C92/4</f>
        <v>0</v>
      </c>
      <c r="G92" s="11">
        <f>D92/7.5</f>
        <v>8.3947993827160491E-4</v>
      </c>
      <c r="H92" s="11">
        <f>B92/12.5</f>
        <v>8.6574074074074071E-4</v>
      </c>
      <c r="I92" s="11">
        <f>G92/0.93</f>
        <v>9.0266660029204827E-4</v>
      </c>
      <c r="J92" s="11">
        <f>G92/0.92</f>
        <v>9.1247819377348357E-4</v>
      </c>
      <c r="K92" s="11">
        <f>G92/0.88</f>
        <v>9.5395447530864197E-4</v>
      </c>
      <c r="L92" s="11">
        <f>G92/0.84</f>
        <v>9.9938087889476774E-4</v>
      </c>
      <c r="M92" s="25">
        <f>WO2025Jan7men11915171923252931333539414345474955575963656769717375777913171921232729333541[[#This Row],[Thresh]]</f>
        <v>9.5395447530864197E-4</v>
      </c>
      <c r="N92" s="28">
        <f>WO2025Jan7men11915171923252931333539414345474955575963656769717375777913171921232729333541[[#This Row],[Thresh]]*2.5</f>
        <v>2.384886188271605E-3</v>
      </c>
      <c r="O92" s="25">
        <f>WO2025Jan7men11915171923252931333539414345474955575963656769717375777913171921232729333541[[#This Row],[CV]]</f>
        <v>9.1247819377348357E-4</v>
      </c>
      <c r="P92" s="28">
        <f>WO2025Jan7men11915171923252931333539414345474955575963656769717375777913171921232729333541[[#This Row],[CV]]*2.5</f>
        <v>2.281195484433709E-3</v>
      </c>
      <c r="Q92" s="25">
        <f>WO2025Jan7men11915171923252931333539414345474955575963656769717375777913171921232729333541[[#This Row],[I]]</f>
        <v>8.6574074074074071E-4</v>
      </c>
      <c r="R92" s="28">
        <f>WO2025Jan7men11915171923252931333539414345474955575963656769717375777913171921232729333541[[#This Row],[I]]*2.5</f>
        <v>2.1643518518518518E-3</v>
      </c>
      <c r="S92" s="25">
        <f>WO2025Jan7men11915171923252931333539414345474955575963656769717375777913171921232729333541[[#This Row],[VO2]]</f>
        <v>8.3947993827160491E-4</v>
      </c>
      <c r="T92" s="25"/>
      <c r="U92" s="28"/>
      <c r="V92" s="25"/>
      <c r="W92" s="27" t="s">
        <v>26</v>
      </c>
      <c r="X92" s="52"/>
    </row>
    <row r="93" spans="1:24" ht="20.45" customHeight="1">
      <c r="A93" s="10" t="s">
        <v>129</v>
      </c>
      <c r="B93" s="11">
        <v>1.0937499999999999E-2</v>
      </c>
      <c r="C93" s="11">
        <v>3.0092592592592593E-3</v>
      </c>
      <c r="D93" s="11">
        <f>B93*E93</f>
        <v>6.3634374999999993E-3</v>
      </c>
      <c r="E93" s="12">
        <v>0.58179999999999998</v>
      </c>
      <c r="F93" s="11">
        <f>C93/4</f>
        <v>7.5231481481481482E-4</v>
      </c>
      <c r="G93" s="11">
        <f>D93/7.5</f>
        <v>8.4845833333333323E-4</v>
      </c>
      <c r="H93" s="11">
        <f>B93/12.5</f>
        <v>8.7499999999999991E-4</v>
      </c>
      <c r="I93" s="11">
        <f>G93/0.93</f>
        <v>9.1232078853046574E-4</v>
      </c>
      <c r="J93" s="11">
        <f>G93/0.92</f>
        <v>9.222373188405796E-4</v>
      </c>
      <c r="K93" s="11">
        <f>G93/0.88</f>
        <v>9.6415719696969684E-4</v>
      </c>
      <c r="L93" s="11">
        <f>G93/0.84</f>
        <v>1.0100694444444443E-3</v>
      </c>
      <c r="M93" s="25">
        <f>WO2025Jan7men11915171923252931333539414345474955575963656769717375777913171921232729333541[[#This Row],[Thresh]]</f>
        <v>9.6415719696969684E-4</v>
      </c>
      <c r="N93" s="28">
        <f>WO2025Jan7men11915171923252931333539414345474955575963656769717375777913171921232729333541[[#This Row],[Thresh]]*2.5</f>
        <v>2.4103929924242421E-3</v>
      </c>
      <c r="O93" s="25">
        <f>WO2025Jan7men11915171923252931333539414345474955575963656769717375777913171921232729333541[[#This Row],[CV]]</f>
        <v>9.222373188405796E-4</v>
      </c>
      <c r="P93" s="28">
        <f>WO2025Jan7men11915171923252931333539414345474955575963656769717375777913171921232729333541[[#This Row],[CV]]*2.5</f>
        <v>2.3055932971014492E-3</v>
      </c>
      <c r="Q93" s="25">
        <f>WO2025Jan7men11915171923252931333539414345474955575963656769717375777913171921232729333541[[#This Row],[I]]</f>
        <v>8.7499999999999991E-4</v>
      </c>
      <c r="R93" s="28">
        <f>WO2025Jan7men11915171923252931333539414345474955575963656769717375777913171921232729333541[[#This Row],[I]]*2.5</f>
        <v>2.1874999999999998E-3</v>
      </c>
      <c r="S93" s="25">
        <f>WO2025Jan7men11915171923252931333539414345474955575963656769717375777913171921232729333541[[#This Row],[VO2]]</f>
        <v>8.4845833333333323E-4</v>
      </c>
      <c r="T93" s="25"/>
      <c r="U93" s="28"/>
      <c r="V93" s="25"/>
      <c r="W93" s="15" t="s">
        <v>35</v>
      </c>
      <c r="X93" s="52"/>
    </row>
    <row r="94" spans="1:24" ht="20.45" customHeight="1">
      <c r="A94" s="10" t="s">
        <v>130</v>
      </c>
      <c r="B94" s="11">
        <v>1.0937499999999999E-2</v>
      </c>
      <c r="C94" s="11">
        <v>3.1828703703703702E-3</v>
      </c>
      <c r="D94" s="11">
        <f>B94*E94</f>
        <v>6.3634374999999993E-3</v>
      </c>
      <c r="E94" s="12">
        <v>0.58179999999999998</v>
      </c>
      <c r="F94" s="11">
        <f>C94/4</f>
        <v>7.9571759259259255E-4</v>
      </c>
      <c r="G94" s="11">
        <f>D94/7.5</f>
        <v>8.4845833333333323E-4</v>
      </c>
      <c r="H94" s="11">
        <f>B94/12.5</f>
        <v>8.7499999999999991E-4</v>
      </c>
      <c r="I94" s="11">
        <f>G94/0.93</f>
        <v>9.1232078853046574E-4</v>
      </c>
      <c r="J94" s="11">
        <f>G94/0.92</f>
        <v>9.222373188405796E-4</v>
      </c>
      <c r="K94" s="11">
        <f>G94/0.88</f>
        <v>9.6415719696969684E-4</v>
      </c>
      <c r="L94" s="11">
        <f>G94/0.84</f>
        <v>1.0100694444444443E-3</v>
      </c>
      <c r="M94" s="25">
        <f>WO2025Jan7men11915171923252931333539414345474955575963656769717375777913171921232729333541[[#This Row],[Thresh]]</f>
        <v>9.6415719696969684E-4</v>
      </c>
      <c r="N94" s="28">
        <f>WO2025Jan7men11915171923252931333539414345474955575963656769717375777913171921232729333541[[#This Row],[Thresh]]*2.5</f>
        <v>2.4103929924242421E-3</v>
      </c>
      <c r="O94" s="25">
        <f>WO2025Jan7men11915171923252931333539414345474955575963656769717375777913171921232729333541[[#This Row],[CV]]</f>
        <v>9.222373188405796E-4</v>
      </c>
      <c r="P94" s="28">
        <f>WO2025Jan7men11915171923252931333539414345474955575963656769717375777913171921232729333541[[#This Row],[CV]]*2.5</f>
        <v>2.3055932971014492E-3</v>
      </c>
      <c r="Q94" s="25">
        <f>WO2025Jan7men11915171923252931333539414345474955575963656769717375777913171921232729333541[[#This Row],[I]]</f>
        <v>8.7499999999999991E-4</v>
      </c>
      <c r="R94" s="28">
        <f>WO2025Jan7men11915171923252931333539414345474955575963656769717375777913171921232729333541[[#This Row],[I]]*2.5</f>
        <v>2.1874999999999998E-3</v>
      </c>
      <c r="S94" s="25">
        <f>WO2025Jan7men11915171923252931333539414345474955575963656769717375777913171921232729333541[[#This Row],[VO2]]</f>
        <v>8.4845833333333323E-4</v>
      </c>
      <c r="T94" s="25"/>
      <c r="U94" s="28"/>
      <c r="V94" s="25"/>
      <c r="W94" s="27" t="s">
        <v>35</v>
      </c>
      <c r="X94" s="52"/>
    </row>
    <row r="95" spans="1:24" ht="20.45" customHeight="1">
      <c r="A95" s="10" t="s">
        <v>131</v>
      </c>
      <c r="B95" s="11">
        <v>1.0937499999999999E-2</v>
      </c>
      <c r="C95" s="11">
        <v>3.1828703703703702E-3</v>
      </c>
      <c r="D95" s="11">
        <f t="shared" si="24"/>
        <v>6.3634374999999993E-3</v>
      </c>
      <c r="E95" s="12">
        <v>0.58179999999999998</v>
      </c>
      <c r="F95" s="11">
        <f t="shared" si="25"/>
        <v>7.9571759259259255E-4</v>
      </c>
      <c r="G95" s="11">
        <f t="shared" si="26"/>
        <v>8.4845833333333323E-4</v>
      </c>
      <c r="H95" s="11">
        <f t="shared" si="27"/>
        <v>8.7499999999999991E-4</v>
      </c>
      <c r="I95" s="11">
        <f t="shared" si="28"/>
        <v>9.1232078853046574E-4</v>
      </c>
      <c r="J95" s="11">
        <f t="shared" si="29"/>
        <v>9.222373188405796E-4</v>
      </c>
      <c r="K95" s="11">
        <f t="shared" si="30"/>
        <v>9.6415719696969684E-4</v>
      </c>
      <c r="L95" s="11">
        <f t="shared" si="31"/>
        <v>1.0100694444444443E-3</v>
      </c>
      <c r="M95" s="25">
        <f>WO2025Jan7men11915171923252931333539414345474955575963656769717375777913171921232729333541[[#This Row],[Thresh]]</f>
        <v>9.6415719696969684E-4</v>
      </c>
      <c r="N95" s="28">
        <f>WO2025Jan7men11915171923252931333539414345474955575963656769717375777913171921232729333541[[#This Row],[Thresh]]*2.5</f>
        <v>2.4103929924242421E-3</v>
      </c>
      <c r="O95" s="25">
        <f>WO2025Jan7men11915171923252931333539414345474955575963656769717375777913171921232729333541[[#This Row],[CV]]</f>
        <v>9.222373188405796E-4</v>
      </c>
      <c r="P95" s="28">
        <f>WO2025Jan7men11915171923252931333539414345474955575963656769717375777913171921232729333541[[#This Row],[CV]]*2.5</f>
        <v>2.3055932971014492E-3</v>
      </c>
      <c r="Q95" s="25">
        <f>WO2025Jan7men11915171923252931333539414345474955575963656769717375777913171921232729333541[[#This Row],[I]]</f>
        <v>8.7499999999999991E-4</v>
      </c>
      <c r="R95" s="28">
        <f>WO2025Jan7men11915171923252931333539414345474955575963656769717375777913171921232729333541[[#This Row],[I]]*2.5</f>
        <v>2.1874999999999998E-3</v>
      </c>
      <c r="S95" s="25">
        <f>WO2025Jan7men11915171923252931333539414345474955575963656769717375777913171921232729333541[[#This Row],[VO2]]</f>
        <v>8.4845833333333323E-4</v>
      </c>
      <c r="T95" s="25"/>
      <c r="U95" s="28"/>
      <c r="V95" s="25"/>
      <c r="W95" s="15" t="s">
        <v>26</v>
      </c>
      <c r="X95" s="52"/>
    </row>
    <row r="96" spans="1:24" ht="20.45" customHeight="1">
      <c r="A96" s="10" t="s">
        <v>113</v>
      </c>
      <c r="B96" s="11">
        <v>1.0937499999999999E-2</v>
      </c>
      <c r="C96" s="11">
        <v>3.2986111111111111E-3</v>
      </c>
      <c r="D96" s="11">
        <f>B96*E96</f>
        <v>6.3634374999999993E-3</v>
      </c>
      <c r="E96" s="12">
        <v>0.58179999999999998</v>
      </c>
      <c r="F96" s="11">
        <f>C96/4</f>
        <v>8.2465277777777778E-4</v>
      </c>
      <c r="G96" s="11">
        <f>D96/7.5</f>
        <v>8.4845833333333323E-4</v>
      </c>
      <c r="H96" s="11">
        <f>B96/12.5</f>
        <v>8.7499999999999991E-4</v>
      </c>
      <c r="I96" s="11">
        <f>G96/0.93</f>
        <v>9.1232078853046574E-4</v>
      </c>
      <c r="J96" s="11">
        <f>G96/0.92</f>
        <v>9.222373188405796E-4</v>
      </c>
      <c r="K96" s="11">
        <f>G96/0.88</f>
        <v>9.6415719696969684E-4</v>
      </c>
      <c r="L96" s="11">
        <f>G96/0.84</f>
        <v>1.0100694444444443E-3</v>
      </c>
      <c r="M96" s="25">
        <f>WO2025Jan7men11915171923252931333539414345474955575963656769717375777913171921232729333541[[#This Row],[Thresh]]</f>
        <v>9.6415719696969684E-4</v>
      </c>
      <c r="N96" s="28">
        <f>WO2025Jan7men11915171923252931333539414345474955575963656769717375777913171921232729333541[[#This Row],[Thresh]]*2.5</f>
        <v>2.4103929924242421E-3</v>
      </c>
      <c r="O96" s="25">
        <f>WO2025Jan7men11915171923252931333539414345474955575963656769717375777913171921232729333541[[#This Row],[CV]]</f>
        <v>9.222373188405796E-4</v>
      </c>
      <c r="P96" s="28">
        <f>WO2025Jan7men11915171923252931333539414345474955575963656769717375777913171921232729333541[[#This Row],[CV]]*2.5</f>
        <v>2.3055932971014492E-3</v>
      </c>
      <c r="Q96" s="25">
        <f>WO2025Jan7men11915171923252931333539414345474955575963656769717375777913171921232729333541[[#This Row],[I]]</f>
        <v>8.7499999999999991E-4</v>
      </c>
      <c r="R96" s="28">
        <f>WO2025Jan7men11915171923252931333539414345474955575963656769717375777913171921232729333541[[#This Row],[I]]*2.5</f>
        <v>2.1874999999999998E-3</v>
      </c>
      <c r="S96" s="25">
        <f>WO2025Jan7men11915171923252931333539414345474955575963656769717375777913171921232729333541[[#This Row],[VO2]]</f>
        <v>8.4845833333333323E-4</v>
      </c>
      <c r="T96" s="25"/>
      <c r="U96" s="28"/>
      <c r="V96" s="25"/>
      <c r="W96" s="15" t="s">
        <v>35</v>
      </c>
      <c r="X96" s="52"/>
    </row>
    <row r="97" spans="1:24" ht="20.45" customHeight="1">
      <c r="A97" s="10" t="s">
        <v>132</v>
      </c>
      <c r="B97" s="11">
        <v>1.0937499999999999E-2</v>
      </c>
      <c r="C97" s="11"/>
      <c r="D97" s="11">
        <f t="shared" si="24"/>
        <v>6.3634374999999993E-3</v>
      </c>
      <c r="E97" s="12">
        <v>0.58179999999999998</v>
      </c>
      <c r="F97" s="11">
        <f t="shared" si="25"/>
        <v>0</v>
      </c>
      <c r="G97" s="11">
        <f t="shared" si="26"/>
        <v>8.4845833333333323E-4</v>
      </c>
      <c r="H97" s="11">
        <f t="shared" si="27"/>
        <v>8.7499999999999991E-4</v>
      </c>
      <c r="I97" s="11">
        <f t="shared" si="28"/>
        <v>9.1232078853046574E-4</v>
      </c>
      <c r="J97" s="11">
        <f t="shared" si="29"/>
        <v>9.222373188405796E-4</v>
      </c>
      <c r="K97" s="11">
        <f t="shared" si="30"/>
        <v>9.6415719696969684E-4</v>
      </c>
      <c r="L97" s="11">
        <f t="shared" si="31"/>
        <v>1.0100694444444443E-3</v>
      </c>
      <c r="M97" s="25">
        <f>WO2025Jan7men11915171923252931333539414345474955575963656769717375777913171921232729333541[[#This Row],[Thresh]]</f>
        <v>9.6415719696969684E-4</v>
      </c>
      <c r="N97" s="28">
        <f>WO2025Jan7men11915171923252931333539414345474955575963656769717375777913171921232729333541[[#This Row],[Thresh]]*2.5</f>
        <v>2.4103929924242421E-3</v>
      </c>
      <c r="O97" s="25">
        <f>WO2025Jan7men11915171923252931333539414345474955575963656769717375777913171921232729333541[[#This Row],[CV]]</f>
        <v>9.222373188405796E-4</v>
      </c>
      <c r="P97" s="28">
        <f>WO2025Jan7men11915171923252931333539414345474955575963656769717375777913171921232729333541[[#This Row],[CV]]*2.5</f>
        <v>2.3055932971014492E-3</v>
      </c>
      <c r="Q97" s="25">
        <f>WO2025Jan7men11915171923252931333539414345474955575963656769717375777913171921232729333541[[#This Row],[I]]</f>
        <v>8.7499999999999991E-4</v>
      </c>
      <c r="R97" s="28">
        <f>WO2025Jan7men11915171923252931333539414345474955575963656769717375777913171921232729333541[[#This Row],[I]]*2.5</f>
        <v>2.1874999999999998E-3</v>
      </c>
      <c r="S97" s="25">
        <f>WO2025Jan7men11915171923252931333539414345474955575963656769717375777913171921232729333541[[#This Row],[VO2]]</f>
        <v>8.4845833333333323E-4</v>
      </c>
      <c r="T97" s="25"/>
      <c r="U97" s="28"/>
      <c r="V97" s="25"/>
      <c r="W97" s="27" t="s">
        <v>35</v>
      </c>
      <c r="X97" s="52"/>
    </row>
    <row r="98" spans="1:24" ht="20.45" customHeight="1">
      <c r="A98" s="10" t="s">
        <v>133</v>
      </c>
      <c r="B98" s="11">
        <v>1.0937499999999999E-2</v>
      </c>
      <c r="C98" s="11">
        <v>3.1250000000000002E-3</v>
      </c>
      <c r="D98" s="11">
        <f t="shared" si="24"/>
        <v>6.3634374999999993E-3</v>
      </c>
      <c r="E98" s="12">
        <v>0.58179999999999998</v>
      </c>
      <c r="F98" s="11">
        <f t="shared" si="25"/>
        <v>7.8125000000000004E-4</v>
      </c>
      <c r="G98" s="11">
        <f t="shared" si="26"/>
        <v>8.4845833333333323E-4</v>
      </c>
      <c r="H98" s="11">
        <f t="shared" si="27"/>
        <v>8.7499999999999991E-4</v>
      </c>
      <c r="I98" s="11">
        <f t="shared" si="28"/>
        <v>9.1232078853046574E-4</v>
      </c>
      <c r="J98" s="11">
        <f t="shared" si="29"/>
        <v>9.222373188405796E-4</v>
      </c>
      <c r="K98" s="11">
        <f t="shared" si="30"/>
        <v>9.6415719696969684E-4</v>
      </c>
      <c r="L98" s="11">
        <f t="shared" si="31"/>
        <v>1.0100694444444443E-3</v>
      </c>
      <c r="M98" s="25">
        <f>WO2025Jan7men11915171923252931333539414345474955575963656769717375777913171921232729333541[[#This Row],[Thresh]]</f>
        <v>9.6415719696969684E-4</v>
      </c>
      <c r="N98" s="28">
        <f>WO2025Jan7men11915171923252931333539414345474955575963656769717375777913171921232729333541[[#This Row],[Thresh]]*2.5</f>
        <v>2.4103929924242421E-3</v>
      </c>
      <c r="O98" s="25">
        <f>WO2025Jan7men11915171923252931333539414345474955575963656769717375777913171921232729333541[[#This Row],[CV]]</f>
        <v>9.222373188405796E-4</v>
      </c>
      <c r="P98" s="28">
        <f>WO2025Jan7men11915171923252931333539414345474955575963656769717375777913171921232729333541[[#This Row],[CV]]*2.5</f>
        <v>2.3055932971014492E-3</v>
      </c>
      <c r="Q98" s="25">
        <f>WO2025Jan7men11915171923252931333539414345474955575963656769717375777913171921232729333541[[#This Row],[I]]</f>
        <v>8.7499999999999991E-4</v>
      </c>
      <c r="R98" s="28">
        <f>WO2025Jan7men11915171923252931333539414345474955575963656769717375777913171921232729333541[[#This Row],[I]]*2.5</f>
        <v>2.1874999999999998E-3</v>
      </c>
      <c r="S98" s="25">
        <f>WO2025Jan7men11915171923252931333539414345474955575963656769717375777913171921232729333541[[#This Row],[VO2]]</f>
        <v>8.4845833333333323E-4</v>
      </c>
      <c r="T98" s="25"/>
      <c r="U98" s="28"/>
      <c r="V98" s="25"/>
      <c r="W98" s="15" t="s">
        <v>35</v>
      </c>
      <c r="X98" s="52"/>
    </row>
    <row r="99" spans="1:24" ht="20.45" customHeight="1">
      <c r="A99" s="10" t="s">
        <v>137</v>
      </c>
      <c r="B99" s="11">
        <v>1.0937499999999999E-2</v>
      </c>
      <c r="C99" s="11">
        <v>3.0092592592592593E-3</v>
      </c>
      <c r="D99" s="11">
        <f>B99*E99</f>
        <v>6.3634374999999993E-3</v>
      </c>
      <c r="E99" s="12">
        <v>0.58179999999999998</v>
      </c>
      <c r="F99" s="11">
        <f>C99/4</f>
        <v>7.5231481481481482E-4</v>
      </c>
      <c r="G99" s="11">
        <f>D99/7.5</f>
        <v>8.4845833333333323E-4</v>
      </c>
      <c r="H99" s="11">
        <f>B99/12.5</f>
        <v>8.7499999999999991E-4</v>
      </c>
      <c r="I99" s="11">
        <f>G99/0.93</f>
        <v>9.1232078853046574E-4</v>
      </c>
      <c r="J99" s="11">
        <f>G99/0.92</f>
        <v>9.222373188405796E-4</v>
      </c>
      <c r="K99" s="11">
        <f>G99/0.88</f>
        <v>9.6415719696969684E-4</v>
      </c>
      <c r="L99" s="11">
        <f>G99/0.84</f>
        <v>1.0100694444444443E-3</v>
      </c>
      <c r="M99" s="25">
        <f>WO2025Jan7men11915171923252931333539414345474955575963656769717375777913171921232729333541[[#This Row],[Thresh]]</f>
        <v>9.6415719696969684E-4</v>
      </c>
      <c r="N99" s="28">
        <f>WO2025Jan7men11915171923252931333539414345474955575963656769717375777913171921232729333541[[#This Row],[Thresh]]*2.5</f>
        <v>2.4103929924242421E-3</v>
      </c>
      <c r="O99" s="25">
        <f>WO2025Jan7men11915171923252931333539414345474955575963656769717375777913171921232729333541[[#This Row],[CV]]</f>
        <v>9.222373188405796E-4</v>
      </c>
      <c r="P99" s="28">
        <f>WO2025Jan7men11915171923252931333539414345474955575963656769717375777913171921232729333541[[#This Row],[CV]]*2.5</f>
        <v>2.3055932971014492E-3</v>
      </c>
      <c r="Q99" s="25">
        <f>WO2025Jan7men11915171923252931333539414345474955575963656769717375777913171921232729333541[[#This Row],[I]]</f>
        <v>8.7499999999999991E-4</v>
      </c>
      <c r="R99" s="28">
        <f>WO2025Jan7men11915171923252931333539414345474955575963656769717375777913171921232729333541[[#This Row],[I]]*2.5</f>
        <v>2.1874999999999998E-3</v>
      </c>
      <c r="S99" s="25">
        <f>WO2025Jan7men11915171923252931333539414345474955575963656769717375777913171921232729333541[[#This Row],[VO2]]</f>
        <v>8.4845833333333323E-4</v>
      </c>
      <c r="T99" s="25"/>
      <c r="U99" s="28"/>
      <c r="V99" s="25"/>
      <c r="W99" s="15" t="s">
        <v>35</v>
      </c>
      <c r="X99" s="52"/>
    </row>
    <row r="100" spans="1:24" ht="20.45" customHeight="1">
      <c r="A100" s="10" t="s">
        <v>100</v>
      </c>
      <c r="B100" s="11">
        <v>1.0937499999999999E-2</v>
      </c>
      <c r="C100" s="11">
        <v>3.0671296296296297E-3</v>
      </c>
      <c r="D100" s="11">
        <f>B100*E100</f>
        <v>6.3634374999999993E-3</v>
      </c>
      <c r="E100" s="12">
        <v>0.58179999999999998</v>
      </c>
      <c r="F100" s="11">
        <f>C100/4</f>
        <v>7.6678240740740743E-4</v>
      </c>
      <c r="G100" s="11">
        <f>D100/7.5</f>
        <v>8.4845833333333323E-4</v>
      </c>
      <c r="H100" s="11">
        <f>B100/12.5</f>
        <v>8.7499999999999991E-4</v>
      </c>
      <c r="I100" s="11">
        <f>G100/0.93</f>
        <v>9.1232078853046574E-4</v>
      </c>
      <c r="J100" s="11">
        <f>G100/0.92</f>
        <v>9.222373188405796E-4</v>
      </c>
      <c r="K100" s="11">
        <f>G100/0.88</f>
        <v>9.6415719696969684E-4</v>
      </c>
      <c r="L100" s="17">
        <f>G100/0.84</f>
        <v>1.0100694444444443E-3</v>
      </c>
      <c r="M100" s="25">
        <f>WO2025Jan7men11915171923252931333539414345474955575963656769717375777913171921232729333541[[#This Row],[Thresh]]</f>
        <v>9.6415719696969684E-4</v>
      </c>
      <c r="N100" s="28">
        <f>WO2025Jan7men11915171923252931333539414345474955575963656769717375777913171921232729333541[[#This Row],[Thresh]]*2.5</f>
        <v>2.4103929924242421E-3</v>
      </c>
      <c r="O100" s="25">
        <f>WO2025Jan7men11915171923252931333539414345474955575963656769717375777913171921232729333541[[#This Row],[CV]]</f>
        <v>9.222373188405796E-4</v>
      </c>
      <c r="P100" s="28">
        <f>WO2025Jan7men11915171923252931333539414345474955575963656769717375777913171921232729333541[[#This Row],[CV]]*2.5</f>
        <v>2.3055932971014492E-3</v>
      </c>
      <c r="Q100" s="25">
        <f>WO2025Jan7men11915171923252931333539414345474955575963656769717375777913171921232729333541[[#This Row],[I]]</f>
        <v>8.7499999999999991E-4</v>
      </c>
      <c r="R100" s="28">
        <f>WO2025Jan7men11915171923252931333539414345474955575963656769717375777913171921232729333541[[#This Row],[I]]*2.5</f>
        <v>2.1874999999999998E-3</v>
      </c>
      <c r="S100" s="25">
        <f>WO2025Jan7men11915171923252931333539414345474955575963656769717375777913171921232729333541[[#This Row],[VO2]]</f>
        <v>8.4845833333333323E-4</v>
      </c>
      <c r="T100" s="25"/>
      <c r="U100" s="28"/>
      <c r="V100" s="25"/>
      <c r="W100" s="15" t="s">
        <v>35</v>
      </c>
      <c r="X100" s="52"/>
    </row>
    <row r="101" spans="1:24" ht="20.45" customHeight="1">
      <c r="A101" s="10" t="s">
        <v>136</v>
      </c>
      <c r="B101" s="11">
        <v>1.1284722222222222E-2</v>
      </c>
      <c r="C101" s="11">
        <v>3.1828703703703702E-3</v>
      </c>
      <c r="D101" s="11">
        <f>B101*E101</f>
        <v>6.5654513888888889E-3</v>
      </c>
      <c r="E101" s="12">
        <v>0.58179999999999998</v>
      </c>
      <c r="F101" s="11">
        <f>C101/4</f>
        <v>7.9571759259259255E-4</v>
      </c>
      <c r="G101" s="11">
        <f>D101/7.5</f>
        <v>8.7539351851851851E-4</v>
      </c>
      <c r="H101" s="11">
        <f>B101/12.5</f>
        <v>9.0277777777777774E-4</v>
      </c>
      <c r="I101" s="11">
        <f>G101/0.93</f>
        <v>9.4128335324571882E-4</v>
      </c>
      <c r="J101" s="11">
        <f>G101/0.92</f>
        <v>9.5151469404186791E-4</v>
      </c>
      <c r="K101" s="11">
        <f>G101/0.88</f>
        <v>9.9476536195286188E-4</v>
      </c>
      <c r="L101" s="11">
        <f>G101/0.84</f>
        <v>1.0421351410934744E-3</v>
      </c>
      <c r="M101" s="25">
        <f>WO2025Jan7men11915171923252931333539414345474955575963656769717375777913171921232729333541[[#This Row],[Thresh]]</f>
        <v>9.9476536195286188E-4</v>
      </c>
      <c r="N101" s="28">
        <f>WO2025Jan7men11915171923252931333539414345474955575963656769717375777913171921232729333541[[#This Row],[Thresh]]*2.5</f>
        <v>2.4869134048821546E-3</v>
      </c>
      <c r="O101" s="25">
        <f>WO2025Jan7men11915171923252931333539414345474955575963656769717375777913171921232729333541[[#This Row],[CV]]</f>
        <v>9.5151469404186791E-4</v>
      </c>
      <c r="P101" s="28">
        <f>WO2025Jan7men11915171923252931333539414345474955575963656769717375777913171921232729333541[[#This Row],[CV]]*2.5</f>
        <v>2.3787867351046698E-3</v>
      </c>
      <c r="Q101" s="25">
        <f>WO2025Jan7men11915171923252931333539414345474955575963656769717375777913171921232729333541[[#This Row],[I]]</f>
        <v>9.0277777777777774E-4</v>
      </c>
      <c r="R101" s="28">
        <f>WO2025Jan7men11915171923252931333539414345474955575963656769717375777913171921232729333541[[#This Row],[I]]*2.5</f>
        <v>2.2569444444444442E-3</v>
      </c>
      <c r="S101" s="25">
        <f>WO2025Jan7men11915171923252931333539414345474955575963656769717375777913171921232729333541[[#This Row],[VO2]]</f>
        <v>8.7539351851851851E-4</v>
      </c>
      <c r="T101" s="25"/>
      <c r="U101" s="28"/>
      <c r="V101" s="25"/>
      <c r="W101" s="15" t="s">
        <v>35</v>
      </c>
      <c r="X101" s="52"/>
    </row>
    <row r="102" spans="1:24" ht="20.45" customHeight="1">
      <c r="A102" s="10" t="s">
        <v>134</v>
      </c>
      <c r="B102" s="11">
        <v>1.1805555555555555E-2</v>
      </c>
      <c r="C102" s="11"/>
      <c r="D102" s="11">
        <f>B102*E102</f>
        <v>6.868472222222222E-3</v>
      </c>
      <c r="E102" s="12">
        <v>0.58179999999999998</v>
      </c>
      <c r="F102" s="11">
        <f>C102/4</f>
        <v>0</v>
      </c>
      <c r="G102" s="11">
        <f>D102/7.5</f>
        <v>9.1579629629629628E-4</v>
      </c>
      <c r="H102" s="11">
        <f>B102/12.5</f>
        <v>9.4444444444444437E-4</v>
      </c>
      <c r="I102" s="11">
        <f>G102/0.93</f>
        <v>9.8472720031859799E-4</v>
      </c>
      <c r="J102" s="11">
        <f>G102/0.92</f>
        <v>9.9543075684380036E-4</v>
      </c>
      <c r="K102" s="11">
        <f>G102/0.88</f>
        <v>1.0406776094276093E-3</v>
      </c>
      <c r="L102" s="11">
        <f>G102/0.84</f>
        <v>1.0902336860670195E-3</v>
      </c>
      <c r="M102" s="25">
        <f>WO2025Jan7men11915171923252931333539414345474955575963656769717375777913171921232729333541[[#This Row],[Thresh]]</f>
        <v>1.0406776094276093E-3</v>
      </c>
      <c r="N102" s="28">
        <f>WO2025Jan7men11915171923252931333539414345474955575963656769717375777913171921232729333541[[#This Row],[Thresh]]*2.5</f>
        <v>2.6016940235690234E-3</v>
      </c>
      <c r="O102" s="25">
        <f>WO2025Jan7men11915171923252931333539414345474955575963656769717375777913171921232729333541[[#This Row],[CV]]</f>
        <v>9.9543075684380036E-4</v>
      </c>
      <c r="P102" s="28">
        <f>WO2025Jan7men11915171923252931333539414345474955575963656769717375777913171921232729333541[[#This Row],[CV]]*2.5</f>
        <v>2.488576892109501E-3</v>
      </c>
      <c r="Q102" s="25">
        <f>WO2025Jan7men11915171923252931333539414345474955575963656769717375777913171921232729333541[[#This Row],[I]]</f>
        <v>9.4444444444444437E-4</v>
      </c>
      <c r="R102" s="28">
        <f>WO2025Jan7men11915171923252931333539414345474955575963656769717375777913171921232729333541[[#This Row],[I]]*2.5</f>
        <v>2.3611111111111107E-3</v>
      </c>
      <c r="S102" s="25">
        <f>WO2025Jan7men11915171923252931333539414345474955575963656769717375777913171921232729333541[[#This Row],[VO2]]</f>
        <v>9.1579629629629628E-4</v>
      </c>
      <c r="T102" s="25"/>
      <c r="U102" s="28"/>
      <c r="V102" s="25"/>
      <c r="W102" s="27" t="s">
        <v>35</v>
      </c>
      <c r="X102" s="52"/>
    </row>
    <row r="103" spans="1:24" ht="20.45" customHeight="1">
      <c r="A103" s="10" t="s">
        <v>135</v>
      </c>
      <c r="B103" s="11">
        <v>1.1805555555555555E-2</v>
      </c>
      <c r="C103" s="11">
        <v>3.414351851851852E-3</v>
      </c>
      <c r="D103" s="11">
        <f>B103*E103</f>
        <v>6.868472222222222E-3</v>
      </c>
      <c r="E103" s="12">
        <v>0.58179999999999998</v>
      </c>
      <c r="F103" s="11">
        <f>C103/4</f>
        <v>8.53587962962963E-4</v>
      </c>
      <c r="G103" s="11">
        <f>D103/7.5</f>
        <v>9.1579629629629628E-4</v>
      </c>
      <c r="H103" s="11">
        <f>B103/12.5</f>
        <v>9.4444444444444437E-4</v>
      </c>
      <c r="I103" s="11">
        <f>G103/0.93</f>
        <v>9.8472720031859799E-4</v>
      </c>
      <c r="J103" s="11">
        <f>G103/0.92</f>
        <v>9.9543075684380036E-4</v>
      </c>
      <c r="K103" s="11">
        <f>G103/0.88</f>
        <v>1.0406776094276093E-3</v>
      </c>
      <c r="L103" s="17">
        <f>G103/0.84</f>
        <v>1.0902336860670195E-3</v>
      </c>
      <c r="M103" s="25">
        <f>WO2025Jan7men11915171923252931333539414345474955575963656769717375777913171921232729333541[[#This Row],[Thresh]]</f>
        <v>1.0406776094276093E-3</v>
      </c>
      <c r="N103" s="28">
        <f>WO2025Jan7men11915171923252931333539414345474955575963656769717375777913171921232729333541[[#This Row],[Thresh]]*2.5</f>
        <v>2.6016940235690234E-3</v>
      </c>
      <c r="O103" s="25">
        <f>WO2025Jan7men11915171923252931333539414345474955575963656769717375777913171921232729333541[[#This Row],[CV]]</f>
        <v>9.9543075684380036E-4</v>
      </c>
      <c r="P103" s="28">
        <f>WO2025Jan7men11915171923252931333539414345474955575963656769717375777913171921232729333541[[#This Row],[CV]]*2.5</f>
        <v>2.488576892109501E-3</v>
      </c>
      <c r="Q103" s="25">
        <f>WO2025Jan7men11915171923252931333539414345474955575963656769717375777913171921232729333541[[#This Row],[I]]</f>
        <v>9.4444444444444437E-4</v>
      </c>
      <c r="R103" s="28">
        <f>WO2025Jan7men11915171923252931333539414345474955575963656769717375777913171921232729333541[[#This Row],[I]]*2.5</f>
        <v>2.3611111111111107E-3</v>
      </c>
      <c r="S103" s="25">
        <f>WO2025Jan7men11915171923252931333539414345474955575963656769717375777913171921232729333541[[#This Row],[VO2]]</f>
        <v>9.1579629629629628E-4</v>
      </c>
      <c r="T103" s="25"/>
      <c r="U103" s="28"/>
      <c r="V103" s="25"/>
      <c r="W103" s="27" t="s">
        <v>26</v>
      </c>
      <c r="X103" s="52"/>
    </row>
    <row r="104" spans="1:24" ht="20.45" customHeight="1">
      <c r="A104" s="10"/>
      <c r="B104" s="11"/>
      <c r="C104" s="11"/>
      <c r="D104" s="11"/>
      <c r="E104" s="12"/>
      <c r="F104" s="11"/>
      <c r="G104" s="11"/>
      <c r="H104" s="11"/>
      <c r="I104" s="11"/>
      <c r="J104" s="11"/>
      <c r="K104" s="11"/>
      <c r="L104" s="11"/>
      <c r="M104" s="25"/>
      <c r="N104" s="28"/>
      <c r="O104" s="25"/>
      <c r="P104" s="28"/>
      <c r="Q104" s="25"/>
      <c r="R104" s="28"/>
      <c r="S104" s="25"/>
      <c r="T104" s="28"/>
      <c r="U104" s="28"/>
      <c r="V104" s="25"/>
      <c r="W104" s="15"/>
      <c r="X104" s="52"/>
    </row>
    <row r="105" spans="1:24" ht="20.45" customHeight="1">
      <c r="A105" s="19"/>
      <c r="B105" s="6"/>
      <c r="C105" s="6"/>
      <c r="D105" s="6"/>
      <c r="E105" s="20"/>
      <c r="F105" s="6"/>
      <c r="G105" s="6"/>
      <c r="H105" s="6"/>
      <c r="I105" s="6"/>
      <c r="J105" s="6"/>
      <c r="K105" s="6"/>
      <c r="L105" s="6"/>
      <c r="M105" s="6"/>
      <c r="N105" s="6"/>
      <c r="O105" s="6"/>
      <c r="P105" s="6"/>
      <c r="Q105" s="6"/>
      <c r="R105" s="6"/>
      <c r="S105" s="6"/>
      <c r="T105" s="6"/>
      <c r="U105" s="6"/>
      <c r="V105" s="23"/>
      <c r="W105" s="35"/>
      <c r="X105" s="52"/>
    </row>
    <row r="106" spans="1:24" ht="20.45" customHeight="1">
      <c r="A106" s="10" t="s">
        <v>107</v>
      </c>
      <c r="B106" s="11">
        <v>1.1111111111111112E-2</v>
      </c>
      <c r="C106" s="11">
        <v>3.2407407407407406E-3</v>
      </c>
      <c r="D106" s="11">
        <f t="shared" ref="D106:D109" si="32">B106*E106</f>
        <v>6.4644444444444445E-3</v>
      </c>
      <c r="E106" s="12">
        <v>0.58179999999999998</v>
      </c>
      <c r="F106" s="11">
        <f t="shared" ref="F106:F109" si="33">C106/4</f>
        <v>8.1018518518518516E-4</v>
      </c>
      <c r="G106" s="11">
        <f t="shared" ref="G106:G109" si="34">D106/7.5</f>
        <v>8.6192592592592592E-4</v>
      </c>
      <c r="H106" s="11">
        <f t="shared" ref="H106:H109" si="35">B106/12.5</f>
        <v>8.8888888888888893E-4</v>
      </c>
      <c r="I106" s="11">
        <f t="shared" ref="I106:I109" si="36">G106/0.93</f>
        <v>9.2680207088809239E-4</v>
      </c>
      <c r="J106" s="11">
        <f t="shared" ref="J106:J109" si="37">G106/0.92</f>
        <v>9.3687600644122375E-4</v>
      </c>
      <c r="K106" s="11">
        <f t="shared" ref="K106:K109" si="38">G106/0.88</f>
        <v>9.7946127946127947E-4</v>
      </c>
      <c r="L106" s="11">
        <f t="shared" ref="L106:L109" si="39">G106/0.84</f>
        <v>1.0261022927689596E-3</v>
      </c>
      <c r="M106" s="25"/>
      <c r="N106" s="28"/>
      <c r="O106" s="25"/>
      <c r="P106" s="25"/>
      <c r="Q106" s="25"/>
      <c r="R106" s="28"/>
      <c r="S106" s="25"/>
      <c r="T106" s="25"/>
      <c r="U106" s="28"/>
      <c r="V106" s="28"/>
      <c r="W106" s="15" t="s">
        <v>52</v>
      </c>
      <c r="X106" s="52"/>
    </row>
    <row r="107" spans="1:24" ht="20.45" customHeight="1">
      <c r="A107" s="10" t="s">
        <v>164</v>
      </c>
      <c r="B107" s="11">
        <v>1.1342592592592593E-2</v>
      </c>
      <c r="C107" s="11">
        <v>3.2407407407407406E-3</v>
      </c>
      <c r="D107" s="11">
        <f t="shared" si="32"/>
        <v>6.5991203703703706E-3</v>
      </c>
      <c r="E107" s="12">
        <v>0.58179999999999998</v>
      </c>
      <c r="F107" s="11">
        <f t="shared" si="33"/>
        <v>8.1018518518518516E-4</v>
      </c>
      <c r="G107" s="11">
        <f t="shared" si="34"/>
        <v>8.7988271604938278E-4</v>
      </c>
      <c r="H107" s="11">
        <f t="shared" si="35"/>
        <v>9.0740740740740745E-4</v>
      </c>
      <c r="I107" s="11">
        <f t="shared" si="36"/>
        <v>9.4611044736492766E-4</v>
      </c>
      <c r="J107" s="11">
        <f t="shared" si="37"/>
        <v>9.5639425657541603E-4</v>
      </c>
      <c r="K107" s="11">
        <f t="shared" si="38"/>
        <v>9.9986672278338943E-4</v>
      </c>
      <c r="L107" s="11">
        <f t="shared" si="39"/>
        <v>1.0474794238683129E-3</v>
      </c>
      <c r="M107" s="25"/>
      <c r="N107" s="28"/>
      <c r="O107" s="25"/>
      <c r="P107" s="28"/>
      <c r="Q107" s="28"/>
      <c r="R107" s="11"/>
      <c r="S107" s="14"/>
      <c r="T107" s="14"/>
      <c r="U107" s="26"/>
      <c r="V107" s="28"/>
      <c r="W107" s="27" t="s">
        <v>52</v>
      </c>
      <c r="X107" s="52"/>
    </row>
    <row r="108" spans="1:24" ht="20.45" customHeight="1">
      <c r="A108" s="10" t="s">
        <v>108</v>
      </c>
      <c r="B108" s="11">
        <v>1.0763888888888891E-2</v>
      </c>
      <c r="C108" s="11">
        <v>3.0671296296296297E-3</v>
      </c>
      <c r="D108" s="11">
        <f t="shared" si="32"/>
        <v>6.2624305555555567E-3</v>
      </c>
      <c r="E108" s="12">
        <v>0.58179999999999998</v>
      </c>
      <c r="F108" s="11">
        <f t="shared" si="33"/>
        <v>7.6678240740740743E-4</v>
      </c>
      <c r="G108" s="11">
        <f t="shared" si="34"/>
        <v>8.3499074074074085E-4</v>
      </c>
      <c r="H108" s="11">
        <f t="shared" si="35"/>
        <v>8.6111111111111121E-4</v>
      </c>
      <c r="I108" s="11">
        <f t="shared" si="36"/>
        <v>8.9783950617283953E-4</v>
      </c>
      <c r="J108" s="11">
        <f t="shared" si="37"/>
        <v>9.0759863123993567E-4</v>
      </c>
      <c r="K108" s="11">
        <f t="shared" si="38"/>
        <v>9.4885311447811464E-4</v>
      </c>
      <c r="L108" s="11">
        <f t="shared" si="39"/>
        <v>9.9403659611992969E-4</v>
      </c>
      <c r="M108" s="25"/>
      <c r="N108" s="28"/>
      <c r="O108" s="25"/>
      <c r="P108" s="28"/>
      <c r="Q108" s="25"/>
      <c r="R108" s="28"/>
      <c r="S108" s="25"/>
      <c r="T108" s="25"/>
      <c r="U108" s="28"/>
      <c r="V108" s="28"/>
      <c r="W108" s="15" t="s">
        <v>52</v>
      </c>
      <c r="X108" s="52"/>
    </row>
    <row r="109" spans="1:24" ht="20.45" customHeight="1">
      <c r="A109" s="10" t="s">
        <v>105</v>
      </c>
      <c r="B109" s="11">
        <v>1.0648148148148148E-2</v>
      </c>
      <c r="C109" s="11">
        <v>2.9745370370370373E-3</v>
      </c>
      <c r="D109" s="11">
        <f t="shared" si="32"/>
        <v>6.1950925925925923E-3</v>
      </c>
      <c r="E109" s="12">
        <v>0.58179999999999998</v>
      </c>
      <c r="F109" s="11">
        <f t="shared" si="33"/>
        <v>7.4363425925925931E-4</v>
      </c>
      <c r="G109" s="11">
        <f t="shared" si="34"/>
        <v>8.2601234567901232E-4</v>
      </c>
      <c r="H109" s="11">
        <f t="shared" si="35"/>
        <v>8.5185185185185179E-4</v>
      </c>
      <c r="I109" s="11">
        <f t="shared" si="36"/>
        <v>8.8818531793442184E-4</v>
      </c>
      <c r="J109" s="11">
        <f t="shared" si="37"/>
        <v>8.9783950617283942E-4</v>
      </c>
      <c r="K109" s="11">
        <f t="shared" si="38"/>
        <v>9.3865039281705945E-4</v>
      </c>
      <c r="L109" s="11">
        <f t="shared" si="39"/>
        <v>9.833480305702527E-4</v>
      </c>
      <c r="M109" s="37"/>
      <c r="N109" s="28"/>
      <c r="O109" s="25"/>
      <c r="P109" s="25"/>
      <c r="Q109" s="25"/>
      <c r="R109" s="25"/>
      <c r="S109" s="25"/>
      <c r="T109" s="25"/>
      <c r="U109" s="28"/>
      <c r="V109" s="25"/>
      <c r="W109" s="15" t="s">
        <v>52</v>
      </c>
      <c r="X109" s="52"/>
    </row>
    <row r="110" spans="1:24" ht="20.45" customHeight="1">
      <c r="A110" s="10"/>
      <c r="B110" s="11"/>
      <c r="C110" s="11"/>
      <c r="D110" s="11"/>
      <c r="E110" s="12"/>
      <c r="F110" s="11"/>
      <c r="G110" s="11"/>
      <c r="H110" s="11"/>
      <c r="I110" s="11"/>
      <c r="J110" s="11"/>
      <c r="K110" s="11"/>
      <c r="L110" s="11"/>
      <c r="M110" s="25"/>
      <c r="N110" s="28"/>
      <c r="O110" s="25"/>
      <c r="P110" s="25"/>
      <c r="Q110" s="25"/>
      <c r="R110" s="28"/>
      <c r="S110" s="25"/>
      <c r="T110" s="25"/>
      <c r="U110" s="28"/>
      <c r="V110" s="25"/>
      <c r="W110" s="15"/>
      <c r="X110" s="52"/>
    </row>
    <row r="111" spans="1:24" ht="20.45" customHeight="1">
      <c r="A111" s="10"/>
      <c r="B111" s="11"/>
      <c r="C111" s="11"/>
      <c r="D111" s="11"/>
      <c r="E111" s="12"/>
      <c r="F111" s="11"/>
      <c r="G111" s="11"/>
      <c r="H111" s="11"/>
      <c r="I111" s="11"/>
      <c r="J111" s="11"/>
      <c r="K111" s="11"/>
      <c r="L111" s="11"/>
      <c r="M111" s="25"/>
      <c r="N111" s="28"/>
      <c r="O111" s="25"/>
      <c r="P111" s="25"/>
      <c r="Q111" s="25"/>
      <c r="R111" s="28"/>
      <c r="S111" s="25"/>
      <c r="T111" s="25"/>
      <c r="U111" s="28"/>
      <c r="V111" s="25"/>
      <c r="W111" s="15"/>
      <c r="X111" s="52"/>
    </row>
    <row r="112" spans="1:24" ht="20.45" customHeight="1">
      <c r="A112" s="10"/>
      <c r="B112" s="11"/>
      <c r="C112" s="11"/>
      <c r="D112" s="11"/>
      <c r="E112" s="12"/>
      <c r="F112" s="11"/>
      <c r="G112" s="11"/>
      <c r="H112" s="11"/>
      <c r="I112" s="11"/>
      <c r="J112" s="11"/>
      <c r="K112" s="11"/>
      <c r="L112" s="11"/>
      <c r="M112" s="25"/>
      <c r="N112" s="28"/>
      <c r="O112" s="25"/>
      <c r="P112" s="25"/>
      <c r="Q112" s="28"/>
      <c r="R112" s="28"/>
      <c r="S112" s="25"/>
      <c r="T112" s="25"/>
      <c r="U112" s="28"/>
      <c r="V112" s="28"/>
      <c r="W112" s="15"/>
      <c r="X112" s="52"/>
    </row>
    <row r="113" spans="1:24" ht="20.45" customHeight="1">
      <c r="A113" s="10"/>
      <c r="B113" s="11"/>
      <c r="C113" s="11"/>
      <c r="D113" s="11"/>
      <c r="E113" s="12"/>
      <c r="F113" s="11"/>
      <c r="G113" s="11"/>
      <c r="H113" s="11"/>
      <c r="I113" s="11"/>
      <c r="J113" s="11"/>
      <c r="K113" s="11"/>
      <c r="L113" s="11"/>
      <c r="M113" s="25"/>
      <c r="N113" s="28"/>
      <c r="O113" s="25"/>
      <c r="P113" s="25"/>
      <c r="Q113" s="25"/>
      <c r="R113" s="25"/>
      <c r="S113" s="25"/>
      <c r="T113" s="25"/>
      <c r="U113" s="28"/>
      <c r="V113" s="25"/>
      <c r="W113" s="15"/>
      <c r="X113" s="52"/>
    </row>
    <row r="114" spans="1:24" ht="20.45" customHeight="1">
      <c r="A114" s="10"/>
      <c r="B114" s="11"/>
      <c r="C114" s="11"/>
      <c r="D114" s="11"/>
      <c r="E114" s="12"/>
      <c r="F114" s="11"/>
      <c r="G114" s="11"/>
      <c r="H114" s="11"/>
      <c r="I114" s="11"/>
      <c r="J114" s="11"/>
      <c r="K114" s="11"/>
      <c r="L114" s="11"/>
      <c r="M114" s="25"/>
      <c r="N114" s="28"/>
      <c r="O114" s="25"/>
      <c r="P114" s="25"/>
      <c r="Q114" s="25"/>
      <c r="R114" s="25"/>
      <c r="S114" s="25"/>
      <c r="T114" s="25"/>
      <c r="U114" s="25"/>
      <c r="V114" s="25"/>
      <c r="W114" s="27"/>
      <c r="X114" s="52"/>
    </row>
    <row r="115" spans="1:24" ht="20.45" customHeight="1" thickBot="1">
      <c r="A115" s="10"/>
      <c r="B115" s="11"/>
      <c r="C115" s="11"/>
      <c r="D115" s="11"/>
      <c r="E115" s="12"/>
      <c r="F115" s="11"/>
      <c r="G115" s="11"/>
      <c r="H115" s="11"/>
      <c r="I115" s="11"/>
      <c r="J115" s="11"/>
      <c r="K115" s="11"/>
      <c r="L115" s="11"/>
      <c r="M115" s="25"/>
      <c r="N115" s="28"/>
      <c r="O115" s="25"/>
      <c r="P115" s="28"/>
      <c r="Q115" s="25"/>
      <c r="R115" s="28"/>
      <c r="S115" s="25"/>
      <c r="T115" s="25"/>
      <c r="U115" s="28"/>
      <c r="V115" s="28"/>
      <c r="W115" s="27"/>
      <c r="X115" s="52"/>
    </row>
    <row r="116" spans="1:24" ht="20.45" customHeight="1">
      <c r="A116" s="1" t="s">
        <v>194</v>
      </c>
      <c r="B116" s="6"/>
      <c r="C116" s="6"/>
      <c r="D116" s="6"/>
      <c r="E116" s="20"/>
      <c r="F116" s="6"/>
      <c r="G116" s="6"/>
      <c r="H116" s="6"/>
      <c r="I116" s="6"/>
      <c r="J116" s="6"/>
      <c r="K116" s="6"/>
      <c r="L116" s="6"/>
      <c r="M116" s="6" t="s">
        <v>12</v>
      </c>
      <c r="N116" s="6" t="s">
        <v>145</v>
      </c>
      <c r="O116" s="6" t="s">
        <v>153</v>
      </c>
      <c r="P116" s="6" t="s">
        <v>158</v>
      </c>
      <c r="Q116" s="22"/>
      <c r="R116" s="6"/>
      <c r="S116" s="6"/>
      <c r="T116" s="6"/>
      <c r="U116" s="6"/>
      <c r="V116" s="23"/>
      <c r="W116" s="35"/>
      <c r="X116" s="52"/>
    </row>
    <row r="117" spans="1:24" ht="20.45" customHeight="1">
      <c r="A117" s="10" t="s">
        <v>95</v>
      </c>
      <c r="B117" s="11">
        <v>1.0243055555555556E-2</v>
      </c>
      <c r="C117" s="11">
        <v>2.9513888888888888E-3</v>
      </c>
      <c r="D117" s="11">
        <f>B117*E117</f>
        <v>5.9594097222222218E-3</v>
      </c>
      <c r="E117" s="12">
        <v>0.58179999999999998</v>
      </c>
      <c r="F117" s="11">
        <f>C117/4</f>
        <v>7.378472222222222E-4</v>
      </c>
      <c r="G117" s="11">
        <f>D117/7.5</f>
        <v>7.9458796296296287E-4</v>
      </c>
      <c r="H117" s="11">
        <f>B117/12.5</f>
        <v>8.1944444444444447E-4</v>
      </c>
      <c r="I117" s="11">
        <f>G117/0.93</f>
        <v>8.5439565909996003E-4</v>
      </c>
      <c r="J117" s="11">
        <f>G117/0.92</f>
        <v>8.636825684380031E-4</v>
      </c>
      <c r="K117" s="11">
        <f>G117/0.88</f>
        <v>9.0294086700336686E-4</v>
      </c>
      <c r="L117" s="11">
        <f>G117/0.84</f>
        <v>9.4593805114638445E-4</v>
      </c>
      <c r="M117" s="25">
        <f>WO2025Jan7men11915171923252931333539414345474955575963656769717375777913171921232729333541[[#This Row],[Thresh]]</f>
        <v>9.0294086700336686E-4</v>
      </c>
      <c r="N117" s="28">
        <f>WO2025Jan7men11915171923252931333539414345474955575963656769717375777913171921232729333541[[#This Row],[Thresh]]*1.5</f>
        <v>1.3544113005050503E-3</v>
      </c>
      <c r="O117" s="25">
        <f>WO2025Jan7men11915171923252931333539414345474955575963656769717375777913171921232729333541[[#This Row],[R]]/2</f>
        <v>3.689236111111111E-4</v>
      </c>
      <c r="P117" s="28">
        <f>WO2025Jan7men11915171923252931333539414345474955575963656769717375777913171921232729333541[[#This Row],[VO2]]</f>
        <v>7.9458796296296287E-4</v>
      </c>
      <c r="Q117" s="25"/>
      <c r="R117" s="28"/>
      <c r="S117" s="25"/>
      <c r="T117" s="25"/>
      <c r="U117" s="28"/>
      <c r="V117" s="25"/>
      <c r="W117" s="15" t="s">
        <v>48</v>
      </c>
      <c r="X117" s="52"/>
    </row>
    <row r="118" spans="1:24" ht="20.45" customHeight="1">
      <c r="A118" s="10" t="s">
        <v>94</v>
      </c>
      <c r="B118" s="11">
        <v>1.0416666666666666E-2</v>
      </c>
      <c r="C118" s="11">
        <v>2.8935185185185188E-3</v>
      </c>
      <c r="D118" s="11">
        <f>B118*E118</f>
        <v>6.0604166666666662E-3</v>
      </c>
      <c r="E118" s="12">
        <v>0.58179999999999998</v>
      </c>
      <c r="F118" s="11">
        <f>C118/4</f>
        <v>7.233796296296297E-4</v>
      </c>
      <c r="G118" s="11">
        <f>D118/7.5</f>
        <v>8.0805555555555546E-4</v>
      </c>
      <c r="H118" s="11">
        <f>B118/12.5</f>
        <v>8.3333333333333328E-4</v>
      </c>
      <c r="I118" s="11">
        <f>G118/0.93</f>
        <v>8.6887694145758646E-4</v>
      </c>
      <c r="J118" s="11">
        <f>G118/0.92</f>
        <v>8.7832125603864715E-4</v>
      </c>
      <c r="K118" s="11">
        <f>G118/0.88</f>
        <v>9.1824494949494938E-4</v>
      </c>
      <c r="L118" s="17">
        <f>G118/0.84</f>
        <v>9.6197089947089938E-4</v>
      </c>
      <c r="M118" s="25">
        <f>WO2025Jan7men11915171923252931333539414345474955575963656769717375777913171921232729333541[[#This Row],[Thresh]]</f>
        <v>9.1824494949494938E-4</v>
      </c>
      <c r="N118" s="28">
        <f>WO2025Jan7men11915171923252931333539414345474955575963656769717375777913171921232729333541[[#This Row],[Thresh]]*1.5</f>
        <v>1.3773674242424242E-3</v>
      </c>
      <c r="O118" s="25">
        <f>WO2025Jan7men11915171923252931333539414345474955575963656769717375777913171921232729333541[[#This Row],[R]]/2</f>
        <v>3.6168981481481485E-4</v>
      </c>
      <c r="P118" s="28">
        <f>WO2025Jan7men11915171923252931333539414345474955575963656769717375777913171921232729333541[[#This Row],[VO2]]</f>
        <v>8.0805555555555546E-4</v>
      </c>
      <c r="Q118" s="25"/>
      <c r="R118" s="25"/>
      <c r="S118" s="25"/>
      <c r="T118" s="25"/>
      <c r="U118" s="28"/>
      <c r="V118" s="25"/>
      <c r="W118" s="15" t="s">
        <v>48</v>
      </c>
      <c r="X118" s="50"/>
    </row>
    <row r="119" spans="1:24" ht="20.45" customHeight="1">
      <c r="A119" s="10" t="s">
        <v>96</v>
      </c>
      <c r="B119" s="11">
        <v>1.0648148148148148E-2</v>
      </c>
      <c r="C119" s="11">
        <v>2.9513888888888888E-3</v>
      </c>
      <c r="D119" s="11">
        <f>B119*E119</f>
        <v>6.1950925925925923E-3</v>
      </c>
      <c r="E119" s="12">
        <v>0.58179999999999998</v>
      </c>
      <c r="F119" s="11">
        <f>C119/4</f>
        <v>7.378472222222222E-4</v>
      </c>
      <c r="G119" s="11">
        <f>D119/7.5</f>
        <v>8.2601234567901232E-4</v>
      </c>
      <c r="H119" s="11">
        <f>B119/12.5</f>
        <v>8.5185185185185179E-4</v>
      </c>
      <c r="I119" s="11">
        <f>G119/0.93</f>
        <v>8.8818531793442184E-4</v>
      </c>
      <c r="J119" s="11">
        <f>G119/0.92</f>
        <v>8.9783950617283942E-4</v>
      </c>
      <c r="K119" s="11">
        <f>G119/0.88</f>
        <v>9.3865039281705945E-4</v>
      </c>
      <c r="L119" s="17">
        <f>G119/0.84</f>
        <v>9.833480305702527E-4</v>
      </c>
      <c r="M119" s="25">
        <f>WO2025Jan7men11915171923252931333539414345474955575963656769717375777913171921232729333541[[#This Row],[Thresh]]</f>
        <v>9.3865039281705945E-4</v>
      </c>
      <c r="N119" s="28">
        <f>WO2025Jan7men11915171923252931333539414345474955575963656769717375777913171921232729333541[[#This Row],[Thresh]]*1.5</f>
        <v>1.4079755892255892E-3</v>
      </c>
      <c r="O119" s="25">
        <f>WO2025Jan7men11915171923252931333539414345474955575963656769717375777913171921232729333541[[#This Row],[R]]/2</f>
        <v>3.689236111111111E-4</v>
      </c>
      <c r="P119" s="28">
        <f>WO2025Jan7men11915171923252931333539414345474955575963656769717375777913171921232729333541[[#This Row],[VO2]]</f>
        <v>8.2601234567901232E-4</v>
      </c>
      <c r="Q119" s="25"/>
      <c r="R119" s="25"/>
      <c r="S119" s="25"/>
      <c r="T119" s="25"/>
      <c r="U119" s="28"/>
      <c r="V119" s="25"/>
      <c r="W119" s="15" t="s">
        <v>48</v>
      </c>
      <c r="X119" s="50"/>
    </row>
    <row r="120" spans="1:24" ht="20.45" customHeight="1">
      <c r="A120" s="10" t="s">
        <v>97</v>
      </c>
      <c r="B120" s="11">
        <v>1.0763888888888889E-2</v>
      </c>
      <c r="C120" s="11">
        <v>2.9513888888888888E-3</v>
      </c>
      <c r="D120" s="11">
        <f t="shared" ref="D120:D127" si="40">B120*E120</f>
        <v>6.2624305555555549E-3</v>
      </c>
      <c r="E120" s="12">
        <v>0.58179999999999998</v>
      </c>
      <c r="F120" s="11">
        <f t="shared" ref="F120:F127" si="41">C120/4</f>
        <v>7.378472222222222E-4</v>
      </c>
      <c r="G120" s="11">
        <f t="shared" ref="G120:G127" si="42">D120/7.5</f>
        <v>8.3499074074074064E-4</v>
      </c>
      <c r="H120" s="11">
        <f t="shared" ref="H120:H127" si="43">B120/12.5</f>
        <v>8.611111111111111E-4</v>
      </c>
      <c r="I120" s="11">
        <f t="shared" ref="I120:I127" si="44">G120/0.93</f>
        <v>8.9783950617283931E-4</v>
      </c>
      <c r="J120" s="11">
        <f t="shared" ref="J120:J127" si="45">G120/0.92</f>
        <v>9.0759863123993545E-4</v>
      </c>
      <c r="K120" s="11">
        <f t="shared" ref="K120:K127" si="46">G120/0.88</f>
        <v>9.4885311447811432E-4</v>
      </c>
      <c r="L120" s="11">
        <f t="shared" ref="L120:L127" si="47">G120/0.84</f>
        <v>9.9403659611992947E-4</v>
      </c>
      <c r="M120" s="25">
        <f>WO2025Jan7men11915171923252931333539414345474955575963656769717375777913171921232729333541[[#This Row],[Thresh]]</f>
        <v>9.4885311447811432E-4</v>
      </c>
      <c r="N120" s="28">
        <f>WO2025Jan7men11915171923252931333539414345474955575963656769717375777913171921232729333541[[#This Row],[Thresh]]*1.5</f>
        <v>1.4232796717171714E-3</v>
      </c>
      <c r="O120" s="25">
        <f>WO2025Jan7men11915171923252931333539414345474955575963656769717375777913171921232729333541[[#This Row],[R]]/2</f>
        <v>3.689236111111111E-4</v>
      </c>
      <c r="P120" s="28">
        <f>WO2025Jan7men11915171923252931333539414345474955575963656769717375777913171921232729333541[[#This Row],[VO2]]</f>
        <v>8.3499074074074064E-4</v>
      </c>
      <c r="Q120" s="25"/>
      <c r="R120" s="25"/>
      <c r="S120" s="25"/>
      <c r="T120" s="25"/>
      <c r="U120" s="28"/>
      <c r="V120" s="25"/>
      <c r="W120" s="15" t="s">
        <v>48</v>
      </c>
      <c r="X120" s="50"/>
    </row>
    <row r="121" spans="1:24" ht="20.45" customHeight="1">
      <c r="A121" s="10" t="s">
        <v>114</v>
      </c>
      <c r="B121" s="11">
        <v>1.087962962962963E-2</v>
      </c>
      <c r="C121" s="11">
        <v>3.0671296296296297E-3</v>
      </c>
      <c r="D121" s="11">
        <f>B121*E121</f>
        <v>6.3297685185185184E-3</v>
      </c>
      <c r="E121" s="12">
        <v>0.58179999999999998</v>
      </c>
      <c r="F121" s="11">
        <f>C121/4</f>
        <v>7.6678240740740743E-4</v>
      </c>
      <c r="G121" s="11">
        <f>D121/7.5</f>
        <v>8.4396913580246917E-4</v>
      </c>
      <c r="H121" s="11">
        <f>B121/12.5</f>
        <v>8.7037037037037042E-4</v>
      </c>
      <c r="I121" s="11">
        <f>G121/0.93</f>
        <v>9.0749369441125711E-4</v>
      </c>
      <c r="J121" s="11">
        <f>G121/0.92</f>
        <v>9.173577563070317E-4</v>
      </c>
      <c r="K121" s="11">
        <f>G121/0.88</f>
        <v>9.5905583613916951E-4</v>
      </c>
      <c r="L121" s="11">
        <f>G121/0.84</f>
        <v>1.0047251616696062E-3</v>
      </c>
      <c r="M121" s="25">
        <f>WO2025Jan7men11915171923252931333539414345474955575963656769717375777913171921232729333541[[#This Row],[Thresh]]</f>
        <v>9.5905583613916951E-4</v>
      </c>
      <c r="N121" s="28">
        <f>WO2025Jan7men11915171923252931333539414345474955575963656769717375777913171921232729333541[[#This Row],[Thresh]]*1.5</f>
        <v>1.4385837542087543E-3</v>
      </c>
      <c r="O121" s="25">
        <f>WO2025Jan7men11915171923252931333539414345474955575963656769717375777913171921232729333541[[#This Row],[R]]/2</f>
        <v>3.8339120370370371E-4</v>
      </c>
      <c r="P121" s="28">
        <f>WO2025Jan7men11915171923252931333539414345474955575963656769717375777913171921232729333541[[#This Row],[VO2]]</f>
        <v>8.4396913580246917E-4</v>
      </c>
      <c r="Q121" s="25"/>
      <c r="R121" s="28"/>
      <c r="S121" s="25"/>
      <c r="T121" s="25"/>
      <c r="U121" s="28"/>
      <c r="V121" s="25"/>
      <c r="W121" s="15" t="s">
        <v>48</v>
      </c>
      <c r="X121" s="50"/>
    </row>
    <row r="122" spans="1:24" ht="20.45" customHeight="1">
      <c r="A122" s="10" t="s">
        <v>101</v>
      </c>
      <c r="B122" s="11">
        <v>1.1111111111111112E-2</v>
      </c>
      <c r="C122" s="11">
        <v>3.0671296296296297E-3</v>
      </c>
      <c r="D122" s="11">
        <f t="shared" si="40"/>
        <v>6.4644444444444445E-3</v>
      </c>
      <c r="E122" s="12">
        <v>0.58179999999999998</v>
      </c>
      <c r="F122" s="11">
        <f t="shared" si="41"/>
        <v>7.6678240740740743E-4</v>
      </c>
      <c r="G122" s="11">
        <f t="shared" si="42"/>
        <v>8.6192592592592592E-4</v>
      </c>
      <c r="H122" s="11">
        <f t="shared" si="43"/>
        <v>8.8888888888888893E-4</v>
      </c>
      <c r="I122" s="11">
        <f t="shared" si="44"/>
        <v>9.2680207088809239E-4</v>
      </c>
      <c r="J122" s="11">
        <f t="shared" si="45"/>
        <v>9.3687600644122375E-4</v>
      </c>
      <c r="K122" s="11">
        <f t="shared" si="46"/>
        <v>9.7946127946127947E-4</v>
      </c>
      <c r="L122" s="11">
        <f t="shared" si="47"/>
        <v>1.0261022927689596E-3</v>
      </c>
      <c r="M122" s="25">
        <f>WO2025Jan7men11915171923252931333539414345474955575963656769717375777913171921232729333541[[#This Row],[Thresh]]</f>
        <v>9.7946127946127947E-4</v>
      </c>
      <c r="N122" s="28">
        <f>WO2025Jan7men11915171923252931333539414345474955575963656769717375777913171921232729333541[[#This Row],[Thresh]]*1.5</f>
        <v>1.4691919191919191E-3</v>
      </c>
      <c r="O122" s="25">
        <f>WO2025Jan7men11915171923252931333539414345474955575963656769717375777913171921232729333541[[#This Row],[R]]/2</f>
        <v>3.8339120370370371E-4</v>
      </c>
      <c r="P122" s="28">
        <f>WO2025Jan7men11915171923252931333539414345474955575963656769717375777913171921232729333541[[#This Row],[VO2]]</f>
        <v>8.6192592592592592E-4</v>
      </c>
      <c r="Q122" s="25"/>
      <c r="R122" s="25"/>
      <c r="S122" s="25"/>
      <c r="T122" s="25"/>
      <c r="U122" s="28"/>
      <c r="V122" s="25"/>
      <c r="W122" s="15" t="s">
        <v>48</v>
      </c>
      <c r="X122" s="50"/>
    </row>
    <row r="123" spans="1:24" ht="20.45" customHeight="1">
      <c r="A123" s="10" t="s">
        <v>98</v>
      </c>
      <c r="B123" s="11">
        <v>1.1111111111111112E-2</v>
      </c>
      <c r="C123" s="11">
        <v>3.0671296296296297E-3</v>
      </c>
      <c r="D123" s="11">
        <f t="shared" si="40"/>
        <v>6.4644444444444445E-3</v>
      </c>
      <c r="E123" s="12">
        <v>0.58179999999999998</v>
      </c>
      <c r="F123" s="11">
        <f t="shared" si="41"/>
        <v>7.6678240740740743E-4</v>
      </c>
      <c r="G123" s="11">
        <f t="shared" si="42"/>
        <v>8.6192592592592592E-4</v>
      </c>
      <c r="H123" s="11">
        <f t="shared" si="43"/>
        <v>8.8888888888888893E-4</v>
      </c>
      <c r="I123" s="11">
        <f t="shared" si="44"/>
        <v>9.2680207088809239E-4</v>
      </c>
      <c r="J123" s="11">
        <f t="shared" si="45"/>
        <v>9.3687600644122375E-4</v>
      </c>
      <c r="K123" s="11">
        <f t="shared" si="46"/>
        <v>9.7946127946127947E-4</v>
      </c>
      <c r="L123" s="11">
        <f t="shared" si="47"/>
        <v>1.0261022927689596E-3</v>
      </c>
      <c r="M123" s="25">
        <f>WO2025Jan7men11915171923252931333539414345474955575963656769717375777913171921232729333541[[#This Row],[Thresh]]</f>
        <v>9.7946127946127947E-4</v>
      </c>
      <c r="N123" s="28">
        <f>WO2025Jan7men11915171923252931333539414345474955575963656769717375777913171921232729333541[[#This Row],[Thresh]]*1.5</f>
        <v>1.4691919191919191E-3</v>
      </c>
      <c r="O123" s="25">
        <f>WO2025Jan7men11915171923252931333539414345474955575963656769717375777913171921232729333541[[#This Row],[R]]/2</f>
        <v>3.8339120370370371E-4</v>
      </c>
      <c r="P123" s="28">
        <f>WO2025Jan7men11915171923252931333539414345474955575963656769717375777913171921232729333541[[#This Row],[VO2]]</f>
        <v>8.6192592592592592E-4</v>
      </c>
      <c r="Q123" s="25"/>
      <c r="R123" s="25"/>
      <c r="S123" s="25"/>
      <c r="T123" s="25"/>
      <c r="U123" s="28"/>
      <c r="V123" s="25"/>
      <c r="W123" s="27" t="s">
        <v>48</v>
      </c>
      <c r="X123" s="50"/>
    </row>
    <row r="124" spans="1:24" ht="20.45" customHeight="1">
      <c r="A124" s="10" t="s">
        <v>103</v>
      </c>
      <c r="B124" s="11">
        <v>1.1111111111111112E-2</v>
      </c>
      <c r="C124" s="11">
        <v>3.0671296296296297E-3</v>
      </c>
      <c r="D124" s="11">
        <f t="shared" si="40"/>
        <v>6.4644444444444445E-3</v>
      </c>
      <c r="E124" s="12">
        <v>0.58179999999999998</v>
      </c>
      <c r="F124" s="11">
        <f t="shared" si="41"/>
        <v>7.6678240740740743E-4</v>
      </c>
      <c r="G124" s="11">
        <f t="shared" si="42"/>
        <v>8.6192592592592592E-4</v>
      </c>
      <c r="H124" s="11">
        <f t="shared" si="43"/>
        <v>8.8888888888888893E-4</v>
      </c>
      <c r="I124" s="11">
        <f t="shared" si="44"/>
        <v>9.2680207088809239E-4</v>
      </c>
      <c r="J124" s="11">
        <f t="shared" si="45"/>
        <v>9.3687600644122375E-4</v>
      </c>
      <c r="K124" s="11">
        <f t="shared" si="46"/>
        <v>9.7946127946127947E-4</v>
      </c>
      <c r="L124" s="17">
        <f t="shared" si="47"/>
        <v>1.0261022927689596E-3</v>
      </c>
      <c r="M124" s="25">
        <f>WO2025Jan7men11915171923252931333539414345474955575963656769717375777913171921232729333541[[#This Row],[Thresh]]</f>
        <v>9.7946127946127947E-4</v>
      </c>
      <c r="N124" s="28">
        <f>WO2025Jan7men11915171923252931333539414345474955575963656769717375777913171921232729333541[[#This Row],[Thresh]]*1.5</f>
        <v>1.4691919191919191E-3</v>
      </c>
      <c r="O124" s="25">
        <f>WO2025Jan7men11915171923252931333539414345474955575963656769717375777913171921232729333541[[#This Row],[R]]/2</f>
        <v>3.8339120370370371E-4</v>
      </c>
      <c r="P124" s="28">
        <f>WO2025Jan7men11915171923252931333539414345474955575963656769717375777913171921232729333541[[#This Row],[VO2]]</f>
        <v>8.6192592592592592E-4</v>
      </c>
      <c r="Q124" s="25"/>
      <c r="R124" s="25"/>
      <c r="S124" s="25"/>
      <c r="T124" s="25"/>
      <c r="U124" s="28"/>
      <c r="V124" s="25"/>
      <c r="W124" s="15" t="s">
        <v>48</v>
      </c>
      <c r="X124" s="50"/>
    </row>
    <row r="125" spans="1:24" ht="20.45" customHeight="1">
      <c r="A125" s="10" t="s">
        <v>99</v>
      </c>
      <c r="B125" s="11">
        <v>1.1458333333333333E-2</v>
      </c>
      <c r="C125" s="11">
        <v>3.0092592592592593E-3</v>
      </c>
      <c r="D125" s="11">
        <f>B125*E125</f>
        <v>6.6664583333333324E-3</v>
      </c>
      <c r="E125" s="12">
        <v>0.58179999999999998</v>
      </c>
      <c r="F125" s="11">
        <f>C125/4</f>
        <v>7.5231481481481482E-4</v>
      </c>
      <c r="G125" s="11">
        <f>D125/7.5</f>
        <v>8.8886111111111099E-4</v>
      </c>
      <c r="H125" s="11">
        <f>B125/12.5</f>
        <v>9.1666666666666665E-4</v>
      </c>
      <c r="I125" s="11">
        <f>G125/0.93</f>
        <v>9.5576463560334514E-4</v>
      </c>
      <c r="J125" s="11">
        <f>G125/0.92</f>
        <v>9.6615338164251195E-4</v>
      </c>
      <c r="K125" s="11">
        <f>G125/0.88</f>
        <v>1.0100694444444443E-3</v>
      </c>
      <c r="L125" s="11">
        <f>G125/0.84</f>
        <v>1.0581679894179892E-3</v>
      </c>
      <c r="M125" s="25">
        <f>WO2025Jan7men11915171923252931333539414345474955575963656769717375777913171921232729333541[[#This Row],[Thresh]]</f>
        <v>1.0100694444444443E-3</v>
      </c>
      <c r="N125" s="28">
        <f>WO2025Jan7men11915171923252931333539414345474955575963656769717375777913171921232729333541[[#This Row],[Thresh]]*1.5</f>
        <v>1.5151041666666663E-3</v>
      </c>
      <c r="O125" s="25">
        <f>WO2025Jan7men11915171923252931333539414345474955575963656769717375777913171921232729333541[[#This Row],[R]]/2</f>
        <v>3.7615740740740741E-4</v>
      </c>
      <c r="P125" s="28">
        <f>WO2025Jan7men11915171923252931333539414345474955575963656769717375777913171921232729333541[[#This Row],[VO2]]</f>
        <v>8.8886111111111099E-4</v>
      </c>
      <c r="Q125" s="25"/>
      <c r="R125" s="25"/>
      <c r="S125" s="25"/>
      <c r="T125" s="25"/>
      <c r="U125" s="28"/>
      <c r="V125" s="25"/>
      <c r="W125" s="27" t="s">
        <v>48</v>
      </c>
      <c r="X125" s="50"/>
    </row>
    <row r="126" spans="1:24" ht="20.45" customHeight="1">
      <c r="A126" s="10" t="s">
        <v>102</v>
      </c>
      <c r="B126" s="11">
        <v>1.1458333333333333E-2</v>
      </c>
      <c r="C126" s="11">
        <v>3.0671296296296297E-3</v>
      </c>
      <c r="D126" s="11">
        <f>B126*E126</f>
        <v>6.6664583333333324E-3</v>
      </c>
      <c r="E126" s="12">
        <v>0.58179999999999998</v>
      </c>
      <c r="F126" s="11">
        <f>C126/4</f>
        <v>7.6678240740740743E-4</v>
      </c>
      <c r="G126" s="11">
        <f>D126/7.5</f>
        <v>8.8886111111111099E-4</v>
      </c>
      <c r="H126" s="11">
        <f>B126/12.5</f>
        <v>9.1666666666666665E-4</v>
      </c>
      <c r="I126" s="11">
        <f>G126/0.93</f>
        <v>9.5576463560334514E-4</v>
      </c>
      <c r="J126" s="11">
        <f>G126/0.92</f>
        <v>9.6615338164251195E-4</v>
      </c>
      <c r="K126" s="11">
        <f>G126/0.88</f>
        <v>1.0100694444444443E-3</v>
      </c>
      <c r="L126" s="11">
        <f>G126/0.84</f>
        <v>1.0581679894179892E-3</v>
      </c>
      <c r="M126" s="25">
        <f>WO2025Jan7men11915171923252931333539414345474955575963656769717375777913171921232729333541[[#This Row],[Thresh]]</f>
        <v>1.0100694444444443E-3</v>
      </c>
      <c r="N126" s="28">
        <f>WO2025Jan7men11915171923252931333539414345474955575963656769717375777913171921232729333541[[#This Row],[Thresh]]*1.5</f>
        <v>1.5151041666666663E-3</v>
      </c>
      <c r="O126" s="25">
        <f>WO2025Jan7men11915171923252931333539414345474955575963656769717375777913171921232729333541[[#This Row],[R]]/2</f>
        <v>3.8339120370370371E-4</v>
      </c>
      <c r="P126" s="28">
        <f>WO2025Jan7men11915171923252931333539414345474955575963656769717375777913171921232729333541[[#This Row],[VO2]]</f>
        <v>8.8886111111111099E-4</v>
      </c>
      <c r="Q126" s="25"/>
      <c r="R126" s="25"/>
      <c r="S126" s="25"/>
      <c r="T126" s="25"/>
      <c r="U126" s="28"/>
      <c r="V126" s="25"/>
      <c r="W126" s="27" t="s">
        <v>48</v>
      </c>
      <c r="X126" s="50"/>
    </row>
    <row r="127" spans="1:24" ht="20.45" customHeight="1">
      <c r="A127" s="10" t="s">
        <v>104</v>
      </c>
      <c r="B127" s="11">
        <v>1.1458333333333333E-2</v>
      </c>
      <c r="C127" s="11">
        <v>3.2986111111111111E-3</v>
      </c>
      <c r="D127" s="11">
        <f t="shared" si="40"/>
        <v>6.6664583333333324E-3</v>
      </c>
      <c r="E127" s="12">
        <v>0.58179999999999998</v>
      </c>
      <c r="F127" s="11">
        <f t="shared" si="41"/>
        <v>8.2465277777777778E-4</v>
      </c>
      <c r="G127" s="11">
        <f t="shared" si="42"/>
        <v>8.8886111111111099E-4</v>
      </c>
      <c r="H127" s="11">
        <f t="shared" si="43"/>
        <v>9.1666666666666665E-4</v>
      </c>
      <c r="I127" s="11">
        <f t="shared" si="44"/>
        <v>9.5576463560334514E-4</v>
      </c>
      <c r="J127" s="11">
        <f t="shared" si="45"/>
        <v>9.6615338164251195E-4</v>
      </c>
      <c r="K127" s="11">
        <f t="shared" si="46"/>
        <v>1.0100694444444443E-3</v>
      </c>
      <c r="L127" s="11">
        <f t="shared" si="47"/>
        <v>1.0581679894179892E-3</v>
      </c>
      <c r="M127" s="25">
        <f>WO2025Jan7men11915171923252931333539414345474955575963656769717375777913171921232729333541[[#This Row],[Thresh]]</f>
        <v>1.0100694444444443E-3</v>
      </c>
      <c r="N127" s="28">
        <f>WO2025Jan7men11915171923252931333539414345474955575963656769717375777913171921232729333541[[#This Row],[Thresh]]*1.5</f>
        <v>1.5151041666666663E-3</v>
      </c>
      <c r="O127" s="25">
        <f>WO2025Jan7men11915171923252931333539414345474955575963656769717375777913171921232729333541[[#This Row],[R]]/2</f>
        <v>4.1232638888888889E-4</v>
      </c>
      <c r="P127" s="28">
        <f>WO2025Jan7men11915171923252931333539414345474955575963656769717375777913171921232729333541[[#This Row],[VO2]]</f>
        <v>8.8886111111111099E-4</v>
      </c>
      <c r="Q127" s="25"/>
      <c r="R127" s="25"/>
      <c r="S127" s="25"/>
      <c r="T127" s="25"/>
      <c r="U127" s="28"/>
      <c r="V127" s="25"/>
      <c r="W127" s="15" t="s">
        <v>48</v>
      </c>
      <c r="X127" s="50"/>
    </row>
    <row r="128" spans="1:24" ht="20.45" customHeight="1">
      <c r="A128" s="10"/>
      <c r="B128" s="11"/>
      <c r="C128" s="11"/>
      <c r="D128" s="11"/>
      <c r="E128" s="12"/>
      <c r="F128" s="11"/>
      <c r="G128" s="11"/>
      <c r="H128" s="11"/>
      <c r="I128" s="11"/>
      <c r="J128" s="11"/>
      <c r="K128" s="11"/>
      <c r="L128" s="17"/>
      <c r="M128" s="25"/>
      <c r="N128" s="28"/>
      <c r="O128" s="25"/>
      <c r="P128" s="25"/>
      <c r="Q128" s="25"/>
      <c r="R128" s="25"/>
      <c r="S128" s="25"/>
      <c r="T128" s="25"/>
      <c r="U128" s="28"/>
      <c r="V128" s="25"/>
      <c r="W128" s="15"/>
      <c r="X128" s="50"/>
    </row>
    <row r="129" spans="1:24" ht="20.45" customHeight="1">
      <c r="A129" s="10"/>
      <c r="B129" s="11"/>
      <c r="C129" s="11"/>
      <c r="D129" s="11"/>
      <c r="E129" s="12"/>
      <c r="F129" s="11"/>
      <c r="G129" s="11"/>
      <c r="H129" s="11"/>
      <c r="I129" s="11"/>
      <c r="J129" s="11"/>
      <c r="K129" s="11"/>
      <c r="L129" s="11"/>
      <c r="M129" s="25"/>
      <c r="N129" s="28"/>
      <c r="O129" s="25"/>
      <c r="P129" s="25"/>
      <c r="Q129" s="25"/>
      <c r="R129" s="25"/>
      <c r="S129" s="25"/>
      <c r="T129" s="25"/>
      <c r="U129" s="28"/>
      <c r="V129" s="25"/>
      <c r="W129" s="15"/>
      <c r="X129" s="50"/>
    </row>
    <row r="130" spans="1:24" ht="20.45" customHeight="1">
      <c r="A130" s="10"/>
      <c r="B130" s="11"/>
      <c r="C130" s="11"/>
      <c r="D130" s="11"/>
      <c r="E130" s="12"/>
      <c r="F130" s="11"/>
      <c r="G130" s="11"/>
      <c r="H130" s="11"/>
      <c r="I130" s="11"/>
      <c r="J130" s="11"/>
      <c r="K130" s="11"/>
      <c r="L130" s="11"/>
      <c r="M130" s="25"/>
      <c r="N130" s="28"/>
      <c r="O130" s="25"/>
      <c r="P130" s="25"/>
      <c r="Q130" s="28"/>
      <c r="R130" s="28"/>
      <c r="S130" s="25"/>
      <c r="T130" s="25"/>
      <c r="U130" s="28"/>
      <c r="V130" s="25"/>
      <c r="W130" s="15"/>
      <c r="X130" s="50"/>
    </row>
    <row r="131" spans="1:24" ht="20.45" customHeight="1">
      <c r="A131" s="10"/>
      <c r="B131" s="11"/>
      <c r="C131" s="11"/>
      <c r="D131" s="11"/>
      <c r="E131" s="12"/>
      <c r="F131" s="11"/>
      <c r="G131" s="11"/>
      <c r="H131" s="11"/>
      <c r="I131" s="11"/>
      <c r="J131" s="11"/>
      <c r="K131" s="11"/>
      <c r="L131" s="17"/>
      <c r="M131" s="25"/>
      <c r="N131" s="28"/>
      <c r="O131" s="25"/>
      <c r="P131" s="25"/>
      <c r="Q131" s="25"/>
      <c r="R131" s="25"/>
      <c r="S131" s="25"/>
      <c r="T131" s="25"/>
      <c r="U131" s="28"/>
      <c r="V131" s="25"/>
      <c r="W131" s="15"/>
      <c r="X131" s="50"/>
    </row>
    <row r="132" spans="1:24" ht="20.45" customHeight="1">
      <c r="A132" s="10"/>
      <c r="B132" s="11"/>
      <c r="C132" s="11"/>
      <c r="D132" s="11"/>
      <c r="E132" s="12"/>
      <c r="F132" s="11"/>
      <c r="G132" s="11"/>
      <c r="H132" s="11"/>
      <c r="I132" s="11"/>
      <c r="J132" s="11"/>
      <c r="K132" s="11"/>
      <c r="L132" s="11"/>
      <c r="M132" s="25"/>
      <c r="N132" s="28"/>
      <c r="O132" s="25"/>
      <c r="P132" s="25"/>
      <c r="Q132" s="25"/>
      <c r="R132" s="28"/>
      <c r="S132" s="25"/>
      <c r="T132" s="25"/>
      <c r="U132" s="28"/>
      <c r="V132" s="25"/>
      <c r="W132" s="15"/>
      <c r="X132" s="50"/>
    </row>
    <row r="133" spans="1:24" ht="20.45" customHeight="1">
      <c r="A133" s="10"/>
      <c r="B133" s="11"/>
      <c r="C133" s="11"/>
      <c r="D133" s="11"/>
      <c r="E133" s="12"/>
      <c r="F133" s="11"/>
      <c r="G133" s="11"/>
      <c r="H133" s="11"/>
      <c r="I133" s="11"/>
      <c r="J133" s="11"/>
      <c r="K133" s="11"/>
      <c r="L133" s="17"/>
      <c r="M133" s="25"/>
      <c r="N133" s="28"/>
      <c r="O133" s="25"/>
      <c r="P133" s="25"/>
      <c r="Q133" s="25"/>
      <c r="R133" s="28"/>
      <c r="S133" s="25"/>
      <c r="T133" s="25"/>
      <c r="U133" s="28"/>
      <c r="V133" s="25"/>
      <c r="W133" s="15"/>
      <c r="X133" s="50"/>
    </row>
    <row r="134" spans="1:24" ht="20.45" customHeight="1">
      <c r="A134" s="10"/>
      <c r="B134" s="11"/>
      <c r="C134" s="11"/>
      <c r="D134" s="11"/>
      <c r="E134" s="12"/>
      <c r="F134" s="11"/>
      <c r="G134" s="11"/>
      <c r="H134" s="11"/>
      <c r="I134" s="11"/>
      <c r="J134" s="11"/>
      <c r="K134" s="11"/>
      <c r="L134" s="11"/>
      <c r="M134" s="25"/>
      <c r="N134" s="28"/>
      <c r="O134" s="25"/>
      <c r="P134" s="25"/>
      <c r="Q134" s="28"/>
      <c r="R134" s="28"/>
      <c r="S134" s="25"/>
      <c r="T134" s="25"/>
      <c r="U134" s="28"/>
      <c r="V134" s="25"/>
      <c r="W134" s="15"/>
      <c r="X134" s="50"/>
    </row>
    <row r="135" spans="1:24" ht="20.45" customHeight="1">
      <c r="A135" s="10"/>
      <c r="B135" s="11"/>
      <c r="C135" s="11"/>
      <c r="D135" s="11"/>
      <c r="E135" s="12"/>
      <c r="F135" s="11"/>
      <c r="G135" s="11"/>
      <c r="H135" s="11"/>
      <c r="I135" s="11"/>
      <c r="J135" s="11"/>
      <c r="K135" s="11"/>
      <c r="L135" s="11"/>
      <c r="M135" s="25"/>
      <c r="N135" s="28"/>
      <c r="O135" s="25"/>
      <c r="P135" s="28"/>
      <c r="Q135" s="25"/>
      <c r="R135" s="28"/>
      <c r="S135" s="25"/>
      <c r="T135" s="28"/>
      <c r="U135" s="28"/>
      <c r="V135" s="25"/>
      <c r="W135" s="15"/>
      <c r="X135" s="50"/>
    </row>
    <row r="136" spans="1:24" ht="20.45" customHeight="1">
      <c r="A136" s="10"/>
      <c r="B136" s="11"/>
      <c r="C136" s="11"/>
      <c r="D136" s="11"/>
      <c r="E136" s="12"/>
      <c r="F136" s="11"/>
      <c r="G136" s="11"/>
      <c r="H136" s="11"/>
      <c r="I136" s="11"/>
      <c r="J136" s="11"/>
      <c r="K136" s="11"/>
      <c r="L136" s="11"/>
      <c r="M136" s="25"/>
      <c r="N136" s="28"/>
      <c r="O136" s="25"/>
      <c r="P136" s="25"/>
      <c r="Q136" s="25"/>
      <c r="R136" s="25"/>
      <c r="S136" s="25"/>
      <c r="T136" s="25"/>
      <c r="U136" s="28"/>
      <c r="V136" s="25"/>
      <c r="W136" s="15"/>
      <c r="X136" s="50"/>
    </row>
    <row r="137" spans="1:24" ht="20.45" customHeight="1">
      <c r="A137" s="10"/>
      <c r="B137" s="11"/>
      <c r="C137" s="11"/>
      <c r="D137" s="11"/>
      <c r="E137" s="12"/>
      <c r="F137" s="11"/>
      <c r="G137" s="11"/>
      <c r="H137" s="11"/>
      <c r="I137" s="11"/>
      <c r="J137" s="11"/>
      <c r="K137" s="11"/>
      <c r="L137" s="17"/>
      <c r="M137" s="25"/>
      <c r="N137" s="28"/>
      <c r="O137" s="25"/>
      <c r="P137" s="28"/>
      <c r="Q137" s="25"/>
      <c r="R137" s="28"/>
      <c r="S137" s="25"/>
      <c r="T137" s="25"/>
      <c r="U137" s="28"/>
      <c r="V137" s="28"/>
      <c r="W137" s="27"/>
      <c r="X137" s="50"/>
    </row>
    <row r="138" spans="1:24" ht="20.45" customHeight="1">
      <c r="A138" s="10"/>
      <c r="B138" s="11"/>
      <c r="C138" s="11"/>
      <c r="D138" s="11"/>
      <c r="E138" s="12"/>
      <c r="F138" s="11"/>
      <c r="G138" s="11"/>
      <c r="H138" s="11"/>
      <c r="I138" s="11"/>
      <c r="J138" s="11"/>
      <c r="K138" s="11"/>
      <c r="L138" s="17"/>
      <c r="M138" s="11"/>
      <c r="N138" s="26"/>
      <c r="P138" s="26"/>
      <c r="Q138" s="26"/>
      <c r="R138" s="26"/>
      <c r="S138" s="14"/>
      <c r="T138" s="14"/>
      <c r="U138" s="26"/>
      <c r="V138" s="38"/>
      <c r="W138" s="31"/>
      <c r="X138" s="51"/>
    </row>
    <row r="139" spans="1:24" ht="20.45" customHeight="1">
      <c r="A139" s="10"/>
      <c r="B139" s="11"/>
      <c r="C139" s="11"/>
      <c r="D139" s="11"/>
      <c r="E139" s="12"/>
      <c r="F139" s="11"/>
      <c r="G139" s="11"/>
      <c r="H139" s="11"/>
      <c r="I139" s="11"/>
      <c r="J139" s="11"/>
      <c r="K139" s="11"/>
      <c r="L139" s="17"/>
      <c r="M139" s="11"/>
      <c r="N139" s="26"/>
      <c r="P139" s="26"/>
      <c r="Q139" s="26"/>
      <c r="R139" s="26"/>
      <c r="S139" s="14"/>
      <c r="T139" s="14"/>
      <c r="U139" s="26"/>
      <c r="V139" s="38"/>
      <c r="W139" s="31"/>
      <c r="X139" s="51"/>
    </row>
    <row r="140" spans="1:24" ht="20.45" customHeight="1">
      <c r="A140" s="10"/>
      <c r="B140" s="11"/>
      <c r="C140" s="11"/>
      <c r="D140" s="11"/>
      <c r="E140" s="12"/>
      <c r="F140" s="11"/>
      <c r="G140" s="11"/>
      <c r="H140" s="11"/>
      <c r="I140" s="11"/>
      <c r="J140" s="11"/>
      <c r="K140" s="11"/>
      <c r="L140" s="11"/>
      <c r="M140" s="25"/>
      <c r="N140" s="28"/>
      <c r="O140" s="25"/>
      <c r="P140" s="25"/>
      <c r="Q140" s="25"/>
      <c r="R140" s="25"/>
      <c r="S140" s="25"/>
      <c r="T140" s="25"/>
      <c r="U140" s="28"/>
      <c r="V140" s="25"/>
      <c r="W140" s="15"/>
      <c r="X140" s="51"/>
    </row>
    <row r="141" spans="1:24" ht="20.45" customHeight="1">
      <c r="A141" s="10"/>
      <c r="B141" s="11"/>
      <c r="C141" s="11"/>
      <c r="D141" s="11"/>
      <c r="E141" s="12"/>
      <c r="F141" s="11"/>
      <c r="G141" s="11"/>
      <c r="H141" s="11"/>
      <c r="I141" s="11"/>
      <c r="J141" s="11"/>
      <c r="K141" s="11"/>
      <c r="L141" s="11"/>
      <c r="M141" s="11"/>
      <c r="N141" s="26"/>
      <c r="P141" s="26"/>
      <c r="Q141" s="26"/>
      <c r="R141" s="26"/>
      <c r="S141" s="14"/>
      <c r="T141" s="14"/>
      <c r="U141" s="26"/>
      <c r="V141" s="28"/>
      <c r="W141" s="27"/>
      <c r="X141" s="51"/>
    </row>
    <row r="142" spans="1:24" ht="20.100000000000001" customHeight="1">
      <c r="A142" s="10"/>
      <c r="B142" s="11"/>
      <c r="C142" s="11"/>
      <c r="D142" s="11">
        <f>B142*E142</f>
        <v>0</v>
      </c>
      <c r="E142" s="12"/>
      <c r="F142" s="11">
        <f>C142/4</f>
        <v>0</v>
      </c>
      <c r="G142" s="11">
        <f>D142/7.5</f>
        <v>0</v>
      </c>
      <c r="H142" s="11">
        <f>B142/12.5</f>
        <v>0</v>
      </c>
      <c r="I142" s="11">
        <f>G142/0.93</f>
        <v>0</v>
      </c>
      <c r="J142" s="11">
        <f>G142/0.92</f>
        <v>0</v>
      </c>
      <c r="K142" s="11">
        <f>G142/0.88</f>
        <v>0</v>
      </c>
      <c r="L142" s="17">
        <f>G142/0.84</f>
        <v>0</v>
      </c>
      <c r="M142" s="11"/>
      <c r="N142" s="26"/>
      <c r="P142" s="26"/>
      <c r="Q142" s="26"/>
      <c r="R142" s="26"/>
      <c r="S142" s="14"/>
      <c r="T142" s="14"/>
      <c r="U142" s="26"/>
      <c r="V142" s="38"/>
      <c r="W142" s="31"/>
      <c r="X142" s="51"/>
    </row>
    <row r="143" spans="1:24" ht="20.100000000000001" customHeight="1">
      <c r="A143" s="10"/>
      <c r="B143" s="11"/>
      <c r="C143" s="11"/>
      <c r="D143" s="11">
        <f>B143*E143</f>
        <v>0</v>
      </c>
      <c r="E143" s="12"/>
      <c r="F143" s="11">
        <f>C143/4</f>
        <v>0</v>
      </c>
      <c r="G143" s="11">
        <f>D143/7.5</f>
        <v>0</v>
      </c>
      <c r="H143" s="11">
        <f>B143/12.5</f>
        <v>0</v>
      </c>
      <c r="I143" s="11">
        <f>G143/0.93</f>
        <v>0</v>
      </c>
      <c r="J143" s="11">
        <f>G143/0.92</f>
        <v>0</v>
      </c>
      <c r="K143" s="11">
        <f>G143/0.88</f>
        <v>0</v>
      </c>
      <c r="L143" s="17">
        <f>G143/0.84</f>
        <v>0</v>
      </c>
      <c r="M143" s="11"/>
      <c r="N143" s="26"/>
      <c r="P143" s="26"/>
      <c r="Q143" s="26"/>
      <c r="R143" s="26"/>
      <c r="S143" s="14"/>
      <c r="T143" s="14"/>
      <c r="U143" s="26"/>
      <c r="V143" s="38"/>
      <c r="W143" s="31"/>
      <c r="X143" s="51"/>
    </row>
    <row r="144" spans="1:24" ht="20.100000000000001" customHeight="1">
      <c r="A144" s="10"/>
      <c r="B144" s="11"/>
      <c r="C144" s="11"/>
      <c r="D144" s="11">
        <f>B144*E144</f>
        <v>0</v>
      </c>
      <c r="E144" s="12"/>
      <c r="F144" s="11">
        <f>C144/4</f>
        <v>0</v>
      </c>
      <c r="G144" s="11">
        <f>D144/7.5</f>
        <v>0</v>
      </c>
      <c r="H144" s="11">
        <f>B144/12.5</f>
        <v>0</v>
      </c>
      <c r="I144" s="11">
        <f>G144/0.93</f>
        <v>0</v>
      </c>
      <c r="J144" s="11">
        <f>G144/0.92</f>
        <v>0</v>
      </c>
      <c r="K144" s="11">
        <f>G144/0.88</f>
        <v>0</v>
      </c>
      <c r="L144" s="17">
        <f>G144/0.84</f>
        <v>0</v>
      </c>
      <c r="M144" s="11"/>
      <c r="N144" s="26"/>
      <c r="P144" s="26"/>
      <c r="Q144" s="26"/>
      <c r="R144" s="26"/>
      <c r="S144" s="14"/>
      <c r="T144" s="14"/>
      <c r="U144" s="26"/>
      <c r="V144" s="38"/>
      <c r="W144" s="31"/>
      <c r="X144" s="51"/>
    </row>
  </sheetData>
  <mergeCells count="15">
    <mergeCell ref="X118:X127"/>
    <mergeCell ref="X128:X137"/>
    <mergeCell ref="X138:X144"/>
    <mergeCell ref="X58:X67"/>
    <mergeCell ref="X68:X77"/>
    <mergeCell ref="X78:X87"/>
    <mergeCell ref="X88:X97"/>
    <mergeCell ref="X98:X107"/>
    <mergeCell ref="X108:X117"/>
    <mergeCell ref="X51:X57"/>
    <mergeCell ref="X1:X10"/>
    <mergeCell ref="X11:X20"/>
    <mergeCell ref="X21:X30"/>
    <mergeCell ref="X31:X40"/>
    <mergeCell ref="X41:X50"/>
  </mergeCells>
  <pageMargins left="0.25" right="0.25" top="0.25" bottom="0.25" header="0" footer="0"/>
  <pageSetup scale="95" fitToHeight="0" orientation="landscape" r:id="rId1"/>
  <tableParts count="2">
    <tablePart r:id="rId2"/>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1842B-597C-4D72-8E7D-659AEC7460E1}">
  <sheetPr>
    <pageSetUpPr fitToPage="1"/>
  </sheetPr>
  <dimension ref="A1:Z144"/>
  <sheetViews>
    <sheetView topLeftCell="A52" zoomScale="70" zoomScaleNormal="70" workbookViewId="0">
      <selection activeCell="S107" sqref="S107"/>
    </sheetView>
  </sheetViews>
  <sheetFormatPr defaultColWidth="8.7109375" defaultRowHeight="14.45"/>
  <cols>
    <col min="1" max="1" width="19.5703125" customWidth="1"/>
    <col min="2" max="2" width="8.7109375" style="29" hidden="1" customWidth="1"/>
    <col min="3" max="3" width="10.140625" hidden="1" customWidth="1"/>
    <col min="4" max="4" width="8.7109375" style="29" hidden="1" customWidth="1"/>
    <col min="5" max="5" width="9.28515625" hidden="1" customWidth="1"/>
    <col min="6" max="6" width="8.7109375" hidden="1" customWidth="1"/>
    <col min="7" max="7" width="9.28515625" hidden="1" customWidth="1"/>
    <col min="8" max="9" width="8.7109375" hidden="1" customWidth="1"/>
    <col min="10" max="10" width="10.7109375" hidden="1" customWidth="1"/>
    <col min="11" max="11" width="11.42578125" hidden="1" customWidth="1"/>
    <col min="12" max="12" width="6.140625" hidden="1" customWidth="1"/>
    <col min="13" max="13" width="8.7109375" customWidth="1"/>
    <col min="14" max="19" width="10.140625" customWidth="1"/>
    <col min="20" max="22" width="8.7109375" customWidth="1"/>
    <col min="23" max="23" width="3.42578125" customWidth="1"/>
    <col min="24" max="24" width="20.42578125" customWidth="1"/>
    <col min="25" max="25" width="12.28515625" bestFit="1" customWidth="1"/>
    <col min="26" max="27" width="12.85546875" bestFit="1" customWidth="1"/>
  </cols>
  <sheetData>
    <row r="1" spans="1:26" ht="14.45" customHeight="1">
      <c r="A1" s="1" t="s">
        <v>205</v>
      </c>
      <c r="B1" s="2" t="s">
        <v>1</v>
      </c>
      <c r="C1" s="2" t="s">
        <v>2</v>
      </c>
      <c r="D1" s="2" t="s">
        <v>3</v>
      </c>
      <c r="E1" s="3" t="s">
        <v>4</v>
      </c>
      <c r="F1" s="2" t="s">
        <v>5</v>
      </c>
      <c r="G1" s="2" t="s">
        <v>6</v>
      </c>
      <c r="H1" s="2" t="s">
        <v>7</v>
      </c>
      <c r="I1" s="4" t="s">
        <v>8</v>
      </c>
      <c r="J1" s="2" t="s">
        <v>9</v>
      </c>
      <c r="K1" s="2" t="s">
        <v>10</v>
      </c>
      <c r="L1" s="2" t="s">
        <v>11</v>
      </c>
      <c r="M1" s="6" t="s">
        <v>206</v>
      </c>
      <c r="N1" s="6" t="s">
        <v>207</v>
      </c>
      <c r="O1" s="7" t="s">
        <v>208</v>
      </c>
      <c r="P1" s="8" t="s">
        <v>209</v>
      </c>
      <c r="Q1" s="8" t="s">
        <v>147</v>
      </c>
      <c r="R1" s="7" t="s">
        <v>148</v>
      </c>
      <c r="S1" s="7" t="s">
        <v>149</v>
      </c>
      <c r="T1" s="7" t="s">
        <v>77</v>
      </c>
      <c r="U1" s="7" t="s">
        <v>20</v>
      </c>
      <c r="V1" s="7" t="s">
        <v>21</v>
      </c>
      <c r="W1" s="9" t="s">
        <v>22</v>
      </c>
      <c r="X1" s="52" t="s">
        <v>210</v>
      </c>
    </row>
    <row r="2" spans="1:26" ht="21" customHeight="1">
      <c r="A2" s="10" t="s">
        <v>34</v>
      </c>
      <c r="B2" s="11">
        <v>1.1979166666666667E-2</v>
      </c>
      <c r="C2" s="11">
        <v>3.472222222222222E-3</v>
      </c>
      <c r="D2" s="11">
        <f t="shared" ref="D2:D40" si="0">B2*E2</f>
        <v>6.9694791666666672E-3</v>
      </c>
      <c r="E2" s="12">
        <v>0.58179999999999998</v>
      </c>
      <c r="F2" s="11">
        <f t="shared" ref="F2:F40" si="1">C2/4</f>
        <v>8.6805555555555551E-4</v>
      </c>
      <c r="G2" s="11">
        <f t="shared" ref="G2:G40" si="2">D2/7.5</f>
        <v>9.2926388888888898E-4</v>
      </c>
      <c r="H2" s="11">
        <f t="shared" ref="H2:H40" si="3">B2/12.5</f>
        <v>9.5833333333333339E-4</v>
      </c>
      <c r="I2" s="11">
        <f t="shared" ref="I2:I40" si="4">G2/0.93</f>
        <v>9.9920848267622464E-4</v>
      </c>
      <c r="J2" s="11">
        <f t="shared" ref="J2:J40" si="5">G2/0.92</f>
        <v>1.0100694444444445E-3</v>
      </c>
      <c r="K2" s="11">
        <f t="shared" ref="K2:K40" si="6">G2/0.88</f>
        <v>1.055981691919192E-3</v>
      </c>
      <c r="L2" s="11">
        <f t="shared" ref="L2:L40" si="7">G2/0.84</f>
        <v>1.1062665343915346E-3</v>
      </c>
      <c r="M2" s="25"/>
      <c r="N2" s="28"/>
      <c r="O2" s="25"/>
      <c r="P2" s="28"/>
      <c r="Q2" s="25"/>
      <c r="R2" s="25"/>
      <c r="S2" s="25"/>
      <c r="T2" s="28"/>
      <c r="U2" s="11"/>
      <c r="V2" s="36"/>
      <c r="W2" s="15" t="s">
        <v>26</v>
      </c>
      <c r="X2" s="52"/>
    </row>
    <row r="3" spans="1:26" ht="21" customHeight="1">
      <c r="A3" s="10" t="s">
        <v>24</v>
      </c>
      <c r="B3" s="11">
        <v>1.2152777777777778E-2</v>
      </c>
      <c r="C3" s="11">
        <v>3.5300925925925925E-3</v>
      </c>
      <c r="D3" s="11">
        <f t="shared" si="0"/>
        <v>7.0704861111111107E-3</v>
      </c>
      <c r="E3" s="12">
        <v>0.58179999999999998</v>
      </c>
      <c r="F3" s="11">
        <f t="shared" si="1"/>
        <v>8.8252314814814812E-4</v>
      </c>
      <c r="G3" s="11">
        <f t="shared" si="2"/>
        <v>9.4273148148148146E-4</v>
      </c>
      <c r="H3" s="11">
        <f t="shared" si="3"/>
        <v>9.7222222222222219E-4</v>
      </c>
      <c r="I3" s="11">
        <f t="shared" si="4"/>
        <v>1.0136897650338511E-3</v>
      </c>
      <c r="J3" s="11">
        <f t="shared" si="5"/>
        <v>1.0247081320450884E-3</v>
      </c>
      <c r="K3" s="11">
        <f t="shared" si="6"/>
        <v>1.0712857744107744E-3</v>
      </c>
      <c r="L3" s="11">
        <f t="shared" si="7"/>
        <v>1.1222993827160494E-3</v>
      </c>
      <c r="M3" s="25"/>
      <c r="N3" s="28"/>
      <c r="O3" s="25"/>
      <c r="P3" s="28"/>
      <c r="Q3" s="25"/>
      <c r="R3" s="25"/>
      <c r="S3" s="25"/>
      <c r="T3" s="28"/>
      <c r="U3" s="11"/>
      <c r="V3" s="28"/>
      <c r="W3" s="15" t="s">
        <v>26</v>
      </c>
      <c r="X3" s="52"/>
      <c r="Z3" s="16"/>
    </row>
    <row r="4" spans="1:26" ht="21" customHeight="1">
      <c r="A4" s="10" t="s">
        <v>60</v>
      </c>
      <c r="B4" s="11">
        <v>1.2152777777777778E-2</v>
      </c>
      <c r="C4" s="11">
        <v>3.6458333333333334E-3</v>
      </c>
      <c r="D4" s="11">
        <f t="shared" si="0"/>
        <v>7.0704861111111107E-3</v>
      </c>
      <c r="E4" s="12">
        <v>0.58179999999999998</v>
      </c>
      <c r="F4" s="11">
        <f t="shared" si="1"/>
        <v>9.1145833333333335E-4</v>
      </c>
      <c r="G4" s="11">
        <f t="shared" si="2"/>
        <v>9.4273148148148146E-4</v>
      </c>
      <c r="H4" s="11">
        <f t="shared" si="3"/>
        <v>9.7222222222222219E-4</v>
      </c>
      <c r="I4" s="11">
        <f t="shared" si="4"/>
        <v>1.0136897650338511E-3</v>
      </c>
      <c r="J4" s="11">
        <f t="shared" si="5"/>
        <v>1.0247081320450884E-3</v>
      </c>
      <c r="K4" s="11">
        <f t="shared" si="6"/>
        <v>1.0712857744107744E-3</v>
      </c>
      <c r="L4" s="11">
        <f t="shared" si="7"/>
        <v>1.1222993827160494E-3</v>
      </c>
      <c r="M4" s="25"/>
      <c r="N4" s="28"/>
      <c r="O4" s="25"/>
      <c r="P4" s="28"/>
      <c r="Q4" s="25"/>
      <c r="R4" s="25"/>
      <c r="S4" s="25"/>
      <c r="T4" s="28"/>
      <c r="U4" s="11"/>
      <c r="V4" s="28"/>
      <c r="W4" s="15" t="s">
        <v>26</v>
      </c>
      <c r="X4" s="52"/>
    </row>
    <row r="5" spans="1:26" ht="21" customHeight="1">
      <c r="A5" s="10" t="s">
        <v>27</v>
      </c>
      <c r="B5" s="11">
        <v>1.238425925925926E-2</v>
      </c>
      <c r="C5" s="11">
        <v>3.6458333333333334E-3</v>
      </c>
      <c r="D5" s="11">
        <f t="shared" si="0"/>
        <v>7.2051620370370368E-3</v>
      </c>
      <c r="E5" s="12">
        <v>0.58179999999999998</v>
      </c>
      <c r="F5" s="11">
        <f t="shared" si="1"/>
        <v>9.1145833333333335E-4</v>
      </c>
      <c r="G5" s="11">
        <f t="shared" si="2"/>
        <v>9.6068827160493821E-4</v>
      </c>
      <c r="H5" s="11">
        <f t="shared" si="3"/>
        <v>9.9074074074074082E-4</v>
      </c>
      <c r="I5" s="11">
        <f t="shared" si="4"/>
        <v>1.0329981415106862E-3</v>
      </c>
      <c r="J5" s="11">
        <f t="shared" si="5"/>
        <v>1.0442263821792807E-3</v>
      </c>
      <c r="K5" s="11">
        <f t="shared" si="6"/>
        <v>1.0916912177328843E-3</v>
      </c>
      <c r="L5" s="11">
        <f t="shared" si="7"/>
        <v>1.1436765138154027E-3</v>
      </c>
      <c r="M5" s="25"/>
      <c r="N5" s="28"/>
      <c r="O5" s="25"/>
      <c r="P5" s="28"/>
      <c r="Q5" s="25"/>
      <c r="R5" s="25"/>
      <c r="S5" s="25"/>
      <c r="T5" s="28"/>
      <c r="U5" s="11"/>
      <c r="V5" s="28"/>
      <c r="W5" s="15" t="s">
        <v>26</v>
      </c>
      <c r="X5" s="52"/>
    </row>
    <row r="6" spans="1:26" ht="21" customHeight="1">
      <c r="A6" s="10" t="s">
        <v>31</v>
      </c>
      <c r="B6" s="11">
        <v>1.238425925925926E-2</v>
      </c>
      <c r="C6" s="11">
        <v>3.7037037037037038E-3</v>
      </c>
      <c r="D6" s="11">
        <f t="shared" si="0"/>
        <v>7.2051620370370368E-3</v>
      </c>
      <c r="E6" s="12">
        <v>0.58179999999999998</v>
      </c>
      <c r="F6" s="11">
        <f t="shared" si="1"/>
        <v>9.2592592592592596E-4</v>
      </c>
      <c r="G6" s="11">
        <f t="shared" si="2"/>
        <v>9.6068827160493821E-4</v>
      </c>
      <c r="H6" s="11">
        <f t="shared" si="3"/>
        <v>9.9074074074074082E-4</v>
      </c>
      <c r="I6" s="11">
        <f t="shared" si="4"/>
        <v>1.0329981415106862E-3</v>
      </c>
      <c r="J6" s="11">
        <f t="shared" si="5"/>
        <v>1.0442263821792807E-3</v>
      </c>
      <c r="K6" s="11">
        <f t="shared" si="6"/>
        <v>1.0916912177328843E-3</v>
      </c>
      <c r="L6" s="11">
        <f t="shared" si="7"/>
        <v>1.1436765138154027E-3</v>
      </c>
      <c r="M6" s="25"/>
      <c r="N6" s="28"/>
      <c r="O6" s="25"/>
      <c r="P6" s="28"/>
      <c r="Q6" s="25"/>
      <c r="R6" s="25"/>
      <c r="S6" s="25"/>
      <c r="T6" s="28"/>
      <c r="U6" s="11"/>
      <c r="V6" s="28"/>
      <c r="W6" s="15" t="s">
        <v>26</v>
      </c>
      <c r="X6" s="52"/>
    </row>
    <row r="7" spans="1:26" ht="21" customHeight="1">
      <c r="A7" s="10" t="s">
        <v>59</v>
      </c>
      <c r="B7" s="11">
        <v>1.2500000000000001E-2</v>
      </c>
      <c r="C7" s="11">
        <v>3.7037037037037038E-3</v>
      </c>
      <c r="D7" s="11">
        <f t="shared" si="0"/>
        <v>7.2725000000000003E-3</v>
      </c>
      <c r="E7" s="12">
        <v>0.58179999999999998</v>
      </c>
      <c r="F7" s="11">
        <f t="shared" si="1"/>
        <v>9.2592592592592596E-4</v>
      </c>
      <c r="G7" s="11">
        <f t="shared" si="2"/>
        <v>9.6966666666666675E-4</v>
      </c>
      <c r="H7" s="11">
        <f t="shared" si="3"/>
        <v>1E-3</v>
      </c>
      <c r="I7" s="11">
        <f t="shared" si="4"/>
        <v>1.0426523297491039E-3</v>
      </c>
      <c r="J7" s="11">
        <f t="shared" si="5"/>
        <v>1.0539855072463768E-3</v>
      </c>
      <c r="K7" s="11">
        <f t="shared" si="6"/>
        <v>1.1018939393939394E-3</v>
      </c>
      <c r="L7" s="17">
        <f t="shared" si="7"/>
        <v>1.1543650793650795E-3</v>
      </c>
      <c r="M7" s="25"/>
      <c r="N7" s="28"/>
      <c r="O7" s="25"/>
      <c r="P7" s="28"/>
      <c r="Q7" s="25"/>
      <c r="R7" s="25"/>
      <c r="S7" s="25"/>
      <c r="T7" s="28"/>
      <c r="U7" s="11"/>
      <c r="V7" s="38"/>
      <c r="W7" s="15" t="s">
        <v>26</v>
      </c>
      <c r="X7" s="52"/>
    </row>
    <row r="8" spans="1:26" ht="21" customHeight="1">
      <c r="A8" s="10" t="s">
        <v>28</v>
      </c>
      <c r="B8" s="11">
        <v>1.2500000000000001E-2</v>
      </c>
      <c r="C8" s="11">
        <v>3.7037037037037038E-3</v>
      </c>
      <c r="D8" s="11">
        <f t="shared" si="0"/>
        <v>7.2725000000000003E-3</v>
      </c>
      <c r="E8" s="12">
        <v>0.58179999999999998</v>
      </c>
      <c r="F8" s="11">
        <f t="shared" si="1"/>
        <v>9.2592592592592596E-4</v>
      </c>
      <c r="G8" s="11">
        <f t="shared" si="2"/>
        <v>9.6966666666666675E-4</v>
      </c>
      <c r="H8" s="11">
        <f t="shared" si="3"/>
        <v>1E-3</v>
      </c>
      <c r="I8" s="11">
        <f t="shared" si="4"/>
        <v>1.0426523297491039E-3</v>
      </c>
      <c r="J8" s="11">
        <f t="shared" si="5"/>
        <v>1.0539855072463768E-3</v>
      </c>
      <c r="K8" s="11">
        <f t="shared" si="6"/>
        <v>1.1018939393939394E-3</v>
      </c>
      <c r="L8" s="11">
        <f t="shared" si="7"/>
        <v>1.1543650793650795E-3</v>
      </c>
      <c r="M8" s="25"/>
      <c r="N8" s="28"/>
      <c r="O8" s="25"/>
      <c r="P8" s="28"/>
      <c r="Q8" s="25"/>
      <c r="R8" s="25"/>
      <c r="S8" s="25"/>
      <c r="T8" s="28"/>
      <c r="U8" s="11"/>
      <c r="V8" s="28"/>
      <c r="W8" s="15" t="s">
        <v>26</v>
      </c>
      <c r="X8" s="52"/>
    </row>
    <row r="9" spans="1:26" ht="21" customHeight="1">
      <c r="A9" s="10" t="s">
        <v>29</v>
      </c>
      <c r="B9" s="11">
        <v>1.2500000000000001E-2</v>
      </c>
      <c r="C9" s="11">
        <v>3.8194444444444443E-3</v>
      </c>
      <c r="D9" s="11">
        <f t="shared" si="0"/>
        <v>7.2725000000000003E-3</v>
      </c>
      <c r="E9" s="12">
        <v>0.58179999999999998</v>
      </c>
      <c r="F9" s="11">
        <f t="shared" si="1"/>
        <v>9.5486111111111108E-4</v>
      </c>
      <c r="G9" s="11">
        <f t="shared" si="2"/>
        <v>9.6966666666666675E-4</v>
      </c>
      <c r="H9" s="11">
        <f t="shared" si="3"/>
        <v>1E-3</v>
      </c>
      <c r="I9" s="11">
        <f t="shared" si="4"/>
        <v>1.0426523297491039E-3</v>
      </c>
      <c r="J9" s="11">
        <f t="shared" si="5"/>
        <v>1.0539855072463768E-3</v>
      </c>
      <c r="K9" s="11">
        <f t="shared" si="6"/>
        <v>1.1018939393939394E-3</v>
      </c>
      <c r="L9" s="11">
        <f t="shared" si="7"/>
        <v>1.1543650793650795E-3</v>
      </c>
      <c r="M9" s="25"/>
      <c r="N9" s="28"/>
      <c r="O9" s="25"/>
      <c r="P9" s="28"/>
      <c r="Q9" s="25"/>
      <c r="R9" s="25"/>
      <c r="S9" s="25"/>
      <c r="T9" s="28"/>
      <c r="U9" s="11"/>
      <c r="V9" s="38"/>
      <c r="W9" s="18" t="s">
        <v>26</v>
      </c>
      <c r="X9" s="52"/>
    </row>
    <row r="10" spans="1:26" ht="21" customHeight="1">
      <c r="A10" s="10" t="s">
        <v>30</v>
      </c>
      <c r="B10" s="11">
        <v>1.2500000000000001E-2</v>
      </c>
      <c r="C10" s="11">
        <v>3.6458333333333334E-3</v>
      </c>
      <c r="D10" s="11">
        <f t="shared" si="0"/>
        <v>7.2725000000000003E-3</v>
      </c>
      <c r="E10" s="12">
        <v>0.58179999999999998</v>
      </c>
      <c r="F10" s="11">
        <f t="shared" si="1"/>
        <v>9.1145833333333335E-4</v>
      </c>
      <c r="G10" s="11">
        <f t="shared" si="2"/>
        <v>9.6966666666666675E-4</v>
      </c>
      <c r="H10" s="11">
        <f t="shared" si="3"/>
        <v>1E-3</v>
      </c>
      <c r="I10" s="11">
        <f t="shared" si="4"/>
        <v>1.0426523297491039E-3</v>
      </c>
      <c r="J10" s="11">
        <f t="shared" si="5"/>
        <v>1.0539855072463768E-3</v>
      </c>
      <c r="K10" s="11">
        <f t="shared" si="6"/>
        <v>1.1018939393939394E-3</v>
      </c>
      <c r="L10" s="11">
        <f t="shared" si="7"/>
        <v>1.1543650793650795E-3</v>
      </c>
      <c r="M10" s="25"/>
      <c r="N10" s="28"/>
      <c r="O10" s="25"/>
      <c r="P10" s="28"/>
      <c r="Q10" s="25"/>
      <c r="R10" s="25"/>
      <c r="S10" s="25"/>
      <c r="T10" s="28"/>
      <c r="U10" s="11"/>
      <c r="V10" s="28"/>
      <c r="W10" s="15" t="s">
        <v>26</v>
      </c>
      <c r="X10" s="52"/>
    </row>
    <row r="11" spans="1:26" ht="21" customHeight="1">
      <c r="A11" s="10" t="s">
        <v>55</v>
      </c>
      <c r="B11" s="11">
        <v>1.2500000000000001E-2</v>
      </c>
      <c r="C11" s="11">
        <v>3.5879629629629629E-3</v>
      </c>
      <c r="D11" s="11">
        <f t="shared" si="0"/>
        <v>7.2725000000000003E-3</v>
      </c>
      <c r="E11" s="12">
        <v>0.58179999999999998</v>
      </c>
      <c r="F11" s="11">
        <f t="shared" si="1"/>
        <v>8.9699074074074073E-4</v>
      </c>
      <c r="G11" s="11">
        <f t="shared" si="2"/>
        <v>9.6966666666666675E-4</v>
      </c>
      <c r="H11" s="11">
        <f t="shared" si="3"/>
        <v>1E-3</v>
      </c>
      <c r="I11" s="11">
        <f t="shared" si="4"/>
        <v>1.0426523297491039E-3</v>
      </c>
      <c r="J11" s="11">
        <f t="shared" si="5"/>
        <v>1.0539855072463768E-3</v>
      </c>
      <c r="K11" s="11">
        <f t="shared" si="6"/>
        <v>1.1018939393939394E-3</v>
      </c>
      <c r="L11" s="11">
        <f t="shared" si="7"/>
        <v>1.1543650793650795E-3</v>
      </c>
      <c r="M11" s="25"/>
      <c r="N11" s="28"/>
      <c r="O11" s="25"/>
      <c r="P11" s="28"/>
      <c r="Q11" s="25"/>
      <c r="R11" s="25"/>
      <c r="S11" s="25"/>
      <c r="T11" s="28"/>
      <c r="U11" s="11"/>
      <c r="V11" s="17"/>
      <c r="W11" s="18" t="s">
        <v>26</v>
      </c>
      <c r="X11" s="52" t="s">
        <v>211</v>
      </c>
    </row>
    <row r="12" spans="1:26" ht="21" customHeight="1">
      <c r="A12" s="10" t="s">
        <v>62</v>
      </c>
      <c r="B12" s="11">
        <v>1.2500000000000001E-2</v>
      </c>
      <c r="C12" s="11">
        <v>3.6458333333333334E-3</v>
      </c>
      <c r="D12" s="11">
        <f>B12*E12</f>
        <v>7.2725000000000003E-3</v>
      </c>
      <c r="E12" s="12">
        <v>0.58179999999999998</v>
      </c>
      <c r="F12" s="11">
        <f>C12/4</f>
        <v>9.1145833333333335E-4</v>
      </c>
      <c r="G12" s="11">
        <f>D12/7.5</f>
        <v>9.6966666666666675E-4</v>
      </c>
      <c r="H12" s="11">
        <f>B12/12.5</f>
        <v>1E-3</v>
      </c>
      <c r="I12" s="11">
        <f>G12/0.93</f>
        <v>1.0426523297491039E-3</v>
      </c>
      <c r="J12" s="11">
        <f>G12/0.92</f>
        <v>1.0539855072463768E-3</v>
      </c>
      <c r="K12" s="11">
        <f>G12/0.88</f>
        <v>1.1018939393939394E-3</v>
      </c>
      <c r="L12" s="11">
        <f>G12/0.84</f>
        <v>1.1543650793650795E-3</v>
      </c>
      <c r="M12" s="25"/>
      <c r="N12" s="28"/>
      <c r="O12" s="25"/>
      <c r="P12" s="28"/>
      <c r="Q12" s="25"/>
      <c r="R12" s="25"/>
      <c r="S12" s="25"/>
      <c r="T12" s="28"/>
      <c r="U12" s="11"/>
      <c r="V12" s="17"/>
      <c r="W12" s="18" t="s">
        <v>26</v>
      </c>
      <c r="X12" s="52"/>
    </row>
    <row r="13" spans="1:26" ht="21" customHeight="1">
      <c r="A13" s="10" t="s">
        <v>38</v>
      </c>
      <c r="B13" s="11">
        <v>1.238425925925926E-2</v>
      </c>
      <c r="C13" s="11">
        <v>3.5300925925925925E-3</v>
      </c>
      <c r="D13" s="11">
        <f>B13*E13</f>
        <v>7.2051620370370368E-3</v>
      </c>
      <c r="E13" s="12">
        <v>0.58179999999999998</v>
      </c>
      <c r="F13" s="11">
        <f>C13/4</f>
        <v>8.8252314814814812E-4</v>
      </c>
      <c r="G13" s="11">
        <f>D13/7.5</f>
        <v>9.6068827160493821E-4</v>
      </c>
      <c r="H13" s="11">
        <f>B13/12.5</f>
        <v>9.9074074074074082E-4</v>
      </c>
      <c r="I13" s="11">
        <f>G13/0.93</f>
        <v>1.0329981415106862E-3</v>
      </c>
      <c r="J13" s="11">
        <f>G13/0.92</f>
        <v>1.0442263821792807E-3</v>
      </c>
      <c r="K13" s="11">
        <f>G13/0.88</f>
        <v>1.0916912177328843E-3</v>
      </c>
      <c r="L13" s="11">
        <f>G13/0.84</f>
        <v>1.1436765138154027E-3</v>
      </c>
      <c r="M13" s="25"/>
      <c r="N13" s="28"/>
      <c r="O13" s="25"/>
      <c r="P13" s="28"/>
      <c r="Q13" s="25"/>
      <c r="R13" s="25"/>
      <c r="S13" s="25"/>
      <c r="T13" s="28"/>
      <c r="U13" s="11"/>
      <c r="V13" s="28"/>
      <c r="W13" s="15" t="s">
        <v>26</v>
      </c>
      <c r="X13" s="52"/>
    </row>
    <row r="14" spans="1:26" ht="21" customHeight="1">
      <c r="A14" s="10"/>
      <c r="B14" s="11"/>
      <c r="C14" s="11"/>
      <c r="D14" s="11"/>
      <c r="E14" s="12"/>
      <c r="F14" s="11"/>
      <c r="G14" s="11"/>
      <c r="H14" s="11"/>
      <c r="I14" s="11"/>
      <c r="J14" s="11"/>
      <c r="K14" s="11"/>
      <c r="L14" s="11"/>
      <c r="M14" s="25"/>
      <c r="N14" s="28"/>
      <c r="O14" s="25"/>
      <c r="P14" s="11"/>
      <c r="Q14" s="14"/>
      <c r="R14" s="11"/>
      <c r="S14" s="14"/>
      <c r="T14" s="14"/>
      <c r="U14" s="14"/>
      <c r="V14" s="17"/>
      <c r="W14" s="18"/>
      <c r="X14" s="52"/>
    </row>
    <row r="15" spans="1:26" ht="21" customHeight="1">
      <c r="A15" s="19"/>
      <c r="B15" s="6"/>
      <c r="C15" s="6"/>
      <c r="D15" s="6"/>
      <c r="E15" s="20"/>
      <c r="F15" s="6"/>
      <c r="G15" s="6"/>
      <c r="H15" s="6"/>
      <c r="I15" s="6"/>
      <c r="J15" s="6"/>
      <c r="K15" s="6"/>
      <c r="L15" s="6"/>
      <c r="M15" s="6"/>
      <c r="N15" s="6"/>
      <c r="O15" s="6"/>
      <c r="P15" s="6"/>
      <c r="Q15" s="6"/>
      <c r="R15" s="6"/>
      <c r="S15" s="6"/>
      <c r="T15" s="6"/>
      <c r="U15" s="6"/>
      <c r="V15" s="6"/>
      <c r="W15" s="35"/>
      <c r="X15" s="52"/>
    </row>
    <row r="16" spans="1:26" ht="21" customHeight="1">
      <c r="A16" s="10" t="s">
        <v>36</v>
      </c>
      <c r="B16" s="11">
        <v>1.2731481481481481E-2</v>
      </c>
      <c r="C16" s="11">
        <v>3.6458333333333334E-3</v>
      </c>
      <c r="D16" s="11">
        <f t="shared" ref="D16:D19" si="8">B16*E16</f>
        <v>7.4071759259259256E-3</v>
      </c>
      <c r="E16" s="12">
        <v>0.58179999999999998</v>
      </c>
      <c r="F16" s="11">
        <f t="shared" ref="F16:F19" si="9">C16/4</f>
        <v>9.1145833333333335E-4</v>
      </c>
      <c r="G16" s="11">
        <f t="shared" ref="G16:G19" si="10">D16/7.5</f>
        <v>9.8762345679012349E-4</v>
      </c>
      <c r="H16" s="11">
        <f t="shared" ref="H16:H19" si="11">B16/12.5</f>
        <v>1.0185185185185184E-3</v>
      </c>
      <c r="I16" s="11">
        <f t="shared" ref="I16:I19" si="12">G16/0.93</f>
        <v>1.0619607062259391E-3</v>
      </c>
      <c r="J16" s="11">
        <f t="shared" ref="J16:J19" si="13">G16/0.92</f>
        <v>1.073503757380569E-3</v>
      </c>
      <c r="K16" s="11">
        <f t="shared" ref="K16:K19" si="14">G16/0.88</f>
        <v>1.1222993827160494E-3</v>
      </c>
      <c r="L16" s="11">
        <f t="shared" ref="L16:L19" si="15">G16/0.84</f>
        <v>1.1757422104644328E-3</v>
      </c>
      <c r="M16" s="25"/>
      <c r="N16" s="28"/>
      <c r="O16" s="25"/>
      <c r="P16" s="28"/>
      <c r="Q16" s="25"/>
      <c r="R16" s="25"/>
      <c r="S16" s="25"/>
      <c r="T16" s="25"/>
      <c r="U16" s="25"/>
      <c r="V16" s="25"/>
      <c r="W16" s="15" t="s">
        <v>48</v>
      </c>
      <c r="X16" s="52"/>
    </row>
    <row r="17" spans="1:24" ht="21" customHeight="1">
      <c r="A17" s="10" t="s">
        <v>50</v>
      </c>
      <c r="B17" s="11">
        <v>1.3020833333333334E-2</v>
      </c>
      <c r="C17" s="11">
        <v>3.7037037037037038E-3</v>
      </c>
      <c r="D17" s="11">
        <f t="shared" si="8"/>
        <v>7.5755208333333334E-3</v>
      </c>
      <c r="E17" s="12">
        <v>0.58179999999999998</v>
      </c>
      <c r="F17" s="11">
        <f t="shared" si="9"/>
        <v>9.2592592592592596E-4</v>
      </c>
      <c r="G17" s="11">
        <f t="shared" si="10"/>
        <v>1.0100694444444445E-3</v>
      </c>
      <c r="H17" s="11">
        <f t="shared" si="11"/>
        <v>1.0416666666666667E-3</v>
      </c>
      <c r="I17" s="11">
        <f t="shared" si="12"/>
        <v>1.0860961768219832E-3</v>
      </c>
      <c r="J17" s="11">
        <f t="shared" si="13"/>
        <v>1.0979015700483092E-3</v>
      </c>
      <c r="K17" s="11">
        <f t="shared" si="14"/>
        <v>1.1478061868686869E-3</v>
      </c>
      <c r="L17" s="11">
        <f t="shared" si="15"/>
        <v>1.2024636243386244E-3</v>
      </c>
      <c r="M17" s="25"/>
      <c r="N17" s="28"/>
      <c r="O17" s="25"/>
      <c r="P17" s="28"/>
      <c r="Q17" s="25"/>
      <c r="R17" s="25"/>
      <c r="S17" s="25"/>
      <c r="T17" s="25"/>
      <c r="U17" s="25"/>
      <c r="V17" s="25"/>
      <c r="W17" s="15" t="s">
        <v>48</v>
      </c>
      <c r="X17" s="52"/>
    </row>
    <row r="18" spans="1:24" ht="21" customHeight="1">
      <c r="A18" s="10" t="s">
        <v>47</v>
      </c>
      <c r="B18" s="11">
        <v>1.3020833333333334E-2</v>
      </c>
      <c r="C18" s="11">
        <v>3.7037037037037038E-3</v>
      </c>
      <c r="D18" s="11">
        <f t="shared" si="8"/>
        <v>7.5755208333333334E-3</v>
      </c>
      <c r="E18" s="12">
        <v>0.58179999999999998</v>
      </c>
      <c r="F18" s="11">
        <f t="shared" si="9"/>
        <v>9.2592592592592596E-4</v>
      </c>
      <c r="G18" s="11">
        <f t="shared" si="10"/>
        <v>1.0100694444444445E-3</v>
      </c>
      <c r="H18" s="11">
        <f t="shared" si="11"/>
        <v>1.0416666666666667E-3</v>
      </c>
      <c r="I18" s="11">
        <f t="shared" si="12"/>
        <v>1.0860961768219832E-3</v>
      </c>
      <c r="J18" s="11">
        <f t="shared" si="13"/>
        <v>1.0979015700483092E-3</v>
      </c>
      <c r="K18" s="11">
        <f t="shared" si="14"/>
        <v>1.1478061868686869E-3</v>
      </c>
      <c r="L18" s="11">
        <f t="shared" si="15"/>
        <v>1.2024636243386244E-3</v>
      </c>
      <c r="M18" s="25"/>
      <c r="N18" s="28"/>
      <c r="O18" s="25"/>
      <c r="P18" s="28"/>
      <c r="Q18" s="25"/>
      <c r="R18" s="25"/>
      <c r="S18" s="25"/>
      <c r="T18" s="25"/>
      <c r="U18" s="25"/>
      <c r="V18" s="25"/>
      <c r="W18" s="15" t="s">
        <v>48</v>
      </c>
      <c r="X18" s="52"/>
    </row>
    <row r="19" spans="1:24" ht="21" customHeight="1">
      <c r="A19" s="10" t="s">
        <v>198</v>
      </c>
      <c r="B19" s="11">
        <v>1.4583333333333334E-2</v>
      </c>
      <c r="C19" s="11">
        <v>4.1666666666666666E-3</v>
      </c>
      <c r="D19" s="11">
        <f t="shared" si="8"/>
        <v>8.4845833333333336E-3</v>
      </c>
      <c r="E19" s="12">
        <v>0.58179999999999998</v>
      </c>
      <c r="F19" s="11">
        <f t="shared" si="9"/>
        <v>1.0416666666666667E-3</v>
      </c>
      <c r="G19" s="11">
        <f t="shared" si="10"/>
        <v>1.1312777777777777E-3</v>
      </c>
      <c r="H19" s="11">
        <f t="shared" si="11"/>
        <v>1.1666666666666668E-3</v>
      </c>
      <c r="I19" s="11">
        <f t="shared" si="12"/>
        <v>1.2164277180406211E-3</v>
      </c>
      <c r="J19" s="11">
        <f t="shared" si="13"/>
        <v>1.2296497584541061E-3</v>
      </c>
      <c r="K19" s="11">
        <f t="shared" si="14"/>
        <v>1.2855429292929293E-3</v>
      </c>
      <c r="L19" s="11">
        <f t="shared" si="15"/>
        <v>1.3467592592592591E-3</v>
      </c>
      <c r="M19" s="25"/>
      <c r="N19" s="28"/>
      <c r="O19" s="25"/>
      <c r="P19" s="28"/>
      <c r="Q19" s="25"/>
      <c r="R19" s="25"/>
      <c r="S19" s="25"/>
      <c r="T19" s="25"/>
      <c r="U19" s="25"/>
      <c r="V19" s="25"/>
      <c r="W19" s="15" t="s">
        <v>48</v>
      </c>
      <c r="X19" s="52"/>
    </row>
    <row r="20" spans="1:24" ht="21" customHeight="1">
      <c r="A20" s="10" t="s">
        <v>49</v>
      </c>
      <c r="B20" s="11">
        <v>1.2731481481481481E-2</v>
      </c>
      <c r="C20" s="11">
        <v>3.5879629629629629E-3</v>
      </c>
      <c r="D20" s="11">
        <f>B20*E20</f>
        <v>7.4071759259259256E-3</v>
      </c>
      <c r="E20" s="12">
        <v>0.58179999999999998</v>
      </c>
      <c r="F20" s="11">
        <f>C20/4</f>
        <v>8.9699074074074073E-4</v>
      </c>
      <c r="G20" s="11">
        <f>D20/7.5</f>
        <v>9.8762345679012349E-4</v>
      </c>
      <c r="H20" s="11">
        <f>B20/12.5</f>
        <v>1.0185185185185184E-3</v>
      </c>
      <c r="I20" s="11">
        <f>G20/0.93</f>
        <v>1.0619607062259391E-3</v>
      </c>
      <c r="J20" s="11">
        <f>G20/0.92</f>
        <v>1.073503757380569E-3</v>
      </c>
      <c r="K20" s="11">
        <f>G20/0.88</f>
        <v>1.1222993827160494E-3</v>
      </c>
      <c r="L20" s="11">
        <f>G20/0.84</f>
        <v>1.1757422104644328E-3</v>
      </c>
      <c r="M20" s="25"/>
      <c r="N20" s="28"/>
      <c r="O20" s="25"/>
      <c r="P20" s="28"/>
      <c r="Q20" s="25"/>
      <c r="R20" s="25"/>
      <c r="S20" s="25"/>
      <c r="T20" s="28"/>
      <c r="U20" s="11"/>
      <c r="V20" s="11"/>
      <c r="W20" s="15" t="s">
        <v>48</v>
      </c>
      <c r="X20" s="52"/>
    </row>
    <row r="21" spans="1:24" ht="21" customHeight="1">
      <c r="A21" s="10" t="s">
        <v>75</v>
      </c>
      <c r="B21" s="11">
        <v>1.3541666666666667E-2</v>
      </c>
      <c r="C21" s="11">
        <v>3.8194444444444443E-3</v>
      </c>
      <c r="D21" s="11">
        <f>B21*E21</f>
        <v>7.8785416666666674E-3</v>
      </c>
      <c r="E21" s="12">
        <v>0.58179999999999998</v>
      </c>
      <c r="F21" s="11">
        <f>C21/4</f>
        <v>9.5486111111111108E-4</v>
      </c>
      <c r="G21" s="11">
        <f>D21/7.5</f>
        <v>1.0504722222222224E-3</v>
      </c>
      <c r="H21" s="11">
        <f>B21/12.5</f>
        <v>1.0833333333333333E-3</v>
      </c>
      <c r="I21" s="11">
        <f>G21/0.93</f>
        <v>1.1295400238948627E-3</v>
      </c>
      <c r="J21" s="11">
        <f>G21/0.92</f>
        <v>1.1418176328502417E-3</v>
      </c>
      <c r="K21" s="11">
        <f>G21/0.88</f>
        <v>1.1937184343434346E-3</v>
      </c>
      <c r="L21" s="11">
        <f>G21/0.84</f>
        <v>1.2505621693121695E-3</v>
      </c>
      <c r="M21" s="25"/>
      <c r="N21" s="28"/>
      <c r="O21" s="25"/>
      <c r="P21" s="28"/>
      <c r="Q21" s="25"/>
      <c r="R21" s="25"/>
      <c r="S21" s="25"/>
      <c r="T21" s="25"/>
      <c r="U21" s="25"/>
      <c r="V21" s="25"/>
      <c r="W21" s="15" t="s">
        <v>48</v>
      </c>
      <c r="X21" s="52" t="s">
        <v>212</v>
      </c>
    </row>
    <row r="22" spans="1:24" ht="21" customHeight="1">
      <c r="A22" s="10" t="s">
        <v>66</v>
      </c>
      <c r="B22" s="11">
        <v>1.2731481481481481E-2</v>
      </c>
      <c r="C22" s="11">
        <v>3.6458333333333334E-3</v>
      </c>
      <c r="D22" s="11">
        <f>B22*E22</f>
        <v>7.4071759259259256E-3</v>
      </c>
      <c r="E22" s="12">
        <v>0.58179999999999998</v>
      </c>
      <c r="F22" s="11">
        <f>C22/4</f>
        <v>9.1145833333333335E-4</v>
      </c>
      <c r="G22" s="11">
        <f>D22/7.5</f>
        <v>9.8762345679012349E-4</v>
      </c>
      <c r="H22" s="11">
        <f>B22/12.5</f>
        <v>1.0185185185185184E-3</v>
      </c>
      <c r="I22" s="11">
        <f>G22/0.93</f>
        <v>1.0619607062259391E-3</v>
      </c>
      <c r="J22" s="11">
        <f>G22/0.92</f>
        <v>1.073503757380569E-3</v>
      </c>
      <c r="K22" s="11">
        <f>G22/0.88</f>
        <v>1.1222993827160494E-3</v>
      </c>
      <c r="L22" s="17">
        <f>G22/0.84</f>
        <v>1.1757422104644328E-3</v>
      </c>
      <c r="M22" s="25"/>
      <c r="N22" s="28"/>
      <c r="O22" s="25"/>
      <c r="P22" s="28"/>
      <c r="Q22" s="25"/>
      <c r="R22" s="25"/>
      <c r="S22" s="25"/>
      <c r="T22" s="25"/>
      <c r="U22" s="25"/>
      <c r="V22" s="25"/>
      <c r="W22" s="15" t="s">
        <v>48</v>
      </c>
      <c r="X22" s="52"/>
    </row>
    <row r="23" spans="1:24" ht="21" customHeight="1">
      <c r="A23" s="10" t="s">
        <v>74</v>
      </c>
      <c r="B23" s="11">
        <v>1.3020833333333334E-2</v>
      </c>
      <c r="C23" s="11">
        <v>3.7037037037037038E-3</v>
      </c>
      <c r="D23" s="11">
        <f>B23*E23</f>
        <v>7.5755208333333334E-3</v>
      </c>
      <c r="E23" s="12">
        <v>0.58179999999999998</v>
      </c>
      <c r="F23" s="11">
        <f>C23/4</f>
        <v>9.2592592592592596E-4</v>
      </c>
      <c r="G23" s="11">
        <f>D23/7.5</f>
        <v>1.0100694444444445E-3</v>
      </c>
      <c r="H23" s="11">
        <f>B23/12.5</f>
        <v>1.0416666666666667E-3</v>
      </c>
      <c r="I23" s="11">
        <f>G23/0.93</f>
        <v>1.0860961768219832E-3</v>
      </c>
      <c r="J23" s="11">
        <f>G23/0.92</f>
        <v>1.0979015700483092E-3</v>
      </c>
      <c r="K23" s="11">
        <f>G23/0.88</f>
        <v>1.1478061868686869E-3</v>
      </c>
      <c r="L23" s="11">
        <f>G23/0.84</f>
        <v>1.2024636243386244E-3</v>
      </c>
      <c r="M23" s="25"/>
      <c r="N23" s="28"/>
      <c r="O23" s="25"/>
      <c r="P23" s="28"/>
      <c r="Q23" s="25"/>
      <c r="R23" s="25"/>
      <c r="S23" s="25"/>
      <c r="T23" s="25"/>
      <c r="U23" s="25"/>
      <c r="V23" s="25"/>
      <c r="W23" s="15" t="s">
        <v>48</v>
      </c>
      <c r="X23" s="52"/>
    </row>
    <row r="24" spans="1:24" ht="21" customHeight="1">
      <c r="A24" s="10"/>
      <c r="B24" s="11"/>
      <c r="C24" s="11"/>
      <c r="D24" s="11"/>
      <c r="E24" s="12"/>
      <c r="F24" s="11"/>
      <c r="G24" s="11"/>
      <c r="H24" s="11"/>
      <c r="I24" s="11"/>
      <c r="J24" s="11"/>
      <c r="K24" s="11"/>
      <c r="L24" s="11"/>
      <c r="M24" s="25"/>
      <c r="N24" s="28"/>
      <c r="O24" s="25"/>
      <c r="P24" s="28"/>
      <c r="Q24" s="25"/>
      <c r="R24" s="11"/>
      <c r="S24" s="14"/>
      <c r="T24" s="11"/>
      <c r="U24" s="11"/>
      <c r="V24" s="17"/>
      <c r="W24" s="18"/>
      <c r="X24" s="52"/>
    </row>
    <row r="25" spans="1:24" ht="21" customHeight="1">
      <c r="A25" s="19"/>
      <c r="B25" s="6"/>
      <c r="C25" s="6"/>
      <c r="D25" s="6"/>
      <c r="E25" s="20"/>
      <c r="F25" s="6"/>
      <c r="G25" s="6"/>
      <c r="H25" s="6"/>
      <c r="I25" s="6"/>
      <c r="J25" s="6"/>
      <c r="K25" s="6"/>
      <c r="L25" s="6"/>
      <c r="M25" s="6" t="s">
        <v>39</v>
      </c>
      <c r="N25" s="6"/>
      <c r="O25" s="6"/>
      <c r="P25" s="6"/>
      <c r="Q25" s="6"/>
      <c r="R25" s="6"/>
      <c r="S25" s="6"/>
      <c r="T25" s="6"/>
      <c r="U25" s="6"/>
      <c r="V25" s="6"/>
      <c r="W25" s="35"/>
      <c r="X25" s="52"/>
    </row>
    <row r="26" spans="1:24" ht="21" customHeight="1">
      <c r="A26" s="10" t="s">
        <v>63</v>
      </c>
      <c r="B26" s="11">
        <v>1.2615740740740742E-2</v>
      </c>
      <c r="C26" s="11">
        <v>3.7037037037037038E-3</v>
      </c>
      <c r="D26" s="11">
        <f>B26*E26</f>
        <v>7.3398379629629629E-3</v>
      </c>
      <c r="E26" s="12">
        <v>0.58179999999999998</v>
      </c>
      <c r="F26" s="11">
        <f>C26/4</f>
        <v>9.2592592592592596E-4</v>
      </c>
      <c r="G26" s="11">
        <f>D26/7.5</f>
        <v>9.7864506172839496E-4</v>
      </c>
      <c r="H26" s="11">
        <f>B26/12.5</f>
        <v>1.0092592592592592E-3</v>
      </c>
      <c r="I26" s="11">
        <f>G26/0.93</f>
        <v>1.0523065179875214E-3</v>
      </c>
      <c r="J26" s="11">
        <f>G26/0.92</f>
        <v>1.0637446323134728E-3</v>
      </c>
      <c r="K26" s="11">
        <f>G26/0.88</f>
        <v>1.1120966610549943E-3</v>
      </c>
      <c r="L26" s="11">
        <f>G26/0.84</f>
        <v>1.165053644914756E-3</v>
      </c>
      <c r="M26" s="25"/>
      <c r="N26" s="28"/>
      <c r="O26" s="25"/>
      <c r="P26" s="28"/>
      <c r="Q26" s="25"/>
      <c r="R26" s="25"/>
      <c r="S26" s="25"/>
      <c r="T26" s="28"/>
      <c r="U26" s="11"/>
      <c r="V26" s="36"/>
      <c r="W26" s="15" t="s">
        <v>213</v>
      </c>
      <c r="X26" s="52"/>
    </row>
    <row r="27" spans="1:24" ht="21" customHeight="1">
      <c r="A27" s="10"/>
      <c r="B27" s="11"/>
      <c r="C27" s="11"/>
      <c r="D27" s="11"/>
      <c r="E27" s="12"/>
      <c r="F27" s="11"/>
      <c r="G27" s="11"/>
      <c r="H27" s="11"/>
      <c r="I27" s="11"/>
      <c r="J27" s="11"/>
      <c r="K27" s="11"/>
      <c r="L27" s="11"/>
      <c r="M27" s="13"/>
      <c r="N27" s="11"/>
      <c r="O27" s="11"/>
      <c r="P27" s="11"/>
      <c r="Q27" s="14"/>
      <c r="R27" s="11"/>
      <c r="S27" s="14"/>
      <c r="T27" s="14"/>
      <c r="U27" s="14"/>
      <c r="V27" s="17"/>
      <c r="W27" s="18"/>
      <c r="X27" s="52"/>
    </row>
    <row r="28" spans="1:24" ht="21" customHeight="1">
      <c r="A28" s="39"/>
      <c r="B28" s="40"/>
      <c r="C28" s="40"/>
      <c r="D28" s="40"/>
      <c r="E28" s="41"/>
      <c r="F28" s="40"/>
      <c r="G28" s="40"/>
      <c r="H28" s="40"/>
      <c r="I28" s="40"/>
      <c r="J28" s="40"/>
      <c r="K28" s="40"/>
      <c r="L28" s="40"/>
      <c r="M28" s="40"/>
      <c r="N28" s="40"/>
      <c r="O28" s="40"/>
      <c r="P28" s="40"/>
      <c r="Q28" s="40"/>
      <c r="R28" s="40"/>
      <c r="S28" s="40"/>
      <c r="T28" s="40"/>
      <c r="U28" s="40"/>
      <c r="V28" s="40"/>
      <c r="W28" s="42"/>
      <c r="X28" s="52"/>
    </row>
    <row r="29" spans="1:24" ht="21" customHeight="1" thickBot="1">
      <c r="A29" s="10"/>
      <c r="B29" s="11"/>
      <c r="C29" s="11"/>
      <c r="D29" s="11"/>
      <c r="E29" s="12"/>
      <c r="F29" s="11"/>
      <c r="G29" s="11"/>
      <c r="H29" s="11"/>
      <c r="I29" s="11"/>
      <c r="J29" s="11"/>
      <c r="K29" s="11"/>
      <c r="L29" s="11"/>
      <c r="M29" s="14"/>
      <c r="N29" s="11"/>
      <c r="O29" s="14"/>
      <c r="P29" s="11"/>
      <c r="Q29" s="14"/>
      <c r="R29" s="11"/>
      <c r="S29" s="14"/>
      <c r="T29" s="14"/>
      <c r="U29" s="14"/>
      <c r="V29" s="11"/>
      <c r="W29" s="15"/>
      <c r="X29" s="52"/>
    </row>
    <row r="30" spans="1:24" ht="21" customHeight="1">
      <c r="A30" s="1" t="s">
        <v>205</v>
      </c>
      <c r="B30" s="6"/>
      <c r="C30" s="6"/>
      <c r="D30" s="6"/>
      <c r="E30" s="20"/>
      <c r="F30" s="6"/>
      <c r="G30" s="6"/>
      <c r="H30" s="6"/>
      <c r="I30" s="6"/>
      <c r="J30" s="6"/>
      <c r="K30" s="6"/>
      <c r="L30" s="6"/>
      <c r="M30" s="6"/>
      <c r="N30" s="6"/>
      <c r="O30" s="6"/>
      <c r="P30" s="6"/>
      <c r="Q30" s="6"/>
      <c r="R30" s="6"/>
      <c r="S30" s="6"/>
      <c r="T30" s="6"/>
      <c r="U30" s="6"/>
      <c r="V30" s="21"/>
      <c r="W30" s="35"/>
      <c r="X30" s="52"/>
    </row>
    <row r="31" spans="1:24" ht="21" customHeight="1">
      <c r="A31" s="10" t="s">
        <v>65</v>
      </c>
      <c r="B31" s="11">
        <v>1.2731481481481481E-2</v>
      </c>
      <c r="C31" s="11">
        <v>3.8194444444444443E-3</v>
      </c>
      <c r="D31" s="11">
        <f>B31*E31</f>
        <v>7.4071759259259256E-3</v>
      </c>
      <c r="E31" s="12">
        <v>0.58179999999999998</v>
      </c>
      <c r="F31" s="11">
        <f>C31/4</f>
        <v>9.5486111111111108E-4</v>
      </c>
      <c r="G31" s="11">
        <f>D31/7.5</f>
        <v>9.8762345679012349E-4</v>
      </c>
      <c r="H31" s="11">
        <f>B31/12.5</f>
        <v>1.0185185185185184E-3</v>
      </c>
      <c r="I31" s="11">
        <f>G31/0.93</f>
        <v>1.0619607062259391E-3</v>
      </c>
      <c r="J31" s="11">
        <f>G31/0.92</f>
        <v>1.073503757380569E-3</v>
      </c>
      <c r="K31" s="11">
        <f>G31/0.88</f>
        <v>1.1222993827160494E-3</v>
      </c>
      <c r="L31" s="11">
        <f>G31/0.84</f>
        <v>1.1757422104644328E-3</v>
      </c>
      <c r="M31" s="25"/>
      <c r="N31" s="28"/>
      <c r="O31" s="25"/>
      <c r="P31" s="28"/>
      <c r="Q31" s="25"/>
      <c r="R31" s="25"/>
      <c r="S31" s="25"/>
      <c r="T31" s="28"/>
      <c r="U31" s="11"/>
      <c r="V31" s="28"/>
      <c r="W31" s="15" t="s">
        <v>35</v>
      </c>
      <c r="X31" s="52" t="s">
        <v>214</v>
      </c>
    </row>
    <row r="32" spans="1:24" ht="21" customHeight="1">
      <c r="A32" s="10" t="s">
        <v>64</v>
      </c>
      <c r="B32" s="11">
        <v>1.2731481481481481E-2</v>
      </c>
      <c r="C32" s="11">
        <v>3.5879629629629629E-3</v>
      </c>
      <c r="D32" s="11">
        <f t="shared" ref="D32:D34" si="16">B32*E32</f>
        <v>7.4071759259259256E-3</v>
      </c>
      <c r="E32" s="12">
        <v>0.58179999999999998</v>
      </c>
      <c r="F32" s="11">
        <f t="shared" ref="F32:F34" si="17">C32/4</f>
        <v>8.9699074074074073E-4</v>
      </c>
      <c r="G32" s="11">
        <f t="shared" ref="G32:G34" si="18">D32/7.5</f>
        <v>9.8762345679012349E-4</v>
      </c>
      <c r="H32" s="11">
        <f t="shared" ref="H32:H34" si="19">B32/12.5</f>
        <v>1.0185185185185184E-3</v>
      </c>
      <c r="I32" s="11">
        <f t="shared" ref="I32:I34" si="20">G32/0.93</f>
        <v>1.0619607062259391E-3</v>
      </c>
      <c r="J32" s="11">
        <f t="shared" ref="J32:J34" si="21">G32/0.92</f>
        <v>1.073503757380569E-3</v>
      </c>
      <c r="K32" s="11">
        <f t="shared" ref="K32:K34" si="22">G32/0.88</f>
        <v>1.1222993827160494E-3</v>
      </c>
      <c r="L32" s="11">
        <f t="shared" ref="L32:L34" si="23">G32/0.84</f>
        <v>1.1757422104644328E-3</v>
      </c>
      <c r="M32" s="25"/>
      <c r="N32" s="28"/>
      <c r="O32" s="25"/>
      <c r="P32" s="28"/>
      <c r="Q32" s="25"/>
      <c r="R32" s="25"/>
      <c r="S32" s="25"/>
      <c r="T32" s="28"/>
      <c r="U32" s="11"/>
      <c r="V32" s="48"/>
      <c r="W32" s="15" t="s">
        <v>35</v>
      </c>
      <c r="X32" s="52"/>
    </row>
    <row r="33" spans="1:24" ht="21" customHeight="1">
      <c r="A33" s="10" t="s">
        <v>67</v>
      </c>
      <c r="B33" s="11">
        <v>1.3020833333333334E-2</v>
      </c>
      <c r="C33" s="11">
        <v>3.8194444444444443E-3</v>
      </c>
      <c r="D33" s="11">
        <f t="shared" si="16"/>
        <v>7.5755208333333334E-3</v>
      </c>
      <c r="E33" s="12">
        <v>0.58179999999999998</v>
      </c>
      <c r="F33" s="11">
        <f t="shared" si="17"/>
        <v>9.5486111111111108E-4</v>
      </c>
      <c r="G33" s="11">
        <f t="shared" si="18"/>
        <v>1.0100694444444445E-3</v>
      </c>
      <c r="H33" s="11">
        <f t="shared" si="19"/>
        <v>1.0416666666666667E-3</v>
      </c>
      <c r="I33" s="11">
        <f t="shared" si="20"/>
        <v>1.0860961768219832E-3</v>
      </c>
      <c r="J33" s="11">
        <f t="shared" si="21"/>
        <v>1.0979015700483092E-3</v>
      </c>
      <c r="K33" s="11">
        <f t="shared" si="22"/>
        <v>1.1478061868686869E-3</v>
      </c>
      <c r="L33" s="11">
        <f t="shared" si="23"/>
        <v>1.2024636243386244E-3</v>
      </c>
      <c r="M33" s="25"/>
      <c r="N33" s="28"/>
      <c r="O33" s="25"/>
      <c r="P33" s="28"/>
      <c r="Q33" s="25"/>
      <c r="R33" s="25"/>
      <c r="S33" s="25"/>
      <c r="T33" s="28"/>
      <c r="U33" s="11"/>
      <c r="V33" s="28"/>
      <c r="W33" s="18" t="s">
        <v>35</v>
      </c>
      <c r="X33" s="52"/>
    </row>
    <row r="34" spans="1:24" ht="21" customHeight="1">
      <c r="A34" s="10" t="s">
        <v>58</v>
      </c>
      <c r="B34" s="11">
        <v>1.3020833333333334E-2</v>
      </c>
      <c r="C34" s="11">
        <v>4.1087962962962962E-3</v>
      </c>
      <c r="D34" s="11">
        <f t="shared" si="16"/>
        <v>7.5755208333333334E-3</v>
      </c>
      <c r="E34" s="12">
        <v>0.58179999999999998</v>
      </c>
      <c r="F34" s="11">
        <f t="shared" si="17"/>
        <v>1.027199074074074E-3</v>
      </c>
      <c r="G34" s="11">
        <f t="shared" si="18"/>
        <v>1.0100694444444445E-3</v>
      </c>
      <c r="H34" s="11">
        <f t="shared" si="19"/>
        <v>1.0416666666666667E-3</v>
      </c>
      <c r="I34" s="11">
        <f t="shared" si="20"/>
        <v>1.0860961768219832E-3</v>
      </c>
      <c r="J34" s="11">
        <f t="shared" si="21"/>
        <v>1.0979015700483092E-3</v>
      </c>
      <c r="K34" s="11">
        <f t="shared" si="22"/>
        <v>1.1478061868686869E-3</v>
      </c>
      <c r="L34" s="11">
        <f t="shared" si="23"/>
        <v>1.2024636243386244E-3</v>
      </c>
      <c r="M34" s="25"/>
      <c r="N34" s="28"/>
      <c r="O34" s="25"/>
      <c r="P34" s="28"/>
      <c r="Q34" s="25"/>
      <c r="R34" s="25"/>
      <c r="S34" s="25"/>
      <c r="T34" s="28"/>
      <c r="U34" s="11"/>
      <c r="V34" s="38"/>
      <c r="W34" s="15" t="s">
        <v>35</v>
      </c>
      <c r="X34" s="52"/>
    </row>
    <row r="35" spans="1:24" ht="21" customHeight="1">
      <c r="A35" s="10" t="s">
        <v>69</v>
      </c>
      <c r="B35" s="11">
        <v>1.3368055555555555E-2</v>
      </c>
      <c r="C35" s="11"/>
      <c r="D35" s="11">
        <f t="shared" si="0"/>
        <v>7.7775347222222213E-3</v>
      </c>
      <c r="E35" s="12">
        <v>0.58179999999999998</v>
      </c>
      <c r="F35" s="11">
        <f t="shared" si="1"/>
        <v>0</v>
      </c>
      <c r="G35" s="11">
        <f t="shared" si="2"/>
        <v>1.0370046296296295E-3</v>
      </c>
      <c r="H35" s="11">
        <f t="shared" si="3"/>
        <v>1.0694444444444445E-3</v>
      </c>
      <c r="I35" s="11">
        <f t="shared" si="4"/>
        <v>1.1150587415372358E-3</v>
      </c>
      <c r="J35" s="11">
        <f t="shared" si="5"/>
        <v>1.1271789452495973E-3</v>
      </c>
      <c r="K35" s="11">
        <f t="shared" si="6"/>
        <v>1.1784143518518517E-3</v>
      </c>
      <c r="L35" s="11">
        <f t="shared" si="7"/>
        <v>1.2345293209876543E-3</v>
      </c>
      <c r="M35" s="25"/>
      <c r="N35" s="28"/>
      <c r="O35" s="25"/>
      <c r="P35" s="28"/>
      <c r="Q35" s="25"/>
      <c r="R35" s="25"/>
      <c r="S35" s="25"/>
      <c r="T35" s="28"/>
      <c r="U35" s="11"/>
      <c r="V35" s="36"/>
      <c r="W35" s="15" t="s">
        <v>35</v>
      </c>
      <c r="X35" s="52"/>
    </row>
    <row r="36" spans="1:24" ht="21" customHeight="1">
      <c r="A36" s="10" t="s">
        <v>70</v>
      </c>
      <c r="B36" s="11">
        <v>1.3368055555555555E-2</v>
      </c>
      <c r="C36" s="11">
        <v>4.0509259259259257E-3</v>
      </c>
      <c r="D36" s="11">
        <f t="shared" si="0"/>
        <v>7.7775347222222213E-3</v>
      </c>
      <c r="E36" s="12">
        <v>0.58179999999999998</v>
      </c>
      <c r="F36" s="11">
        <f t="shared" si="1"/>
        <v>1.0127314814814814E-3</v>
      </c>
      <c r="G36" s="11">
        <f t="shared" si="2"/>
        <v>1.0370046296296295E-3</v>
      </c>
      <c r="H36" s="11">
        <f t="shared" si="3"/>
        <v>1.0694444444444445E-3</v>
      </c>
      <c r="I36" s="11">
        <f t="shared" si="4"/>
        <v>1.1150587415372358E-3</v>
      </c>
      <c r="J36" s="11">
        <f t="shared" si="5"/>
        <v>1.1271789452495973E-3</v>
      </c>
      <c r="K36" s="11">
        <f t="shared" si="6"/>
        <v>1.1784143518518517E-3</v>
      </c>
      <c r="L36" s="11">
        <f t="shared" si="7"/>
        <v>1.2345293209876543E-3</v>
      </c>
      <c r="M36" s="25"/>
      <c r="N36" s="28"/>
      <c r="O36" s="25"/>
      <c r="P36" s="28"/>
      <c r="Q36" s="25"/>
      <c r="R36" s="25"/>
      <c r="S36" s="25"/>
      <c r="T36" s="28"/>
      <c r="U36" s="11"/>
      <c r="V36" s="38"/>
      <c r="W36" s="15" t="s">
        <v>35</v>
      </c>
      <c r="X36" s="52"/>
    </row>
    <row r="37" spans="1:24" ht="21" customHeight="1">
      <c r="A37" s="10" t="s">
        <v>68</v>
      </c>
      <c r="B37" s="11">
        <v>1.3368055555555555E-2</v>
      </c>
      <c r="C37" s="11"/>
      <c r="D37" s="11">
        <f>B37*E37</f>
        <v>7.7775347222222213E-3</v>
      </c>
      <c r="E37" s="12">
        <v>0.58179999999999998</v>
      </c>
      <c r="F37" s="11">
        <f>C37/4</f>
        <v>0</v>
      </c>
      <c r="G37" s="11">
        <f>D37/7.5</f>
        <v>1.0370046296296295E-3</v>
      </c>
      <c r="H37" s="11">
        <f>B37/12.5</f>
        <v>1.0694444444444445E-3</v>
      </c>
      <c r="I37" s="11">
        <f>G37/0.93</f>
        <v>1.1150587415372358E-3</v>
      </c>
      <c r="J37" s="11">
        <f>G37/0.92</f>
        <v>1.1271789452495973E-3</v>
      </c>
      <c r="K37" s="11">
        <f>G37/0.88</f>
        <v>1.1784143518518517E-3</v>
      </c>
      <c r="L37" s="11">
        <f>G37/0.84</f>
        <v>1.2345293209876543E-3</v>
      </c>
      <c r="M37" s="25"/>
      <c r="N37" s="28"/>
      <c r="O37" s="25"/>
      <c r="P37" s="28"/>
      <c r="Q37" s="25"/>
      <c r="R37" s="25"/>
      <c r="S37" s="25"/>
      <c r="T37" s="28"/>
      <c r="U37" s="11"/>
      <c r="V37" s="11"/>
      <c r="W37" s="15" t="s">
        <v>35</v>
      </c>
      <c r="X37" s="52"/>
    </row>
    <row r="38" spans="1:24" ht="21" customHeight="1">
      <c r="A38" s="10" t="s">
        <v>71</v>
      </c>
      <c r="B38" s="11">
        <v>1.3541666666666667E-2</v>
      </c>
      <c r="C38" s="11">
        <v>4.0509259259259257E-3</v>
      </c>
      <c r="D38" s="11">
        <f>B38*E38</f>
        <v>7.8785416666666674E-3</v>
      </c>
      <c r="E38" s="12">
        <v>0.58179999999999998</v>
      </c>
      <c r="F38" s="11">
        <f>C38/4</f>
        <v>1.0127314814814814E-3</v>
      </c>
      <c r="G38" s="11">
        <f>D38/7.5</f>
        <v>1.0504722222222224E-3</v>
      </c>
      <c r="H38" s="11">
        <f>B38/12.5</f>
        <v>1.0833333333333333E-3</v>
      </c>
      <c r="I38" s="11">
        <f>G38/0.93</f>
        <v>1.1295400238948627E-3</v>
      </c>
      <c r="J38" s="11">
        <f>G38/0.92</f>
        <v>1.1418176328502417E-3</v>
      </c>
      <c r="K38" s="11">
        <f>G38/0.88</f>
        <v>1.1937184343434346E-3</v>
      </c>
      <c r="L38" s="11">
        <f>G38/0.84</f>
        <v>1.2505621693121695E-3</v>
      </c>
      <c r="M38" s="25"/>
      <c r="N38" s="28"/>
      <c r="O38" s="25"/>
      <c r="P38" s="28"/>
      <c r="Q38" s="25"/>
      <c r="R38" s="25"/>
      <c r="S38" s="25"/>
      <c r="T38" s="28"/>
      <c r="U38" s="11"/>
      <c r="V38" s="38"/>
      <c r="W38" s="18" t="s">
        <v>35</v>
      </c>
      <c r="X38" s="52"/>
    </row>
    <row r="39" spans="1:24" ht="21" customHeight="1">
      <c r="A39" s="10" t="s">
        <v>72</v>
      </c>
      <c r="B39" s="11">
        <v>1.3541666666666667E-2</v>
      </c>
      <c r="C39" s="11">
        <v>4.0509259259259257E-3</v>
      </c>
      <c r="D39" s="11">
        <f t="shared" si="0"/>
        <v>7.8785416666666674E-3</v>
      </c>
      <c r="E39" s="12">
        <v>0.58179999999999998</v>
      </c>
      <c r="F39" s="11">
        <f t="shared" si="1"/>
        <v>1.0127314814814814E-3</v>
      </c>
      <c r="G39" s="11">
        <f t="shared" si="2"/>
        <v>1.0504722222222224E-3</v>
      </c>
      <c r="H39" s="11">
        <f t="shared" si="3"/>
        <v>1.0833333333333333E-3</v>
      </c>
      <c r="I39" s="11">
        <f t="shared" si="4"/>
        <v>1.1295400238948627E-3</v>
      </c>
      <c r="J39" s="11">
        <f t="shared" si="5"/>
        <v>1.1418176328502417E-3</v>
      </c>
      <c r="K39" s="11">
        <f t="shared" si="6"/>
        <v>1.1937184343434346E-3</v>
      </c>
      <c r="L39" s="11">
        <f t="shared" si="7"/>
        <v>1.2505621693121695E-3</v>
      </c>
      <c r="M39" s="25"/>
      <c r="N39" s="28"/>
      <c r="O39" s="25"/>
      <c r="P39" s="28"/>
      <c r="Q39" s="25"/>
      <c r="R39" s="25"/>
      <c r="S39" s="25"/>
      <c r="T39" s="28"/>
      <c r="U39" s="11"/>
      <c r="V39" s="28"/>
      <c r="W39" s="15" t="s">
        <v>35</v>
      </c>
      <c r="X39" s="52"/>
    </row>
    <row r="40" spans="1:24" ht="21" customHeight="1">
      <c r="A40" s="10" t="s">
        <v>73</v>
      </c>
      <c r="B40" s="11">
        <v>1.40625E-2</v>
      </c>
      <c r="C40" s="11">
        <v>4.3981481481481484E-3</v>
      </c>
      <c r="D40" s="11">
        <f t="shared" si="0"/>
        <v>8.1815624999999996E-3</v>
      </c>
      <c r="E40" s="12">
        <v>0.58179999999999998</v>
      </c>
      <c r="F40" s="11">
        <f t="shared" si="1"/>
        <v>1.0995370370370371E-3</v>
      </c>
      <c r="G40" s="11">
        <f t="shared" si="2"/>
        <v>1.090875E-3</v>
      </c>
      <c r="H40" s="11">
        <f t="shared" si="3"/>
        <v>1.1250000000000001E-3</v>
      </c>
      <c r="I40" s="11">
        <f t="shared" si="4"/>
        <v>1.172983870967742E-3</v>
      </c>
      <c r="J40" s="11">
        <f t="shared" si="5"/>
        <v>1.1857336956521739E-3</v>
      </c>
      <c r="K40" s="11">
        <f t="shared" si="6"/>
        <v>1.2396306818181818E-3</v>
      </c>
      <c r="L40" s="11">
        <f t="shared" si="7"/>
        <v>1.2986607142857144E-3</v>
      </c>
      <c r="M40" s="25"/>
      <c r="N40" s="28"/>
      <c r="O40" s="25"/>
      <c r="P40" s="28"/>
      <c r="Q40" s="25"/>
      <c r="R40" s="25"/>
      <c r="S40" s="25"/>
      <c r="T40" s="28"/>
      <c r="U40" s="11"/>
      <c r="V40" s="28"/>
      <c r="W40" s="15" t="s">
        <v>35</v>
      </c>
      <c r="X40" s="52"/>
    </row>
    <row r="41" spans="1:24" ht="21" customHeight="1">
      <c r="A41" s="10"/>
      <c r="B41" s="11"/>
      <c r="C41" s="11"/>
      <c r="D41" s="11"/>
      <c r="E41" s="12"/>
      <c r="F41" s="11"/>
      <c r="G41" s="11"/>
      <c r="H41" s="11"/>
      <c r="I41" s="11"/>
      <c r="J41" s="11"/>
      <c r="K41" s="11"/>
      <c r="L41" s="11"/>
      <c r="M41" s="14"/>
      <c r="O41" s="14"/>
      <c r="P41" s="11"/>
      <c r="Q41" s="14"/>
      <c r="R41" s="11"/>
      <c r="S41" s="14"/>
      <c r="T41" s="14"/>
      <c r="U41" s="14"/>
      <c r="V41" s="11"/>
      <c r="W41" s="15"/>
      <c r="X41" s="52" t="s">
        <v>215</v>
      </c>
    </row>
    <row r="42" spans="1:24" ht="21" customHeight="1">
      <c r="A42" s="19"/>
      <c r="B42" s="6"/>
      <c r="C42" s="6"/>
      <c r="D42" s="6"/>
      <c r="E42" s="20"/>
      <c r="F42" s="6"/>
      <c r="G42" s="6"/>
      <c r="H42" s="6"/>
      <c r="I42" s="6"/>
      <c r="J42" s="6"/>
      <c r="K42" s="6"/>
      <c r="L42" s="6"/>
      <c r="M42" s="6"/>
      <c r="N42" s="6"/>
      <c r="O42" s="6"/>
      <c r="P42" s="6"/>
      <c r="Q42" s="6"/>
      <c r="R42" s="6"/>
      <c r="S42" s="6"/>
      <c r="T42" s="6"/>
      <c r="U42" s="6"/>
      <c r="V42" s="6"/>
      <c r="W42" s="35"/>
      <c r="X42" s="52"/>
    </row>
    <row r="43" spans="1:24" ht="21" customHeight="1">
      <c r="A43" s="10" t="s">
        <v>61</v>
      </c>
      <c r="B43" s="11">
        <v>1.4583333333333334E-2</v>
      </c>
      <c r="C43" s="11">
        <v>4.3981481481481484E-3</v>
      </c>
      <c r="D43" s="11">
        <f>B43*E43</f>
        <v>8.4845833333333336E-3</v>
      </c>
      <c r="E43" s="12">
        <v>0.58179999999999998</v>
      </c>
      <c r="F43" s="11">
        <f>C43/4</f>
        <v>1.0995370370370371E-3</v>
      </c>
      <c r="G43" s="11">
        <f>D43/7.5</f>
        <v>1.1312777777777777E-3</v>
      </c>
      <c r="H43" s="11">
        <f>B43/12.5</f>
        <v>1.1666666666666668E-3</v>
      </c>
      <c r="I43" s="11">
        <f>G43/0.93</f>
        <v>1.2164277180406211E-3</v>
      </c>
      <c r="J43" s="11">
        <f>G43/0.92</f>
        <v>1.2296497584541061E-3</v>
      </c>
      <c r="K43" s="11">
        <f>G43/0.88</f>
        <v>1.2855429292929293E-3</v>
      </c>
      <c r="L43" s="11">
        <f>G43/0.84</f>
        <v>1.3467592592592591E-3</v>
      </c>
      <c r="M43" s="25"/>
      <c r="N43" s="28"/>
      <c r="O43" s="25"/>
      <c r="P43" s="25"/>
      <c r="Q43" s="25"/>
      <c r="R43" s="25"/>
      <c r="S43" s="28"/>
      <c r="T43" s="28"/>
      <c r="U43" s="28"/>
      <c r="V43" s="28"/>
      <c r="W43" s="15" t="s">
        <v>52</v>
      </c>
      <c r="X43" s="52"/>
    </row>
    <row r="44" spans="1:24" ht="21" customHeight="1">
      <c r="A44" s="10" t="s">
        <v>57</v>
      </c>
      <c r="B44" s="11"/>
      <c r="C44" s="11"/>
      <c r="D44" s="11"/>
      <c r="E44" s="12"/>
      <c r="F44" s="11"/>
      <c r="G44" s="11"/>
      <c r="H44" s="11"/>
      <c r="I44" s="11"/>
      <c r="J44" s="11"/>
      <c r="K44" s="11"/>
      <c r="L44" s="11"/>
      <c r="M44" s="25"/>
      <c r="N44" s="28"/>
      <c r="O44" s="25"/>
      <c r="P44" s="28"/>
      <c r="Q44" s="25"/>
      <c r="R44" s="28"/>
      <c r="S44" s="28"/>
      <c r="T44" s="11"/>
      <c r="U44" s="11"/>
      <c r="V44" s="11"/>
      <c r="W44" s="15" t="s">
        <v>52</v>
      </c>
      <c r="X44" s="52"/>
    </row>
    <row r="45" spans="1:24" ht="21" customHeight="1">
      <c r="A45" s="10" t="s">
        <v>76</v>
      </c>
      <c r="B45" s="11">
        <v>1.40625E-2</v>
      </c>
      <c r="C45" s="11"/>
      <c r="D45" s="11">
        <f>B45*E45</f>
        <v>8.1815624999999996E-3</v>
      </c>
      <c r="E45" s="12">
        <v>0.58179999999999998</v>
      </c>
      <c r="F45" s="11">
        <f>C45/4</f>
        <v>0</v>
      </c>
      <c r="G45" s="11">
        <f>D45/7.5</f>
        <v>1.090875E-3</v>
      </c>
      <c r="H45" s="11">
        <f>B45/12.5</f>
        <v>1.1250000000000001E-3</v>
      </c>
      <c r="I45" s="11">
        <f>G45/0.93</f>
        <v>1.172983870967742E-3</v>
      </c>
      <c r="J45" s="11">
        <f>G45/0.92</f>
        <v>1.1857336956521739E-3</v>
      </c>
      <c r="K45" s="11">
        <f>G45/0.88</f>
        <v>1.2396306818181818E-3</v>
      </c>
      <c r="L45" s="11">
        <f>G45/0.84</f>
        <v>1.2986607142857144E-3</v>
      </c>
      <c r="M45" s="25"/>
      <c r="N45" s="28"/>
      <c r="O45" s="25"/>
      <c r="P45" s="28"/>
      <c r="Q45" s="25"/>
      <c r="R45" s="25"/>
      <c r="S45" s="25"/>
      <c r="T45" s="28"/>
      <c r="U45" s="11"/>
      <c r="V45" s="28"/>
      <c r="W45" s="15" t="s">
        <v>52</v>
      </c>
      <c r="X45" s="52"/>
    </row>
    <row r="46" spans="1:24" ht="21" customHeight="1">
      <c r="A46" s="10" t="s">
        <v>53</v>
      </c>
      <c r="B46" s="11">
        <v>1.2731481481481481E-2</v>
      </c>
      <c r="C46" s="11">
        <v>3.7615740740740739E-3</v>
      </c>
      <c r="D46" s="11">
        <f>B46*E46</f>
        <v>7.4071759259259256E-3</v>
      </c>
      <c r="E46" s="12">
        <v>0.58179999999999998</v>
      </c>
      <c r="F46" s="11">
        <f>C46/4</f>
        <v>9.4039351851851847E-4</v>
      </c>
      <c r="G46" s="11">
        <f>D46/7.5</f>
        <v>9.8762345679012349E-4</v>
      </c>
      <c r="H46" s="11">
        <f>B46/12.5</f>
        <v>1.0185185185185184E-3</v>
      </c>
      <c r="I46" s="11">
        <f>G46/0.93</f>
        <v>1.0619607062259391E-3</v>
      </c>
      <c r="J46" s="11">
        <f>G46/0.92</f>
        <v>1.073503757380569E-3</v>
      </c>
      <c r="K46" s="11">
        <f>G46/0.88</f>
        <v>1.1222993827160494E-3</v>
      </c>
      <c r="L46" s="11">
        <f>G46/0.84</f>
        <v>1.1757422104644328E-3</v>
      </c>
      <c r="M46" s="25"/>
      <c r="N46" s="28"/>
      <c r="O46" s="25"/>
      <c r="P46" s="28"/>
      <c r="Q46" s="25"/>
      <c r="R46" s="25"/>
      <c r="S46" s="25"/>
      <c r="T46" s="25"/>
      <c r="U46" s="25"/>
      <c r="V46" s="25"/>
      <c r="W46" s="18" t="s">
        <v>52</v>
      </c>
      <c r="X46" s="52"/>
    </row>
    <row r="47" spans="1:24" ht="21" customHeight="1">
      <c r="A47" s="10" t="s">
        <v>51</v>
      </c>
      <c r="B47" s="11">
        <v>1.2615740740740742E-2</v>
      </c>
      <c r="C47" s="11">
        <v>3.5879629629629629E-3</v>
      </c>
      <c r="D47" s="11">
        <f>B47*E47</f>
        <v>7.3398379629629629E-3</v>
      </c>
      <c r="E47" s="12">
        <v>0.58179999999999998</v>
      </c>
      <c r="F47" s="11">
        <f>C47/4</f>
        <v>8.9699074074074073E-4</v>
      </c>
      <c r="G47" s="11">
        <f>D47/7.5</f>
        <v>9.7864506172839496E-4</v>
      </c>
      <c r="H47" s="11">
        <f>B47/12.5</f>
        <v>1.0092592592592592E-3</v>
      </c>
      <c r="I47" s="11">
        <f>G47/0.93</f>
        <v>1.0523065179875214E-3</v>
      </c>
      <c r="J47" s="11">
        <f>G47/0.92</f>
        <v>1.0637446323134728E-3</v>
      </c>
      <c r="K47" s="11">
        <f>G47/0.88</f>
        <v>1.1120966610549943E-3</v>
      </c>
      <c r="L47" s="11">
        <f>G47/0.84</f>
        <v>1.165053644914756E-3</v>
      </c>
      <c r="M47" s="25"/>
      <c r="N47" s="28"/>
      <c r="O47" s="25"/>
      <c r="P47" s="28"/>
      <c r="Q47" s="25"/>
      <c r="R47" s="25"/>
      <c r="S47" s="25"/>
      <c r="T47" s="28"/>
      <c r="U47" s="11"/>
      <c r="V47" s="36"/>
      <c r="W47" s="15" t="s">
        <v>52</v>
      </c>
      <c r="X47" s="52"/>
    </row>
    <row r="48" spans="1:24" ht="21" customHeight="1">
      <c r="A48" s="10"/>
      <c r="B48" s="11"/>
      <c r="C48" s="11"/>
      <c r="D48" s="11"/>
      <c r="E48" s="12"/>
      <c r="F48" s="11"/>
      <c r="G48" s="11"/>
      <c r="H48" s="11"/>
      <c r="I48" s="11"/>
      <c r="J48" s="11"/>
      <c r="K48" s="11"/>
      <c r="L48" s="11"/>
      <c r="M48" s="45"/>
      <c r="N48" s="11"/>
      <c r="O48" s="11"/>
      <c r="P48" s="11"/>
      <c r="Q48" s="14"/>
      <c r="R48" s="11"/>
      <c r="S48" s="14"/>
      <c r="T48" s="11"/>
      <c r="U48" s="14"/>
      <c r="V48" s="17"/>
      <c r="W48" s="18"/>
      <c r="X48" s="52"/>
    </row>
    <row r="49" spans="1:24" ht="21" customHeight="1">
      <c r="A49" s="10"/>
      <c r="B49" s="11"/>
      <c r="C49" s="11"/>
      <c r="D49" s="11"/>
      <c r="E49" s="12"/>
      <c r="F49" s="11"/>
      <c r="G49" s="11"/>
      <c r="H49" s="11"/>
      <c r="I49" s="11"/>
      <c r="J49" s="11"/>
      <c r="K49" s="11"/>
      <c r="L49" s="11"/>
      <c r="M49" s="13"/>
      <c r="N49" s="11"/>
      <c r="O49" s="11"/>
      <c r="P49" s="11"/>
      <c r="Q49" s="14"/>
      <c r="R49" s="11"/>
      <c r="S49" s="14"/>
      <c r="T49" s="14"/>
      <c r="U49" s="14"/>
      <c r="V49" s="17"/>
      <c r="W49" s="18"/>
      <c r="X49" s="52"/>
    </row>
    <row r="50" spans="1:24" ht="21" customHeight="1">
      <c r="A50" s="10"/>
      <c r="B50" s="11"/>
      <c r="C50" s="11"/>
      <c r="D50" s="11"/>
      <c r="E50" s="12"/>
      <c r="F50" s="11"/>
      <c r="G50" s="11"/>
      <c r="H50" s="11"/>
      <c r="I50" s="11"/>
      <c r="J50" s="11"/>
      <c r="K50" s="11"/>
      <c r="L50" s="11"/>
      <c r="M50" s="45"/>
      <c r="N50" s="11"/>
      <c r="O50" s="11"/>
      <c r="P50" s="11"/>
      <c r="Q50" s="14"/>
      <c r="R50" s="11"/>
      <c r="S50" s="14"/>
      <c r="T50" s="11"/>
      <c r="U50" s="14"/>
      <c r="V50" s="17"/>
      <c r="W50" s="18"/>
      <c r="X50" s="52"/>
    </row>
    <row r="51" spans="1:24" ht="21" customHeight="1">
      <c r="A51" s="10"/>
      <c r="B51" s="11"/>
      <c r="C51" s="11"/>
      <c r="D51" s="11"/>
      <c r="E51" s="12"/>
      <c r="F51" s="11"/>
      <c r="G51" s="11"/>
      <c r="H51" s="11"/>
      <c r="I51" s="11"/>
      <c r="J51" s="11"/>
      <c r="K51" s="11"/>
      <c r="L51" s="11"/>
      <c r="M51" s="13"/>
      <c r="N51" s="11"/>
      <c r="O51" s="11"/>
      <c r="P51" s="11"/>
      <c r="Q51" s="14"/>
      <c r="R51" s="11"/>
      <c r="S51" s="14"/>
      <c r="T51" s="14"/>
      <c r="U51" s="14"/>
      <c r="V51" s="17"/>
      <c r="W51" s="18"/>
      <c r="X51" s="52"/>
    </row>
    <row r="52" spans="1:24" ht="21" customHeight="1">
      <c r="A52" s="10"/>
      <c r="B52" s="11"/>
      <c r="C52" s="11"/>
      <c r="D52" s="11"/>
      <c r="E52" s="12"/>
      <c r="F52" s="11"/>
      <c r="G52" s="11"/>
      <c r="H52" s="11"/>
      <c r="I52" s="11"/>
      <c r="J52" s="11"/>
      <c r="K52" s="11"/>
      <c r="L52" s="11"/>
      <c r="M52" s="14"/>
      <c r="N52" s="11"/>
      <c r="O52" s="14"/>
      <c r="P52" s="11"/>
      <c r="Q52" s="14"/>
      <c r="R52" s="11"/>
      <c r="S52" s="14"/>
      <c r="T52" s="14"/>
      <c r="U52" s="14"/>
      <c r="V52" s="11"/>
      <c r="W52" s="15"/>
      <c r="X52" s="52"/>
    </row>
    <row r="53" spans="1:24" ht="21" customHeight="1">
      <c r="A53" s="10"/>
      <c r="B53" s="11"/>
      <c r="C53" s="11"/>
      <c r="D53" s="11"/>
      <c r="E53" s="12"/>
      <c r="F53" s="11"/>
      <c r="G53" s="11"/>
      <c r="H53" s="11"/>
      <c r="I53" s="11"/>
      <c r="J53" s="11"/>
      <c r="K53" s="11"/>
      <c r="L53" s="17"/>
      <c r="M53" s="14"/>
      <c r="N53" s="11"/>
      <c r="O53" s="11"/>
      <c r="P53" s="11"/>
      <c r="Q53" s="14"/>
      <c r="R53" s="11"/>
      <c r="S53" s="14"/>
      <c r="T53" s="11"/>
      <c r="U53" s="11"/>
      <c r="V53" s="11"/>
      <c r="W53" s="15"/>
      <c r="X53" s="52"/>
    </row>
    <row r="54" spans="1:24" ht="21" customHeight="1">
      <c r="A54" s="10"/>
      <c r="B54" s="11"/>
      <c r="C54" s="11"/>
      <c r="D54" s="11"/>
      <c r="E54" s="12"/>
      <c r="F54" s="11"/>
      <c r="G54" s="11"/>
      <c r="H54" s="11"/>
      <c r="I54" s="11"/>
      <c r="J54" s="11"/>
      <c r="K54" s="11"/>
      <c r="L54" s="11"/>
      <c r="M54" s="13"/>
      <c r="N54" s="11"/>
      <c r="O54" s="11"/>
      <c r="P54" s="11"/>
      <c r="Q54" s="14"/>
      <c r="R54" s="11"/>
      <c r="S54" s="14"/>
      <c r="T54" s="14"/>
      <c r="U54" s="14"/>
      <c r="V54" s="17"/>
      <c r="W54" s="18"/>
      <c r="X54" s="52"/>
    </row>
    <row r="55" spans="1:24" ht="21" customHeight="1">
      <c r="A55" s="10"/>
      <c r="B55" s="11"/>
      <c r="C55" s="11"/>
      <c r="D55" s="11"/>
      <c r="E55" s="12"/>
      <c r="F55" s="11"/>
      <c r="G55" s="11"/>
      <c r="H55" s="11"/>
      <c r="I55" s="11"/>
      <c r="J55" s="11"/>
      <c r="K55" s="11"/>
      <c r="L55" s="11"/>
      <c r="M55" s="13"/>
      <c r="N55" s="11"/>
      <c r="O55" s="14"/>
      <c r="P55" s="11"/>
      <c r="Q55" s="14"/>
      <c r="R55" s="11"/>
      <c r="S55" s="14"/>
      <c r="T55" s="14"/>
      <c r="U55" s="14"/>
      <c r="V55" s="11"/>
      <c r="W55" s="18"/>
      <c r="X55" s="52"/>
    </row>
    <row r="56" spans="1:24" ht="21" customHeight="1">
      <c r="A56" s="10"/>
      <c r="B56" s="11"/>
      <c r="C56" s="11"/>
      <c r="D56" s="11"/>
      <c r="E56" s="12"/>
      <c r="F56" s="11"/>
      <c r="G56" s="11"/>
      <c r="H56" s="11"/>
      <c r="I56" s="11"/>
      <c r="J56" s="11"/>
      <c r="K56" s="11"/>
      <c r="L56" s="11"/>
      <c r="M56" s="13"/>
      <c r="N56" s="11"/>
      <c r="O56" s="11"/>
      <c r="P56" s="11"/>
      <c r="Q56" s="14"/>
      <c r="R56" s="11"/>
      <c r="S56" s="14"/>
      <c r="T56" s="14"/>
      <c r="U56" s="14"/>
      <c r="V56" s="17"/>
      <c r="W56" s="18"/>
      <c r="X56" s="52"/>
    </row>
    <row r="57" spans="1:24" ht="21" customHeight="1" thickBot="1">
      <c r="A57" s="10"/>
      <c r="B57" s="11"/>
      <c r="C57" s="11"/>
      <c r="D57" s="11"/>
      <c r="E57" s="12"/>
      <c r="F57" s="11"/>
      <c r="G57" s="11"/>
      <c r="H57" s="11"/>
      <c r="I57" s="11"/>
      <c r="J57" s="11"/>
      <c r="K57" s="11"/>
      <c r="L57" s="11"/>
      <c r="M57" s="13"/>
      <c r="N57" s="11"/>
      <c r="O57" s="11"/>
      <c r="P57" s="11"/>
      <c r="Q57" s="14"/>
      <c r="R57" s="11"/>
      <c r="S57" s="14"/>
      <c r="T57" s="14"/>
      <c r="U57" s="14"/>
      <c r="V57" s="17"/>
      <c r="W57" s="18"/>
      <c r="X57" s="52"/>
    </row>
    <row r="58" spans="1:24" ht="20.45" customHeight="1">
      <c r="A58" s="1" t="s">
        <v>205</v>
      </c>
      <c r="B58" s="2" t="s">
        <v>1</v>
      </c>
      <c r="C58" s="2" t="s">
        <v>2</v>
      </c>
      <c r="D58" s="2" t="s">
        <v>3</v>
      </c>
      <c r="E58" s="3" t="s">
        <v>4</v>
      </c>
      <c r="F58" s="2" t="s">
        <v>5</v>
      </c>
      <c r="G58" s="2" t="s">
        <v>6</v>
      </c>
      <c r="H58" s="2" t="s">
        <v>7</v>
      </c>
      <c r="I58" s="4" t="s">
        <v>8</v>
      </c>
      <c r="J58" s="2" t="s">
        <v>9</v>
      </c>
      <c r="K58" s="2" t="s">
        <v>10</v>
      </c>
      <c r="L58" s="2" t="s">
        <v>11</v>
      </c>
      <c r="M58" s="6" t="s">
        <v>206</v>
      </c>
      <c r="N58" s="6" t="s">
        <v>207</v>
      </c>
      <c r="O58" s="7" t="s">
        <v>208</v>
      </c>
      <c r="P58" s="8" t="s">
        <v>209</v>
      </c>
      <c r="Q58" s="8" t="s">
        <v>147</v>
      </c>
      <c r="R58" s="7" t="s">
        <v>148</v>
      </c>
      <c r="S58" s="7" t="s">
        <v>149</v>
      </c>
      <c r="T58" s="7" t="s">
        <v>77</v>
      </c>
      <c r="U58" s="7" t="s">
        <v>20</v>
      </c>
      <c r="V58" s="8" t="s">
        <v>21</v>
      </c>
      <c r="W58" s="24" t="s">
        <v>22</v>
      </c>
      <c r="X58" s="52" t="s">
        <v>216</v>
      </c>
    </row>
    <row r="59" spans="1:24" ht="20.45" customHeight="1">
      <c r="A59" s="10" t="s">
        <v>79</v>
      </c>
      <c r="B59" s="11">
        <v>9.8379629629629633E-3</v>
      </c>
      <c r="C59" s="11">
        <v>2.9745370370370373E-3</v>
      </c>
      <c r="D59" s="11">
        <f>B59*E59</f>
        <v>5.7237268518518522E-3</v>
      </c>
      <c r="E59" s="12">
        <v>0.58179999999999998</v>
      </c>
      <c r="F59" s="11">
        <f>C59/4</f>
        <v>7.4363425925925931E-4</v>
      </c>
      <c r="G59" s="11">
        <f>D59/7.5</f>
        <v>7.6316358024691364E-4</v>
      </c>
      <c r="H59" s="11">
        <f>B59/12.5</f>
        <v>7.8703703703703705E-4</v>
      </c>
      <c r="I59" s="11">
        <f>G59/0.93</f>
        <v>8.2060600026549854E-4</v>
      </c>
      <c r="J59" s="11">
        <f>G59/0.92</f>
        <v>8.29525630703167E-4</v>
      </c>
      <c r="K59" s="11">
        <f>G59/0.88</f>
        <v>8.6723134118967459E-4</v>
      </c>
      <c r="L59" s="11">
        <f>G59/0.84</f>
        <v>9.085280717225163E-4</v>
      </c>
      <c r="M59" s="25"/>
      <c r="N59" s="28"/>
      <c r="O59" s="25"/>
      <c r="P59" s="25"/>
      <c r="Q59" s="25"/>
      <c r="R59" s="28"/>
      <c r="S59" s="25"/>
      <c r="T59" s="25"/>
      <c r="U59" s="28"/>
      <c r="V59" s="25"/>
      <c r="W59" s="15" t="s">
        <v>26</v>
      </c>
      <c r="X59" s="52"/>
    </row>
    <row r="60" spans="1:24" ht="20.45" customHeight="1">
      <c r="A60" s="10" t="s">
        <v>81</v>
      </c>
      <c r="B60" s="11">
        <v>9.9537037037037042E-3</v>
      </c>
      <c r="C60" s="11">
        <v>2.9745370370370373E-3</v>
      </c>
      <c r="D60" s="11">
        <f>B60*E60</f>
        <v>5.7910648148148149E-3</v>
      </c>
      <c r="E60" s="12">
        <v>0.58179999999999998</v>
      </c>
      <c r="F60" s="11">
        <f>C60/4</f>
        <v>7.4363425925925931E-4</v>
      </c>
      <c r="G60" s="11">
        <f>D60/7.5</f>
        <v>7.7214197530864196E-4</v>
      </c>
      <c r="H60" s="11">
        <f>B60/12.5</f>
        <v>7.9629629629629636E-4</v>
      </c>
      <c r="I60" s="11">
        <f>G60/0.93</f>
        <v>8.3026018850391602E-4</v>
      </c>
      <c r="J60" s="11">
        <f>G60/0.92</f>
        <v>8.3928475577026292E-4</v>
      </c>
      <c r="K60" s="11">
        <f>G60/0.88</f>
        <v>8.7743406285072947E-4</v>
      </c>
      <c r="L60" s="11">
        <f>G60/0.84</f>
        <v>9.1921663727219285E-4</v>
      </c>
      <c r="M60" s="25"/>
      <c r="N60" s="28"/>
      <c r="O60" s="25"/>
      <c r="P60" s="25"/>
      <c r="Q60" s="25"/>
      <c r="R60" s="28"/>
      <c r="S60" s="25"/>
      <c r="T60" s="25"/>
      <c r="U60" s="28"/>
      <c r="V60" s="25"/>
      <c r="W60" s="15" t="s">
        <v>26</v>
      </c>
      <c r="X60" s="52"/>
    </row>
    <row r="61" spans="1:24" ht="20.45" customHeight="1">
      <c r="A61" s="10" t="s">
        <v>109</v>
      </c>
      <c r="B61" s="11">
        <v>9.8379629629629633E-3</v>
      </c>
      <c r="C61" s="11">
        <v>2.9745370370370373E-3</v>
      </c>
      <c r="D61" s="11">
        <f>B61*E61</f>
        <v>5.7237268518518522E-3</v>
      </c>
      <c r="E61" s="12">
        <v>0.58179999999999998</v>
      </c>
      <c r="F61" s="11">
        <f>C61/4</f>
        <v>7.4363425925925931E-4</v>
      </c>
      <c r="G61" s="11">
        <f>D61/7.5</f>
        <v>7.6316358024691364E-4</v>
      </c>
      <c r="H61" s="11">
        <f>B61/12.5</f>
        <v>7.8703703703703705E-4</v>
      </c>
      <c r="I61" s="11">
        <f>G61/0.93</f>
        <v>8.2060600026549854E-4</v>
      </c>
      <c r="J61" s="11">
        <f>G61/0.92</f>
        <v>8.29525630703167E-4</v>
      </c>
      <c r="K61" s="11">
        <f>G61/0.88</f>
        <v>8.6723134118967459E-4</v>
      </c>
      <c r="L61" s="11">
        <f>G61/0.84</f>
        <v>9.085280717225163E-4</v>
      </c>
      <c r="M61" s="25"/>
      <c r="N61" s="28"/>
      <c r="O61" s="25"/>
      <c r="P61" s="25"/>
      <c r="Q61" s="25"/>
      <c r="R61" s="28"/>
      <c r="S61" s="25"/>
      <c r="T61" s="25"/>
      <c r="U61" s="28"/>
      <c r="V61" s="25"/>
      <c r="W61" s="15" t="s">
        <v>26</v>
      </c>
      <c r="X61" s="52"/>
    </row>
    <row r="62" spans="1:24" ht="20.45" customHeight="1">
      <c r="A62" s="10" t="s">
        <v>82</v>
      </c>
      <c r="B62" s="11">
        <v>9.9537037037037042E-3</v>
      </c>
      <c r="C62" s="11">
        <v>2.8935185185185188E-3</v>
      </c>
      <c r="D62" s="11">
        <f>B62*E62</f>
        <v>5.7910648148148149E-3</v>
      </c>
      <c r="E62" s="12">
        <v>0.58179999999999998</v>
      </c>
      <c r="F62" s="11">
        <f>C62/4</f>
        <v>7.233796296296297E-4</v>
      </c>
      <c r="G62" s="11">
        <f>D62/7.5</f>
        <v>7.7214197530864196E-4</v>
      </c>
      <c r="H62" s="11">
        <f>B62/12.5</f>
        <v>7.9629629629629636E-4</v>
      </c>
      <c r="I62" s="11">
        <f>G62/0.93</f>
        <v>8.3026018850391602E-4</v>
      </c>
      <c r="J62" s="11">
        <f>G62/0.92</f>
        <v>8.3928475577026292E-4</v>
      </c>
      <c r="K62" s="11">
        <f>G62/0.88</f>
        <v>8.7743406285072947E-4</v>
      </c>
      <c r="L62" s="11">
        <f>G62/0.84</f>
        <v>9.1921663727219285E-4</v>
      </c>
      <c r="M62" s="25"/>
      <c r="N62" s="28"/>
      <c r="O62" s="25"/>
      <c r="P62" s="25"/>
      <c r="Q62" s="25"/>
      <c r="R62" s="28"/>
      <c r="S62" s="25"/>
      <c r="T62" s="25"/>
      <c r="U62" s="28"/>
      <c r="V62" s="25"/>
      <c r="W62" s="15" t="s">
        <v>26</v>
      </c>
      <c r="X62" s="52"/>
    </row>
    <row r="63" spans="1:24" ht="20.45" customHeight="1">
      <c r="A63" s="10" t="s">
        <v>84</v>
      </c>
      <c r="B63" s="11">
        <v>1.0069444444444445E-2</v>
      </c>
      <c r="C63" s="11">
        <v>3.0092592592592593E-3</v>
      </c>
      <c r="D63" s="11">
        <f t="shared" ref="D63:D109" si="24">B63*E63</f>
        <v>5.8584027777777783E-3</v>
      </c>
      <c r="E63" s="12">
        <v>0.58179999999999998</v>
      </c>
      <c r="F63" s="11">
        <f t="shared" ref="F63:F109" si="25">C63/4</f>
        <v>7.5231481481481482E-4</v>
      </c>
      <c r="G63" s="11">
        <f t="shared" ref="G63:G109" si="26">D63/7.5</f>
        <v>7.811203703703705E-4</v>
      </c>
      <c r="H63" s="11">
        <f t="shared" ref="H63:H109" si="27">B63/12.5</f>
        <v>8.0555555555555556E-4</v>
      </c>
      <c r="I63" s="11">
        <f t="shared" ref="I63:I109" si="28">G63/0.93</f>
        <v>8.3991437674233382E-4</v>
      </c>
      <c r="J63" s="11">
        <f t="shared" ref="J63:J109" si="29">G63/0.92</f>
        <v>8.4904388083735917E-4</v>
      </c>
      <c r="K63" s="11">
        <f t="shared" ref="K63:K109" si="30">G63/0.88</f>
        <v>8.8763678451178466E-4</v>
      </c>
      <c r="L63" s="11">
        <f t="shared" ref="L63:L109" si="31">G63/0.84</f>
        <v>9.2990520282186973E-4</v>
      </c>
      <c r="M63" s="25"/>
      <c r="N63" s="28"/>
      <c r="O63" s="25"/>
      <c r="P63" s="25"/>
      <c r="Q63" s="25"/>
      <c r="R63" s="28"/>
      <c r="S63" s="25"/>
      <c r="T63" s="25"/>
      <c r="U63" s="28"/>
      <c r="V63" s="25"/>
      <c r="W63" s="15" t="s">
        <v>26</v>
      </c>
      <c r="X63" s="52"/>
    </row>
    <row r="64" spans="1:24" ht="20.45" customHeight="1">
      <c r="A64" s="10" t="s">
        <v>83</v>
      </c>
      <c r="B64" s="11">
        <v>1.0069444444444445E-2</v>
      </c>
      <c r="C64" s="11">
        <v>3.0671296296296297E-3</v>
      </c>
      <c r="D64" s="11">
        <f>B64*E64</f>
        <v>5.8584027777777783E-3</v>
      </c>
      <c r="E64" s="12">
        <v>0.58179999999999998</v>
      </c>
      <c r="F64" s="11">
        <f>C64/4</f>
        <v>7.6678240740740743E-4</v>
      </c>
      <c r="G64" s="11">
        <f>D64/7.5</f>
        <v>7.811203703703705E-4</v>
      </c>
      <c r="H64" s="11">
        <f>B64/12.5</f>
        <v>8.0555555555555556E-4</v>
      </c>
      <c r="I64" s="11">
        <f>G64/0.93</f>
        <v>8.3991437674233382E-4</v>
      </c>
      <c r="J64" s="11">
        <f>G64/0.92</f>
        <v>8.4904388083735917E-4</v>
      </c>
      <c r="K64" s="11">
        <f>G64/0.88</f>
        <v>8.8763678451178466E-4</v>
      </c>
      <c r="L64" s="11">
        <f>G64/0.84</f>
        <v>9.2990520282186973E-4</v>
      </c>
      <c r="M64" s="25"/>
      <c r="N64" s="28"/>
      <c r="O64" s="25"/>
      <c r="P64" s="25"/>
      <c r="Q64" s="25"/>
      <c r="R64" s="28"/>
      <c r="S64" s="25"/>
      <c r="T64" s="25"/>
      <c r="U64" s="28"/>
      <c r="V64" s="28"/>
      <c r="W64" s="15" t="s">
        <v>26</v>
      </c>
      <c r="X64" s="52"/>
    </row>
    <row r="65" spans="1:24" ht="20.45" customHeight="1">
      <c r="A65" s="10" t="s">
        <v>112</v>
      </c>
      <c r="B65" s="11">
        <v>1.0243055555555556E-2</v>
      </c>
      <c r="C65" s="11">
        <v>2.8587962962962963E-3</v>
      </c>
      <c r="D65" s="11">
        <f t="shared" si="24"/>
        <v>5.9594097222222218E-3</v>
      </c>
      <c r="E65" s="12">
        <v>0.58179999999999998</v>
      </c>
      <c r="F65" s="11">
        <f t="shared" si="25"/>
        <v>7.1469907407407409E-4</v>
      </c>
      <c r="G65" s="11">
        <f t="shared" si="26"/>
        <v>7.9458796296296287E-4</v>
      </c>
      <c r="H65" s="11">
        <f t="shared" si="27"/>
        <v>8.1944444444444447E-4</v>
      </c>
      <c r="I65" s="11">
        <f t="shared" si="28"/>
        <v>8.5439565909996003E-4</v>
      </c>
      <c r="J65" s="11">
        <f t="shared" si="29"/>
        <v>8.636825684380031E-4</v>
      </c>
      <c r="K65" s="11">
        <f t="shared" si="30"/>
        <v>9.0294086700336686E-4</v>
      </c>
      <c r="L65" s="11">
        <f t="shared" si="31"/>
        <v>9.4593805114638445E-4</v>
      </c>
      <c r="M65" s="25"/>
      <c r="N65" s="28"/>
      <c r="O65" s="25"/>
      <c r="P65" s="25"/>
      <c r="Q65" s="25"/>
      <c r="R65" s="28"/>
      <c r="S65" s="25"/>
      <c r="T65" s="25"/>
      <c r="U65" s="28"/>
      <c r="V65" s="25"/>
      <c r="W65" s="15" t="s">
        <v>26</v>
      </c>
      <c r="X65" s="52"/>
    </row>
    <row r="66" spans="1:24" ht="20.45" customHeight="1">
      <c r="A66" s="10" t="s">
        <v>92</v>
      </c>
      <c r="B66" s="11">
        <v>1.0300925925925925E-2</v>
      </c>
      <c r="C66" s="11">
        <v>2.9745370370370373E-3</v>
      </c>
      <c r="D66" s="11">
        <f>B66*E66</f>
        <v>5.9930787037037027E-3</v>
      </c>
      <c r="E66" s="12">
        <v>0.58179999999999998</v>
      </c>
      <c r="F66" s="11">
        <f>C66/4</f>
        <v>7.4363425925925931E-4</v>
      </c>
      <c r="G66" s="11">
        <f>D66/7.5</f>
        <v>7.9907716049382703E-4</v>
      </c>
      <c r="H66" s="11">
        <f>B66/12.5</f>
        <v>8.2407407407407397E-4</v>
      </c>
      <c r="I66" s="11">
        <f>G66/0.93</f>
        <v>8.5922275321916877E-4</v>
      </c>
      <c r="J66" s="11">
        <f>G66/0.92</f>
        <v>8.6856213097155112E-4</v>
      </c>
      <c r="K66" s="11">
        <f>G66/0.88</f>
        <v>9.080422278338944E-4</v>
      </c>
      <c r="L66" s="11">
        <f>G66/0.84</f>
        <v>9.5128233392122272E-4</v>
      </c>
      <c r="M66" s="25"/>
      <c r="N66" s="28"/>
      <c r="O66" s="25"/>
      <c r="P66" s="25"/>
      <c r="Q66" s="25"/>
      <c r="R66" s="28"/>
      <c r="S66" s="25"/>
      <c r="T66" s="25"/>
      <c r="U66" s="28"/>
      <c r="V66" s="25"/>
      <c r="W66" s="15" t="s">
        <v>26</v>
      </c>
      <c r="X66" s="52"/>
    </row>
    <row r="67" spans="1:24" ht="20.45" customHeight="1">
      <c r="A67" s="10" t="s">
        <v>87</v>
      </c>
      <c r="B67" s="11">
        <v>1.0532407407407407E-2</v>
      </c>
      <c r="C67" s="11">
        <v>2.9745370370370373E-3</v>
      </c>
      <c r="D67" s="11">
        <f t="shared" si="24"/>
        <v>6.1277546296296288E-3</v>
      </c>
      <c r="E67" s="12">
        <v>0.58179999999999998</v>
      </c>
      <c r="F67" s="11">
        <f t="shared" si="25"/>
        <v>7.4363425925925931E-4</v>
      </c>
      <c r="G67" s="11">
        <f t="shared" si="26"/>
        <v>8.1703395061728389E-4</v>
      </c>
      <c r="H67" s="11">
        <f t="shared" si="27"/>
        <v>8.4259259259259259E-4</v>
      </c>
      <c r="I67" s="11">
        <f t="shared" si="28"/>
        <v>8.7853112969600415E-4</v>
      </c>
      <c r="J67" s="11">
        <f t="shared" si="29"/>
        <v>8.8808038110574329E-4</v>
      </c>
      <c r="K67" s="11">
        <f t="shared" si="30"/>
        <v>9.2844767115600447E-4</v>
      </c>
      <c r="L67" s="11">
        <f t="shared" si="31"/>
        <v>9.7265946502057604E-4</v>
      </c>
      <c r="M67" s="25"/>
      <c r="N67" s="28"/>
      <c r="O67" s="25"/>
      <c r="P67" s="25"/>
      <c r="Q67" s="25"/>
      <c r="R67" s="28"/>
      <c r="S67" s="25"/>
      <c r="T67" s="25"/>
      <c r="U67" s="28"/>
      <c r="V67" s="25"/>
      <c r="W67" s="15" t="s">
        <v>26</v>
      </c>
      <c r="X67" s="52"/>
    </row>
    <row r="68" spans="1:24" ht="20.45" customHeight="1">
      <c r="A68" s="10" t="s">
        <v>88</v>
      </c>
      <c r="B68" s="11">
        <v>1.0532407407407407E-2</v>
      </c>
      <c r="C68" s="11">
        <v>3.0671296296296297E-3</v>
      </c>
      <c r="D68" s="11">
        <f>B68*E68</f>
        <v>6.1277546296296288E-3</v>
      </c>
      <c r="E68" s="12">
        <v>0.58179999999999998</v>
      </c>
      <c r="F68" s="11">
        <f>C68/4</f>
        <v>7.6678240740740743E-4</v>
      </c>
      <c r="G68" s="11">
        <f>D68/7.5</f>
        <v>8.1703395061728389E-4</v>
      </c>
      <c r="H68" s="11">
        <f>B68/12.5</f>
        <v>8.4259259259259259E-4</v>
      </c>
      <c r="I68" s="11">
        <f>G68/0.93</f>
        <v>8.7853112969600415E-4</v>
      </c>
      <c r="J68" s="11">
        <f>G68/0.92</f>
        <v>8.8808038110574329E-4</v>
      </c>
      <c r="K68" s="11">
        <f>G68/0.88</f>
        <v>9.2844767115600447E-4</v>
      </c>
      <c r="L68" s="11">
        <f>G68/0.84</f>
        <v>9.7265946502057604E-4</v>
      </c>
      <c r="M68" s="25"/>
      <c r="N68" s="28"/>
      <c r="O68" s="25"/>
      <c r="P68" s="25"/>
      <c r="Q68" s="25"/>
      <c r="R68" s="28"/>
      <c r="S68" s="25"/>
      <c r="T68" s="25"/>
      <c r="U68" s="28"/>
      <c r="V68" s="44"/>
      <c r="W68" s="28" t="s">
        <v>26</v>
      </c>
      <c r="X68" s="52" t="s">
        <v>217</v>
      </c>
    </row>
    <row r="69" spans="1:24" ht="20.45" customHeight="1">
      <c r="A69" s="10" t="s">
        <v>123</v>
      </c>
      <c r="B69" s="11">
        <v>1.0590277777777778E-2</v>
      </c>
      <c r="C69" s="11">
        <v>3.1828703703703702E-3</v>
      </c>
      <c r="D69" s="11">
        <f>B69*E69</f>
        <v>6.1614236111111114E-3</v>
      </c>
      <c r="E69" s="12">
        <v>0.58179999999999998</v>
      </c>
      <c r="F69" s="11">
        <f>C69/4</f>
        <v>7.9571759259259255E-4</v>
      </c>
      <c r="G69" s="11">
        <f>D69/7.5</f>
        <v>8.2152314814814816E-4</v>
      </c>
      <c r="H69" s="11">
        <f>B69/12.5</f>
        <v>8.472222222222223E-4</v>
      </c>
      <c r="I69" s="11">
        <f>G69/0.93</f>
        <v>8.8335822381521299E-4</v>
      </c>
      <c r="J69" s="11">
        <f>G69/0.92</f>
        <v>8.9295994363929141E-4</v>
      </c>
      <c r="K69" s="11">
        <f>G69/0.88</f>
        <v>9.3354903198653201E-4</v>
      </c>
      <c r="L69" s="11">
        <f>G69/0.84</f>
        <v>9.7800374779541442E-4</v>
      </c>
      <c r="M69" s="25"/>
      <c r="N69" s="28"/>
      <c r="O69" s="25"/>
      <c r="P69" s="25"/>
      <c r="Q69" s="25"/>
      <c r="R69" s="28"/>
      <c r="S69" s="25"/>
      <c r="T69" s="25"/>
      <c r="U69" s="28"/>
      <c r="V69" s="28"/>
      <c r="W69" s="15" t="s">
        <v>26</v>
      </c>
      <c r="X69" s="52"/>
    </row>
    <row r="70" spans="1:24" ht="20.45" customHeight="1">
      <c r="A70" s="10" t="s">
        <v>91</v>
      </c>
      <c r="B70" s="11">
        <v>1.0590277777777778E-2</v>
      </c>
      <c r="C70" s="11">
        <v>3.1249999999999997E-3</v>
      </c>
      <c r="D70" s="11">
        <f t="shared" si="24"/>
        <v>6.1614236111111114E-3</v>
      </c>
      <c r="E70" s="12">
        <v>0.58179999999999998</v>
      </c>
      <c r="F70" s="11">
        <f t="shared" si="25"/>
        <v>7.8124999999999993E-4</v>
      </c>
      <c r="G70" s="11">
        <f t="shared" si="26"/>
        <v>8.2152314814814816E-4</v>
      </c>
      <c r="H70" s="11">
        <f t="shared" si="27"/>
        <v>8.472222222222223E-4</v>
      </c>
      <c r="I70" s="11">
        <f t="shared" si="28"/>
        <v>8.8335822381521299E-4</v>
      </c>
      <c r="J70" s="11">
        <f t="shared" si="29"/>
        <v>8.9295994363929141E-4</v>
      </c>
      <c r="K70" s="11">
        <f t="shared" si="30"/>
        <v>9.3354903198653201E-4</v>
      </c>
      <c r="L70" s="11">
        <f t="shared" si="31"/>
        <v>9.7800374779541442E-4</v>
      </c>
      <c r="M70" s="25"/>
      <c r="N70" s="28"/>
      <c r="O70" s="25"/>
      <c r="P70" s="25"/>
      <c r="Q70" s="25"/>
      <c r="R70" s="28"/>
      <c r="S70" s="25"/>
      <c r="T70" s="25"/>
      <c r="U70" s="28"/>
      <c r="V70" s="25"/>
      <c r="W70" s="15" t="s">
        <v>26</v>
      </c>
      <c r="X70" s="52"/>
    </row>
    <row r="71" spans="1:24" ht="20.45" customHeight="1">
      <c r="A71" s="10" t="s">
        <v>125</v>
      </c>
      <c r="B71" s="11">
        <v>1.0648148148148148E-2</v>
      </c>
      <c r="C71" s="11"/>
      <c r="D71" s="11">
        <f t="shared" si="24"/>
        <v>6.1950925925925923E-3</v>
      </c>
      <c r="E71" s="12">
        <v>0.58179999999999998</v>
      </c>
      <c r="F71" s="11">
        <f t="shared" si="25"/>
        <v>0</v>
      </c>
      <c r="G71" s="11">
        <f t="shared" si="26"/>
        <v>8.2601234567901232E-4</v>
      </c>
      <c r="H71" s="11">
        <f t="shared" si="27"/>
        <v>8.5185185185185179E-4</v>
      </c>
      <c r="I71" s="11">
        <f t="shared" si="28"/>
        <v>8.8818531793442184E-4</v>
      </c>
      <c r="J71" s="11">
        <f t="shared" si="29"/>
        <v>8.9783950617283942E-4</v>
      </c>
      <c r="K71" s="11">
        <f t="shared" si="30"/>
        <v>9.3865039281705945E-4</v>
      </c>
      <c r="L71" s="11">
        <f t="shared" si="31"/>
        <v>9.833480305702527E-4</v>
      </c>
      <c r="M71" s="25"/>
      <c r="N71" s="28"/>
      <c r="O71" s="25"/>
      <c r="P71" s="25"/>
      <c r="Q71" s="25"/>
      <c r="R71" s="28"/>
      <c r="S71" s="25"/>
      <c r="T71" s="25"/>
      <c r="U71" s="28"/>
      <c r="V71" s="28"/>
      <c r="W71" s="15" t="s">
        <v>26</v>
      </c>
      <c r="X71" s="52"/>
    </row>
    <row r="72" spans="1:24" ht="20.45" customHeight="1">
      <c r="A72" s="10" t="s">
        <v>124</v>
      </c>
      <c r="B72" s="11">
        <v>1.0648148148148148E-2</v>
      </c>
      <c r="C72" s="11"/>
      <c r="D72" s="11">
        <f t="shared" ref="D72:D77" si="32">B72*E72</f>
        <v>6.1950925925925923E-3</v>
      </c>
      <c r="E72" s="12">
        <v>0.58179999999999998</v>
      </c>
      <c r="F72" s="11">
        <f t="shared" ref="F72:F77" si="33">C72/4</f>
        <v>0</v>
      </c>
      <c r="G72" s="11">
        <f t="shared" ref="G72:G77" si="34">D72/7.5</f>
        <v>8.2601234567901232E-4</v>
      </c>
      <c r="H72" s="11">
        <f t="shared" ref="H72:H77" si="35">B72/12.5</f>
        <v>8.5185185185185179E-4</v>
      </c>
      <c r="I72" s="11">
        <f t="shared" ref="I72:I77" si="36">G72/0.93</f>
        <v>8.8818531793442184E-4</v>
      </c>
      <c r="J72" s="11">
        <f t="shared" ref="J72:J77" si="37">G72/0.92</f>
        <v>8.9783950617283942E-4</v>
      </c>
      <c r="K72" s="11">
        <f t="shared" ref="K72:K77" si="38">G72/0.88</f>
        <v>9.3865039281705945E-4</v>
      </c>
      <c r="L72" s="11">
        <f t="shared" ref="L72:L77" si="39">G72/0.84</f>
        <v>9.833480305702527E-4</v>
      </c>
      <c r="M72" s="25"/>
      <c r="N72" s="28"/>
      <c r="O72" s="25"/>
      <c r="P72" s="25"/>
      <c r="Q72" s="25"/>
      <c r="R72" s="28"/>
      <c r="S72" s="25"/>
      <c r="T72" s="25"/>
      <c r="U72" s="28"/>
      <c r="V72" s="28"/>
      <c r="W72" s="27" t="s">
        <v>26</v>
      </c>
      <c r="X72" s="52"/>
    </row>
    <row r="73" spans="1:24" ht="20.45" customHeight="1">
      <c r="A73" s="10" t="s">
        <v>131</v>
      </c>
      <c r="B73" s="11">
        <v>1.0763888888888891E-2</v>
      </c>
      <c r="C73" s="11">
        <v>3.1828703703703702E-3</v>
      </c>
      <c r="D73" s="11">
        <f t="shared" si="32"/>
        <v>6.2624305555555567E-3</v>
      </c>
      <c r="E73" s="12">
        <v>0.58179999999999998</v>
      </c>
      <c r="F73" s="11">
        <f t="shared" si="33"/>
        <v>7.9571759259259255E-4</v>
      </c>
      <c r="G73" s="11">
        <f t="shared" si="34"/>
        <v>8.3499074074074085E-4</v>
      </c>
      <c r="H73" s="11">
        <f t="shared" si="35"/>
        <v>8.6111111111111121E-4</v>
      </c>
      <c r="I73" s="11">
        <f t="shared" si="36"/>
        <v>8.9783950617283953E-4</v>
      </c>
      <c r="J73" s="11">
        <f t="shared" si="37"/>
        <v>9.0759863123993567E-4</v>
      </c>
      <c r="K73" s="11">
        <f t="shared" si="38"/>
        <v>9.4885311447811464E-4</v>
      </c>
      <c r="L73" s="11">
        <f t="shared" si="39"/>
        <v>9.9403659611992969E-4</v>
      </c>
      <c r="M73" s="25"/>
      <c r="N73" s="28"/>
      <c r="O73" s="25"/>
      <c r="P73" s="25"/>
      <c r="Q73" s="25"/>
      <c r="R73" s="28"/>
      <c r="S73" s="25"/>
      <c r="T73" s="25"/>
      <c r="U73" s="28"/>
      <c r="V73" s="28"/>
      <c r="W73" s="15" t="s">
        <v>26</v>
      </c>
      <c r="X73" s="52"/>
    </row>
    <row r="74" spans="1:24" ht="20.45" customHeight="1">
      <c r="A74" s="10" t="s">
        <v>133</v>
      </c>
      <c r="B74" s="11">
        <v>1.087962962962963E-2</v>
      </c>
      <c r="C74" s="11">
        <v>3.1250000000000002E-3</v>
      </c>
      <c r="D74" s="11">
        <f t="shared" si="32"/>
        <v>6.3297685185185184E-3</v>
      </c>
      <c r="E74" s="12">
        <v>0.58179999999999998</v>
      </c>
      <c r="F74" s="11">
        <f t="shared" si="33"/>
        <v>7.8125000000000004E-4</v>
      </c>
      <c r="G74" s="11">
        <f t="shared" si="34"/>
        <v>8.4396913580246917E-4</v>
      </c>
      <c r="H74" s="11">
        <f t="shared" si="35"/>
        <v>8.7037037037037042E-4</v>
      </c>
      <c r="I74" s="11">
        <f t="shared" si="36"/>
        <v>9.0749369441125711E-4</v>
      </c>
      <c r="J74" s="11">
        <f t="shared" si="37"/>
        <v>9.173577563070317E-4</v>
      </c>
      <c r="K74" s="11">
        <f t="shared" si="38"/>
        <v>9.5905583613916951E-4</v>
      </c>
      <c r="L74" s="11">
        <f t="shared" si="39"/>
        <v>1.0047251616696062E-3</v>
      </c>
      <c r="M74" s="25"/>
      <c r="N74" s="28"/>
      <c r="O74" s="25"/>
      <c r="P74" s="25"/>
      <c r="Q74" s="25"/>
      <c r="R74" s="28"/>
      <c r="S74" s="25"/>
      <c r="T74" s="25"/>
      <c r="U74" s="28"/>
      <c r="V74" s="25"/>
      <c r="W74" s="15" t="s">
        <v>26</v>
      </c>
      <c r="X74" s="52"/>
    </row>
    <row r="75" spans="1:24" ht="20.45" customHeight="1">
      <c r="A75" s="10" t="s">
        <v>118</v>
      </c>
      <c r="B75" s="11">
        <v>1.0300925925925925E-2</v>
      </c>
      <c r="C75" s="11">
        <v>3.0671296296296297E-3</v>
      </c>
      <c r="D75" s="11">
        <f t="shared" si="32"/>
        <v>5.9930787037037027E-3</v>
      </c>
      <c r="E75" s="12">
        <v>0.58179999999999998</v>
      </c>
      <c r="F75" s="11">
        <f t="shared" si="33"/>
        <v>7.6678240740740743E-4</v>
      </c>
      <c r="G75" s="11">
        <f t="shared" si="34"/>
        <v>7.9907716049382703E-4</v>
      </c>
      <c r="H75" s="11">
        <f t="shared" si="35"/>
        <v>8.2407407407407397E-4</v>
      </c>
      <c r="I75" s="11">
        <f t="shared" si="36"/>
        <v>8.5922275321916877E-4</v>
      </c>
      <c r="J75" s="11">
        <f t="shared" si="37"/>
        <v>8.6856213097155112E-4</v>
      </c>
      <c r="K75" s="11">
        <f t="shared" si="38"/>
        <v>9.080422278338944E-4</v>
      </c>
      <c r="L75" s="11">
        <f t="shared" si="39"/>
        <v>9.5128233392122272E-4</v>
      </c>
      <c r="M75" s="25"/>
      <c r="N75" s="28"/>
      <c r="O75" s="25"/>
      <c r="P75" s="25"/>
      <c r="Q75" s="25"/>
      <c r="R75" s="28"/>
      <c r="S75" s="25"/>
      <c r="T75" s="25"/>
      <c r="U75" s="28"/>
      <c r="V75" s="25"/>
      <c r="W75" s="15" t="s">
        <v>26</v>
      </c>
      <c r="X75" s="52"/>
    </row>
    <row r="76" spans="1:24" ht="20.45" customHeight="1">
      <c r="A76" s="10" t="s">
        <v>110</v>
      </c>
      <c r="B76" s="11">
        <v>1.0069444444444445E-2</v>
      </c>
      <c r="C76" s="11">
        <v>2.8935185185185184E-3</v>
      </c>
      <c r="D76" s="11">
        <f t="shared" si="32"/>
        <v>5.8584027777777783E-3</v>
      </c>
      <c r="E76" s="12">
        <v>0.58179999999999998</v>
      </c>
      <c r="F76" s="11">
        <f t="shared" si="33"/>
        <v>7.2337962962962959E-4</v>
      </c>
      <c r="G76" s="11">
        <f t="shared" si="34"/>
        <v>7.811203703703705E-4</v>
      </c>
      <c r="H76" s="11">
        <f t="shared" si="35"/>
        <v>8.0555555555555556E-4</v>
      </c>
      <c r="I76" s="11">
        <f t="shared" si="36"/>
        <v>8.3991437674233382E-4</v>
      </c>
      <c r="J76" s="11">
        <f t="shared" si="37"/>
        <v>8.4904388083735917E-4</v>
      </c>
      <c r="K76" s="11">
        <f t="shared" si="38"/>
        <v>8.8763678451178466E-4</v>
      </c>
      <c r="L76" s="11">
        <f t="shared" si="39"/>
        <v>9.2990520282186973E-4</v>
      </c>
      <c r="M76" s="25"/>
      <c r="N76" s="28"/>
      <c r="O76" s="25"/>
      <c r="P76" s="25"/>
      <c r="Q76" s="25"/>
      <c r="R76" s="28"/>
      <c r="S76" s="25"/>
      <c r="T76" s="25"/>
      <c r="U76" s="28"/>
      <c r="V76" s="25"/>
      <c r="W76" s="15" t="s">
        <v>26</v>
      </c>
      <c r="X76" s="52"/>
    </row>
    <row r="77" spans="1:24" ht="20.45" customHeight="1">
      <c r="A77" s="10" t="s">
        <v>85</v>
      </c>
      <c r="B77" s="11">
        <v>1.0300925925925925E-2</v>
      </c>
      <c r="C77" s="11">
        <v>3.0671296296296297E-3</v>
      </c>
      <c r="D77" s="11">
        <f t="shared" si="32"/>
        <v>5.9930787037037027E-3</v>
      </c>
      <c r="E77" s="12">
        <v>0.58179999999999998</v>
      </c>
      <c r="F77" s="11">
        <f t="shared" si="33"/>
        <v>7.6678240740740743E-4</v>
      </c>
      <c r="G77" s="11">
        <f t="shared" si="34"/>
        <v>7.9907716049382703E-4</v>
      </c>
      <c r="H77" s="11">
        <f t="shared" si="35"/>
        <v>8.2407407407407397E-4</v>
      </c>
      <c r="I77" s="11">
        <f t="shared" si="36"/>
        <v>8.5922275321916877E-4</v>
      </c>
      <c r="J77" s="11">
        <f t="shared" si="37"/>
        <v>8.6856213097155112E-4</v>
      </c>
      <c r="K77" s="11">
        <f t="shared" si="38"/>
        <v>9.080422278338944E-4</v>
      </c>
      <c r="L77" s="17">
        <f t="shared" si="39"/>
        <v>9.5128233392122272E-4</v>
      </c>
      <c r="M77" s="25"/>
      <c r="N77" s="28"/>
      <c r="O77" s="25"/>
      <c r="P77" s="25"/>
      <c r="Q77" s="25"/>
      <c r="R77" s="28"/>
      <c r="S77" s="25"/>
      <c r="T77" s="25"/>
      <c r="U77" s="28"/>
      <c r="V77" s="25"/>
      <c r="W77" s="15" t="s">
        <v>26</v>
      </c>
      <c r="X77" s="52"/>
    </row>
    <row r="78" spans="1:24" ht="20.45" customHeight="1">
      <c r="A78" s="10"/>
      <c r="B78" s="11"/>
      <c r="C78" s="11"/>
      <c r="D78" s="11"/>
      <c r="E78" s="12"/>
      <c r="F78" s="11"/>
      <c r="G78" s="11"/>
      <c r="H78" s="11"/>
      <c r="I78" s="11"/>
      <c r="J78" s="11"/>
      <c r="K78" s="11"/>
      <c r="L78" s="11"/>
      <c r="M78" s="25"/>
      <c r="N78" s="28"/>
      <c r="O78" s="25"/>
      <c r="P78" s="25"/>
      <c r="Q78" s="25"/>
      <c r="R78" s="28"/>
      <c r="S78" s="25"/>
      <c r="T78" s="25"/>
      <c r="U78" s="28"/>
      <c r="V78" s="25"/>
      <c r="W78" s="15"/>
      <c r="X78" s="52" t="s">
        <v>218</v>
      </c>
    </row>
    <row r="79" spans="1:24" ht="20.45" customHeight="1">
      <c r="A79" s="19"/>
      <c r="B79" s="6"/>
      <c r="C79" s="6"/>
      <c r="D79" s="6"/>
      <c r="E79" s="20"/>
      <c r="F79" s="6"/>
      <c r="G79" s="6"/>
      <c r="H79" s="6"/>
      <c r="I79" s="6"/>
      <c r="J79" s="6"/>
      <c r="K79" s="6"/>
      <c r="L79" s="6"/>
      <c r="M79" s="6"/>
      <c r="N79" s="6"/>
      <c r="O79" s="6"/>
      <c r="P79" s="6"/>
      <c r="Q79" s="6"/>
      <c r="R79" s="6"/>
      <c r="S79" s="6"/>
      <c r="T79" s="6"/>
      <c r="U79" s="6"/>
      <c r="V79" s="23"/>
      <c r="W79" s="35"/>
      <c r="X79" s="52"/>
    </row>
    <row r="80" spans="1:24" ht="20.45" customHeight="1">
      <c r="A80" s="10" t="s">
        <v>121</v>
      </c>
      <c r="B80" s="11">
        <v>1.0532407407407407E-2</v>
      </c>
      <c r="C80" s="11"/>
      <c r="D80" s="11">
        <f>B80*E80</f>
        <v>6.1277546296296288E-3</v>
      </c>
      <c r="E80" s="12">
        <v>0.58179999999999998</v>
      </c>
      <c r="F80" s="11">
        <f>C80/4</f>
        <v>0</v>
      </c>
      <c r="G80" s="11">
        <f>D80/7.5</f>
        <v>8.1703395061728389E-4</v>
      </c>
      <c r="H80" s="11">
        <f>B80/12.5</f>
        <v>8.4259259259259259E-4</v>
      </c>
      <c r="I80" s="11">
        <f>G80/0.93</f>
        <v>8.7853112969600415E-4</v>
      </c>
      <c r="J80" s="11">
        <f>G80/0.92</f>
        <v>8.8808038110574329E-4</v>
      </c>
      <c r="K80" s="11">
        <f>G80/0.88</f>
        <v>9.2844767115600447E-4</v>
      </c>
      <c r="L80" s="11">
        <f>G80/0.84</f>
        <v>9.7265946502057604E-4</v>
      </c>
      <c r="M80" s="25"/>
      <c r="N80" s="28"/>
      <c r="O80" s="25"/>
      <c r="P80" s="25"/>
      <c r="Q80" s="25"/>
      <c r="R80" s="28"/>
      <c r="S80" s="25"/>
      <c r="T80" s="25"/>
      <c r="U80" s="28"/>
      <c r="V80" s="28"/>
      <c r="W80" s="27" t="s">
        <v>213</v>
      </c>
      <c r="X80" s="52"/>
    </row>
    <row r="81" spans="1:24" ht="20.45" customHeight="1">
      <c r="A81" s="10" t="s">
        <v>95</v>
      </c>
      <c r="B81" s="11">
        <v>1.0243055555555556E-2</v>
      </c>
      <c r="C81" s="11">
        <v>2.9513888888888888E-3</v>
      </c>
      <c r="D81" s="11">
        <f>B81*E81</f>
        <v>5.9594097222222218E-3</v>
      </c>
      <c r="E81" s="12">
        <v>0.58179999999999998</v>
      </c>
      <c r="F81" s="11">
        <f>C81/4</f>
        <v>7.378472222222222E-4</v>
      </c>
      <c r="G81" s="11">
        <f>D81/7.5</f>
        <v>7.9458796296296287E-4</v>
      </c>
      <c r="H81" s="11">
        <f>B81/12.5</f>
        <v>8.1944444444444447E-4</v>
      </c>
      <c r="I81" s="11">
        <f>G81/0.93</f>
        <v>8.5439565909996003E-4</v>
      </c>
      <c r="J81" s="11">
        <f>G81/0.92</f>
        <v>8.636825684380031E-4</v>
      </c>
      <c r="K81" s="11">
        <f>G81/0.88</f>
        <v>9.0294086700336686E-4</v>
      </c>
      <c r="L81" s="11">
        <f>G81/0.84</f>
        <v>9.4593805114638445E-4</v>
      </c>
      <c r="M81" s="25"/>
      <c r="N81" s="28"/>
      <c r="O81" s="25"/>
      <c r="P81" s="25"/>
      <c r="Q81" s="25"/>
      <c r="R81" s="28"/>
      <c r="S81" s="25"/>
      <c r="T81" s="25"/>
      <c r="U81" s="28"/>
      <c r="V81" s="25"/>
      <c r="W81" s="15" t="s">
        <v>213</v>
      </c>
      <c r="X81" s="52"/>
    </row>
    <row r="82" spans="1:24" ht="20.45" customHeight="1">
      <c r="A82" s="10"/>
      <c r="B82" s="11"/>
      <c r="C82" s="11"/>
      <c r="D82" s="11"/>
      <c r="E82" s="12"/>
      <c r="F82" s="11"/>
      <c r="G82" s="11"/>
      <c r="H82" s="11"/>
      <c r="I82" s="11"/>
      <c r="J82" s="11"/>
      <c r="K82" s="11"/>
      <c r="L82" s="11"/>
      <c r="M82" s="25"/>
      <c r="N82" s="28"/>
      <c r="O82" s="25"/>
      <c r="P82" s="25"/>
      <c r="Q82" s="28"/>
      <c r="R82" s="28"/>
      <c r="S82" s="25"/>
      <c r="T82" s="25"/>
      <c r="U82" s="28"/>
      <c r="V82" s="28"/>
      <c r="W82" s="15"/>
      <c r="X82" s="52"/>
    </row>
    <row r="83" spans="1:24" ht="20.45" customHeight="1">
      <c r="A83" s="10"/>
      <c r="B83" s="11"/>
      <c r="C83" s="11"/>
      <c r="D83" s="11"/>
      <c r="E83" s="12"/>
      <c r="F83" s="11"/>
      <c r="G83" s="11"/>
      <c r="H83" s="11"/>
      <c r="I83" s="11"/>
      <c r="J83" s="11"/>
      <c r="K83" s="11"/>
      <c r="L83" s="17"/>
      <c r="M83" s="25"/>
      <c r="N83" s="28"/>
      <c r="O83" s="25"/>
      <c r="P83" s="25"/>
      <c r="Q83" s="25"/>
      <c r="R83" s="25"/>
      <c r="S83" s="25"/>
      <c r="T83" s="25"/>
      <c r="U83" s="28"/>
      <c r="V83" s="25"/>
      <c r="W83" s="15"/>
      <c r="X83" s="52"/>
    </row>
    <row r="84" spans="1:24" ht="20.45" customHeight="1">
      <c r="A84" s="10"/>
      <c r="B84" s="11"/>
      <c r="C84" s="11"/>
      <c r="D84" s="11"/>
      <c r="E84" s="12"/>
      <c r="F84" s="11"/>
      <c r="G84" s="11"/>
      <c r="H84" s="11"/>
      <c r="I84" s="11"/>
      <c r="J84" s="11"/>
      <c r="K84" s="11"/>
      <c r="L84" s="11"/>
      <c r="M84" s="25"/>
      <c r="N84" s="28"/>
      <c r="O84" s="25"/>
      <c r="P84" s="25"/>
      <c r="Q84" s="25"/>
      <c r="R84" s="28"/>
      <c r="S84" s="25"/>
      <c r="T84" s="25"/>
      <c r="U84" s="28"/>
      <c r="V84" s="25"/>
      <c r="W84" s="15"/>
      <c r="X84" s="52"/>
    </row>
    <row r="85" spans="1:24" ht="20.45" customHeight="1">
      <c r="A85" s="10"/>
      <c r="B85" s="11"/>
      <c r="C85" s="11"/>
      <c r="D85" s="11"/>
      <c r="E85" s="12"/>
      <c r="F85" s="11"/>
      <c r="G85" s="11"/>
      <c r="H85" s="11"/>
      <c r="I85" s="11"/>
      <c r="J85" s="11"/>
      <c r="K85" s="11"/>
      <c r="L85" s="17"/>
      <c r="M85" s="11"/>
      <c r="N85" s="26"/>
      <c r="P85" s="26"/>
      <c r="Q85" s="26"/>
      <c r="R85" s="26"/>
      <c r="S85" s="14"/>
      <c r="T85" s="14"/>
      <c r="U85" s="26"/>
      <c r="V85" s="38"/>
      <c r="W85" s="31"/>
      <c r="X85" s="52"/>
    </row>
    <row r="86" spans="1:24" ht="20.45" customHeight="1" thickBot="1">
      <c r="A86" s="10"/>
      <c r="B86" s="11"/>
      <c r="C86" s="11"/>
      <c r="D86" s="11"/>
      <c r="E86" s="12"/>
      <c r="F86" s="11"/>
      <c r="G86" s="11"/>
      <c r="H86" s="11"/>
      <c r="I86" s="11"/>
      <c r="J86" s="11"/>
      <c r="K86" s="11"/>
      <c r="L86" s="11"/>
      <c r="M86" s="25"/>
      <c r="N86" s="28"/>
      <c r="O86" s="25"/>
      <c r="P86" s="28"/>
      <c r="Q86" s="25"/>
      <c r="R86" s="28"/>
      <c r="S86" s="25"/>
      <c r="T86" s="28"/>
      <c r="U86" s="28"/>
      <c r="V86" s="25"/>
      <c r="W86" s="15"/>
      <c r="X86" s="52"/>
    </row>
    <row r="87" spans="1:24" ht="20.45" customHeight="1">
      <c r="A87" s="1" t="s">
        <v>205</v>
      </c>
      <c r="B87" s="6"/>
      <c r="C87" s="6"/>
      <c r="D87" s="6"/>
      <c r="E87" s="20"/>
      <c r="F87" s="6"/>
      <c r="G87" s="6"/>
      <c r="H87" s="6"/>
      <c r="I87" s="6"/>
      <c r="J87" s="6"/>
      <c r="K87" s="6"/>
      <c r="L87" s="6"/>
      <c r="M87" s="6"/>
      <c r="N87" s="6"/>
      <c r="O87" s="6"/>
      <c r="P87" s="6"/>
      <c r="Q87" s="22"/>
      <c r="R87" s="6"/>
      <c r="S87" s="6"/>
      <c r="T87" s="6"/>
      <c r="U87" s="6"/>
      <c r="V87" s="23"/>
      <c r="W87" s="35"/>
      <c r="X87" s="52"/>
    </row>
    <row r="88" spans="1:24" ht="20.45" customHeight="1">
      <c r="A88" s="10" t="s">
        <v>80</v>
      </c>
      <c r="B88" s="11">
        <v>9.8379629629629633E-3</v>
      </c>
      <c r="C88" s="11">
        <v>2.8587962962962963E-3</v>
      </c>
      <c r="D88" s="11">
        <f>B88*E88</f>
        <v>5.7237268518518522E-3</v>
      </c>
      <c r="E88" s="12">
        <v>0.58179999999999998</v>
      </c>
      <c r="F88" s="11">
        <f>C88/4</f>
        <v>7.1469907407407409E-4</v>
      </c>
      <c r="G88" s="11">
        <f>D88/7.5</f>
        <v>7.6316358024691364E-4</v>
      </c>
      <c r="H88" s="11">
        <f>B88/12.5</f>
        <v>7.8703703703703705E-4</v>
      </c>
      <c r="I88" s="11">
        <f>G88/0.93</f>
        <v>8.2060600026549854E-4</v>
      </c>
      <c r="J88" s="11">
        <f>G88/0.92</f>
        <v>8.29525630703167E-4</v>
      </c>
      <c r="K88" s="11">
        <f>G88/0.88</f>
        <v>8.6723134118967459E-4</v>
      </c>
      <c r="L88" s="11">
        <f>G88/0.84</f>
        <v>9.085280717225163E-4</v>
      </c>
      <c r="M88" s="25"/>
      <c r="N88" s="28"/>
      <c r="O88" s="25"/>
      <c r="P88" s="25"/>
      <c r="Q88" s="25"/>
      <c r="R88" s="28"/>
      <c r="S88" s="25"/>
      <c r="T88" s="25"/>
      <c r="U88" s="28"/>
      <c r="V88" s="25"/>
      <c r="W88" s="15" t="s">
        <v>35</v>
      </c>
      <c r="X88" s="52" t="s">
        <v>219</v>
      </c>
    </row>
    <row r="89" spans="1:24" ht="20.45" customHeight="1">
      <c r="A89" s="10" t="s">
        <v>86</v>
      </c>
      <c r="B89" s="11">
        <v>1.0300925925925925E-2</v>
      </c>
      <c r="C89" s="11">
        <v>3.0671296296296297E-3</v>
      </c>
      <c r="D89" s="11">
        <f>B89*E89</f>
        <v>5.9930787037037027E-3</v>
      </c>
      <c r="E89" s="12">
        <v>0.58179999999999998</v>
      </c>
      <c r="F89" s="11">
        <f>C89/4</f>
        <v>7.6678240740740743E-4</v>
      </c>
      <c r="G89" s="11">
        <f>D89/7.5</f>
        <v>7.9907716049382703E-4</v>
      </c>
      <c r="H89" s="11">
        <f>B89/12.5</f>
        <v>8.2407407407407397E-4</v>
      </c>
      <c r="I89" s="11">
        <f>G89/0.93</f>
        <v>8.5922275321916877E-4</v>
      </c>
      <c r="J89" s="11">
        <f>G89/0.92</f>
        <v>8.6856213097155112E-4</v>
      </c>
      <c r="K89" s="11">
        <f>G89/0.88</f>
        <v>9.080422278338944E-4</v>
      </c>
      <c r="L89" s="11">
        <f>G89/0.84</f>
        <v>9.5128233392122272E-4</v>
      </c>
      <c r="M89" s="25"/>
      <c r="N89" s="28"/>
      <c r="O89" s="25"/>
      <c r="P89" s="25"/>
      <c r="Q89" s="25"/>
      <c r="R89" s="28"/>
      <c r="S89" s="25"/>
      <c r="T89" s="25"/>
      <c r="U89" s="28"/>
      <c r="V89" s="25"/>
      <c r="W89" s="15" t="s">
        <v>35</v>
      </c>
      <c r="X89" s="52"/>
    </row>
    <row r="90" spans="1:24" ht="20.45" customHeight="1">
      <c r="A90" s="10" t="s">
        <v>119</v>
      </c>
      <c r="B90" s="11">
        <v>1.0416666666666666E-2</v>
      </c>
      <c r="C90" s="11"/>
      <c r="D90" s="11">
        <f>B90*E90</f>
        <v>6.0604166666666662E-3</v>
      </c>
      <c r="E90" s="12">
        <v>0.58179999999999998</v>
      </c>
      <c r="F90" s="11">
        <f>C90/4</f>
        <v>0</v>
      </c>
      <c r="G90" s="11">
        <f>D90/7.5</f>
        <v>8.0805555555555546E-4</v>
      </c>
      <c r="H90" s="11">
        <f>B90/12.5</f>
        <v>8.3333333333333328E-4</v>
      </c>
      <c r="I90" s="11">
        <f>G90/0.93</f>
        <v>8.6887694145758646E-4</v>
      </c>
      <c r="J90" s="11">
        <f>G90/0.92</f>
        <v>8.7832125603864715E-4</v>
      </c>
      <c r="K90" s="11">
        <f>G90/0.88</f>
        <v>9.1824494949494938E-4</v>
      </c>
      <c r="L90" s="11">
        <f>G90/0.84</f>
        <v>9.6197089947089938E-4</v>
      </c>
      <c r="M90" s="25"/>
      <c r="N90" s="28"/>
      <c r="O90" s="25"/>
      <c r="P90" s="25"/>
      <c r="Q90" s="25"/>
      <c r="R90" s="28"/>
      <c r="S90" s="25"/>
      <c r="T90" s="25"/>
      <c r="U90" s="28"/>
      <c r="V90" s="28"/>
      <c r="W90" s="27" t="s">
        <v>35</v>
      </c>
      <c r="X90" s="52"/>
    </row>
    <row r="91" spans="1:24" ht="20.45" customHeight="1">
      <c r="A91" s="10" t="s">
        <v>122</v>
      </c>
      <c r="B91" s="11">
        <v>1.0532407407407407E-2</v>
      </c>
      <c r="C91" s="11">
        <v>3.0671296296296297E-3</v>
      </c>
      <c r="D91" s="11">
        <f>B91*E91</f>
        <v>6.1277546296296288E-3</v>
      </c>
      <c r="E91" s="12">
        <v>0.58179999999999998</v>
      </c>
      <c r="F91" s="11">
        <f>C91/4</f>
        <v>7.6678240740740743E-4</v>
      </c>
      <c r="G91" s="11">
        <f>D91/7.5</f>
        <v>8.1703395061728389E-4</v>
      </c>
      <c r="H91" s="11">
        <f>B91/12.5</f>
        <v>8.4259259259259259E-4</v>
      </c>
      <c r="I91" s="11">
        <f>G91/0.93</f>
        <v>8.7853112969600415E-4</v>
      </c>
      <c r="J91" s="11">
        <f>G91/0.92</f>
        <v>8.8808038110574329E-4</v>
      </c>
      <c r="K91" s="11">
        <f>G91/0.88</f>
        <v>9.2844767115600447E-4</v>
      </c>
      <c r="L91" s="11">
        <f>G91/0.84</f>
        <v>9.7265946502057604E-4</v>
      </c>
      <c r="M91" s="25"/>
      <c r="N91" s="28"/>
      <c r="O91" s="25"/>
      <c r="P91" s="25"/>
      <c r="Q91" s="25"/>
      <c r="R91" s="28"/>
      <c r="S91" s="25"/>
      <c r="T91" s="25"/>
      <c r="U91" s="28"/>
      <c r="V91" s="25"/>
      <c r="W91" s="15" t="s">
        <v>35</v>
      </c>
      <c r="X91" s="52"/>
    </row>
    <row r="92" spans="1:24" ht="20.45" customHeight="1">
      <c r="A92" s="10" t="s">
        <v>127</v>
      </c>
      <c r="B92" s="11">
        <v>1.0648148148148148E-2</v>
      </c>
      <c r="C92" s="11">
        <v>2.9513888888888888E-3</v>
      </c>
      <c r="D92" s="11">
        <f>B92*E92</f>
        <v>6.1950925925925923E-3</v>
      </c>
      <c r="E92" s="12">
        <v>0.58179999999999998</v>
      </c>
      <c r="F92" s="11">
        <f>C92/4</f>
        <v>7.378472222222222E-4</v>
      </c>
      <c r="G92" s="11">
        <f>D92/7.5</f>
        <v>8.2601234567901232E-4</v>
      </c>
      <c r="H92" s="11">
        <f>B92/12.5</f>
        <v>8.5185185185185179E-4</v>
      </c>
      <c r="I92" s="11">
        <f>G92/0.93</f>
        <v>8.8818531793442184E-4</v>
      </c>
      <c r="J92" s="11">
        <f>G92/0.92</f>
        <v>8.9783950617283942E-4</v>
      </c>
      <c r="K92" s="11">
        <f>G92/0.88</f>
        <v>9.3865039281705945E-4</v>
      </c>
      <c r="L92" s="11">
        <f>G92/0.84</f>
        <v>9.833480305702527E-4</v>
      </c>
      <c r="M92" s="25"/>
      <c r="N92" s="28"/>
      <c r="O92" s="25"/>
      <c r="P92" s="25"/>
      <c r="Q92" s="25"/>
      <c r="R92" s="25"/>
      <c r="S92" s="25"/>
      <c r="T92" s="25"/>
      <c r="U92" s="25"/>
      <c r="V92" s="25"/>
      <c r="W92" s="15" t="s">
        <v>35</v>
      </c>
      <c r="X92" s="52"/>
    </row>
    <row r="93" spans="1:24" ht="20.45" customHeight="1">
      <c r="A93" s="10" t="s">
        <v>120</v>
      </c>
      <c r="B93" s="11">
        <v>1.0416666666666666E-2</v>
      </c>
      <c r="C93" s="11">
        <v>3.1250000000000002E-3</v>
      </c>
      <c r="D93" s="11">
        <f t="shared" ref="D93:D100" si="40">B93*E93</f>
        <v>6.0604166666666662E-3</v>
      </c>
      <c r="E93" s="12">
        <v>0.58179999999999998</v>
      </c>
      <c r="F93" s="11">
        <f t="shared" ref="F93:F100" si="41">C93/4</f>
        <v>7.8125000000000004E-4</v>
      </c>
      <c r="G93" s="11">
        <f t="shared" ref="G93:G100" si="42">D93/7.5</f>
        <v>8.0805555555555546E-4</v>
      </c>
      <c r="H93" s="11">
        <f t="shared" ref="H93:H100" si="43">B93/12.5</f>
        <v>8.3333333333333328E-4</v>
      </c>
      <c r="I93" s="11">
        <f t="shared" ref="I93:I100" si="44">G93/0.93</f>
        <v>8.6887694145758646E-4</v>
      </c>
      <c r="J93" s="11">
        <f t="shared" ref="J93:J100" si="45">G93/0.92</f>
        <v>8.7832125603864715E-4</v>
      </c>
      <c r="K93" s="11">
        <f t="shared" ref="K93:K100" si="46">G93/0.88</f>
        <v>9.1824494949494938E-4</v>
      </c>
      <c r="L93" s="11">
        <f t="shared" ref="L93:L100" si="47">G93/0.84</f>
        <v>9.6197089947089938E-4</v>
      </c>
      <c r="M93" s="25"/>
      <c r="N93" s="28"/>
      <c r="O93" s="25"/>
      <c r="P93" s="25"/>
      <c r="Q93" s="25"/>
      <c r="R93" s="28"/>
      <c r="S93" s="25"/>
      <c r="T93" s="25"/>
      <c r="U93" s="28"/>
      <c r="V93" s="25"/>
      <c r="W93" s="15" t="s">
        <v>35</v>
      </c>
      <c r="X93" s="52"/>
    </row>
    <row r="94" spans="1:24" ht="20.45" customHeight="1">
      <c r="A94" s="10" t="s">
        <v>90</v>
      </c>
      <c r="B94" s="11">
        <v>1.0648148148148148E-2</v>
      </c>
      <c r="C94" s="11">
        <v>3.0671296296296297E-3</v>
      </c>
      <c r="D94" s="11">
        <f t="shared" si="40"/>
        <v>6.1950925925925923E-3</v>
      </c>
      <c r="E94" s="12">
        <v>0.58179999999999998</v>
      </c>
      <c r="F94" s="11">
        <f t="shared" si="41"/>
        <v>7.6678240740740743E-4</v>
      </c>
      <c r="G94" s="11">
        <f t="shared" si="42"/>
        <v>8.2601234567901232E-4</v>
      </c>
      <c r="H94" s="11">
        <f t="shared" si="43"/>
        <v>8.5185185185185179E-4</v>
      </c>
      <c r="I94" s="11">
        <f t="shared" si="44"/>
        <v>8.8818531793442184E-4</v>
      </c>
      <c r="J94" s="11">
        <f t="shared" si="45"/>
        <v>8.9783950617283942E-4</v>
      </c>
      <c r="K94" s="11">
        <f t="shared" si="46"/>
        <v>9.3865039281705945E-4</v>
      </c>
      <c r="L94" s="17">
        <f t="shared" si="47"/>
        <v>9.833480305702527E-4</v>
      </c>
      <c r="M94" s="25"/>
      <c r="N94" s="28"/>
      <c r="O94" s="25"/>
      <c r="P94" s="25"/>
      <c r="Q94" s="25"/>
      <c r="R94" s="28"/>
      <c r="S94" s="25"/>
      <c r="T94" s="25"/>
      <c r="U94" s="28"/>
      <c r="V94" s="25"/>
      <c r="W94" s="15" t="s">
        <v>35</v>
      </c>
      <c r="X94" s="52"/>
    </row>
    <row r="95" spans="1:24" ht="20.45" customHeight="1">
      <c r="A95" s="10" t="s">
        <v>136</v>
      </c>
      <c r="B95" s="11">
        <v>1.1111111111111112E-2</v>
      </c>
      <c r="C95" s="11">
        <v>3.1828703703703702E-3</v>
      </c>
      <c r="D95" s="11">
        <f t="shared" si="40"/>
        <v>6.4644444444444445E-3</v>
      </c>
      <c r="E95" s="12">
        <v>0.58179999999999998</v>
      </c>
      <c r="F95" s="11">
        <f t="shared" si="41"/>
        <v>7.9571759259259255E-4</v>
      </c>
      <c r="G95" s="11">
        <f t="shared" si="42"/>
        <v>8.6192592592592592E-4</v>
      </c>
      <c r="H95" s="11">
        <f t="shared" si="43"/>
        <v>8.8888888888888893E-4</v>
      </c>
      <c r="I95" s="11">
        <f t="shared" si="44"/>
        <v>9.2680207088809239E-4</v>
      </c>
      <c r="J95" s="11">
        <f t="shared" si="45"/>
        <v>9.3687600644122375E-4</v>
      </c>
      <c r="K95" s="11">
        <f t="shared" si="46"/>
        <v>9.7946127946127947E-4</v>
      </c>
      <c r="L95" s="11">
        <f t="shared" si="47"/>
        <v>1.0261022927689596E-3</v>
      </c>
      <c r="M95" s="25"/>
      <c r="N95" s="28"/>
      <c r="O95" s="25"/>
      <c r="P95" s="25"/>
      <c r="Q95" s="25"/>
      <c r="R95" s="28"/>
      <c r="S95" s="25"/>
      <c r="T95" s="25"/>
      <c r="U95" s="28"/>
      <c r="V95" s="25"/>
      <c r="W95" s="15" t="s">
        <v>35</v>
      </c>
      <c r="X95" s="52"/>
    </row>
    <row r="96" spans="1:24" ht="20.45" customHeight="1">
      <c r="A96" s="10" t="s">
        <v>93</v>
      </c>
      <c r="B96" s="11">
        <v>1.0243055555555556E-2</v>
      </c>
      <c r="C96" s="11"/>
      <c r="D96" s="11">
        <f t="shared" si="40"/>
        <v>5.9594097222222218E-3</v>
      </c>
      <c r="E96" s="12">
        <v>0.58179999999999998</v>
      </c>
      <c r="F96" s="11">
        <f t="shared" si="41"/>
        <v>0</v>
      </c>
      <c r="G96" s="11">
        <f t="shared" si="42"/>
        <v>7.9458796296296287E-4</v>
      </c>
      <c r="H96" s="11">
        <f t="shared" si="43"/>
        <v>8.1944444444444447E-4</v>
      </c>
      <c r="I96" s="11">
        <f t="shared" si="44"/>
        <v>8.5439565909996003E-4</v>
      </c>
      <c r="J96" s="11">
        <f t="shared" si="45"/>
        <v>8.636825684380031E-4</v>
      </c>
      <c r="K96" s="11">
        <f t="shared" si="46"/>
        <v>9.0294086700336686E-4</v>
      </c>
      <c r="L96" s="11">
        <f t="shared" si="47"/>
        <v>9.4593805114638445E-4</v>
      </c>
      <c r="M96" s="25"/>
      <c r="N96" s="28"/>
      <c r="O96" s="25"/>
      <c r="P96" s="25"/>
      <c r="Q96" s="25"/>
      <c r="R96" s="28"/>
      <c r="S96" s="25"/>
      <c r="T96" s="25"/>
      <c r="U96" s="28"/>
      <c r="V96" s="28"/>
      <c r="W96" s="27" t="s">
        <v>35</v>
      </c>
      <c r="X96" s="52"/>
    </row>
    <row r="97" spans="1:24" ht="20.45" customHeight="1">
      <c r="A97" s="10" t="s">
        <v>116</v>
      </c>
      <c r="B97" s="11">
        <v>1.0243055555555556E-2</v>
      </c>
      <c r="C97" s="11">
        <v>2.9513888888888888E-3</v>
      </c>
      <c r="D97" s="11">
        <f t="shared" si="40"/>
        <v>5.9594097222222218E-3</v>
      </c>
      <c r="E97" s="12">
        <v>0.58179999999999998</v>
      </c>
      <c r="F97" s="11">
        <f t="shared" si="41"/>
        <v>7.378472222222222E-4</v>
      </c>
      <c r="G97" s="11">
        <f t="shared" si="42"/>
        <v>7.9458796296296287E-4</v>
      </c>
      <c r="H97" s="11">
        <f t="shared" si="43"/>
        <v>8.1944444444444447E-4</v>
      </c>
      <c r="I97" s="11">
        <f t="shared" si="44"/>
        <v>8.5439565909996003E-4</v>
      </c>
      <c r="J97" s="11">
        <f t="shared" si="45"/>
        <v>8.636825684380031E-4</v>
      </c>
      <c r="K97" s="11">
        <f t="shared" si="46"/>
        <v>9.0294086700336686E-4</v>
      </c>
      <c r="L97" s="17">
        <f t="shared" si="47"/>
        <v>9.4593805114638445E-4</v>
      </c>
      <c r="M97" s="25"/>
      <c r="N97" s="28"/>
      <c r="O97" s="25"/>
      <c r="P97" s="25"/>
      <c r="Q97" s="25"/>
      <c r="R97" s="28"/>
      <c r="S97" s="25"/>
      <c r="T97" s="25"/>
      <c r="U97" s="28"/>
      <c r="V97" s="25"/>
      <c r="W97" s="15" t="s">
        <v>35</v>
      </c>
      <c r="X97" s="52"/>
    </row>
    <row r="98" spans="1:24" ht="20.45" customHeight="1">
      <c r="A98" s="10" t="s">
        <v>111</v>
      </c>
      <c r="B98" s="11">
        <v>1.0243055555555556E-2</v>
      </c>
      <c r="C98" s="11">
        <v>3.0092592592592588E-3</v>
      </c>
      <c r="D98" s="11">
        <f t="shared" si="40"/>
        <v>5.9594097222222218E-3</v>
      </c>
      <c r="E98" s="12">
        <v>0.58179999999999998</v>
      </c>
      <c r="F98" s="11">
        <f t="shared" si="41"/>
        <v>7.5231481481481471E-4</v>
      </c>
      <c r="G98" s="11">
        <f t="shared" si="42"/>
        <v>7.9458796296296287E-4</v>
      </c>
      <c r="H98" s="11">
        <f t="shared" si="43"/>
        <v>8.1944444444444447E-4</v>
      </c>
      <c r="I98" s="11">
        <f t="shared" si="44"/>
        <v>8.5439565909996003E-4</v>
      </c>
      <c r="J98" s="11">
        <f t="shared" si="45"/>
        <v>8.636825684380031E-4</v>
      </c>
      <c r="K98" s="11">
        <f t="shared" si="46"/>
        <v>9.0294086700336686E-4</v>
      </c>
      <c r="L98" s="11">
        <f t="shared" si="47"/>
        <v>9.4593805114638445E-4</v>
      </c>
      <c r="M98" s="25"/>
      <c r="N98" s="28"/>
      <c r="O98" s="25"/>
      <c r="P98" s="25"/>
      <c r="Q98" s="25"/>
      <c r="R98" s="28"/>
      <c r="S98" s="25"/>
      <c r="T98" s="25"/>
      <c r="U98" s="28"/>
      <c r="V98" s="25"/>
      <c r="W98" s="15" t="s">
        <v>35</v>
      </c>
      <c r="X98" s="52" t="s">
        <v>215</v>
      </c>
    </row>
    <row r="99" spans="1:24" ht="20.45" customHeight="1">
      <c r="A99" s="10" t="s">
        <v>117</v>
      </c>
      <c r="B99" s="11">
        <v>1.0300925925925925E-2</v>
      </c>
      <c r="C99" s="11">
        <v>3.0671296296296297E-3</v>
      </c>
      <c r="D99" s="11">
        <f t="shared" si="40"/>
        <v>5.9930787037037027E-3</v>
      </c>
      <c r="E99" s="12">
        <v>0.58179999999999998</v>
      </c>
      <c r="F99" s="11">
        <f t="shared" si="41"/>
        <v>7.6678240740740743E-4</v>
      </c>
      <c r="G99" s="11">
        <f t="shared" si="42"/>
        <v>7.9907716049382703E-4</v>
      </c>
      <c r="H99" s="11">
        <f t="shared" si="43"/>
        <v>8.2407407407407397E-4</v>
      </c>
      <c r="I99" s="11">
        <f t="shared" si="44"/>
        <v>8.5922275321916877E-4</v>
      </c>
      <c r="J99" s="11">
        <f t="shared" si="45"/>
        <v>8.6856213097155112E-4</v>
      </c>
      <c r="K99" s="11">
        <f t="shared" si="46"/>
        <v>9.080422278338944E-4</v>
      </c>
      <c r="L99" s="11">
        <f t="shared" si="47"/>
        <v>9.5128233392122272E-4</v>
      </c>
      <c r="M99" s="25"/>
      <c r="N99" s="28"/>
      <c r="O99" s="25"/>
      <c r="P99" s="25"/>
      <c r="Q99" s="25"/>
      <c r="R99" s="28"/>
      <c r="S99" s="25"/>
      <c r="T99" s="25"/>
      <c r="U99" s="28"/>
      <c r="V99" s="25"/>
      <c r="W99" s="15" t="s">
        <v>35</v>
      </c>
      <c r="X99" s="52"/>
    </row>
    <row r="100" spans="1:24" ht="20.45" customHeight="1">
      <c r="A100" s="10" t="s">
        <v>129</v>
      </c>
      <c r="B100" s="11">
        <v>1.0648148148148148E-2</v>
      </c>
      <c r="C100" s="11">
        <v>3.0092592592592593E-3</v>
      </c>
      <c r="D100" s="11">
        <f t="shared" si="40"/>
        <v>6.1950925925925923E-3</v>
      </c>
      <c r="E100" s="12">
        <v>0.58179999999999998</v>
      </c>
      <c r="F100" s="11">
        <f t="shared" si="41"/>
        <v>7.5231481481481482E-4</v>
      </c>
      <c r="G100" s="11">
        <f t="shared" si="42"/>
        <v>8.2601234567901232E-4</v>
      </c>
      <c r="H100" s="11">
        <f t="shared" si="43"/>
        <v>8.5185185185185179E-4</v>
      </c>
      <c r="I100" s="11">
        <f t="shared" si="44"/>
        <v>8.8818531793442184E-4</v>
      </c>
      <c r="J100" s="11">
        <f t="shared" si="45"/>
        <v>8.9783950617283942E-4</v>
      </c>
      <c r="K100" s="11">
        <f t="shared" si="46"/>
        <v>9.3865039281705945E-4</v>
      </c>
      <c r="L100" s="11">
        <f t="shared" si="47"/>
        <v>9.833480305702527E-4</v>
      </c>
      <c r="M100" s="25"/>
      <c r="N100" s="28"/>
      <c r="O100" s="25"/>
      <c r="P100" s="25"/>
      <c r="Q100" s="25"/>
      <c r="R100" s="28"/>
      <c r="S100" s="25"/>
      <c r="T100" s="25"/>
      <c r="U100" s="28"/>
      <c r="V100" s="25"/>
      <c r="W100" s="15" t="s">
        <v>35</v>
      </c>
      <c r="X100" s="52"/>
    </row>
    <row r="101" spans="1:24" ht="20.45" customHeight="1">
      <c r="A101" s="10" t="s">
        <v>126</v>
      </c>
      <c r="B101" s="11">
        <v>1.0648148148148148E-2</v>
      </c>
      <c r="C101" s="11"/>
      <c r="D101" s="11">
        <f t="shared" si="24"/>
        <v>6.1950925925925923E-3</v>
      </c>
      <c r="E101" s="12">
        <v>0.58179999999999998</v>
      </c>
      <c r="F101" s="11">
        <f t="shared" si="25"/>
        <v>0</v>
      </c>
      <c r="G101" s="11">
        <f t="shared" si="26"/>
        <v>8.2601234567901232E-4</v>
      </c>
      <c r="H101" s="11">
        <f t="shared" si="27"/>
        <v>8.5185185185185179E-4</v>
      </c>
      <c r="I101" s="11">
        <f t="shared" si="28"/>
        <v>8.8818531793442184E-4</v>
      </c>
      <c r="J101" s="11">
        <f t="shared" si="29"/>
        <v>8.9783950617283942E-4</v>
      </c>
      <c r="K101" s="11">
        <f t="shared" si="30"/>
        <v>9.3865039281705945E-4</v>
      </c>
      <c r="L101" s="11">
        <f t="shared" si="31"/>
        <v>9.833480305702527E-4</v>
      </c>
      <c r="M101" s="25"/>
      <c r="N101" s="28"/>
      <c r="O101" s="25"/>
      <c r="P101" s="25"/>
      <c r="Q101" s="25"/>
      <c r="R101" s="28"/>
      <c r="S101" s="25"/>
      <c r="T101" s="25"/>
      <c r="U101" s="28"/>
      <c r="V101" s="28"/>
      <c r="W101" s="27" t="s">
        <v>35</v>
      </c>
      <c r="X101" s="52"/>
    </row>
    <row r="102" spans="1:24" ht="20.45" customHeight="1">
      <c r="A102" s="10" t="s">
        <v>100</v>
      </c>
      <c r="B102" s="11">
        <v>1.0763888888888889E-2</v>
      </c>
      <c r="C102" s="11">
        <v>3.0671296296296297E-3</v>
      </c>
      <c r="D102" s="11">
        <f t="shared" si="24"/>
        <v>6.2624305555555549E-3</v>
      </c>
      <c r="E102" s="12">
        <v>0.58179999999999998</v>
      </c>
      <c r="F102" s="11">
        <f t="shared" si="25"/>
        <v>7.6678240740740743E-4</v>
      </c>
      <c r="G102" s="11">
        <f t="shared" si="26"/>
        <v>8.3499074074074064E-4</v>
      </c>
      <c r="H102" s="11">
        <f t="shared" si="27"/>
        <v>8.611111111111111E-4</v>
      </c>
      <c r="I102" s="11">
        <f t="shared" si="28"/>
        <v>8.9783950617283931E-4</v>
      </c>
      <c r="J102" s="11">
        <f t="shared" si="29"/>
        <v>9.0759863123993545E-4</v>
      </c>
      <c r="K102" s="11">
        <f t="shared" si="30"/>
        <v>9.4885311447811432E-4</v>
      </c>
      <c r="L102" s="17">
        <f t="shared" si="31"/>
        <v>9.9403659611992947E-4</v>
      </c>
      <c r="M102" s="25"/>
      <c r="N102" s="28"/>
      <c r="O102" s="25"/>
      <c r="P102" s="25"/>
      <c r="Q102" s="25"/>
      <c r="R102" s="28"/>
      <c r="S102" s="25"/>
      <c r="T102" s="25"/>
      <c r="U102" s="28"/>
      <c r="V102" s="25"/>
      <c r="W102" s="15" t="s">
        <v>35</v>
      </c>
      <c r="X102" s="52"/>
    </row>
    <row r="103" spans="1:24" ht="20.45" customHeight="1">
      <c r="A103" s="10" t="s">
        <v>132</v>
      </c>
      <c r="B103" s="11">
        <v>1.087962962962963E-2</v>
      </c>
      <c r="C103" s="11"/>
      <c r="D103" s="11">
        <f t="shared" si="24"/>
        <v>6.3297685185185184E-3</v>
      </c>
      <c r="E103" s="12">
        <v>0.58179999999999998</v>
      </c>
      <c r="F103" s="11">
        <f t="shared" si="25"/>
        <v>0</v>
      </c>
      <c r="G103" s="11">
        <f t="shared" si="26"/>
        <v>8.4396913580246917E-4</v>
      </c>
      <c r="H103" s="11">
        <f t="shared" si="27"/>
        <v>8.7037037037037042E-4</v>
      </c>
      <c r="I103" s="11">
        <f t="shared" si="28"/>
        <v>9.0749369441125711E-4</v>
      </c>
      <c r="J103" s="11">
        <f t="shared" si="29"/>
        <v>9.173577563070317E-4</v>
      </c>
      <c r="K103" s="11">
        <f t="shared" si="30"/>
        <v>9.5905583613916951E-4</v>
      </c>
      <c r="L103" s="11">
        <f t="shared" si="31"/>
        <v>1.0047251616696062E-3</v>
      </c>
      <c r="M103" s="25"/>
      <c r="N103" s="28"/>
      <c r="O103" s="25"/>
      <c r="P103" s="25"/>
      <c r="Q103" s="25"/>
      <c r="R103" s="28"/>
      <c r="S103" s="25"/>
      <c r="T103" s="25"/>
      <c r="U103" s="28"/>
      <c r="V103" s="28"/>
      <c r="W103" s="27" t="s">
        <v>35</v>
      </c>
      <c r="X103" s="52"/>
    </row>
    <row r="104" spans="1:24" ht="20.45" customHeight="1">
      <c r="A104" s="10" t="s">
        <v>113</v>
      </c>
      <c r="B104" s="11">
        <v>1.087962962962963E-2</v>
      </c>
      <c r="C104" s="11">
        <v>3.2986111111111111E-3</v>
      </c>
      <c r="D104" s="11">
        <f t="shared" si="24"/>
        <v>6.3297685185185184E-3</v>
      </c>
      <c r="E104" s="12">
        <v>0.58179999999999998</v>
      </c>
      <c r="F104" s="11">
        <f t="shared" si="25"/>
        <v>8.2465277777777778E-4</v>
      </c>
      <c r="G104" s="11">
        <f t="shared" si="26"/>
        <v>8.4396913580246917E-4</v>
      </c>
      <c r="H104" s="11">
        <f t="shared" si="27"/>
        <v>8.7037037037037042E-4</v>
      </c>
      <c r="I104" s="11">
        <f t="shared" si="28"/>
        <v>9.0749369441125711E-4</v>
      </c>
      <c r="J104" s="11">
        <f t="shared" si="29"/>
        <v>9.173577563070317E-4</v>
      </c>
      <c r="K104" s="11">
        <f t="shared" si="30"/>
        <v>9.5905583613916951E-4</v>
      </c>
      <c r="L104" s="11">
        <f t="shared" si="31"/>
        <v>1.0047251616696062E-3</v>
      </c>
      <c r="M104" s="25"/>
      <c r="N104" s="28"/>
      <c r="O104" s="25"/>
      <c r="P104" s="25"/>
      <c r="Q104" s="25"/>
      <c r="R104" s="28"/>
      <c r="S104" s="25"/>
      <c r="T104" s="25"/>
      <c r="U104" s="28"/>
      <c r="V104" s="25"/>
      <c r="W104" s="15" t="s">
        <v>35</v>
      </c>
      <c r="X104" s="52"/>
    </row>
    <row r="105" spans="1:24" ht="20.45" customHeight="1">
      <c r="A105" s="10" t="s">
        <v>128</v>
      </c>
      <c r="B105" s="11">
        <v>1.087962962962963E-2</v>
      </c>
      <c r="C105" s="11"/>
      <c r="D105" s="11">
        <f t="shared" si="24"/>
        <v>6.3297685185185184E-3</v>
      </c>
      <c r="E105" s="12">
        <v>0.58179999999999998</v>
      </c>
      <c r="F105" s="11">
        <f t="shared" si="25"/>
        <v>0</v>
      </c>
      <c r="G105" s="11">
        <f t="shared" si="26"/>
        <v>8.4396913580246917E-4</v>
      </c>
      <c r="H105" s="11">
        <f t="shared" si="27"/>
        <v>8.7037037037037042E-4</v>
      </c>
      <c r="I105" s="11">
        <f t="shared" si="28"/>
        <v>9.0749369441125711E-4</v>
      </c>
      <c r="J105" s="11">
        <f t="shared" si="29"/>
        <v>9.173577563070317E-4</v>
      </c>
      <c r="K105" s="11">
        <f t="shared" si="30"/>
        <v>9.5905583613916951E-4</v>
      </c>
      <c r="L105" s="11">
        <f t="shared" si="31"/>
        <v>1.0047251616696062E-3</v>
      </c>
      <c r="M105" s="25"/>
      <c r="N105" s="28"/>
      <c r="O105" s="25"/>
      <c r="P105" s="25"/>
      <c r="Q105" s="25"/>
      <c r="R105" s="28"/>
      <c r="S105" s="25"/>
      <c r="T105" s="25"/>
      <c r="U105" s="28"/>
      <c r="V105" s="28"/>
      <c r="W105" s="27" t="s">
        <v>35</v>
      </c>
      <c r="X105" s="52"/>
    </row>
    <row r="106" spans="1:24" ht="20.45" customHeight="1">
      <c r="A106" s="10" t="s">
        <v>134</v>
      </c>
      <c r="B106" s="11">
        <v>1.1631944444444445E-2</v>
      </c>
      <c r="C106" s="11"/>
      <c r="D106" s="11">
        <f t="shared" si="24"/>
        <v>6.7674652777777776E-3</v>
      </c>
      <c r="E106" s="12">
        <v>0.58179999999999998</v>
      </c>
      <c r="F106" s="11">
        <f t="shared" si="25"/>
        <v>0</v>
      </c>
      <c r="G106" s="11">
        <f t="shared" si="26"/>
        <v>9.0232870370370369E-4</v>
      </c>
      <c r="H106" s="11">
        <f t="shared" si="27"/>
        <v>9.3055555555555556E-4</v>
      </c>
      <c r="I106" s="11">
        <f t="shared" si="28"/>
        <v>9.7024591796097167E-4</v>
      </c>
      <c r="J106" s="11">
        <f t="shared" si="29"/>
        <v>9.8079206924315621E-4</v>
      </c>
      <c r="K106" s="11">
        <f t="shared" si="30"/>
        <v>1.0253735269360269E-3</v>
      </c>
      <c r="L106" s="11">
        <f t="shared" si="31"/>
        <v>1.0742008377425045E-3</v>
      </c>
      <c r="M106" s="25"/>
      <c r="N106" s="28"/>
      <c r="O106" s="25"/>
      <c r="P106" s="25"/>
      <c r="Q106" s="25"/>
      <c r="R106" s="28"/>
      <c r="S106" s="25"/>
      <c r="T106" s="25"/>
      <c r="U106" s="28"/>
      <c r="V106" s="28"/>
      <c r="W106" s="27" t="s">
        <v>35</v>
      </c>
      <c r="X106" s="52"/>
    </row>
    <row r="107" spans="1:24" ht="20.45" customHeight="1">
      <c r="A107" s="10" t="s">
        <v>135</v>
      </c>
      <c r="B107" s="11">
        <v>1.1631944444444445E-2</v>
      </c>
      <c r="C107" s="11">
        <v>3.414351851851852E-3</v>
      </c>
      <c r="D107" s="11">
        <f t="shared" si="24"/>
        <v>6.7674652777777776E-3</v>
      </c>
      <c r="E107" s="12">
        <v>0.58179999999999998</v>
      </c>
      <c r="F107" s="11">
        <f t="shared" si="25"/>
        <v>8.53587962962963E-4</v>
      </c>
      <c r="G107" s="11">
        <f t="shared" si="26"/>
        <v>9.0232870370370369E-4</v>
      </c>
      <c r="H107" s="11">
        <f t="shared" si="27"/>
        <v>9.3055555555555556E-4</v>
      </c>
      <c r="I107" s="11">
        <f t="shared" si="28"/>
        <v>9.7024591796097167E-4</v>
      </c>
      <c r="J107" s="11">
        <f t="shared" si="29"/>
        <v>9.8079206924315621E-4</v>
      </c>
      <c r="K107" s="11">
        <f t="shared" si="30"/>
        <v>1.0253735269360269E-3</v>
      </c>
      <c r="L107" s="17">
        <f t="shared" si="31"/>
        <v>1.0742008377425045E-3</v>
      </c>
      <c r="M107" s="25"/>
      <c r="N107" s="28"/>
      <c r="O107" s="25"/>
      <c r="P107" s="25"/>
      <c r="Q107" s="25"/>
      <c r="R107" s="28"/>
      <c r="S107" s="25"/>
      <c r="T107" s="25"/>
      <c r="U107" s="28"/>
      <c r="V107" s="44"/>
      <c r="W107" s="28" t="s">
        <v>35</v>
      </c>
      <c r="X107" s="52"/>
    </row>
    <row r="108" spans="1:24" ht="20.45" customHeight="1">
      <c r="A108" s="10" t="s">
        <v>130</v>
      </c>
      <c r="B108" s="11">
        <v>1.0763888888888891E-2</v>
      </c>
      <c r="C108" s="11">
        <v>3.1828703703703702E-3</v>
      </c>
      <c r="D108" s="11">
        <f t="shared" si="24"/>
        <v>6.2624305555555567E-3</v>
      </c>
      <c r="E108" s="12">
        <v>0.58179999999999998</v>
      </c>
      <c r="F108" s="11">
        <f t="shared" si="25"/>
        <v>7.9571759259259255E-4</v>
      </c>
      <c r="G108" s="11">
        <f t="shared" si="26"/>
        <v>8.3499074074074085E-4</v>
      </c>
      <c r="H108" s="11">
        <f t="shared" si="27"/>
        <v>8.6111111111111121E-4</v>
      </c>
      <c r="I108" s="11">
        <f t="shared" si="28"/>
        <v>8.9783950617283953E-4</v>
      </c>
      <c r="J108" s="11">
        <f t="shared" si="29"/>
        <v>9.0759863123993567E-4</v>
      </c>
      <c r="K108" s="11">
        <f t="shared" si="30"/>
        <v>9.4885311447811464E-4</v>
      </c>
      <c r="L108" s="11">
        <f t="shared" si="31"/>
        <v>9.9403659611992969E-4</v>
      </c>
      <c r="M108" s="25"/>
      <c r="N108" s="28"/>
      <c r="O108" s="25"/>
      <c r="P108" s="25"/>
      <c r="Q108" s="25"/>
      <c r="R108" s="28"/>
      <c r="S108" s="25"/>
      <c r="T108" s="25"/>
      <c r="U108" s="28"/>
      <c r="V108" s="48"/>
      <c r="W108" s="27" t="s">
        <v>35</v>
      </c>
      <c r="X108" s="52"/>
    </row>
    <row r="109" spans="1:24" ht="20.45" customHeight="1">
      <c r="A109" s="10" t="s">
        <v>137</v>
      </c>
      <c r="B109" s="11">
        <v>1.0763888888888891E-2</v>
      </c>
      <c r="C109" s="11">
        <v>3.0092592592592593E-3</v>
      </c>
      <c r="D109" s="11">
        <f t="shared" si="24"/>
        <v>6.2624305555555567E-3</v>
      </c>
      <c r="E109" s="12">
        <v>0.58179999999999998</v>
      </c>
      <c r="F109" s="11">
        <f t="shared" si="25"/>
        <v>7.5231481481481482E-4</v>
      </c>
      <c r="G109" s="11">
        <f t="shared" si="26"/>
        <v>8.3499074074074085E-4</v>
      </c>
      <c r="H109" s="11">
        <f t="shared" si="27"/>
        <v>8.6111111111111121E-4</v>
      </c>
      <c r="I109" s="11">
        <f t="shared" si="28"/>
        <v>8.9783950617283953E-4</v>
      </c>
      <c r="J109" s="11">
        <f t="shared" si="29"/>
        <v>9.0759863123993567E-4</v>
      </c>
      <c r="K109" s="11">
        <f t="shared" si="30"/>
        <v>9.4885311447811464E-4</v>
      </c>
      <c r="L109" s="11">
        <f t="shared" si="31"/>
        <v>9.9403659611992969E-4</v>
      </c>
      <c r="M109" s="25"/>
      <c r="N109" s="28"/>
      <c r="O109" s="25"/>
      <c r="P109" s="25"/>
      <c r="Q109" s="25"/>
      <c r="R109" s="25"/>
      <c r="S109" s="25"/>
      <c r="T109" s="25"/>
      <c r="U109" s="25"/>
      <c r="V109" s="25"/>
      <c r="W109" s="15" t="s">
        <v>35</v>
      </c>
      <c r="X109" s="52"/>
    </row>
    <row r="110" spans="1:24" ht="20.45" customHeight="1">
      <c r="A110" s="10" t="s">
        <v>106</v>
      </c>
      <c r="B110" s="11">
        <v>1.0532407407407407E-2</v>
      </c>
      <c r="C110" s="11">
        <v>2.9745370370370373E-3</v>
      </c>
      <c r="D110" s="11">
        <f>B110*E110</f>
        <v>6.1277546296296288E-3</v>
      </c>
      <c r="E110" s="12">
        <v>0.58179999999999998</v>
      </c>
      <c r="F110" s="11">
        <f>C110/4</f>
        <v>7.4363425925925931E-4</v>
      </c>
      <c r="G110" s="11">
        <f>D110/7.5</f>
        <v>8.1703395061728389E-4</v>
      </c>
      <c r="H110" s="11">
        <f>B110/12.5</f>
        <v>8.4259259259259259E-4</v>
      </c>
      <c r="I110" s="11">
        <f>G110/0.93</f>
        <v>8.7853112969600415E-4</v>
      </c>
      <c r="J110" s="11">
        <f>G110/0.92</f>
        <v>8.8808038110574329E-4</v>
      </c>
      <c r="K110" s="11">
        <f>G110/0.88</f>
        <v>9.2844767115600447E-4</v>
      </c>
      <c r="L110" s="11">
        <f>G110/0.84</f>
        <v>9.7265946502057604E-4</v>
      </c>
      <c r="M110" s="25"/>
      <c r="N110" s="28"/>
      <c r="O110" s="25"/>
      <c r="P110" s="25"/>
      <c r="Q110" s="25"/>
      <c r="R110" s="25"/>
      <c r="S110" s="25"/>
      <c r="T110" s="25"/>
      <c r="U110" s="28"/>
      <c r="V110" s="25"/>
      <c r="W110" s="15" t="s">
        <v>35</v>
      </c>
      <c r="X110" s="52"/>
    </row>
    <row r="111" spans="1:24" ht="20.45" customHeight="1">
      <c r="A111" s="10"/>
      <c r="B111" s="11"/>
      <c r="C111" s="11"/>
      <c r="D111" s="11"/>
      <c r="E111" s="12"/>
      <c r="F111" s="11"/>
      <c r="G111" s="11"/>
      <c r="H111" s="11"/>
      <c r="I111" s="11"/>
      <c r="J111" s="11"/>
      <c r="K111" s="11"/>
      <c r="L111" s="11"/>
      <c r="M111" s="25"/>
      <c r="N111" s="28"/>
      <c r="O111" s="25"/>
      <c r="P111" s="25"/>
      <c r="Q111" s="25"/>
      <c r="R111" s="25"/>
      <c r="S111" s="25"/>
      <c r="T111" s="25"/>
      <c r="U111" s="28"/>
      <c r="V111" s="25"/>
      <c r="W111" s="15"/>
      <c r="X111" s="52"/>
    </row>
    <row r="112" spans="1:24" ht="20.45" customHeight="1">
      <c r="A112" s="10"/>
      <c r="B112" s="11"/>
      <c r="C112" s="11"/>
      <c r="D112" s="11"/>
      <c r="E112" s="12"/>
      <c r="F112" s="11"/>
      <c r="G112" s="11"/>
      <c r="H112" s="11"/>
      <c r="I112" s="11"/>
      <c r="J112" s="11"/>
      <c r="K112" s="11"/>
      <c r="L112" s="17"/>
      <c r="M112" s="25"/>
      <c r="N112" s="28"/>
      <c r="O112" s="25"/>
      <c r="P112" s="25"/>
      <c r="Q112" s="25"/>
      <c r="R112" s="28"/>
      <c r="S112" s="25"/>
      <c r="T112" s="25"/>
      <c r="U112" s="28"/>
      <c r="V112" s="25"/>
      <c r="W112" s="15"/>
      <c r="X112" s="52"/>
    </row>
    <row r="113" spans="1:24" ht="20.45" customHeight="1">
      <c r="A113" s="10"/>
      <c r="B113" s="11"/>
      <c r="C113" s="11"/>
      <c r="D113" s="11"/>
      <c r="E113" s="12"/>
      <c r="F113" s="11"/>
      <c r="G113" s="11"/>
      <c r="H113" s="11"/>
      <c r="I113" s="11"/>
      <c r="J113" s="11"/>
      <c r="K113" s="11"/>
      <c r="L113" s="11"/>
      <c r="M113" s="25"/>
      <c r="N113" s="28"/>
      <c r="O113" s="25"/>
      <c r="P113" s="25"/>
      <c r="Q113" s="28"/>
      <c r="R113" s="28"/>
      <c r="S113" s="25"/>
      <c r="T113" s="25"/>
      <c r="U113" s="28"/>
      <c r="V113" s="25"/>
      <c r="W113" s="15"/>
      <c r="X113" s="52"/>
    </row>
    <row r="114" spans="1:24" ht="20.45" customHeight="1">
      <c r="A114" s="10"/>
      <c r="B114" s="11"/>
      <c r="C114" s="11"/>
      <c r="D114" s="11"/>
      <c r="E114" s="12"/>
      <c r="F114" s="11"/>
      <c r="G114" s="11"/>
      <c r="H114" s="11"/>
      <c r="I114" s="11"/>
      <c r="J114" s="11"/>
      <c r="K114" s="11"/>
      <c r="L114" s="11"/>
      <c r="M114" s="25"/>
      <c r="N114" s="28"/>
      <c r="O114" s="25"/>
      <c r="P114" s="28"/>
      <c r="Q114" s="25"/>
      <c r="R114" s="28"/>
      <c r="S114" s="25"/>
      <c r="T114" s="28"/>
      <c r="U114" s="28"/>
      <c r="V114" s="25"/>
      <c r="W114" s="15"/>
      <c r="X114" s="52"/>
    </row>
    <row r="115" spans="1:24" ht="20.45" customHeight="1" thickBot="1">
      <c r="A115" s="10"/>
      <c r="B115" s="11"/>
      <c r="C115" s="11"/>
      <c r="D115" s="11"/>
      <c r="E115" s="12"/>
      <c r="F115" s="11"/>
      <c r="G115" s="11"/>
      <c r="H115" s="11"/>
      <c r="I115" s="11"/>
      <c r="J115" s="11"/>
      <c r="K115" s="11"/>
      <c r="L115" s="11"/>
      <c r="M115" s="25"/>
      <c r="N115" s="28"/>
      <c r="O115" s="25"/>
      <c r="P115" s="28"/>
      <c r="Q115" s="25"/>
      <c r="R115" s="28"/>
      <c r="S115" s="25"/>
      <c r="T115" s="25"/>
      <c r="U115" s="28"/>
      <c r="V115" s="28"/>
      <c r="W115" s="27"/>
      <c r="X115" s="52"/>
    </row>
    <row r="116" spans="1:24" ht="20.45" customHeight="1">
      <c r="A116" s="1" t="s">
        <v>205</v>
      </c>
      <c r="B116" s="6"/>
      <c r="C116" s="6"/>
      <c r="D116" s="6"/>
      <c r="E116" s="20"/>
      <c r="F116" s="6"/>
      <c r="G116" s="6"/>
      <c r="H116" s="6"/>
      <c r="I116" s="6"/>
      <c r="J116" s="6"/>
      <c r="K116" s="6"/>
      <c r="L116" s="6"/>
      <c r="M116" s="6"/>
      <c r="N116" s="6"/>
      <c r="O116" s="6"/>
      <c r="P116" s="6"/>
      <c r="Q116" s="22"/>
      <c r="R116" s="6"/>
      <c r="S116" s="6"/>
      <c r="T116" s="6"/>
      <c r="U116" s="6"/>
      <c r="V116" s="23"/>
      <c r="W116" s="35"/>
      <c r="X116" s="52"/>
    </row>
    <row r="117" spans="1:24" ht="20.45" customHeight="1">
      <c r="A117" s="10" t="s">
        <v>96</v>
      </c>
      <c r="B117" s="11">
        <v>1.0648148148148148E-2</v>
      </c>
      <c r="C117" s="11">
        <v>2.9513888888888888E-3</v>
      </c>
      <c r="D117" s="11">
        <f t="shared" ref="D117:D122" si="48">B117*E117</f>
        <v>6.1950925925925923E-3</v>
      </c>
      <c r="E117" s="12">
        <v>0.58179999999999998</v>
      </c>
      <c r="F117" s="11">
        <f t="shared" ref="F117:F122" si="49">C117/4</f>
        <v>7.378472222222222E-4</v>
      </c>
      <c r="G117" s="11">
        <f t="shared" ref="G117:G122" si="50">D117/7.5</f>
        <v>8.2601234567901232E-4</v>
      </c>
      <c r="H117" s="11">
        <f t="shared" ref="H117:H122" si="51">B117/12.5</f>
        <v>8.5185185185185179E-4</v>
      </c>
      <c r="I117" s="11">
        <f t="shared" ref="I117:I122" si="52">G117/0.93</f>
        <v>8.8818531793442184E-4</v>
      </c>
      <c r="J117" s="11">
        <f t="shared" ref="J117:J122" si="53">G117/0.92</f>
        <v>8.9783950617283942E-4</v>
      </c>
      <c r="K117" s="11">
        <f t="shared" ref="K117:K122" si="54">G117/0.88</f>
        <v>9.3865039281705945E-4</v>
      </c>
      <c r="L117" s="17">
        <f t="shared" ref="L117:L122" si="55">G117/0.84</f>
        <v>9.833480305702527E-4</v>
      </c>
      <c r="M117" s="25"/>
      <c r="N117" s="28"/>
      <c r="O117" s="25"/>
      <c r="P117" s="25"/>
      <c r="Q117" s="25"/>
      <c r="R117" s="25"/>
      <c r="S117" s="25"/>
      <c r="T117" s="25"/>
      <c r="U117" s="25"/>
      <c r="V117" s="25"/>
      <c r="W117" s="15" t="s">
        <v>48</v>
      </c>
      <c r="X117" s="52"/>
    </row>
    <row r="118" spans="1:24" ht="20.45" customHeight="1">
      <c r="A118" s="10" t="s">
        <v>97</v>
      </c>
      <c r="B118" s="11">
        <v>1.0763888888888889E-2</v>
      </c>
      <c r="C118" s="11">
        <v>2.9513888888888888E-3</v>
      </c>
      <c r="D118" s="11">
        <f>B118*E118</f>
        <v>6.2624305555555549E-3</v>
      </c>
      <c r="E118" s="12">
        <v>0.58179999999999998</v>
      </c>
      <c r="F118" s="11">
        <f>C118/4</f>
        <v>7.378472222222222E-4</v>
      </c>
      <c r="G118" s="11">
        <f>D118/7.5</f>
        <v>8.3499074074074064E-4</v>
      </c>
      <c r="H118" s="11">
        <f>B118/12.5</f>
        <v>8.611111111111111E-4</v>
      </c>
      <c r="I118" s="11">
        <f>G118/0.93</f>
        <v>8.9783950617283931E-4</v>
      </c>
      <c r="J118" s="11">
        <f>G118/0.92</f>
        <v>9.0759863123993545E-4</v>
      </c>
      <c r="K118" s="11">
        <f>G118/0.88</f>
        <v>9.4885311447811432E-4</v>
      </c>
      <c r="L118" s="11">
        <f>G118/0.84</f>
        <v>9.9403659611992947E-4</v>
      </c>
      <c r="M118" s="25"/>
      <c r="N118" s="28"/>
      <c r="O118" s="25"/>
      <c r="P118" s="25"/>
      <c r="Q118" s="25"/>
      <c r="R118" s="25"/>
      <c r="S118" s="25"/>
      <c r="T118" s="25"/>
      <c r="U118" s="25"/>
      <c r="V118" s="25"/>
      <c r="W118" s="15" t="s">
        <v>48</v>
      </c>
      <c r="X118" s="50"/>
    </row>
    <row r="119" spans="1:24" ht="20.45" customHeight="1">
      <c r="A119" s="10" t="s">
        <v>101</v>
      </c>
      <c r="B119" s="11">
        <v>1.1111111111111112E-2</v>
      </c>
      <c r="C119" s="11">
        <v>3.0671296296296297E-3</v>
      </c>
      <c r="D119" s="11">
        <f>B119*E119</f>
        <v>6.4644444444444445E-3</v>
      </c>
      <c r="E119" s="12">
        <v>0.58179999999999998</v>
      </c>
      <c r="F119" s="11">
        <f>C119/4</f>
        <v>7.6678240740740743E-4</v>
      </c>
      <c r="G119" s="11">
        <f>D119/7.5</f>
        <v>8.6192592592592592E-4</v>
      </c>
      <c r="H119" s="11">
        <f>B119/12.5</f>
        <v>8.8888888888888893E-4</v>
      </c>
      <c r="I119" s="11">
        <f>G119/0.93</f>
        <v>9.2680207088809239E-4</v>
      </c>
      <c r="J119" s="11">
        <f>G119/0.92</f>
        <v>9.3687600644122375E-4</v>
      </c>
      <c r="K119" s="11">
        <f>G119/0.88</f>
        <v>9.7946127946127947E-4</v>
      </c>
      <c r="L119" s="11">
        <f>G119/0.84</f>
        <v>1.0261022927689596E-3</v>
      </c>
      <c r="M119" s="25"/>
      <c r="N119" s="28"/>
      <c r="O119" s="25"/>
      <c r="P119" s="25"/>
      <c r="Q119" s="25"/>
      <c r="R119" s="25"/>
      <c r="S119" s="25"/>
      <c r="T119" s="25"/>
      <c r="U119" s="25"/>
      <c r="V119" s="25"/>
      <c r="W119" s="15" t="s">
        <v>48</v>
      </c>
      <c r="X119" s="50"/>
    </row>
    <row r="120" spans="1:24" ht="20.45" customHeight="1">
      <c r="A120" s="10" t="s">
        <v>98</v>
      </c>
      <c r="B120" s="11">
        <v>1.1111111111111112E-2</v>
      </c>
      <c r="C120" s="11">
        <v>3.0671296296296297E-3</v>
      </c>
      <c r="D120" s="11">
        <f>B120*E120</f>
        <v>6.4644444444444445E-3</v>
      </c>
      <c r="E120" s="12">
        <v>0.58179999999999998</v>
      </c>
      <c r="F120" s="11">
        <f>C120/4</f>
        <v>7.6678240740740743E-4</v>
      </c>
      <c r="G120" s="11">
        <f>D120/7.5</f>
        <v>8.6192592592592592E-4</v>
      </c>
      <c r="H120" s="11">
        <f>B120/12.5</f>
        <v>8.8888888888888893E-4</v>
      </c>
      <c r="I120" s="11">
        <f>G120/0.93</f>
        <v>9.2680207088809239E-4</v>
      </c>
      <c r="J120" s="11">
        <f>G120/0.92</f>
        <v>9.3687600644122375E-4</v>
      </c>
      <c r="K120" s="11">
        <f>G120/0.88</f>
        <v>9.7946127946127947E-4</v>
      </c>
      <c r="L120" s="11">
        <f>G120/0.84</f>
        <v>1.0261022927689596E-3</v>
      </c>
      <c r="M120" s="25"/>
      <c r="N120" s="28"/>
      <c r="O120" s="25"/>
      <c r="P120" s="25"/>
      <c r="Q120" s="25"/>
      <c r="R120" s="25"/>
      <c r="S120" s="25"/>
      <c r="T120" s="25"/>
      <c r="U120" s="25"/>
      <c r="V120" s="25"/>
      <c r="W120" s="27" t="s">
        <v>48</v>
      </c>
      <c r="X120" s="50"/>
    </row>
    <row r="121" spans="1:24" ht="20.45" customHeight="1">
      <c r="A121" s="10" t="s">
        <v>103</v>
      </c>
      <c r="B121" s="11">
        <v>1.1111111111111112E-2</v>
      </c>
      <c r="C121" s="11">
        <v>3.0671296296296297E-3</v>
      </c>
      <c r="D121" s="11">
        <f t="shared" si="48"/>
        <v>6.4644444444444445E-3</v>
      </c>
      <c r="E121" s="12">
        <v>0.58179999999999998</v>
      </c>
      <c r="F121" s="11">
        <f t="shared" si="49"/>
        <v>7.6678240740740743E-4</v>
      </c>
      <c r="G121" s="11">
        <f t="shared" si="50"/>
        <v>8.6192592592592592E-4</v>
      </c>
      <c r="H121" s="11">
        <f t="shared" si="51"/>
        <v>8.8888888888888893E-4</v>
      </c>
      <c r="I121" s="11">
        <f t="shared" si="52"/>
        <v>9.2680207088809239E-4</v>
      </c>
      <c r="J121" s="11">
        <f t="shared" si="53"/>
        <v>9.3687600644122375E-4</v>
      </c>
      <c r="K121" s="11">
        <f t="shared" si="54"/>
        <v>9.7946127946127947E-4</v>
      </c>
      <c r="L121" s="17">
        <f t="shared" si="55"/>
        <v>1.0261022927689596E-3</v>
      </c>
      <c r="M121" s="25"/>
      <c r="N121" s="28"/>
      <c r="O121" s="25"/>
      <c r="P121" s="25"/>
      <c r="Q121" s="25"/>
      <c r="R121" s="25"/>
      <c r="S121" s="25"/>
      <c r="T121" s="25"/>
      <c r="U121" s="25"/>
      <c r="V121" s="25"/>
      <c r="W121" s="15" t="s">
        <v>48</v>
      </c>
      <c r="X121" s="50"/>
    </row>
    <row r="122" spans="1:24" ht="20.45" customHeight="1">
      <c r="A122" s="10" t="s">
        <v>104</v>
      </c>
      <c r="B122" s="11">
        <v>1.1458333333333333E-2</v>
      </c>
      <c r="C122" s="11">
        <v>3.2986111111111111E-3</v>
      </c>
      <c r="D122" s="11">
        <f t="shared" si="48"/>
        <v>6.6664583333333324E-3</v>
      </c>
      <c r="E122" s="12">
        <v>0.58179999999999998</v>
      </c>
      <c r="F122" s="11">
        <f t="shared" si="49"/>
        <v>8.2465277777777778E-4</v>
      </c>
      <c r="G122" s="11">
        <f t="shared" si="50"/>
        <v>8.8886111111111099E-4</v>
      </c>
      <c r="H122" s="11">
        <f t="shared" si="51"/>
        <v>9.1666666666666665E-4</v>
      </c>
      <c r="I122" s="11">
        <f t="shared" si="52"/>
        <v>9.5576463560334514E-4</v>
      </c>
      <c r="J122" s="11">
        <f t="shared" si="53"/>
        <v>9.6615338164251195E-4</v>
      </c>
      <c r="K122" s="11">
        <f t="shared" si="54"/>
        <v>1.0100694444444443E-3</v>
      </c>
      <c r="L122" s="11">
        <f t="shared" si="55"/>
        <v>1.0581679894179892E-3</v>
      </c>
      <c r="M122" s="25"/>
      <c r="N122" s="28"/>
      <c r="O122" s="25"/>
      <c r="P122" s="25"/>
      <c r="Q122" s="25"/>
      <c r="R122" s="25"/>
      <c r="S122" s="25"/>
      <c r="T122" s="25"/>
      <c r="U122" s="25"/>
      <c r="V122" s="25"/>
      <c r="W122" s="15" t="s">
        <v>48</v>
      </c>
      <c r="X122" s="50"/>
    </row>
    <row r="123" spans="1:24" ht="20.45" customHeight="1">
      <c r="A123" s="10" t="s">
        <v>99</v>
      </c>
      <c r="B123" s="11">
        <v>1.1458333333333333E-2</v>
      </c>
      <c r="C123" s="11">
        <v>3.0092592592592593E-3</v>
      </c>
      <c r="D123" s="11">
        <f>B123*E123</f>
        <v>6.6664583333333324E-3</v>
      </c>
      <c r="E123" s="12">
        <v>0.58179999999999998</v>
      </c>
      <c r="F123" s="11">
        <f>C123/4</f>
        <v>7.5231481481481482E-4</v>
      </c>
      <c r="G123" s="11">
        <f>D123/7.5</f>
        <v>8.8886111111111099E-4</v>
      </c>
      <c r="H123" s="11">
        <f>B123/12.5</f>
        <v>9.1666666666666665E-4</v>
      </c>
      <c r="I123" s="11">
        <f>G123/0.93</f>
        <v>9.5576463560334514E-4</v>
      </c>
      <c r="J123" s="11">
        <f>G123/0.92</f>
        <v>9.6615338164251195E-4</v>
      </c>
      <c r="K123" s="11">
        <f>G123/0.88</f>
        <v>1.0100694444444443E-3</v>
      </c>
      <c r="L123" s="11">
        <f>G123/0.84</f>
        <v>1.0581679894179892E-3</v>
      </c>
      <c r="M123" s="25"/>
      <c r="N123" s="28"/>
      <c r="O123" s="25"/>
      <c r="P123" s="25"/>
      <c r="Q123" s="25"/>
      <c r="R123" s="25"/>
      <c r="S123" s="25"/>
      <c r="T123" s="25"/>
      <c r="U123" s="25"/>
      <c r="V123" s="25"/>
      <c r="W123" s="27" t="s">
        <v>48</v>
      </c>
      <c r="X123" s="50"/>
    </row>
    <row r="124" spans="1:24" ht="20.45" customHeight="1">
      <c r="A124" s="10" t="s">
        <v>102</v>
      </c>
      <c r="B124" s="11">
        <v>1.1458333333333333E-2</v>
      </c>
      <c r="C124" s="11">
        <v>3.0671296296296297E-3</v>
      </c>
      <c r="D124" s="11">
        <f>B124*E124</f>
        <v>6.6664583333333324E-3</v>
      </c>
      <c r="E124" s="12">
        <v>0.58179999999999998</v>
      </c>
      <c r="F124" s="11">
        <f>C124/4</f>
        <v>7.6678240740740743E-4</v>
      </c>
      <c r="G124" s="11">
        <f>D124/7.5</f>
        <v>8.8886111111111099E-4</v>
      </c>
      <c r="H124" s="11">
        <f>B124/12.5</f>
        <v>9.1666666666666665E-4</v>
      </c>
      <c r="I124" s="11">
        <f>G124/0.93</f>
        <v>9.5576463560334514E-4</v>
      </c>
      <c r="J124" s="11">
        <f>G124/0.92</f>
        <v>9.6615338164251195E-4</v>
      </c>
      <c r="K124" s="11">
        <f>G124/0.88</f>
        <v>1.0100694444444443E-3</v>
      </c>
      <c r="L124" s="11">
        <f>G124/0.84</f>
        <v>1.0581679894179892E-3</v>
      </c>
      <c r="M124" s="25"/>
      <c r="N124" s="28"/>
      <c r="O124" s="25"/>
      <c r="P124" s="25"/>
      <c r="Q124" s="25"/>
      <c r="R124" s="25"/>
      <c r="S124" s="25"/>
      <c r="T124" s="25"/>
      <c r="U124" s="25"/>
      <c r="V124" s="25"/>
      <c r="W124" s="27" t="s">
        <v>48</v>
      </c>
      <c r="X124" s="50"/>
    </row>
    <row r="125" spans="1:24" ht="20.45" customHeight="1">
      <c r="A125" s="10" t="s">
        <v>94</v>
      </c>
      <c r="B125" s="11">
        <v>1.0416666666666666E-2</v>
      </c>
      <c r="C125" s="11">
        <v>2.8935185185185188E-3</v>
      </c>
      <c r="D125" s="11">
        <f>B125*E125</f>
        <v>6.0604166666666662E-3</v>
      </c>
      <c r="E125" s="12">
        <v>0.58179999999999998</v>
      </c>
      <c r="F125" s="11">
        <f>C125/4</f>
        <v>7.233796296296297E-4</v>
      </c>
      <c r="G125" s="11">
        <f>D125/7.5</f>
        <v>8.0805555555555546E-4</v>
      </c>
      <c r="H125" s="11">
        <f>B125/12.5</f>
        <v>8.3333333333333328E-4</v>
      </c>
      <c r="I125" s="11">
        <f>G125/0.93</f>
        <v>8.6887694145758646E-4</v>
      </c>
      <c r="J125" s="11">
        <f>G125/0.92</f>
        <v>8.7832125603864715E-4</v>
      </c>
      <c r="K125" s="11">
        <f>G125/0.88</f>
        <v>9.1824494949494938E-4</v>
      </c>
      <c r="L125" s="17">
        <f>G125/0.84</f>
        <v>9.6197089947089938E-4</v>
      </c>
      <c r="M125" s="25"/>
      <c r="N125" s="28"/>
      <c r="O125" s="25"/>
      <c r="P125" s="25"/>
      <c r="Q125" s="25"/>
      <c r="R125" s="28"/>
      <c r="S125" s="25"/>
      <c r="T125" s="25"/>
      <c r="U125" s="28"/>
      <c r="V125" s="25"/>
      <c r="W125" s="15" t="s">
        <v>48</v>
      </c>
      <c r="X125" s="50"/>
    </row>
    <row r="126" spans="1:24" ht="20.45" customHeight="1">
      <c r="A126" s="10" t="s">
        <v>115</v>
      </c>
      <c r="B126" s="11">
        <v>1.0416666666666666E-2</v>
      </c>
      <c r="C126" s="11">
        <v>2.9513888888888888E-3</v>
      </c>
      <c r="D126" s="11">
        <f>B126*E126</f>
        <v>6.0604166666666662E-3</v>
      </c>
      <c r="E126" s="12">
        <v>0.58179999999999998</v>
      </c>
      <c r="F126" s="11">
        <f>C126/4</f>
        <v>7.378472222222222E-4</v>
      </c>
      <c r="G126" s="11">
        <f>D126/7.5</f>
        <v>8.0805555555555546E-4</v>
      </c>
      <c r="H126" s="11">
        <f>B126/12.5</f>
        <v>8.3333333333333328E-4</v>
      </c>
      <c r="I126" s="11">
        <f>G126/0.93</f>
        <v>8.6887694145758646E-4</v>
      </c>
      <c r="J126" s="11">
        <f>G126/0.92</f>
        <v>8.7832125603864715E-4</v>
      </c>
      <c r="K126" s="11">
        <f>G126/0.88</f>
        <v>9.1824494949494938E-4</v>
      </c>
      <c r="L126" s="11">
        <f>G126/0.84</f>
        <v>9.6197089947089938E-4</v>
      </c>
      <c r="M126" s="25"/>
      <c r="N126" s="28"/>
      <c r="O126" s="25"/>
      <c r="P126" s="25"/>
      <c r="Q126" s="25"/>
      <c r="R126" s="28"/>
      <c r="S126" s="25"/>
      <c r="T126" s="25"/>
      <c r="U126" s="28"/>
      <c r="V126" s="25"/>
      <c r="W126" s="27" t="s">
        <v>48</v>
      </c>
      <c r="X126" s="50"/>
    </row>
    <row r="127" spans="1:24" ht="20.45" customHeight="1">
      <c r="A127" s="10" t="s">
        <v>114</v>
      </c>
      <c r="B127" s="11">
        <v>1.087962962962963E-2</v>
      </c>
      <c r="C127" s="11">
        <v>3.0671296296296297E-3</v>
      </c>
      <c r="D127" s="11">
        <f>B127*E127</f>
        <v>6.3297685185185184E-3</v>
      </c>
      <c r="E127" s="12">
        <v>0.58179999999999998</v>
      </c>
      <c r="F127" s="11">
        <f>C127/4</f>
        <v>7.6678240740740743E-4</v>
      </c>
      <c r="G127" s="11">
        <f>D127/7.5</f>
        <v>8.4396913580246917E-4</v>
      </c>
      <c r="H127" s="11">
        <f>B127/12.5</f>
        <v>8.7037037037037042E-4</v>
      </c>
      <c r="I127" s="11">
        <f>G127/0.93</f>
        <v>9.0749369441125711E-4</v>
      </c>
      <c r="J127" s="11">
        <f>G127/0.92</f>
        <v>9.173577563070317E-4</v>
      </c>
      <c r="K127" s="11">
        <f>G127/0.88</f>
        <v>9.5905583613916951E-4</v>
      </c>
      <c r="L127" s="11">
        <f>G127/0.84</f>
        <v>1.0047251616696062E-3</v>
      </c>
      <c r="M127" s="25"/>
      <c r="N127" s="28"/>
      <c r="O127" s="25"/>
      <c r="P127" s="25"/>
      <c r="Q127" s="25"/>
      <c r="R127" s="25"/>
      <c r="S127" s="25"/>
      <c r="T127" s="25"/>
      <c r="U127" s="25"/>
      <c r="V127" s="25"/>
      <c r="W127" s="15" t="s">
        <v>48</v>
      </c>
      <c r="X127" s="50"/>
    </row>
    <row r="128" spans="1:24" ht="20.45" customHeight="1">
      <c r="A128" s="10"/>
      <c r="B128" s="11"/>
      <c r="C128" s="11"/>
      <c r="D128" s="11"/>
      <c r="E128" s="12"/>
      <c r="F128" s="11"/>
      <c r="G128" s="11"/>
      <c r="H128" s="11"/>
      <c r="I128" s="11"/>
      <c r="J128" s="11"/>
      <c r="K128" s="11"/>
      <c r="L128" s="11"/>
      <c r="M128" s="25"/>
      <c r="N128" s="28"/>
      <c r="O128" s="25"/>
      <c r="P128" s="25"/>
      <c r="Q128" s="25"/>
      <c r="R128" s="25"/>
      <c r="S128" s="25"/>
      <c r="T128" s="25"/>
      <c r="U128" s="28"/>
      <c r="V128" s="25"/>
      <c r="W128" s="15"/>
      <c r="X128" s="50"/>
    </row>
    <row r="129" spans="1:24" ht="20.45" customHeight="1">
      <c r="A129" s="19"/>
      <c r="B129" s="6"/>
      <c r="C129" s="6"/>
      <c r="D129" s="6"/>
      <c r="E129" s="20"/>
      <c r="F129" s="6"/>
      <c r="G129" s="6"/>
      <c r="H129" s="6"/>
      <c r="I129" s="6"/>
      <c r="J129" s="6"/>
      <c r="K129" s="6"/>
      <c r="L129" s="6"/>
      <c r="M129" s="6"/>
      <c r="N129" s="6"/>
      <c r="O129" s="6"/>
      <c r="P129" s="6"/>
      <c r="Q129" s="6"/>
      <c r="R129" s="6"/>
      <c r="S129" s="6"/>
      <c r="T129" s="6"/>
      <c r="U129" s="6"/>
      <c r="V129" s="23"/>
      <c r="W129" s="35"/>
      <c r="X129" s="50"/>
    </row>
    <row r="130" spans="1:24" ht="20.45" customHeight="1">
      <c r="A130" s="10" t="s">
        <v>107</v>
      </c>
      <c r="B130" s="11">
        <v>1.1111111111111112E-2</v>
      </c>
      <c r="C130" s="11">
        <v>3.2407407407407406E-3</v>
      </c>
      <c r="D130" s="11">
        <f t="shared" ref="D130:D133" si="56">B130*E130</f>
        <v>6.4644444444444445E-3</v>
      </c>
      <c r="E130" s="12">
        <v>0.58179999999999998</v>
      </c>
      <c r="F130" s="11">
        <f t="shared" ref="F130:F133" si="57">C130/4</f>
        <v>8.1018518518518516E-4</v>
      </c>
      <c r="G130" s="11">
        <f t="shared" ref="G130:G133" si="58">D130/7.5</f>
        <v>8.6192592592592592E-4</v>
      </c>
      <c r="H130" s="11">
        <f t="shared" ref="H130:H133" si="59">B130/12.5</f>
        <v>8.8888888888888893E-4</v>
      </c>
      <c r="I130" s="11">
        <f t="shared" ref="I130:I133" si="60">G130/0.93</f>
        <v>9.2680207088809239E-4</v>
      </c>
      <c r="J130" s="11">
        <f t="shared" ref="J130:J133" si="61">G130/0.92</f>
        <v>9.3687600644122375E-4</v>
      </c>
      <c r="K130" s="11">
        <f t="shared" ref="K130:K133" si="62">G130/0.88</f>
        <v>9.7946127946127947E-4</v>
      </c>
      <c r="L130" s="11">
        <f t="shared" ref="L130:L133" si="63">G130/0.84</f>
        <v>1.0261022927689596E-3</v>
      </c>
      <c r="M130" s="25"/>
      <c r="N130" s="28"/>
      <c r="O130" s="25"/>
      <c r="P130" s="25"/>
      <c r="Q130" s="25"/>
      <c r="R130" s="28"/>
      <c r="S130" s="25"/>
      <c r="T130" s="25"/>
      <c r="U130" s="28"/>
      <c r="V130" s="28"/>
      <c r="W130" s="15" t="s">
        <v>52</v>
      </c>
      <c r="X130" s="50"/>
    </row>
    <row r="131" spans="1:24" ht="20.45" customHeight="1">
      <c r="A131" s="10" t="s">
        <v>164</v>
      </c>
      <c r="B131" s="11">
        <v>1.1342592592592593E-2</v>
      </c>
      <c r="C131" s="11">
        <v>3.2407407407407406E-3</v>
      </c>
      <c r="D131" s="11">
        <f t="shared" si="56"/>
        <v>6.5991203703703706E-3</v>
      </c>
      <c r="E131" s="12">
        <v>0.58179999999999998</v>
      </c>
      <c r="F131" s="11">
        <f t="shared" si="57"/>
        <v>8.1018518518518516E-4</v>
      </c>
      <c r="G131" s="11">
        <f t="shared" si="58"/>
        <v>8.7988271604938278E-4</v>
      </c>
      <c r="H131" s="11">
        <f t="shared" si="59"/>
        <v>9.0740740740740745E-4</v>
      </c>
      <c r="I131" s="11">
        <f t="shared" si="60"/>
        <v>9.4611044736492766E-4</v>
      </c>
      <c r="J131" s="11">
        <f t="shared" si="61"/>
        <v>9.5639425657541603E-4</v>
      </c>
      <c r="K131" s="11">
        <f t="shared" si="62"/>
        <v>9.9986672278338943E-4</v>
      </c>
      <c r="L131" s="11">
        <f t="shared" si="63"/>
        <v>1.0474794238683129E-3</v>
      </c>
      <c r="M131" s="25"/>
      <c r="N131" s="28"/>
      <c r="O131" s="25"/>
      <c r="P131" s="28"/>
      <c r="Q131" s="28"/>
      <c r="R131" s="11"/>
      <c r="S131" s="14"/>
      <c r="T131" s="14"/>
      <c r="U131" s="26"/>
      <c r="V131" s="28"/>
      <c r="W131" s="27" t="s">
        <v>52</v>
      </c>
      <c r="X131" s="50"/>
    </row>
    <row r="132" spans="1:24" ht="20.45" customHeight="1">
      <c r="A132" s="10" t="s">
        <v>108</v>
      </c>
      <c r="B132" s="11">
        <v>1.0763888888888891E-2</v>
      </c>
      <c r="C132" s="11">
        <v>3.0671296296296297E-3</v>
      </c>
      <c r="D132" s="11">
        <f t="shared" si="56"/>
        <v>6.2624305555555567E-3</v>
      </c>
      <c r="E132" s="12">
        <v>0.58179999999999998</v>
      </c>
      <c r="F132" s="11">
        <f t="shared" si="57"/>
        <v>7.6678240740740743E-4</v>
      </c>
      <c r="G132" s="11">
        <f t="shared" si="58"/>
        <v>8.3499074074074085E-4</v>
      </c>
      <c r="H132" s="11">
        <f t="shared" si="59"/>
        <v>8.6111111111111121E-4</v>
      </c>
      <c r="I132" s="11">
        <f t="shared" si="60"/>
        <v>8.9783950617283953E-4</v>
      </c>
      <c r="J132" s="11">
        <f t="shared" si="61"/>
        <v>9.0759863123993567E-4</v>
      </c>
      <c r="K132" s="11">
        <f t="shared" si="62"/>
        <v>9.4885311447811464E-4</v>
      </c>
      <c r="L132" s="11">
        <f t="shared" si="63"/>
        <v>9.9403659611992969E-4</v>
      </c>
      <c r="M132" s="25"/>
      <c r="N132" s="28"/>
      <c r="O132" s="25"/>
      <c r="P132" s="28"/>
      <c r="Q132" s="25"/>
      <c r="R132" s="28"/>
      <c r="S132" s="25"/>
      <c r="T132" s="25"/>
      <c r="U132" s="28"/>
      <c r="V132" s="28"/>
      <c r="W132" s="15" t="s">
        <v>52</v>
      </c>
      <c r="X132" s="50"/>
    </row>
    <row r="133" spans="1:24" ht="20.45" customHeight="1">
      <c r="A133" s="10" t="s">
        <v>105</v>
      </c>
      <c r="B133" s="11">
        <v>1.0648148148148148E-2</v>
      </c>
      <c r="C133" s="11">
        <v>2.9745370370370373E-3</v>
      </c>
      <c r="D133" s="11">
        <f t="shared" si="56"/>
        <v>6.1950925925925923E-3</v>
      </c>
      <c r="E133" s="12">
        <v>0.58179999999999998</v>
      </c>
      <c r="F133" s="11">
        <f t="shared" si="57"/>
        <v>7.4363425925925931E-4</v>
      </c>
      <c r="G133" s="11">
        <f t="shared" si="58"/>
        <v>8.2601234567901232E-4</v>
      </c>
      <c r="H133" s="11">
        <f t="shared" si="59"/>
        <v>8.5185185185185179E-4</v>
      </c>
      <c r="I133" s="11">
        <f t="shared" si="60"/>
        <v>8.8818531793442184E-4</v>
      </c>
      <c r="J133" s="11">
        <f t="shared" si="61"/>
        <v>8.9783950617283942E-4</v>
      </c>
      <c r="K133" s="11">
        <f t="shared" si="62"/>
        <v>9.3865039281705945E-4</v>
      </c>
      <c r="L133" s="11">
        <f t="shared" si="63"/>
        <v>9.833480305702527E-4</v>
      </c>
      <c r="M133" s="37"/>
      <c r="N133" s="28"/>
      <c r="O133" s="25"/>
      <c r="P133" s="25"/>
      <c r="Q133" s="25"/>
      <c r="R133" s="25"/>
      <c r="S133" s="25"/>
      <c r="T133" s="25"/>
      <c r="U133" s="28"/>
      <c r="V133" s="25"/>
      <c r="W133" s="15" t="s">
        <v>52</v>
      </c>
      <c r="X133" s="50"/>
    </row>
    <row r="134" spans="1:24" ht="20.45" customHeight="1">
      <c r="A134" s="10"/>
      <c r="B134" s="11"/>
      <c r="C134" s="11"/>
      <c r="D134" s="11"/>
      <c r="E134" s="12"/>
      <c r="F134" s="11"/>
      <c r="G134" s="11"/>
      <c r="H134" s="11"/>
      <c r="I134" s="11"/>
      <c r="J134" s="11"/>
      <c r="K134" s="11"/>
      <c r="L134" s="11"/>
      <c r="M134" s="25"/>
      <c r="N134" s="28"/>
      <c r="O134" s="25"/>
      <c r="P134" s="25"/>
      <c r="Q134" s="25"/>
      <c r="R134" s="25"/>
      <c r="S134" s="25"/>
      <c r="T134" s="25"/>
      <c r="U134" s="28"/>
      <c r="V134" s="25"/>
      <c r="W134" s="15"/>
      <c r="X134" s="50"/>
    </row>
    <row r="135" spans="1:24" ht="20.45" customHeight="1">
      <c r="A135" s="10"/>
      <c r="B135" s="11"/>
      <c r="C135" s="11"/>
      <c r="D135" s="11"/>
      <c r="E135" s="12"/>
      <c r="F135" s="11"/>
      <c r="G135" s="11"/>
      <c r="H135" s="11"/>
      <c r="I135" s="11"/>
      <c r="J135" s="11"/>
      <c r="K135" s="11"/>
      <c r="L135" s="11"/>
      <c r="M135" s="25"/>
      <c r="N135" s="28"/>
      <c r="O135" s="25"/>
      <c r="P135" s="25"/>
      <c r="Q135" s="25"/>
      <c r="R135" s="25"/>
      <c r="S135" s="25"/>
      <c r="T135" s="25"/>
      <c r="U135" s="25"/>
      <c r="V135" s="25"/>
      <c r="W135" s="27"/>
      <c r="X135" s="50"/>
    </row>
    <row r="136" spans="1:24" ht="20.45" customHeight="1">
      <c r="A136" s="10"/>
      <c r="B136" s="11"/>
      <c r="C136" s="11"/>
      <c r="D136" s="11"/>
      <c r="E136" s="12"/>
      <c r="F136" s="11"/>
      <c r="G136" s="11"/>
      <c r="H136" s="11"/>
      <c r="I136" s="11"/>
      <c r="J136" s="11"/>
      <c r="K136" s="11"/>
      <c r="L136" s="17"/>
      <c r="M136" s="25"/>
      <c r="N136" s="28"/>
      <c r="O136" s="25"/>
      <c r="P136" s="25"/>
      <c r="Q136" s="25"/>
      <c r="R136" s="25"/>
      <c r="S136" s="25"/>
      <c r="T136" s="25"/>
      <c r="U136" s="28"/>
      <c r="V136" s="25"/>
      <c r="W136" s="15"/>
      <c r="X136" s="50"/>
    </row>
    <row r="137" spans="1:24" ht="20.45" customHeight="1">
      <c r="A137" s="10"/>
      <c r="B137" s="11"/>
      <c r="C137" s="11"/>
      <c r="D137" s="11"/>
      <c r="E137" s="12"/>
      <c r="F137" s="11"/>
      <c r="G137" s="11"/>
      <c r="H137" s="11"/>
      <c r="I137" s="11"/>
      <c r="J137" s="11"/>
      <c r="K137" s="11"/>
      <c r="L137" s="17"/>
      <c r="M137" s="11"/>
      <c r="N137" s="26"/>
      <c r="P137" s="26"/>
      <c r="Q137" s="26"/>
      <c r="R137" s="26"/>
      <c r="S137" s="14"/>
      <c r="T137" s="14"/>
      <c r="U137" s="26"/>
      <c r="V137" s="38"/>
      <c r="W137" s="31"/>
      <c r="X137" s="50"/>
    </row>
    <row r="138" spans="1:24" ht="20.45" customHeight="1">
      <c r="A138" s="10"/>
      <c r="B138" s="11"/>
      <c r="C138" s="11"/>
      <c r="D138" s="11"/>
      <c r="E138" s="12"/>
      <c r="F138" s="11"/>
      <c r="G138" s="11"/>
      <c r="H138" s="11"/>
      <c r="I138" s="11"/>
      <c r="J138" s="11"/>
      <c r="K138" s="11"/>
      <c r="L138" s="11"/>
      <c r="M138" s="25"/>
      <c r="N138" s="28"/>
      <c r="O138" s="25"/>
      <c r="P138" s="25"/>
      <c r="Q138" s="28"/>
      <c r="R138" s="28"/>
      <c r="S138" s="25"/>
      <c r="T138" s="25"/>
      <c r="U138" s="28"/>
      <c r="V138" s="25"/>
      <c r="W138" s="15"/>
      <c r="X138" s="51"/>
    </row>
    <row r="139" spans="1:24" ht="20.45" customHeight="1">
      <c r="A139" s="10"/>
      <c r="B139" s="11"/>
      <c r="C139" s="11"/>
      <c r="D139" s="11"/>
      <c r="E139" s="12"/>
      <c r="F139" s="11"/>
      <c r="G139" s="11"/>
      <c r="H139" s="11"/>
      <c r="I139" s="11"/>
      <c r="J139" s="11"/>
      <c r="K139" s="11"/>
      <c r="L139" s="11"/>
      <c r="M139" s="25"/>
      <c r="N139" s="28"/>
      <c r="O139" s="25"/>
      <c r="P139" s="25"/>
      <c r="Q139" s="25"/>
      <c r="R139" s="25"/>
      <c r="S139" s="25"/>
      <c r="T139" s="25"/>
      <c r="U139" s="28"/>
      <c r="V139" s="25"/>
      <c r="W139" s="15"/>
      <c r="X139" s="51"/>
    </row>
    <row r="140" spans="1:24" ht="20.45" customHeight="1">
      <c r="A140" s="10"/>
      <c r="B140" s="11"/>
      <c r="C140" s="11"/>
      <c r="D140" s="11"/>
      <c r="E140" s="12"/>
      <c r="F140" s="11"/>
      <c r="G140" s="11"/>
      <c r="H140" s="11"/>
      <c r="I140" s="11"/>
      <c r="J140" s="11"/>
      <c r="K140" s="11"/>
      <c r="L140" s="17"/>
      <c r="M140" s="25"/>
      <c r="N140" s="28"/>
      <c r="O140" s="25"/>
      <c r="P140" s="28"/>
      <c r="Q140" s="25"/>
      <c r="R140" s="28"/>
      <c r="S140" s="25"/>
      <c r="T140" s="25"/>
      <c r="U140" s="28"/>
      <c r="V140" s="28"/>
      <c r="W140" s="27"/>
      <c r="X140" s="51"/>
    </row>
    <row r="141" spans="1:24" ht="20.45" customHeight="1">
      <c r="A141" s="10"/>
      <c r="B141" s="11"/>
      <c r="C141" s="11"/>
      <c r="D141" s="11"/>
      <c r="E141" s="12"/>
      <c r="F141" s="11"/>
      <c r="G141" s="11"/>
      <c r="H141" s="11"/>
      <c r="I141" s="11"/>
      <c r="J141" s="11"/>
      <c r="K141" s="11"/>
      <c r="L141" s="11"/>
      <c r="M141" s="11"/>
      <c r="N141" s="26"/>
      <c r="P141" s="26"/>
      <c r="Q141" s="26"/>
      <c r="R141" s="26"/>
      <c r="S141" s="14"/>
      <c r="T141" s="14"/>
      <c r="U141" s="26"/>
      <c r="V141" s="28"/>
      <c r="W141" s="27"/>
      <c r="X141" s="51"/>
    </row>
    <row r="142" spans="1:24" ht="20.100000000000001" customHeight="1">
      <c r="A142" s="10"/>
      <c r="B142" s="11"/>
      <c r="C142" s="11"/>
      <c r="D142" s="11">
        <f>B142*E142</f>
        <v>0</v>
      </c>
      <c r="E142" s="12"/>
      <c r="F142" s="11">
        <f>C142/4</f>
        <v>0</v>
      </c>
      <c r="G142" s="11">
        <f>D142/7.5</f>
        <v>0</v>
      </c>
      <c r="H142" s="11">
        <f>B142/12.5</f>
        <v>0</v>
      </c>
      <c r="I142" s="11">
        <f>G142/0.93</f>
        <v>0</v>
      </c>
      <c r="J142" s="11">
        <f>G142/0.92</f>
        <v>0</v>
      </c>
      <c r="K142" s="11">
        <f>G142/0.88</f>
        <v>0</v>
      </c>
      <c r="L142" s="17">
        <f>G142/0.84</f>
        <v>0</v>
      </c>
      <c r="M142" s="11"/>
      <c r="N142" s="26"/>
      <c r="P142" s="26"/>
      <c r="Q142" s="26"/>
      <c r="R142" s="26"/>
      <c r="S142" s="14"/>
      <c r="T142" s="14"/>
      <c r="U142" s="26"/>
      <c r="V142" s="38"/>
      <c r="W142" s="31"/>
      <c r="X142" s="51"/>
    </row>
    <row r="143" spans="1:24" ht="20.100000000000001" customHeight="1">
      <c r="A143" s="10"/>
      <c r="B143" s="11"/>
      <c r="C143" s="11"/>
      <c r="D143" s="11">
        <f>B143*E143</f>
        <v>0</v>
      </c>
      <c r="E143" s="12"/>
      <c r="F143" s="11">
        <f>C143/4</f>
        <v>0</v>
      </c>
      <c r="G143" s="11">
        <f>D143/7.5</f>
        <v>0</v>
      </c>
      <c r="H143" s="11">
        <f>B143/12.5</f>
        <v>0</v>
      </c>
      <c r="I143" s="11">
        <f>G143/0.93</f>
        <v>0</v>
      </c>
      <c r="J143" s="11">
        <f>G143/0.92</f>
        <v>0</v>
      </c>
      <c r="K143" s="11">
        <f>G143/0.88</f>
        <v>0</v>
      </c>
      <c r="L143" s="17">
        <f>G143/0.84</f>
        <v>0</v>
      </c>
      <c r="M143" s="11"/>
      <c r="N143" s="26"/>
      <c r="P143" s="26"/>
      <c r="Q143" s="26"/>
      <c r="R143" s="26"/>
      <c r="S143" s="14"/>
      <c r="T143" s="14"/>
      <c r="U143" s="26"/>
      <c r="V143" s="38"/>
      <c r="W143" s="31"/>
      <c r="X143" s="51"/>
    </row>
    <row r="144" spans="1:24" ht="20.100000000000001" customHeight="1">
      <c r="A144" s="10"/>
      <c r="B144" s="11"/>
      <c r="C144" s="11"/>
      <c r="D144" s="11">
        <f>B144*E144</f>
        <v>0</v>
      </c>
      <c r="E144" s="12"/>
      <c r="F144" s="11">
        <f>C144/4</f>
        <v>0</v>
      </c>
      <c r="G144" s="11">
        <f>D144/7.5</f>
        <v>0</v>
      </c>
      <c r="H144" s="11">
        <f>B144/12.5</f>
        <v>0</v>
      </c>
      <c r="I144" s="11">
        <f>G144/0.93</f>
        <v>0</v>
      </c>
      <c r="J144" s="11">
        <f>G144/0.92</f>
        <v>0</v>
      </c>
      <c r="K144" s="11">
        <f>G144/0.88</f>
        <v>0</v>
      </c>
      <c r="L144" s="17">
        <f>G144/0.84</f>
        <v>0</v>
      </c>
      <c r="M144" s="11"/>
      <c r="N144" s="26"/>
      <c r="P144" s="26"/>
      <c r="Q144" s="26"/>
      <c r="R144" s="26"/>
      <c r="S144" s="14"/>
      <c r="T144" s="14"/>
      <c r="U144" s="26"/>
      <c r="V144" s="38"/>
      <c r="W144" s="31"/>
      <c r="X144" s="51"/>
    </row>
  </sheetData>
  <mergeCells count="15">
    <mergeCell ref="X118:X127"/>
    <mergeCell ref="X128:X137"/>
    <mergeCell ref="X138:X144"/>
    <mergeCell ref="X58:X67"/>
    <mergeCell ref="X68:X77"/>
    <mergeCell ref="X78:X87"/>
    <mergeCell ref="X88:X97"/>
    <mergeCell ref="X98:X107"/>
    <mergeCell ref="X108:X117"/>
    <mergeCell ref="X51:X57"/>
    <mergeCell ref="X1:X10"/>
    <mergeCell ref="X11:X20"/>
    <mergeCell ref="X21:X30"/>
    <mergeCell ref="X31:X40"/>
    <mergeCell ref="X41:X50"/>
  </mergeCells>
  <pageMargins left="0.25" right="0.25" top="0.25" bottom="0.25" header="0" footer="0"/>
  <pageSetup scale="95" fitToHeight="0" orientation="landscape" r:id="rId1"/>
  <tableParts count="2">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6C531-21A3-4843-A7C2-45B4B04A4C6F}">
  <sheetPr>
    <pageSetUpPr fitToPage="1"/>
  </sheetPr>
  <dimension ref="A1:Z144"/>
  <sheetViews>
    <sheetView topLeftCell="A82" zoomScale="70" zoomScaleNormal="70" workbookViewId="0">
      <selection activeCell="R105" sqref="R105"/>
    </sheetView>
  </sheetViews>
  <sheetFormatPr defaultColWidth="8.7109375" defaultRowHeight="14.45"/>
  <cols>
    <col min="1" max="1" width="19.5703125" customWidth="1"/>
    <col min="2" max="2" width="8.7109375" style="29" hidden="1" customWidth="1"/>
    <col min="3" max="3" width="10.140625" hidden="1" customWidth="1"/>
    <col min="4" max="4" width="8.7109375" style="29" hidden="1" customWidth="1"/>
    <col min="5" max="5" width="9.28515625" hidden="1" customWidth="1"/>
    <col min="6" max="6" width="8.7109375" hidden="1" customWidth="1"/>
    <col min="7" max="7" width="9.28515625" hidden="1" customWidth="1"/>
    <col min="8" max="9" width="8.7109375" hidden="1" customWidth="1"/>
    <col min="10" max="10" width="10.7109375" hidden="1" customWidth="1"/>
    <col min="11" max="11" width="11.42578125" hidden="1" customWidth="1"/>
    <col min="12" max="12" width="6.140625" hidden="1" customWidth="1"/>
    <col min="13" max="13" width="8.7109375" customWidth="1"/>
    <col min="14" max="19" width="10.140625" customWidth="1"/>
    <col min="20" max="22" width="8.7109375" customWidth="1"/>
    <col min="23" max="23" width="3.42578125" customWidth="1"/>
    <col min="24" max="24" width="20.42578125" customWidth="1"/>
    <col min="25" max="25" width="12.28515625" bestFit="1" customWidth="1"/>
    <col min="26" max="27" width="12.85546875" bestFit="1" customWidth="1"/>
  </cols>
  <sheetData>
    <row r="1" spans="1:26" ht="14.45" customHeight="1">
      <c r="A1" s="1" t="s">
        <v>220</v>
      </c>
      <c r="B1" s="2" t="s">
        <v>1</v>
      </c>
      <c r="C1" s="2" t="s">
        <v>2</v>
      </c>
      <c r="D1" s="2" t="s">
        <v>3</v>
      </c>
      <c r="E1" s="3" t="s">
        <v>4</v>
      </c>
      <c r="F1" s="2" t="s">
        <v>5</v>
      </c>
      <c r="G1" s="2" t="s">
        <v>6</v>
      </c>
      <c r="H1" s="2" t="s">
        <v>7</v>
      </c>
      <c r="I1" s="4" t="s">
        <v>8</v>
      </c>
      <c r="J1" s="2" t="s">
        <v>9</v>
      </c>
      <c r="K1" s="2" t="s">
        <v>10</v>
      </c>
      <c r="L1" s="2" t="s">
        <v>11</v>
      </c>
      <c r="M1" s="6" t="s">
        <v>12</v>
      </c>
      <c r="N1" s="6" t="s">
        <v>155</v>
      </c>
      <c r="O1" s="7" t="s">
        <v>146</v>
      </c>
      <c r="P1" s="8" t="s">
        <v>16</v>
      </c>
      <c r="Q1" s="8" t="s">
        <v>153</v>
      </c>
      <c r="R1" s="7" t="s">
        <v>148</v>
      </c>
      <c r="S1" s="7" t="s">
        <v>149</v>
      </c>
      <c r="T1" s="7" t="s">
        <v>77</v>
      </c>
      <c r="U1" s="7" t="s">
        <v>20</v>
      </c>
      <c r="V1" s="7" t="s">
        <v>21</v>
      </c>
      <c r="W1" s="9" t="s">
        <v>22</v>
      </c>
      <c r="X1" s="52" t="s">
        <v>221</v>
      </c>
    </row>
    <row r="2" spans="1:26" ht="21" customHeight="1">
      <c r="A2" s="10" t="s">
        <v>34</v>
      </c>
      <c r="B2" s="11">
        <v>1.1979166666666667E-2</v>
      </c>
      <c r="C2" s="11">
        <v>3.472222222222222E-3</v>
      </c>
      <c r="D2" s="11">
        <f t="shared" ref="D2:D11" si="0">B2*E2</f>
        <v>6.9694791666666672E-3</v>
      </c>
      <c r="E2" s="12">
        <v>0.58179999999999998</v>
      </c>
      <c r="F2" s="11">
        <f t="shared" ref="F2:F11" si="1">C2/4</f>
        <v>8.6805555555555551E-4</v>
      </c>
      <c r="G2" s="11">
        <f t="shared" ref="G2:G11" si="2">D2/7.5</f>
        <v>9.2926388888888898E-4</v>
      </c>
      <c r="H2" s="11">
        <f t="shared" ref="H2:H11" si="3">B2/12.5</f>
        <v>9.5833333333333339E-4</v>
      </c>
      <c r="I2" s="11">
        <f t="shared" ref="I2:I11" si="4">G2/0.93</f>
        <v>9.9920848267622464E-4</v>
      </c>
      <c r="J2" s="11">
        <f t="shared" ref="J2:J11" si="5">G2/0.92</f>
        <v>1.0100694444444445E-3</v>
      </c>
      <c r="K2" s="11">
        <f t="shared" ref="K2:K11" si="6">G2/0.88</f>
        <v>1.055981691919192E-3</v>
      </c>
      <c r="L2" s="11">
        <f t="shared" ref="L2:L11" si="7">G2/0.84</f>
        <v>1.1062665343915346E-3</v>
      </c>
      <c r="M2" s="25">
        <f>WO2025Jan7108141618222428303234384042444648545658626466687072747668121618202226283234[[#This Row],[Thresh]]</f>
        <v>1.055981691919192E-3</v>
      </c>
      <c r="N2" s="28">
        <f>WO2025Jan7108141618222428303234384042444648545658626466687072747668121618202226283234[[#This Row],[Thresh]]*2</f>
        <v>2.1119633838383839E-3</v>
      </c>
      <c r="O2" s="25">
        <f>WO2025Jan7108141618222428303234384042444648545658626466687072747668121618202226283234[[#This Row],[CV]]</f>
        <v>1.0100694444444445E-3</v>
      </c>
      <c r="P2" s="28">
        <f>WO2025Jan7108141618222428303234384042444648545658626466687072747668121618202226283234[[#This Row],[VO2]]/2</f>
        <v>4.6463194444444449E-4</v>
      </c>
      <c r="Q2" s="25">
        <f>WO2025Jan7108141618222428303234384042444648545658626466687072747668121618202226283234[[#This Row],[R]]/2</f>
        <v>4.3402777777777775E-4</v>
      </c>
      <c r="R2" s="25"/>
      <c r="S2" s="25"/>
      <c r="T2" s="28"/>
      <c r="U2" s="11"/>
      <c r="V2" s="36"/>
      <c r="W2" s="15" t="s">
        <v>26</v>
      </c>
      <c r="X2" s="52"/>
    </row>
    <row r="3" spans="1:26" ht="21" customHeight="1">
      <c r="A3" s="10" t="s">
        <v>24</v>
      </c>
      <c r="B3" s="11">
        <v>1.1979166666666667E-2</v>
      </c>
      <c r="C3" s="11">
        <v>3.5300925925925925E-3</v>
      </c>
      <c r="D3" s="11">
        <f t="shared" si="0"/>
        <v>6.9694791666666672E-3</v>
      </c>
      <c r="E3" s="12">
        <v>0.58179999999999998</v>
      </c>
      <c r="F3" s="11">
        <f t="shared" si="1"/>
        <v>8.8252314814814812E-4</v>
      </c>
      <c r="G3" s="11">
        <f t="shared" si="2"/>
        <v>9.2926388888888898E-4</v>
      </c>
      <c r="H3" s="11">
        <f t="shared" si="3"/>
        <v>9.5833333333333339E-4</v>
      </c>
      <c r="I3" s="11">
        <f t="shared" si="4"/>
        <v>9.9920848267622464E-4</v>
      </c>
      <c r="J3" s="11">
        <f t="shared" si="5"/>
        <v>1.0100694444444445E-3</v>
      </c>
      <c r="K3" s="11">
        <f t="shared" si="6"/>
        <v>1.055981691919192E-3</v>
      </c>
      <c r="L3" s="11">
        <f t="shared" si="7"/>
        <v>1.1062665343915346E-3</v>
      </c>
      <c r="M3" s="25">
        <f>WO2025Jan7108141618222428303234384042444648545658626466687072747668121618202226283234[[#This Row],[Thresh]]</f>
        <v>1.055981691919192E-3</v>
      </c>
      <c r="N3" s="28">
        <f>WO2025Jan7108141618222428303234384042444648545658626466687072747668121618202226283234[[#This Row],[Thresh]]*2</f>
        <v>2.1119633838383839E-3</v>
      </c>
      <c r="O3" s="25">
        <f>WO2025Jan7108141618222428303234384042444648545658626466687072747668121618202226283234[[#This Row],[CV]]</f>
        <v>1.0100694444444445E-3</v>
      </c>
      <c r="P3" s="28">
        <f>WO2025Jan7108141618222428303234384042444648545658626466687072747668121618202226283234[[#This Row],[VO2]]/2</f>
        <v>4.6463194444444449E-4</v>
      </c>
      <c r="Q3" s="25">
        <f>WO2025Jan7108141618222428303234384042444648545658626466687072747668121618202226283234[[#This Row],[R]]/2</f>
        <v>4.4126157407407406E-4</v>
      </c>
      <c r="R3" s="25"/>
      <c r="S3" s="25"/>
      <c r="T3" s="28"/>
      <c r="U3" s="11"/>
      <c r="V3" s="36"/>
      <c r="W3" s="15" t="s">
        <v>26</v>
      </c>
      <c r="X3" s="52"/>
      <c r="Z3" s="16"/>
    </row>
    <row r="4" spans="1:26" ht="21" customHeight="1">
      <c r="A4" s="10" t="s">
        <v>60</v>
      </c>
      <c r="B4" s="11">
        <v>1.2268518518518519E-2</v>
      </c>
      <c r="C4" s="11">
        <v>3.6458333333333334E-3</v>
      </c>
      <c r="D4" s="11">
        <f t="shared" si="0"/>
        <v>7.1378240740740742E-3</v>
      </c>
      <c r="E4" s="12">
        <v>0.58179999999999998</v>
      </c>
      <c r="F4" s="11">
        <f t="shared" si="1"/>
        <v>9.1145833333333335E-4</v>
      </c>
      <c r="G4" s="11">
        <f t="shared" si="2"/>
        <v>9.5170987654320989E-4</v>
      </c>
      <c r="H4" s="11">
        <f t="shared" si="3"/>
        <v>9.8148148148148161E-4</v>
      </c>
      <c r="I4" s="11">
        <f t="shared" si="4"/>
        <v>1.0233439532722685E-3</v>
      </c>
      <c r="J4" s="11">
        <f t="shared" si="5"/>
        <v>1.0344672571121847E-3</v>
      </c>
      <c r="K4" s="11">
        <f t="shared" si="6"/>
        <v>1.0814884960718295E-3</v>
      </c>
      <c r="L4" s="11">
        <f t="shared" si="7"/>
        <v>1.1329879482657262E-3</v>
      </c>
      <c r="M4" s="25">
        <f>WO2025Jan7108141618222428303234384042444648545658626466687072747668121618202226283234[[#This Row],[Thresh]]</f>
        <v>1.0814884960718295E-3</v>
      </c>
      <c r="N4" s="28">
        <f>WO2025Jan7108141618222428303234384042444648545658626466687072747668121618202226283234[[#This Row],[Thresh]]*2</f>
        <v>2.1629769921436589E-3</v>
      </c>
      <c r="O4" s="25">
        <f>WO2025Jan7108141618222428303234384042444648545658626466687072747668121618202226283234[[#This Row],[CV]]</f>
        <v>1.0344672571121847E-3</v>
      </c>
      <c r="P4" s="28">
        <f>WO2025Jan7108141618222428303234384042444648545658626466687072747668121618202226283234[[#This Row],[VO2]]/2</f>
        <v>4.7585493827160494E-4</v>
      </c>
      <c r="Q4" s="25">
        <f>WO2025Jan7108141618222428303234384042444648545658626466687072747668121618202226283234[[#This Row],[R]]/2</f>
        <v>4.5572916666666667E-4</v>
      </c>
      <c r="R4" s="25"/>
      <c r="S4" s="25"/>
      <c r="T4" s="28"/>
      <c r="U4" s="11"/>
      <c r="V4" s="36"/>
      <c r="W4" s="15" t="s">
        <v>26</v>
      </c>
      <c r="X4" s="52"/>
    </row>
    <row r="5" spans="1:26" ht="21" customHeight="1">
      <c r="A5" s="10" t="s">
        <v>27</v>
      </c>
      <c r="B5" s="11">
        <v>1.2268518518518519E-2</v>
      </c>
      <c r="C5" s="11">
        <v>3.6458333333333334E-3</v>
      </c>
      <c r="D5" s="11">
        <f>B5*E5</f>
        <v>7.1378240740740742E-3</v>
      </c>
      <c r="E5" s="12">
        <v>0.58179999999999998</v>
      </c>
      <c r="F5" s="11">
        <f>C5/4</f>
        <v>9.1145833333333335E-4</v>
      </c>
      <c r="G5" s="11">
        <f>D5/7.5</f>
        <v>9.5170987654320989E-4</v>
      </c>
      <c r="H5" s="11">
        <f>B5/12.5</f>
        <v>9.8148148148148161E-4</v>
      </c>
      <c r="I5" s="11">
        <f>G5/0.93</f>
        <v>1.0233439532722685E-3</v>
      </c>
      <c r="J5" s="11">
        <f>G5/0.92</f>
        <v>1.0344672571121847E-3</v>
      </c>
      <c r="K5" s="11">
        <f>G5/0.88</f>
        <v>1.0814884960718295E-3</v>
      </c>
      <c r="L5" s="11">
        <f>G5/0.84</f>
        <v>1.1329879482657262E-3</v>
      </c>
      <c r="M5" s="25">
        <f>WO2025Jan7108141618222428303234384042444648545658626466687072747668121618202226283234[[#This Row],[Thresh]]</f>
        <v>1.0814884960718295E-3</v>
      </c>
      <c r="N5" s="28">
        <f>WO2025Jan7108141618222428303234384042444648545658626466687072747668121618202226283234[[#This Row],[Thresh]]*2</f>
        <v>2.1629769921436589E-3</v>
      </c>
      <c r="O5" s="25">
        <f>WO2025Jan7108141618222428303234384042444648545658626466687072747668121618202226283234[[#This Row],[CV]]</f>
        <v>1.0344672571121847E-3</v>
      </c>
      <c r="P5" s="28">
        <f>WO2025Jan7108141618222428303234384042444648545658626466687072747668121618202226283234[[#This Row],[VO2]]/2</f>
        <v>4.7585493827160494E-4</v>
      </c>
      <c r="Q5" s="25">
        <f>WO2025Jan7108141618222428303234384042444648545658626466687072747668121618202226283234[[#This Row],[R]]/2</f>
        <v>4.5572916666666667E-4</v>
      </c>
      <c r="R5" s="25"/>
      <c r="S5" s="25"/>
      <c r="T5" s="28"/>
      <c r="U5" s="11"/>
      <c r="V5" s="36"/>
      <c r="W5" s="15" t="s">
        <v>26</v>
      </c>
      <c r="X5" s="52"/>
    </row>
    <row r="6" spans="1:26" ht="21" customHeight="1">
      <c r="A6" s="10" t="s">
        <v>38</v>
      </c>
      <c r="B6" s="11">
        <v>1.238425925925926E-2</v>
      </c>
      <c r="C6" s="11">
        <v>3.5300925925925925E-3</v>
      </c>
      <c r="D6" s="11">
        <f t="shared" si="0"/>
        <v>7.2051620370370368E-3</v>
      </c>
      <c r="E6" s="12">
        <v>0.58179999999999998</v>
      </c>
      <c r="F6" s="11">
        <f t="shared" si="1"/>
        <v>8.8252314814814812E-4</v>
      </c>
      <c r="G6" s="11">
        <f t="shared" si="2"/>
        <v>9.6068827160493821E-4</v>
      </c>
      <c r="H6" s="11">
        <f t="shared" si="3"/>
        <v>9.9074074074074082E-4</v>
      </c>
      <c r="I6" s="11">
        <f t="shared" si="4"/>
        <v>1.0329981415106862E-3</v>
      </c>
      <c r="J6" s="11">
        <f t="shared" si="5"/>
        <v>1.0442263821792807E-3</v>
      </c>
      <c r="K6" s="11">
        <f t="shared" si="6"/>
        <v>1.0916912177328843E-3</v>
      </c>
      <c r="L6" s="11">
        <f t="shared" si="7"/>
        <v>1.1436765138154027E-3</v>
      </c>
      <c r="M6" s="25">
        <f>WO2025Jan7108141618222428303234384042444648545658626466687072747668121618202226283234[[#This Row],[Thresh]]</f>
        <v>1.0916912177328843E-3</v>
      </c>
      <c r="N6" s="28">
        <f>WO2025Jan7108141618222428303234384042444648545658626466687072747668121618202226283234[[#This Row],[Thresh]]*2</f>
        <v>2.1833824354657687E-3</v>
      </c>
      <c r="O6" s="25">
        <f>WO2025Jan7108141618222428303234384042444648545658626466687072747668121618202226283234[[#This Row],[CV]]</f>
        <v>1.0442263821792807E-3</v>
      </c>
      <c r="P6" s="28">
        <f>WO2025Jan7108141618222428303234384042444648545658626466687072747668121618202226283234[[#This Row],[VO2]]/2</f>
        <v>4.803441358024691E-4</v>
      </c>
      <c r="Q6" s="25">
        <f>WO2025Jan7108141618222428303234384042444648545658626466687072747668121618202226283234[[#This Row],[R]]/2</f>
        <v>4.4126157407407406E-4</v>
      </c>
      <c r="R6" s="25"/>
      <c r="S6" s="25"/>
      <c r="T6" s="28"/>
      <c r="U6" s="11"/>
      <c r="V6" s="36"/>
      <c r="W6" s="15" t="s">
        <v>26</v>
      </c>
      <c r="X6" s="52"/>
    </row>
    <row r="7" spans="1:26" ht="21" customHeight="1">
      <c r="A7" s="10" t="s">
        <v>31</v>
      </c>
      <c r="B7" s="11">
        <v>1.238425925925926E-2</v>
      </c>
      <c r="C7" s="11">
        <v>3.7037037037037038E-3</v>
      </c>
      <c r="D7" s="11">
        <f t="shared" si="0"/>
        <v>7.2051620370370368E-3</v>
      </c>
      <c r="E7" s="12">
        <v>0.58179999999999998</v>
      </c>
      <c r="F7" s="11">
        <f t="shared" si="1"/>
        <v>9.2592592592592596E-4</v>
      </c>
      <c r="G7" s="11">
        <f t="shared" si="2"/>
        <v>9.6068827160493821E-4</v>
      </c>
      <c r="H7" s="11">
        <f t="shared" si="3"/>
        <v>9.9074074074074082E-4</v>
      </c>
      <c r="I7" s="11">
        <f t="shared" si="4"/>
        <v>1.0329981415106862E-3</v>
      </c>
      <c r="J7" s="11">
        <f t="shared" si="5"/>
        <v>1.0442263821792807E-3</v>
      </c>
      <c r="K7" s="11">
        <f t="shared" si="6"/>
        <v>1.0916912177328843E-3</v>
      </c>
      <c r="L7" s="11">
        <f t="shared" si="7"/>
        <v>1.1436765138154027E-3</v>
      </c>
      <c r="M7" s="25">
        <f>WO2025Jan7108141618222428303234384042444648545658626466687072747668121618202226283234[[#This Row],[Thresh]]</f>
        <v>1.0916912177328843E-3</v>
      </c>
      <c r="N7" s="28">
        <f>WO2025Jan7108141618222428303234384042444648545658626466687072747668121618202226283234[[#This Row],[Thresh]]*2</f>
        <v>2.1833824354657687E-3</v>
      </c>
      <c r="O7" s="25">
        <f>WO2025Jan7108141618222428303234384042444648545658626466687072747668121618202226283234[[#This Row],[CV]]</f>
        <v>1.0442263821792807E-3</v>
      </c>
      <c r="P7" s="28">
        <f>WO2025Jan7108141618222428303234384042444648545658626466687072747668121618202226283234[[#This Row],[VO2]]/2</f>
        <v>4.803441358024691E-4</v>
      </c>
      <c r="Q7" s="25">
        <f>WO2025Jan7108141618222428303234384042444648545658626466687072747668121618202226283234[[#This Row],[R]]/2</f>
        <v>4.6296296296296298E-4</v>
      </c>
      <c r="R7" s="25"/>
      <c r="S7" s="25"/>
      <c r="T7" s="28"/>
      <c r="U7" s="11"/>
      <c r="V7" s="36"/>
      <c r="W7" s="15" t="s">
        <v>26</v>
      </c>
      <c r="X7" s="52"/>
    </row>
    <row r="8" spans="1:26" ht="21" customHeight="1">
      <c r="A8" s="10" t="s">
        <v>28</v>
      </c>
      <c r="B8" s="11">
        <v>1.238425925925926E-2</v>
      </c>
      <c r="C8" s="11">
        <v>3.7037037037037038E-3</v>
      </c>
      <c r="D8" s="11">
        <f>B8*E8</f>
        <v>7.2051620370370368E-3</v>
      </c>
      <c r="E8" s="12">
        <v>0.58179999999999998</v>
      </c>
      <c r="F8" s="11">
        <f>C8/4</f>
        <v>9.2592592592592596E-4</v>
      </c>
      <c r="G8" s="11">
        <f>D8/7.5</f>
        <v>9.6068827160493821E-4</v>
      </c>
      <c r="H8" s="11">
        <f>B8/12.5</f>
        <v>9.9074074074074082E-4</v>
      </c>
      <c r="I8" s="11">
        <f>G8/0.93</f>
        <v>1.0329981415106862E-3</v>
      </c>
      <c r="J8" s="11">
        <f>G8/0.92</f>
        <v>1.0442263821792807E-3</v>
      </c>
      <c r="K8" s="11">
        <f>G8/0.88</f>
        <v>1.0916912177328843E-3</v>
      </c>
      <c r="L8" s="11">
        <f>G8/0.84</f>
        <v>1.1436765138154027E-3</v>
      </c>
      <c r="M8" s="25">
        <f>WO2025Jan7108141618222428303234384042444648545658626466687072747668121618202226283234[[#This Row],[Thresh]]</f>
        <v>1.0916912177328843E-3</v>
      </c>
      <c r="N8" s="28">
        <f>WO2025Jan7108141618222428303234384042444648545658626466687072747668121618202226283234[[#This Row],[Thresh]]*2</f>
        <v>2.1833824354657687E-3</v>
      </c>
      <c r="O8" s="25">
        <f>WO2025Jan7108141618222428303234384042444648545658626466687072747668121618202226283234[[#This Row],[CV]]</f>
        <v>1.0442263821792807E-3</v>
      </c>
      <c r="P8" s="28">
        <f>WO2025Jan7108141618222428303234384042444648545658626466687072747668121618202226283234[[#This Row],[VO2]]/2</f>
        <v>4.803441358024691E-4</v>
      </c>
      <c r="Q8" s="25">
        <f>WO2025Jan7108141618222428303234384042444648545658626466687072747668121618202226283234[[#This Row],[R]]/2</f>
        <v>4.6296296296296298E-4</v>
      </c>
      <c r="R8" s="25"/>
      <c r="S8" s="25"/>
      <c r="T8" s="28"/>
      <c r="U8" s="11"/>
      <c r="V8" s="36"/>
      <c r="W8" s="15" t="s">
        <v>26</v>
      </c>
      <c r="X8" s="52"/>
    </row>
    <row r="9" spans="1:26" ht="21" customHeight="1">
      <c r="A9" s="10" t="s">
        <v>62</v>
      </c>
      <c r="B9" s="11">
        <v>1.238425925925926E-2</v>
      </c>
      <c r="C9" s="11">
        <v>3.6458333333333334E-3</v>
      </c>
      <c r="D9" s="11">
        <f>B9*E9</f>
        <v>7.2051620370370368E-3</v>
      </c>
      <c r="E9" s="12">
        <v>0.58179999999999998</v>
      </c>
      <c r="F9" s="11">
        <f>C9/4</f>
        <v>9.1145833333333335E-4</v>
      </c>
      <c r="G9" s="11">
        <f>D9/7.5</f>
        <v>9.6068827160493821E-4</v>
      </c>
      <c r="H9" s="11">
        <f>B9/12.5</f>
        <v>9.9074074074074082E-4</v>
      </c>
      <c r="I9" s="11">
        <f>G9/0.93</f>
        <v>1.0329981415106862E-3</v>
      </c>
      <c r="J9" s="11">
        <f>G9/0.92</f>
        <v>1.0442263821792807E-3</v>
      </c>
      <c r="K9" s="11">
        <f>G9/0.88</f>
        <v>1.0916912177328843E-3</v>
      </c>
      <c r="L9" s="11">
        <f>G9/0.84</f>
        <v>1.1436765138154027E-3</v>
      </c>
      <c r="M9" s="25">
        <f>WO2025Jan7108141618222428303234384042444648545658626466687072747668121618202226283234[[#This Row],[Thresh]]</f>
        <v>1.0916912177328843E-3</v>
      </c>
      <c r="N9" s="28">
        <f>WO2025Jan7108141618222428303234384042444648545658626466687072747668121618202226283234[[#This Row],[Thresh]]*2</f>
        <v>2.1833824354657687E-3</v>
      </c>
      <c r="O9" s="25">
        <f>WO2025Jan7108141618222428303234384042444648545658626466687072747668121618202226283234[[#This Row],[CV]]</f>
        <v>1.0442263821792807E-3</v>
      </c>
      <c r="P9" s="28">
        <f>WO2025Jan7108141618222428303234384042444648545658626466687072747668121618202226283234[[#This Row],[VO2]]/2</f>
        <v>4.803441358024691E-4</v>
      </c>
      <c r="Q9" s="25">
        <f>WO2025Jan7108141618222428303234384042444648545658626466687072747668121618202226283234[[#This Row],[R]]/2</f>
        <v>4.5572916666666667E-4</v>
      </c>
      <c r="R9" s="25"/>
      <c r="S9" s="25"/>
      <c r="T9" s="28"/>
      <c r="U9" s="11"/>
      <c r="V9" s="36"/>
      <c r="W9" s="18" t="s">
        <v>26</v>
      </c>
      <c r="X9" s="52"/>
    </row>
    <row r="10" spans="1:26" ht="21" customHeight="1">
      <c r="A10" s="10" t="s">
        <v>59</v>
      </c>
      <c r="B10" s="11">
        <v>1.2500000000000001E-2</v>
      </c>
      <c r="C10" s="11">
        <v>3.7037037037037038E-3</v>
      </c>
      <c r="D10" s="11">
        <f t="shared" si="0"/>
        <v>7.2725000000000003E-3</v>
      </c>
      <c r="E10" s="12">
        <v>0.58179999999999998</v>
      </c>
      <c r="F10" s="11">
        <f t="shared" si="1"/>
        <v>9.2592592592592596E-4</v>
      </c>
      <c r="G10" s="11">
        <f t="shared" si="2"/>
        <v>9.6966666666666675E-4</v>
      </c>
      <c r="H10" s="11">
        <f t="shared" si="3"/>
        <v>1E-3</v>
      </c>
      <c r="I10" s="11">
        <f t="shared" si="4"/>
        <v>1.0426523297491039E-3</v>
      </c>
      <c r="J10" s="11">
        <f t="shared" si="5"/>
        <v>1.0539855072463768E-3</v>
      </c>
      <c r="K10" s="11">
        <f t="shared" si="6"/>
        <v>1.1018939393939394E-3</v>
      </c>
      <c r="L10" s="17">
        <f t="shared" si="7"/>
        <v>1.1543650793650795E-3</v>
      </c>
      <c r="M10" s="25">
        <f>WO2025Jan7108141618222428303234384042444648545658626466687072747668121618202226283234[[#This Row],[Thresh]]</f>
        <v>1.1018939393939394E-3</v>
      </c>
      <c r="N10" s="28">
        <f>WO2025Jan7108141618222428303234384042444648545658626466687072747668121618202226283234[[#This Row],[Thresh]]*2</f>
        <v>2.2037878787878789E-3</v>
      </c>
      <c r="O10" s="25">
        <f>WO2025Jan7108141618222428303234384042444648545658626466687072747668121618202226283234[[#This Row],[CV]]</f>
        <v>1.0539855072463768E-3</v>
      </c>
      <c r="P10" s="28">
        <f>WO2025Jan7108141618222428303234384042444648545658626466687072747668121618202226283234[[#This Row],[VO2]]/2</f>
        <v>4.8483333333333337E-4</v>
      </c>
      <c r="Q10" s="25">
        <f>WO2025Jan7108141618222428303234384042444648545658626466687072747668121618202226283234[[#This Row],[R]]/2</f>
        <v>4.6296296296296298E-4</v>
      </c>
      <c r="R10" s="25"/>
      <c r="S10" s="25"/>
      <c r="T10" s="28"/>
      <c r="U10" s="11"/>
      <c r="V10" s="36"/>
      <c r="W10" s="15" t="s">
        <v>35</v>
      </c>
      <c r="X10" s="52"/>
    </row>
    <row r="11" spans="1:26" ht="21" customHeight="1">
      <c r="A11" s="10" t="s">
        <v>55</v>
      </c>
      <c r="B11" s="11">
        <v>1.2500000000000001E-2</v>
      </c>
      <c r="C11" s="11">
        <v>3.5879629629629629E-3</v>
      </c>
      <c r="D11" s="11">
        <f t="shared" si="0"/>
        <v>7.2725000000000003E-3</v>
      </c>
      <c r="E11" s="12">
        <v>0.58179999999999998</v>
      </c>
      <c r="F11" s="11">
        <f t="shared" si="1"/>
        <v>8.9699074074074073E-4</v>
      </c>
      <c r="G11" s="11">
        <f t="shared" si="2"/>
        <v>9.6966666666666675E-4</v>
      </c>
      <c r="H11" s="11">
        <f t="shared" si="3"/>
        <v>1E-3</v>
      </c>
      <c r="I11" s="11">
        <f t="shared" si="4"/>
        <v>1.0426523297491039E-3</v>
      </c>
      <c r="J11" s="11">
        <f t="shared" si="5"/>
        <v>1.0539855072463768E-3</v>
      </c>
      <c r="K11" s="11">
        <f t="shared" si="6"/>
        <v>1.1018939393939394E-3</v>
      </c>
      <c r="L11" s="11">
        <f t="shared" si="7"/>
        <v>1.1543650793650795E-3</v>
      </c>
      <c r="M11" s="25">
        <f>WO2025Jan7108141618222428303234384042444648545658626466687072747668121618202226283234[[#This Row],[Thresh]]</f>
        <v>1.1018939393939394E-3</v>
      </c>
      <c r="N11" s="28">
        <f>WO2025Jan7108141618222428303234384042444648545658626466687072747668121618202226283234[[#This Row],[Thresh]]*2</f>
        <v>2.2037878787878789E-3</v>
      </c>
      <c r="O11" s="25">
        <f>WO2025Jan7108141618222428303234384042444648545658626466687072747668121618202226283234[[#This Row],[CV]]</f>
        <v>1.0539855072463768E-3</v>
      </c>
      <c r="P11" s="28">
        <f>WO2025Jan7108141618222428303234384042444648545658626466687072747668121618202226283234[[#This Row],[VO2]]/2</f>
        <v>4.8483333333333337E-4</v>
      </c>
      <c r="Q11" s="25">
        <f>WO2025Jan7108141618222428303234384042444648545658626466687072747668121618202226283234[[#This Row],[R]]/2</f>
        <v>4.4849537037037037E-4</v>
      </c>
      <c r="R11" s="25"/>
      <c r="S11" s="25"/>
      <c r="T11" s="28"/>
      <c r="U11" s="11"/>
      <c r="V11" s="36"/>
      <c r="W11" s="18" t="s">
        <v>26</v>
      </c>
      <c r="X11" s="52" t="s">
        <v>222</v>
      </c>
    </row>
    <row r="12" spans="1:26" ht="21" customHeight="1">
      <c r="A12" s="10" t="s">
        <v>29</v>
      </c>
      <c r="B12" s="11">
        <v>1.2500000000000001E-2</v>
      </c>
      <c r="C12" s="11">
        <v>3.8194444444444443E-3</v>
      </c>
      <c r="D12" s="11">
        <f>B12*E12</f>
        <v>7.2725000000000003E-3</v>
      </c>
      <c r="E12" s="12">
        <v>0.58179999999999998</v>
      </c>
      <c r="F12" s="11">
        <f>C12/4</f>
        <v>9.5486111111111108E-4</v>
      </c>
      <c r="G12" s="11">
        <f>D12/7.5</f>
        <v>9.6966666666666675E-4</v>
      </c>
      <c r="H12" s="11">
        <f>B12/12.5</f>
        <v>1E-3</v>
      </c>
      <c r="I12" s="11">
        <f>G12/0.93</f>
        <v>1.0426523297491039E-3</v>
      </c>
      <c r="J12" s="11">
        <f>G12/0.92</f>
        <v>1.0539855072463768E-3</v>
      </c>
      <c r="K12" s="11">
        <f>G12/0.88</f>
        <v>1.1018939393939394E-3</v>
      </c>
      <c r="L12" s="11">
        <f>G12/0.84</f>
        <v>1.1543650793650795E-3</v>
      </c>
      <c r="M12" s="25">
        <f>WO2025Jan7108141618222428303234384042444648545658626466687072747668121618202226283234[[#This Row],[Thresh]]</f>
        <v>1.1018939393939394E-3</v>
      </c>
      <c r="N12" s="28">
        <f>WO2025Jan7108141618222428303234384042444648545658626466687072747668121618202226283234[[#This Row],[Thresh]]*2</f>
        <v>2.2037878787878789E-3</v>
      </c>
      <c r="O12" s="25">
        <f>WO2025Jan7108141618222428303234384042444648545658626466687072747668121618202226283234[[#This Row],[CV]]</f>
        <v>1.0539855072463768E-3</v>
      </c>
      <c r="P12" s="28">
        <f>WO2025Jan7108141618222428303234384042444648545658626466687072747668121618202226283234[[#This Row],[VO2]]/2</f>
        <v>4.8483333333333337E-4</v>
      </c>
      <c r="Q12" s="25">
        <f>WO2025Jan7108141618222428303234384042444648545658626466687072747668121618202226283234[[#This Row],[R]]/2</f>
        <v>4.7743055555555554E-4</v>
      </c>
      <c r="R12" s="25"/>
      <c r="S12" s="25"/>
      <c r="T12" s="28"/>
      <c r="U12" s="11"/>
      <c r="V12" s="36"/>
      <c r="W12" s="18" t="s">
        <v>26</v>
      </c>
      <c r="X12" s="52"/>
    </row>
    <row r="13" spans="1:26" ht="21" customHeight="1">
      <c r="A13" s="10" t="s">
        <v>30</v>
      </c>
      <c r="B13" s="11">
        <v>1.2500000000000001E-2</v>
      </c>
      <c r="C13" s="11">
        <v>3.6458333333333334E-3</v>
      </c>
      <c r="D13" s="11">
        <f>B13*E13</f>
        <v>7.2725000000000003E-3</v>
      </c>
      <c r="E13" s="12">
        <v>0.58179999999999998</v>
      </c>
      <c r="F13" s="11">
        <f>C13/4</f>
        <v>9.1145833333333335E-4</v>
      </c>
      <c r="G13" s="11">
        <f>D13/7.5</f>
        <v>9.6966666666666675E-4</v>
      </c>
      <c r="H13" s="11">
        <f>B13/12.5</f>
        <v>1E-3</v>
      </c>
      <c r="I13" s="11">
        <f>G13/0.93</f>
        <v>1.0426523297491039E-3</v>
      </c>
      <c r="J13" s="11">
        <f>G13/0.92</f>
        <v>1.0539855072463768E-3</v>
      </c>
      <c r="K13" s="11">
        <f>G13/0.88</f>
        <v>1.1018939393939394E-3</v>
      </c>
      <c r="L13" s="11">
        <f>G13/0.84</f>
        <v>1.1543650793650795E-3</v>
      </c>
      <c r="M13" s="25">
        <f>WO2025Jan7108141618222428303234384042444648545658626466687072747668121618202226283234[[#This Row],[Thresh]]</f>
        <v>1.1018939393939394E-3</v>
      </c>
      <c r="N13" s="28">
        <f>WO2025Jan7108141618222428303234384042444648545658626466687072747668121618202226283234[[#This Row],[Thresh]]*2</f>
        <v>2.2037878787878789E-3</v>
      </c>
      <c r="O13" s="25">
        <f>WO2025Jan7108141618222428303234384042444648545658626466687072747668121618202226283234[[#This Row],[CV]]</f>
        <v>1.0539855072463768E-3</v>
      </c>
      <c r="P13" s="28">
        <f>WO2025Jan7108141618222428303234384042444648545658626466687072747668121618202226283234[[#This Row],[VO2]]/2</f>
        <v>4.8483333333333337E-4</v>
      </c>
      <c r="Q13" s="25">
        <f>WO2025Jan7108141618222428303234384042444648545658626466687072747668121618202226283234[[#This Row],[R]]/2</f>
        <v>4.5572916666666667E-4</v>
      </c>
      <c r="R13" s="25"/>
      <c r="S13" s="25"/>
      <c r="T13" s="28"/>
      <c r="U13" s="11"/>
      <c r="V13" s="36"/>
      <c r="W13" s="15" t="s">
        <v>26</v>
      </c>
      <c r="X13" s="52"/>
    </row>
    <row r="14" spans="1:26" ht="21" customHeight="1">
      <c r="A14" s="10" t="s">
        <v>63</v>
      </c>
      <c r="B14" s="11">
        <v>1.2615740740740742E-2</v>
      </c>
      <c r="C14" s="11">
        <v>3.7037037037037038E-3</v>
      </c>
      <c r="D14" s="11">
        <f>B14*E14</f>
        <v>7.3398379629629629E-3</v>
      </c>
      <c r="E14" s="12">
        <v>0.58179999999999998</v>
      </c>
      <c r="F14" s="11">
        <f>C14/4</f>
        <v>9.2592592592592596E-4</v>
      </c>
      <c r="G14" s="11">
        <f>D14/7.5</f>
        <v>9.7864506172839496E-4</v>
      </c>
      <c r="H14" s="11">
        <f>B14/12.5</f>
        <v>1.0092592592592592E-3</v>
      </c>
      <c r="I14" s="11">
        <f>G14/0.93</f>
        <v>1.0523065179875214E-3</v>
      </c>
      <c r="J14" s="11">
        <f>G14/0.92</f>
        <v>1.0637446323134728E-3</v>
      </c>
      <c r="K14" s="11">
        <f>G14/0.88</f>
        <v>1.1120966610549943E-3</v>
      </c>
      <c r="L14" s="11">
        <f>G14/0.84</f>
        <v>1.165053644914756E-3</v>
      </c>
      <c r="M14" s="25">
        <f>WO2025Jan7108141618222428303234384042444648545658626466687072747668121618202226283234[[#This Row],[Thresh]]</f>
        <v>1.1120966610549943E-3</v>
      </c>
      <c r="N14" s="28">
        <f>WO2025Jan7108141618222428303234384042444648545658626466687072747668121618202226283234[[#This Row],[Thresh]]*2</f>
        <v>2.2241933221099886E-3</v>
      </c>
      <c r="O14" s="25">
        <f>WO2025Jan7108141618222428303234384042444648545658626466687072747668121618202226283234[[#This Row],[CV]]</f>
        <v>1.0637446323134728E-3</v>
      </c>
      <c r="P14" s="28">
        <f>WO2025Jan7108141618222428303234384042444648545658626466687072747668121618202226283234[[#This Row],[VO2]]/2</f>
        <v>4.8932253086419748E-4</v>
      </c>
      <c r="Q14" s="25">
        <f>WO2025Jan7108141618222428303234384042444648545658626466687072747668121618202226283234[[#This Row],[R]]/2</f>
        <v>4.6296296296296298E-4</v>
      </c>
      <c r="R14" s="25"/>
      <c r="S14" s="25"/>
      <c r="T14" s="28"/>
      <c r="U14" s="11"/>
      <c r="V14" s="36"/>
      <c r="W14" s="15" t="s">
        <v>35</v>
      </c>
      <c r="X14" s="52"/>
    </row>
    <row r="15" spans="1:26" ht="21" customHeight="1">
      <c r="A15" s="10" t="s">
        <v>64</v>
      </c>
      <c r="B15" s="11">
        <v>1.2615740740740742E-2</v>
      </c>
      <c r="C15" s="11">
        <v>3.5879629629629629E-3</v>
      </c>
      <c r="D15" s="11">
        <f>B15*E15</f>
        <v>7.3398379629629629E-3</v>
      </c>
      <c r="E15" s="12">
        <v>0.58179999999999998</v>
      </c>
      <c r="F15" s="11">
        <f>C15/4</f>
        <v>8.9699074074074073E-4</v>
      </c>
      <c r="G15" s="11">
        <f>D15/7.5</f>
        <v>9.7864506172839496E-4</v>
      </c>
      <c r="H15" s="11">
        <f>B15/12.5</f>
        <v>1.0092592592592592E-3</v>
      </c>
      <c r="I15" s="11">
        <f>G15/0.93</f>
        <v>1.0523065179875214E-3</v>
      </c>
      <c r="J15" s="11">
        <f>G15/0.92</f>
        <v>1.0637446323134728E-3</v>
      </c>
      <c r="K15" s="11">
        <f>G15/0.88</f>
        <v>1.1120966610549943E-3</v>
      </c>
      <c r="L15" s="11">
        <f>G15/0.84</f>
        <v>1.165053644914756E-3</v>
      </c>
      <c r="M15" s="25">
        <f>WO2025Jan7108141618222428303234384042444648545658626466687072747668121618202226283234[[#This Row],[Thresh]]</f>
        <v>1.1120966610549943E-3</v>
      </c>
      <c r="N15" s="28">
        <f>WO2025Jan7108141618222428303234384042444648545658626466687072747668121618202226283234[[#This Row],[Thresh]]*2</f>
        <v>2.2241933221099886E-3</v>
      </c>
      <c r="O15" s="25">
        <f>WO2025Jan7108141618222428303234384042444648545658626466687072747668121618202226283234[[#This Row],[CV]]</f>
        <v>1.0637446323134728E-3</v>
      </c>
      <c r="P15" s="28">
        <f>WO2025Jan7108141618222428303234384042444648545658626466687072747668121618202226283234[[#This Row],[VO2]]/2</f>
        <v>4.8932253086419748E-4</v>
      </c>
      <c r="Q15" s="25">
        <f>WO2025Jan7108141618222428303234384042444648545658626466687072747668121618202226283234[[#This Row],[R]]/2</f>
        <v>4.4849537037037037E-4</v>
      </c>
      <c r="R15" s="25"/>
      <c r="S15" s="25"/>
      <c r="T15" s="28"/>
      <c r="U15" s="11"/>
      <c r="V15" s="36"/>
      <c r="W15" s="15" t="s">
        <v>35</v>
      </c>
      <c r="X15" s="52"/>
    </row>
    <row r="16" spans="1:26" ht="21" customHeight="1">
      <c r="A16" s="10" t="s">
        <v>49</v>
      </c>
      <c r="B16" s="11">
        <v>1.2731481481481481E-2</v>
      </c>
      <c r="C16" s="11">
        <v>3.5879629629629629E-3</v>
      </c>
      <c r="D16" s="11">
        <f t="shared" ref="D16:D25" si="8">B16*E16</f>
        <v>7.4071759259259256E-3</v>
      </c>
      <c r="E16" s="12">
        <v>0.58179999999999998</v>
      </c>
      <c r="F16" s="11">
        <f t="shared" ref="F16:F25" si="9">C16/4</f>
        <v>8.9699074074074073E-4</v>
      </c>
      <c r="G16" s="11">
        <f t="shared" ref="G16:G25" si="10">D16/7.5</f>
        <v>9.8762345679012349E-4</v>
      </c>
      <c r="H16" s="11">
        <f t="shared" ref="H16:H25" si="11">B16/12.5</f>
        <v>1.0185185185185184E-3</v>
      </c>
      <c r="I16" s="11">
        <f t="shared" ref="I16:I25" si="12">G16/0.93</f>
        <v>1.0619607062259391E-3</v>
      </c>
      <c r="J16" s="11">
        <f t="shared" ref="J16:J25" si="13">G16/0.92</f>
        <v>1.073503757380569E-3</v>
      </c>
      <c r="K16" s="11">
        <f t="shared" ref="K16:K25" si="14">G16/0.88</f>
        <v>1.1222993827160494E-3</v>
      </c>
      <c r="L16" s="11">
        <f t="shared" ref="L16:L25" si="15">G16/0.84</f>
        <v>1.1757422104644328E-3</v>
      </c>
      <c r="M16" s="25">
        <f>WO2025Jan7108141618222428303234384042444648545658626466687072747668121618202226283234[[#This Row],[Thresh]]</f>
        <v>1.1222993827160494E-3</v>
      </c>
      <c r="N16" s="28">
        <f>WO2025Jan7108141618222428303234384042444648545658626466687072747668121618202226283234[[#This Row],[Thresh]]*2</f>
        <v>2.2445987654320988E-3</v>
      </c>
      <c r="O16" s="25">
        <f>WO2025Jan7108141618222428303234384042444648545658626466687072747668121618202226283234[[#This Row],[CV]]</f>
        <v>1.073503757380569E-3</v>
      </c>
      <c r="P16" s="28">
        <f>WO2025Jan7108141618222428303234384042444648545658626466687072747668121618202226283234[[#This Row],[VO2]]/2</f>
        <v>4.9381172839506175E-4</v>
      </c>
      <c r="Q16" s="25">
        <f>WO2025Jan7108141618222428303234384042444648545658626466687072747668121618202226283234[[#This Row],[R]]/2</f>
        <v>4.4849537037037037E-4</v>
      </c>
      <c r="R16" s="25"/>
      <c r="S16" s="25"/>
      <c r="T16" s="28"/>
      <c r="U16" s="11"/>
      <c r="V16" s="36"/>
      <c r="W16" s="15" t="s">
        <v>35</v>
      </c>
      <c r="X16" s="52"/>
    </row>
    <row r="17" spans="1:24" ht="21" customHeight="1">
      <c r="A17" s="10" t="s">
        <v>65</v>
      </c>
      <c r="B17" s="11">
        <v>1.2731481481481481E-2</v>
      </c>
      <c r="C17" s="11">
        <v>3.8194444444444443E-3</v>
      </c>
      <c r="D17" s="11">
        <f t="shared" si="8"/>
        <v>7.4071759259259256E-3</v>
      </c>
      <c r="E17" s="12">
        <v>0.58179999999999998</v>
      </c>
      <c r="F17" s="11">
        <f t="shared" si="9"/>
        <v>9.5486111111111108E-4</v>
      </c>
      <c r="G17" s="11">
        <f t="shared" si="10"/>
        <v>9.8762345679012349E-4</v>
      </c>
      <c r="H17" s="11">
        <f t="shared" si="11"/>
        <v>1.0185185185185184E-3</v>
      </c>
      <c r="I17" s="11">
        <f t="shared" si="12"/>
        <v>1.0619607062259391E-3</v>
      </c>
      <c r="J17" s="11">
        <f t="shared" si="13"/>
        <v>1.073503757380569E-3</v>
      </c>
      <c r="K17" s="11">
        <f t="shared" si="14"/>
        <v>1.1222993827160494E-3</v>
      </c>
      <c r="L17" s="11">
        <f t="shared" si="15"/>
        <v>1.1757422104644328E-3</v>
      </c>
      <c r="M17" s="25">
        <f>WO2025Jan7108141618222428303234384042444648545658626466687072747668121618202226283234[[#This Row],[Thresh]]</f>
        <v>1.1222993827160494E-3</v>
      </c>
      <c r="N17" s="28">
        <f>WO2025Jan7108141618222428303234384042444648545658626466687072747668121618202226283234[[#This Row],[Thresh]]*2</f>
        <v>2.2445987654320988E-3</v>
      </c>
      <c r="O17" s="25">
        <f>WO2025Jan7108141618222428303234384042444648545658626466687072747668121618202226283234[[#This Row],[CV]]</f>
        <v>1.073503757380569E-3</v>
      </c>
      <c r="P17" s="28">
        <f>WO2025Jan7108141618222428303234384042444648545658626466687072747668121618202226283234[[#This Row],[VO2]]/2</f>
        <v>4.9381172839506175E-4</v>
      </c>
      <c r="Q17" s="25">
        <f>WO2025Jan7108141618222428303234384042444648545658626466687072747668121618202226283234[[#This Row],[R]]/2</f>
        <v>4.7743055555555554E-4</v>
      </c>
      <c r="R17" s="25"/>
      <c r="S17" s="25"/>
      <c r="T17" s="28"/>
      <c r="U17" s="11"/>
      <c r="V17" s="36"/>
      <c r="W17" s="15" t="s">
        <v>35</v>
      </c>
      <c r="X17" s="52"/>
    </row>
    <row r="18" spans="1:24" ht="21" customHeight="1">
      <c r="A18" s="10" t="s">
        <v>66</v>
      </c>
      <c r="B18" s="11">
        <v>1.2731481481481481E-2</v>
      </c>
      <c r="C18" s="11">
        <v>3.6458333333333334E-3</v>
      </c>
      <c r="D18" s="11">
        <f>B18*E18</f>
        <v>7.4071759259259256E-3</v>
      </c>
      <c r="E18" s="12">
        <v>0.58179999999999998</v>
      </c>
      <c r="F18" s="11">
        <f>C18/4</f>
        <v>9.1145833333333335E-4</v>
      </c>
      <c r="G18" s="11">
        <f>D18/7.5</f>
        <v>9.8762345679012349E-4</v>
      </c>
      <c r="H18" s="11">
        <f>B18/12.5</f>
        <v>1.0185185185185184E-3</v>
      </c>
      <c r="I18" s="11">
        <f>G18/0.93</f>
        <v>1.0619607062259391E-3</v>
      </c>
      <c r="J18" s="11">
        <f>G18/0.92</f>
        <v>1.073503757380569E-3</v>
      </c>
      <c r="K18" s="11">
        <f>G18/0.88</f>
        <v>1.1222993827160494E-3</v>
      </c>
      <c r="L18" s="17">
        <f>G18/0.84</f>
        <v>1.1757422104644328E-3</v>
      </c>
      <c r="M18" s="25">
        <f>WO2025Jan7108141618222428303234384042444648545658626466687072747668121618202226283234[[#This Row],[Thresh]]</f>
        <v>1.1222993827160494E-3</v>
      </c>
      <c r="N18" s="28">
        <f>WO2025Jan7108141618222428303234384042444648545658626466687072747668121618202226283234[[#This Row],[Thresh]]*2</f>
        <v>2.2445987654320988E-3</v>
      </c>
      <c r="O18" s="25">
        <f>WO2025Jan7108141618222428303234384042444648545658626466687072747668121618202226283234[[#This Row],[CV]]</f>
        <v>1.073503757380569E-3</v>
      </c>
      <c r="P18" s="28">
        <f>WO2025Jan7108141618222428303234384042444648545658626466687072747668121618202226283234[[#This Row],[VO2]]/2</f>
        <v>4.9381172839506175E-4</v>
      </c>
      <c r="Q18" s="25">
        <f>WO2025Jan7108141618222428303234384042444648545658626466687072747668121618202226283234[[#This Row],[R]]/2</f>
        <v>4.5572916666666667E-4</v>
      </c>
      <c r="R18" s="25"/>
      <c r="S18" s="25"/>
      <c r="T18" s="28"/>
      <c r="U18" s="11"/>
      <c r="V18" s="36"/>
      <c r="W18" s="15" t="s">
        <v>35</v>
      </c>
      <c r="X18" s="52"/>
    </row>
    <row r="19" spans="1:24" ht="21" customHeight="1">
      <c r="A19" s="10" t="s">
        <v>67</v>
      </c>
      <c r="B19" s="11">
        <v>1.3020833333333334E-2</v>
      </c>
      <c r="C19" s="11">
        <v>3.8194444444444443E-3</v>
      </c>
      <c r="D19" s="11">
        <f>B19*E19</f>
        <v>7.5755208333333334E-3</v>
      </c>
      <c r="E19" s="12">
        <v>0.58179999999999998</v>
      </c>
      <c r="F19" s="11">
        <f>C19/4</f>
        <v>9.5486111111111108E-4</v>
      </c>
      <c r="G19" s="11">
        <f>D19/7.5</f>
        <v>1.0100694444444445E-3</v>
      </c>
      <c r="H19" s="11">
        <f>B19/12.5</f>
        <v>1.0416666666666667E-3</v>
      </c>
      <c r="I19" s="11">
        <f>G19/0.93</f>
        <v>1.0860961768219832E-3</v>
      </c>
      <c r="J19" s="11">
        <f>G19/0.92</f>
        <v>1.0979015700483092E-3</v>
      </c>
      <c r="K19" s="11">
        <f>G19/0.88</f>
        <v>1.1478061868686869E-3</v>
      </c>
      <c r="L19" s="11">
        <f>G19/0.84</f>
        <v>1.2024636243386244E-3</v>
      </c>
      <c r="M19" s="25">
        <f>WO2025Jan7108141618222428303234384042444648545658626466687072747668121618202226283234[[#This Row],[Thresh]]</f>
        <v>1.1478061868686869E-3</v>
      </c>
      <c r="N19" s="28">
        <f>WO2025Jan7108141618222428303234384042444648545658626466687072747668121618202226283234[[#This Row],[Thresh]]*2</f>
        <v>2.2956123737373738E-3</v>
      </c>
      <c r="O19" s="25">
        <f>WO2025Jan7108141618222428303234384042444648545658626466687072747668121618202226283234[[#This Row],[CV]]</f>
        <v>1.0979015700483092E-3</v>
      </c>
      <c r="P19" s="28">
        <f>WO2025Jan7108141618222428303234384042444648545658626466687072747668121618202226283234[[#This Row],[VO2]]/2</f>
        <v>5.0503472222222226E-4</v>
      </c>
      <c r="Q19" s="25">
        <f>WO2025Jan7108141618222428303234384042444648545658626466687072747668121618202226283234[[#This Row],[R]]/2</f>
        <v>4.7743055555555554E-4</v>
      </c>
      <c r="R19" s="25"/>
      <c r="S19" s="25"/>
      <c r="T19" s="28"/>
      <c r="U19" s="11"/>
      <c r="V19" s="36"/>
      <c r="W19" s="18" t="s">
        <v>35</v>
      </c>
      <c r="X19" s="52"/>
    </row>
    <row r="20" spans="1:24" ht="21" customHeight="1">
      <c r="A20" s="10" t="s">
        <v>58</v>
      </c>
      <c r="B20" s="11">
        <v>1.3020833333333334E-2</v>
      </c>
      <c r="C20" s="11">
        <v>4.1087962962962962E-3</v>
      </c>
      <c r="D20" s="11">
        <f>B20*E20</f>
        <v>7.5755208333333334E-3</v>
      </c>
      <c r="E20" s="12">
        <v>0.58179999999999998</v>
      </c>
      <c r="F20" s="11">
        <f>C20/4</f>
        <v>1.027199074074074E-3</v>
      </c>
      <c r="G20" s="11">
        <f>D20/7.5</f>
        <v>1.0100694444444445E-3</v>
      </c>
      <c r="H20" s="11">
        <f>B20/12.5</f>
        <v>1.0416666666666667E-3</v>
      </c>
      <c r="I20" s="11">
        <f>G20/0.93</f>
        <v>1.0860961768219832E-3</v>
      </c>
      <c r="J20" s="11">
        <f>G20/0.92</f>
        <v>1.0979015700483092E-3</v>
      </c>
      <c r="K20" s="11">
        <f>G20/0.88</f>
        <v>1.1478061868686869E-3</v>
      </c>
      <c r="L20" s="11">
        <f>G20/0.84</f>
        <v>1.2024636243386244E-3</v>
      </c>
      <c r="M20" s="25">
        <f>WO2025Jan7108141618222428303234384042444648545658626466687072747668121618202226283234[[#This Row],[Thresh]]</f>
        <v>1.1478061868686869E-3</v>
      </c>
      <c r="N20" s="28">
        <f>WO2025Jan7108141618222428303234384042444648545658626466687072747668121618202226283234[[#This Row],[Thresh]]*2</f>
        <v>2.2956123737373738E-3</v>
      </c>
      <c r="O20" s="25">
        <f>WO2025Jan7108141618222428303234384042444648545658626466687072747668121618202226283234[[#This Row],[CV]]</f>
        <v>1.0979015700483092E-3</v>
      </c>
      <c r="P20" s="28">
        <f>WO2025Jan7108141618222428303234384042444648545658626466687072747668121618202226283234[[#This Row],[VO2]]/2</f>
        <v>5.0503472222222226E-4</v>
      </c>
      <c r="Q20" s="25">
        <f>WO2025Jan7108141618222428303234384042444648545658626466687072747668121618202226283234[[#This Row],[R]]/2</f>
        <v>5.1359953703703702E-4</v>
      </c>
      <c r="R20" s="25"/>
      <c r="S20" s="25"/>
      <c r="T20" s="28"/>
      <c r="U20" s="11"/>
      <c r="V20" s="36"/>
      <c r="W20" s="15" t="s">
        <v>35</v>
      </c>
      <c r="X20" s="52"/>
    </row>
    <row r="21" spans="1:24" ht="21" customHeight="1">
      <c r="A21" s="10" t="s">
        <v>68</v>
      </c>
      <c r="B21" s="11">
        <v>1.3020833333333334E-2</v>
      </c>
      <c r="C21" s="11">
        <v>3.9351851851851848E-3</v>
      </c>
      <c r="D21" s="11">
        <f>B21*E21</f>
        <v>7.5755208333333334E-3</v>
      </c>
      <c r="E21" s="12">
        <v>0.58179999999999998</v>
      </c>
      <c r="F21" s="11">
        <f>C21/4</f>
        <v>9.837962962962962E-4</v>
      </c>
      <c r="G21" s="11">
        <f>D21/7.5</f>
        <v>1.0100694444444445E-3</v>
      </c>
      <c r="H21" s="11">
        <f>B21/12.5</f>
        <v>1.0416666666666667E-3</v>
      </c>
      <c r="I21" s="11">
        <f>G21/0.93</f>
        <v>1.0860961768219832E-3</v>
      </c>
      <c r="J21" s="11">
        <f>G21/0.92</f>
        <v>1.0979015700483092E-3</v>
      </c>
      <c r="K21" s="11">
        <f>G21/0.88</f>
        <v>1.1478061868686869E-3</v>
      </c>
      <c r="L21" s="11">
        <f>G21/0.84</f>
        <v>1.2024636243386244E-3</v>
      </c>
      <c r="M21" s="25">
        <f>WO2025Jan7108141618222428303234384042444648545658626466687072747668121618202226283234[[#This Row],[Thresh]]</f>
        <v>1.1478061868686869E-3</v>
      </c>
      <c r="N21" s="28">
        <f>WO2025Jan7108141618222428303234384042444648545658626466687072747668121618202226283234[[#This Row],[Thresh]]*2</f>
        <v>2.2956123737373738E-3</v>
      </c>
      <c r="O21" s="25">
        <f>WO2025Jan7108141618222428303234384042444648545658626466687072747668121618202226283234[[#This Row],[CV]]</f>
        <v>1.0979015700483092E-3</v>
      </c>
      <c r="P21" s="28">
        <f>WO2025Jan7108141618222428303234384042444648545658626466687072747668121618202226283234[[#This Row],[VO2]]/2</f>
        <v>5.0503472222222226E-4</v>
      </c>
      <c r="Q21" s="25">
        <f>WO2025Jan7108141618222428303234384042444648545658626466687072747668121618202226283234[[#This Row],[R]]/2</f>
        <v>4.918981481481481E-4</v>
      </c>
      <c r="R21" s="25"/>
      <c r="S21" s="25"/>
      <c r="T21" s="28"/>
      <c r="U21" s="11"/>
      <c r="V21" s="36"/>
      <c r="W21" s="15" t="s">
        <v>35</v>
      </c>
      <c r="X21" s="52" t="s">
        <v>223</v>
      </c>
    </row>
    <row r="22" spans="1:24" ht="21" customHeight="1">
      <c r="A22" s="10" t="s">
        <v>69</v>
      </c>
      <c r="B22" s="11">
        <v>1.3541666666666667E-2</v>
      </c>
      <c r="C22" s="11">
        <v>4.0509259259259257E-3</v>
      </c>
      <c r="D22" s="11">
        <f t="shared" si="8"/>
        <v>7.8785416666666674E-3</v>
      </c>
      <c r="E22" s="12">
        <v>0.58179999999999998</v>
      </c>
      <c r="F22" s="11">
        <f t="shared" si="9"/>
        <v>1.0127314814814814E-3</v>
      </c>
      <c r="G22" s="11">
        <f t="shared" si="10"/>
        <v>1.0504722222222224E-3</v>
      </c>
      <c r="H22" s="11">
        <f t="shared" si="11"/>
        <v>1.0833333333333333E-3</v>
      </c>
      <c r="I22" s="11">
        <f t="shared" si="12"/>
        <v>1.1295400238948627E-3</v>
      </c>
      <c r="J22" s="11">
        <f t="shared" si="13"/>
        <v>1.1418176328502417E-3</v>
      </c>
      <c r="K22" s="11">
        <f t="shared" si="14"/>
        <v>1.1937184343434346E-3</v>
      </c>
      <c r="L22" s="11">
        <f t="shared" si="15"/>
        <v>1.2505621693121695E-3</v>
      </c>
      <c r="M22" s="25">
        <f>WO2025Jan7108141618222428303234384042444648545658626466687072747668121618202226283234[[#This Row],[Thresh]]</f>
        <v>1.1937184343434346E-3</v>
      </c>
      <c r="N22" s="28">
        <f>WO2025Jan7108141618222428303234384042444648545658626466687072747668121618202226283234[[#This Row],[Thresh]]*2</f>
        <v>2.3874368686868691E-3</v>
      </c>
      <c r="O22" s="25">
        <f>WO2025Jan7108141618222428303234384042444648545658626466687072747668121618202226283234[[#This Row],[CV]]</f>
        <v>1.1418176328502417E-3</v>
      </c>
      <c r="P22" s="28">
        <f>WO2025Jan7108141618222428303234384042444648545658626466687072747668121618202226283234[[#This Row],[VO2]]/2</f>
        <v>5.2523611111111119E-4</v>
      </c>
      <c r="Q22" s="25">
        <f>WO2025Jan7108141618222428303234384042444648545658626466687072747668121618202226283234[[#This Row],[R]]/2</f>
        <v>5.0636574074074071E-4</v>
      </c>
      <c r="R22" s="25"/>
      <c r="S22" s="25"/>
      <c r="T22" s="28"/>
      <c r="U22" s="11"/>
      <c r="V22" s="36"/>
      <c r="W22" s="15" t="s">
        <v>35</v>
      </c>
      <c r="X22" s="52"/>
    </row>
    <row r="23" spans="1:24" ht="21" customHeight="1">
      <c r="A23" s="10" t="s">
        <v>70</v>
      </c>
      <c r="B23" s="11">
        <v>1.3541666666666667E-2</v>
      </c>
      <c r="C23" s="11">
        <v>4.0509259259259257E-3</v>
      </c>
      <c r="D23" s="11">
        <f t="shared" si="8"/>
        <v>7.8785416666666674E-3</v>
      </c>
      <c r="E23" s="12">
        <v>0.58179999999999998</v>
      </c>
      <c r="F23" s="11">
        <f t="shared" si="9"/>
        <v>1.0127314814814814E-3</v>
      </c>
      <c r="G23" s="11">
        <f t="shared" si="10"/>
        <v>1.0504722222222224E-3</v>
      </c>
      <c r="H23" s="11">
        <f t="shared" si="11"/>
        <v>1.0833333333333333E-3</v>
      </c>
      <c r="I23" s="11">
        <f t="shared" si="12"/>
        <v>1.1295400238948627E-3</v>
      </c>
      <c r="J23" s="11">
        <f t="shared" si="13"/>
        <v>1.1418176328502417E-3</v>
      </c>
      <c r="K23" s="11">
        <f t="shared" si="14"/>
        <v>1.1937184343434346E-3</v>
      </c>
      <c r="L23" s="11">
        <f t="shared" si="15"/>
        <v>1.2505621693121695E-3</v>
      </c>
      <c r="M23" s="25">
        <f>WO2025Jan7108141618222428303234384042444648545658626466687072747668121618202226283234[[#This Row],[Thresh]]</f>
        <v>1.1937184343434346E-3</v>
      </c>
      <c r="N23" s="28">
        <f>WO2025Jan7108141618222428303234384042444648545658626466687072747668121618202226283234[[#This Row],[Thresh]]*2</f>
        <v>2.3874368686868691E-3</v>
      </c>
      <c r="O23" s="25">
        <f>WO2025Jan7108141618222428303234384042444648545658626466687072747668121618202226283234[[#This Row],[CV]]</f>
        <v>1.1418176328502417E-3</v>
      </c>
      <c r="P23" s="28">
        <f>WO2025Jan7108141618222428303234384042444648545658626466687072747668121618202226283234[[#This Row],[VO2]]/2</f>
        <v>5.2523611111111119E-4</v>
      </c>
      <c r="Q23" s="25">
        <f>WO2025Jan7108141618222428303234384042444648545658626466687072747668121618202226283234[[#This Row],[R]]/2</f>
        <v>5.0636574074074071E-4</v>
      </c>
      <c r="R23" s="25"/>
      <c r="S23" s="25"/>
      <c r="T23" s="28"/>
      <c r="U23" s="11"/>
      <c r="V23" s="36"/>
      <c r="W23" s="15" t="s">
        <v>35</v>
      </c>
      <c r="X23" s="52"/>
    </row>
    <row r="24" spans="1:24" ht="21" customHeight="1">
      <c r="A24" s="10" t="s">
        <v>71</v>
      </c>
      <c r="B24" s="11">
        <v>1.3541666666666667E-2</v>
      </c>
      <c r="C24" s="11">
        <v>4.0509259259259257E-3</v>
      </c>
      <c r="D24" s="11">
        <f>B24*E24</f>
        <v>7.8785416666666674E-3</v>
      </c>
      <c r="E24" s="12">
        <v>0.58179999999999998</v>
      </c>
      <c r="F24" s="11">
        <f>C24/4</f>
        <v>1.0127314814814814E-3</v>
      </c>
      <c r="G24" s="11">
        <f>D24/7.5</f>
        <v>1.0504722222222224E-3</v>
      </c>
      <c r="H24" s="11">
        <f>B24/12.5</f>
        <v>1.0833333333333333E-3</v>
      </c>
      <c r="I24" s="11">
        <f>G24/0.93</f>
        <v>1.1295400238948627E-3</v>
      </c>
      <c r="J24" s="11">
        <f>G24/0.92</f>
        <v>1.1418176328502417E-3</v>
      </c>
      <c r="K24" s="11">
        <f>G24/0.88</f>
        <v>1.1937184343434346E-3</v>
      </c>
      <c r="L24" s="11">
        <f>G24/0.84</f>
        <v>1.2505621693121695E-3</v>
      </c>
      <c r="M24" s="25">
        <f>WO2025Jan7108141618222428303234384042444648545658626466687072747668121618202226283234[[#This Row],[Thresh]]</f>
        <v>1.1937184343434346E-3</v>
      </c>
      <c r="N24" s="28">
        <f>WO2025Jan7108141618222428303234384042444648545658626466687072747668121618202226283234[[#This Row],[Thresh]]*2</f>
        <v>2.3874368686868691E-3</v>
      </c>
      <c r="O24" s="25">
        <f>WO2025Jan7108141618222428303234384042444648545658626466687072747668121618202226283234[[#This Row],[CV]]</f>
        <v>1.1418176328502417E-3</v>
      </c>
      <c r="P24" s="28">
        <f>WO2025Jan7108141618222428303234384042444648545658626466687072747668121618202226283234[[#This Row],[VO2]]/2</f>
        <v>5.2523611111111119E-4</v>
      </c>
      <c r="Q24" s="25">
        <f>WO2025Jan7108141618222428303234384042444648545658626466687072747668121618202226283234[[#This Row],[R]]/2</f>
        <v>5.0636574074074071E-4</v>
      </c>
      <c r="R24" s="25"/>
      <c r="S24" s="25"/>
      <c r="T24" s="28"/>
      <c r="U24" s="11"/>
      <c r="V24" s="36"/>
      <c r="W24" s="18" t="s">
        <v>35</v>
      </c>
      <c r="X24" s="52"/>
    </row>
    <row r="25" spans="1:24" ht="21" customHeight="1">
      <c r="A25" s="10" t="s">
        <v>72</v>
      </c>
      <c r="B25" s="11">
        <v>1.3541666666666667E-2</v>
      </c>
      <c r="C25" s="11">
        <v>4.0509259259259257E-3</v>
      </c>
      <c r="D25" s="11">
        <f t="shared" si="8"/>
        <v>7.8785416666666674E-3</v>
      </c>
      <c r="E25" s="12">
        <v>0.58179999999999998</v>
      </c>
      <c r="F25" s="11">
        <f t="shared" si="9"/>
        <v>1.0127314814814814E-3</v>
      </c>
      <c r="G25" s="11">
        <f t="shared" si="10"/>
        <v>1.0504722222222224E-3</v>
      </c>
      <c r="H25" s="11">
        <f t="shared" si="11"/>
        <v>1.0833333333333333E-3</v>
      </c>
      <c r="I25" s="11">
        <f t="shared" si="12"/>
        <v>1.1295400238948627E-3</v>
      </c>
      <c r="J25" s="11">
        <f t="shared" si="13"/>
        <v>1.1418176328502417E-3</v>
      </c>
      <c r="K25" s="11">
        <f t="shared" si="14"/>
        <v>1.1937184343434346E-3</v>
      </c>
      <c r="L25" s="11">
        <f t="shared" si="15"/>
        <v>1.2505621693121695E-3</v>
      </c>
      <c r="M25" s="25">
        <f>WO2025Jan7108141618222428303234384042444648545658626466687072747668121618202226283234[[#This Row],[Thresh]]</f>
        <v>1.1937184343434346E-3</v>
      </c>
      <c r="N25" s="28">
        <f>WO2025Jan7108141618222428303234384042444648545658626466687072747668121618202226283234[[#This Row],[Thresh]]*2</f>
        <v>2.3874368686868691E-3</v>
      </c>
      <c r="O25" s="25">
        <f>WO2025Jan7108141618222428303234384042444648545658626466687072747668121618202226283234[[#This Row],[CV]]</f>
        <v>1.1418176328502417E-3</v>
      </c>
      <c r="P25" s="28">
        <f>WO2025Jan7108141618222428303234384042444648545658626466687072747668121618202226283234[[#This Row],[VO2]]/2</f>
        <v>5.2523611111111119E-4</v>
      </c>
      <c r="Q25" s="25">
        <f>WO2025Jan7108141618222428303234384042444648545658626466687072747668121618202226283234[[#This Row],[R]]/2</f>
        <v>5.0636574074074071E-4</v>
      </c>
      <c r="R25" s="25"/>
      <c r="S25" s="25"/>
      <c r="T25" s="28"/>
      <c r="U25" s="11"/>
      <c r="V25" s="36"/>
      <c r="W25" s="15" t="s">
        <v>35</v>
      </c>
      <c r="X25" s="52"/>
    </row>
    <row r="26" spans="1:24" ht="21" customHeight="1">
      <c r="A26" s="10" t="s">
        <v>73</v>
      </c>
      <c r="B26" s="11">
        <v>1.3888888888888888E-2</v>
      </c>
      <c r="C26" s="11">
        <v>4.3981481481481484E-3</v>
      </c>
      <c r="D26" s="11">
        <f>B26*E26</f>
        <v>8.0805555555555544E-3</v>
      </c>
      <c r="E26" s="12">
        <v>0.58179999999999998</v>
      </c>
      <c r="F26" s="11">
        <f>C26/4</f>
        <v>1.0995370370370371E-3</v>
      </c>
      <c r="G26" s="11">
        <f>D26/7.5</f>
        <v>1.0774074074074074E-3</v>
      </c>
      <c r="H26" s="11">
        <f>B26/12.5</f>
        <v>1.1111111111111111E-3</v>
      </c>
      <c r="I26" s="11">
        <f>G26/0.93</f>
        <v>1.1585025886101153E-3</v>
      </c>
      <c r="J26" s="11">
        <f>G26/0.92</f>
        <v>1.1710950080515297E-3</v>
      </c>
      <c r="K26" s="11">
        <f>G26/0.88</f>
        <v>1.2243265993265992E-3</v>
      </c>
      <c r="L26" s="11">
        <f>G26/0.84</f>
        <v>1.2826278659611992E-3</v>
      </c>
      <c r="M26" s="25">
        <f>WO2025Jan7108141618222428303234384042444648545658626466687072747668121618202226283234[[#This Row],[Thresh]]</f>
        <v>1.2243265993265992E-3</v>
      </c>
      <c r="N26" s="28">
        <f>WO2025Jan7108141618222428303234384042444648545658626466687072747668121618202226283234[[#This Row],[Thresh]]*2</f>
        <v>2.4486531986531983E-3</v>
      </c>
      <c r="O26" s="25">
        <f>WO2025Jan7108141618222428303234384042444648545658626466687072747668121618202226283234[[#This Row],[CV]]</f>
        <v>1.1710950080515297E-3</v>
      </c>
      <c r="P26" s="28">
        <f>WO2025Jan7108141618222428303234384042444648545658626466687072747668121618202226283234[[#This Row],[VO2]]/2</f>
        <v>5.3870370370370368E-4</v>
      </c>
      <c r="Q26" s="25">
        <f>WO2025Jan7108141618222428303234384042444648545658626466687072747668121618202226283234[[#This Row],[R]]/2</f>
        <v>5.4976851851851855E-4</v>
      </c>
      <c r="R26" s="25"/>
      <c r="S26" s="25"/>
      <c r="T26" s="28"/>
      <c r="U26" s="11"/>
      <c r="V26" s="36"/>
      <c r="W26" s="15" t="s">
        <v>35</v>
      </c>
      <c r="X26" s="52"/>
    </row>
    <row r="27" spans="1:24" ht="21" customHeight="1">
      <c r="A27" s="39"/>
      <c r="B27" s="40"/>
      <c r="C27" s="40"/>
      <c r="D27" s="40"/>
      <c r="E27" s="41"/>
      <c r="F27" s="40"/>
      <c r="G27" s="40"/>
      <c r="H27" s="40"/>
      <c r="I27" s="40"/>
      <c r="J27" s="40"/>
      <c r="K27" s="40"/>
      <c r="L27" s="40"/>
      <c r="M27" s="40" t="s">
        <v>39</v>
      </c>
      <c r="N27" s="40"/>
      <c r="O27" s="40"/>
      <c r="P27" s="40"/>
      <c r="Q27" s="40"/>
      <c r="R27" s="40"/>
      <c r="S27" s="40"/>
      <c r="T27" s="40"/>
      <c r="U27" s="40"/>
      <c r="V27" s="40"/>
      <c r="W27" s="42"/>
      <c r="X27" s="52"/>
    </row>
    <row r="28" spans="1:24" ht="21" customHeight="1">
      <c r="A28" s="10"/>
      <c r="B28" s="11"/>
      <c r="C28" s="11"/>
      <c r="D28" s="11"/>
      <c r="E28" s="12"/>
      <c r="F28" s="11"/>
      <c r="G28" s="11"/>
      <c r="H28" s="11"/>
      <c r="I28" s="11"/>
      <c r="J28" s="11"/>
      <c r="K28" s="11"/>
      <c r="L28" s="11"/>
      <c r="M28" s="25"/>
      <c r="N28" s="28"/>
      <c r="O28" s="25"/>
      <c r="P28" s="28"/>
      <c r="Q28" s="25"/>
      <c r="R28" s="11"/>
      <c r="S28" s="14"/>
      <c r="T28" s="11"/>
      <c r="U28" s="11"/>
      <c r="V28" s="17"/>
      <c r="W28" s="18"/>
      <c r="X28" s="52"/>
    </row>
    <row r="29" spans="1:24" ht="21" customHeight="1" thickBot="1">
      <c r="A29" s="10"/>
      <c r="B29" s="11"/>
      <c r="C29" s="11"/>
      <c r="D29" s="11"/>
      <c r="E29" s="12"/>
      <c r="F29" s="11"/>
      <c r="G29" s="11"/>
      <c r="H29" s="11"/>
      <c r="I29" s="11"/>
      <c r="J29" s="11"/>
      <c r="K29" s="11"/>
      <c r="L29" s="11"/>
      <c r="M29" s="25"/>
      <c r="N29" s="28"/>
      <c r="O29" s="25"/>
      <c r="P29" s="11"/>
      <c r="Q29" s="14"/>
      <c r="R29" s="11"/>
      <c r="S29" s="14"/>
      <c r="T29" s="14"/>
      <c r="U29" s="14"/>
      <c r="V29" s="17"/>
      <c r="W29" s="18"/>
      <c r="X29" s="52"/>
    </row>
    <row r="30" spans="1:24" ht="21" customHeight="1">
      <c r="A30" s="1" t="s">
        <v>220</v>
      </c>
      <c r="B30" s="6"/>
      <c r="C30" s="6"/>
      <c r="D30" s="6"/>
      <c r="E30" s="20"/>
      <c r="F30" s="6"/>
      <c r="G30" s="6"/>
      <c r="H30" s="6"/>
      <c r="I30" s="6"/>
      <c r="J30" s="6"/>
      <c r="K30" s="6"/>
      <c r="L30" s="6"/>
      <c r="M30" s="6" t="s">
        <v>12</v>
      </c>
      <c r="N30" s="6" t="s">
        <v>155</v>
      </c>
      <c r="O30" s="6" t="s">
        <v>146</v>
      </c>
      <c r="P30" s="6"/>
      <c r="Q30" s="6"/>
      <c r="R30" s="6"/>
      <c r="S30" s="6"/>
      <c r="T30" s="6"/>
      <c r="U30" s="6"/>
      <c r="V30" s="21"/>
      <c r="W30" s="35"/>
      <c r="X30" s="52"/>
    </row>
    <row r="31" spans="1:24" ht="21" customHeight="1">
      <c r="A31" s="10" t="s">
        <v>36</v>
      </c>
      <c r="B31" s="11">
        <v>1.2615740740740742E-2</v>
      </c>
      <c r="C31" s="11">
        <v>3.6458333333333334E-3</v>
      </c>
      <c r="D31" s="11">
        <f>B31*E31</f>
        <v>7.3398379629629629E-3</v>
      </c>
      <c r="E31" s="12">
        <v>0.58179999999999998</v>
      </c>
      <c r="F31" s="11">
        <f>C31/4</f>
        <v>9.1145833333333335E-4</v>
      </c>
      <c r="G31" s="11">
        <f>D31/7.5</f>
        <v>9.7864506172839496E-4</v>
      </c>
      <c r="H31" s="11">
        <f>B31/12.5</f>
        <v>1.0092592592592592E-3</v>
      </c>
      <c r="I31" s="11">
        <f>G31/0.93</f>
        <v>1.0523065179875214E-3</v>
      </c>
      <c r="J31" s="11">
        <f>G31/0.92</f>
        <v>1.0637446323134728E-3</v>
      </c>
      <c r="K31" s="11">
        <f>G31/0.88</f>
        <v>1.1120966610549943E-3</v>
      </c>
      <c r="L31" s="11">
        <f>G31/0.84</f>
        <v>1.165053644914756E-3</v>
      </c>
      <c r="M31" s="25">
        <f>WO2025Jan7108141618222428303234384042444648545658626466687072747668121618202226283234[[#This Row],[Thresh]]</f>
        <v>1.1120966610549943E-3</v>
      </c>
      <c r="N31" s="28">
        <f>WO2025Jan7108141618222428303234384042444648545658626466687072747668121618202226283234[[#This Row],[Thresh]]*2</f>
        <v>2.2241933221099886E-3</v>
      </c>
      <c r="O31" s="25">
        <f>WO2025Jan7108141618222428303234384042444648545658626466687072747668121618202226283234[[#This Row],[CV]]</f>
        <v>1.0637446323134728E-3</v>
      </c>
      <c r="P31" s="28"/>
      <c r="Q31" s="25"/>
      <c r="R31" s="25"/>
      <c r="S31" s="25"/>
      <c r="T31" s="28"/>
      <c r="U31" s="11"/>
      <c r="V31" s="36"/>
      <c r="W31" s="15" t="s">
        <v>48</v>
      </c>
      <c r="X31" s="52" t="s">
        <v>224</v>
      </c>
    </row>
    <row r="32" spans="1:24" ht="21" customHeight="1">
      <c r="A32" s="10" t="s">
        <v>50</v>
      </c>
      <c r="B32" s="11">
        <v>1.3020833333333334E-2</v>
      </c>
      <c r="C32" s="11">
        <v>3.7037037037037038E-3</v>
      </c>
      <c r="D32" s="11">
        <f t="shared" ref="D32:D36" si="16">B32*E32</f>
        <v>7.5755208333333334E-3</v>
      </c>
      <c r="E32" s="12">
        <v>0.58179999999999998</v>
      </c>
      <c r="F32" s="11">
        <f t="shared" ref="F32:F36" si="17">C32/4</f>
        <v>9.2592592592592596E-4</v>
      </c>
      <c r="G32" s="11">
        <f t="shared" ref="G32:G36" si="18">D32/7.5</f>
        <v>1.0100694444444445E-3</v>
      </c>
      <c r="H32" s="11">
        <f t="shared" ref="H32:H36" si="19">B32/12.5</f>
        <v>1.0416666666666667E-3</v>
      </c>
      <c r="I32" s="11">
        <f t="shared" ref="I32:I36" si="20">G32/0.93</f>
        <v>1.0860961768219832E-3</v>
      </c>
      <c r="J32" s="11">
        <f t="shared" ref="J32:J36" si="21">G32/0.92</f>
        <v>1.0979015700483092E-3</v>
      </c>
      <c r="K32" s="11">
        <f t="shared" ref="K32:K36" si="22">G32/0.88</f>
        <v>1.1478061868686869E-3</v>
      </c>
      <c r="L32" s="11">
        <f t="shared" ref="L32:L36" si="23">G32/0.84</f>
        <v>1.2024636243386244E-3</v>
      </c>
      <c r="M32" s="25">
        <f>WO2025Jan7108141618222428303234384042444648545658626466687072747668121618202226283234[[#This Row],[Thresh]]</f>
        <v>1.1478061868686869E-3</v>
      </c>
      <c r="N32" s="28">
        <f>WO2025Jan7108141618222428303234384042444648545658626466687072747668121618202226283234[[#This Row],[Thresh]]*2</f>
        <v>2.2956123737373738E-3</v>
      </c>
      <c r="O32" s="25">
        <f>WO2025Jan7108141618222428303234384042444648545658626466687072747668121618202226283234[[#This Row],[CV]]</f>
        <v>1.0979015700483092E-3</v>
      </c>
      <c r="P32" s="28"/>
      <c r="Q32" s="25"/>
      <c r="R32" s="25"/>
      <c r="S32" s="25"/>
      <c r="T32" s="28"/>
      <c r="U32" s="11"/>
      <c r="V32" s="36"/>
      <c r="W32" s="15" t="s">
        <v>48</v>
      </c>
      <c r="X32" s="52"/>
    </row>
    <row r="33" spans="1:24" ht="21" customHeight="1">
      <c r="A33" s="10" t="s">
        <v>47</v>
      </c>
      <c r="B33" s="11">
        <v>1.3020833333333334E-2</v>
      </c>
      <c r="C33" s="11">
        <v>3.7037037037037038E-3</v>
      </c>
      <c r="D33" s="11">
        <f t="shared" si="16"/>
        <v>7.5755208333333334E-3</v>
      </c>
      <c r="E33" s="12">
        <v>0.58179999999999998</v>
      </c>
      <c r="F33" s="11">
        <f t="shared" si="17"/>
        <v>9.2592592592592596E-4</v>
      </c>
      <c r="G33" s="11">
        <f t="shared" si="18"/>
        <v>1.0100694444444445E-3</v>
      </c>
      <c r="H33" s="11">
        <f t="shared" si="19"/>
        <v>1.0416666666666667E-3</v>
      </c>
      <c r="I33" s="11">
        <f t="shared" si="20"/>
        <v>1.0860961768219832E-3</v>
      </c>
      <c r="J33" s="11">
        <f t="shared" si="21"/>
        <v>1.0979015700483092E-3</v>
      </c>
      <c r="K33" s="11">
        <f t="shared" si="22"/>
        <v>1.1478061868686869E-3</v>
      </c>
      <c r="L33" s="11">
        <f t="shared" si="23"/>
        <v>1.2024636243386244E-3</v>
      </c>
      <c r="M33" s="25">
        <f>WO2025Jan7108141618222428303234384042444648545658626466687072747668121618202226283234[[#This Row],[Thresh]]</f>
        <v>1.1478061868686869E-3</v>
      </c>
      <c r="N33" s="28">
        <f>WO2025Jan7108141618222428303234384042444648545658626466687072747668121618202226283234[[#This Row],[Thresh]]*2</f>
        <v>2.2956123737373738E-3</v>
      </c>
      <c r="O33" s="25">
        <f>WO2025Jan7108141618222428303234384042444648545658626466687072747668121618202226283234[[#This Row],[CV]]</f>
        <v>1.0979015700483092E-3</v>
      </c>
      <c r="P33" s="28"/>
      <c r="Q33" s="25"/>
      <c r="R33" s="25"/>
      <c r="S33" s="25"/>
      <c r="T33" s="28"/>
      <c r="U33" s="11"/>
      <c r="V33" s="36"/>
      <c r="W33" s="15" t="s">
        <v>48</v>
      </c>
      <c r="X33" s="52"/>
    </row>
    <row r="34" spans="1:24" ht="21" customHeight="1">
      <c r="A34" s="10" t="s">
        <v>74</v>
      </c>
      <c r="B34" s="11">
        <v>1.3020833333333334E-2</v>
      </c>
      <c r="C34" s="11">
        <v>3.7037037037037038E-3</v>
      </c>
      <c r="D34" s="11">
        <f>B34*E34</f>
        <v>7.5755208333333334E-3</v>
      </c>
      <c r="E34" s="12">
        <v>0.58179999999999998</v>
      </c>
      <c r="F34" s="11">
        <f>C34/4</f>
        <v>9.2592592592592596E-4</v>
      </c>
      <c r="G34" s="11">
        <f>D34/7.5</f>
        <v>1.0100694444444445E-3</v>
      </c>
      <c r="H34" s="11">
        <f>B34/12.5</f>
        <v>1.0416666666666667E-3</v>
      </c>
      <c r="I34" s="11">
        <f>G34/0.93</f>
        <v>1.0860961768219832E-3</v>
      </c>
      <c r="J34" s="11">
        <f>G34/0.92</f>
        <v>1.0979015700483092E-3</v>
      </c>
      <c r="K34" s="11">
        <f>G34/0.88</f>
        <v>1.1478061868686869E-3</v>
      </c>
      <c r="L34" s="11">
        <f>G34/0.84</f>
        <v>1.2024636243386244E-3</v>
      </c>
      <c r="M34" s="25">
        <f>WO2025Jan7108141618222428303234384042444648545658626466687072747668121618202226283234[[#This Row],[Thresh]]</f>
        <v>1.1478061868686869E-3</v>
      </c>
      <c r="N34" s="28">
        <f>WO2025Jan7108141618222428303234384042444648545658626466687072747668121618202226283234[[#This Row],[Thresh]]*2</f>
        <v>2.2956123737373738E-3</v>
      </c>
      <c r="O34" s="25">
        <f>WO2025Jan7108141618222428303234384042444648545658626466687072747668121618202226283234[[#This Row],[CV]]</f>
        <v>1.0979015700483092E-3</v>
      </c>
      <c r="P34" s="28"/>
      <c r="Q34" s="25"/>
      <c r="R34" s="25"/>
      <c r="S34" s="25"/>
      <c r="T34" s="28"/>
      <c r="U34" s="11"/>
      <c r="V34" s="36"/>
      <c r="W34" s="15" t="s">
        <v>48</v>
      </c>
      <c r="X34" s="52"/>
    </row>
    <row r="35" spans="1:24" ht="21" customHeight="1">
      <c r="A35" s="10" t="s">
        <v>75</v>
      </c>
      <c r="B35" s="11">
        <v>1.3541666666666667E-2</v>
      </c>
      <c r="C35" s="11">
        <v>3.8194444444444443E-3</v>
      </c>
      <c r="D35" s="11">
        <f>B35*E35</f>
        <v>7.8785416666666674E-3</v>
      </c>
      <c r="E35" s="12">
        <v>0.58179999999999998</v>
      </c>
      <c r="F35" s="11">
        <f>C35/4</f>
        <v>9.5486111111111108E-4</v>
      </c>
      <c r="G35" s="11">
        <f>D35/7.5</f>
        <v>1.0504722222222224E-3</v>
      </c>
      <c r="H35" s="11">
        <f>B35/12.5</f>
        <v>1.0833333333333333E-3</v>
      </c>
      <c r="I35" s="11">
        <f>G35/0.93</f>
        <v>1.1295400238948627E-3</v>
      </c>
      <c r="J35" s="11">
        <f>G35/0.92</f>
        <v>1.1418176328502417E-3</v>
      </c>
      <c r="K35" s="11">
        <f>G35/0.88</f>
        <v>1.1937184343434346E-3</v>
      </c>
      <c r="L35" s="11">
        <f>G35/0.84</f>
        <v>1.2505621693121695E-3</v>
      </c>
      <c r="M35" s="25">
        <f>WO2025Jan7108141618222428303234384042444648545658626466687072747668121618202226283234[[#This Row],[Thresh]]</f>
        <v>1.1937184343434346E-3</v>
      </c>
      <c r="N35" s="28">
        <f>WO2025Jan7108141618222428303234384042444648545658626466687072747668121618202226283234[[#This Row],[Thresh]]*2</f>
        <v>2.3874368686868691E-3</v>
      </c>
      <c r="O35" s="25">
        <f>WO2025Jan7108141618222428303234384042444648545658626466687072747668121618202226283234[[#This Row],[CV]]</f>
        <v>1.1418176328502417E-3</v>
      </c>
      <c r="P35" s="28"/>
      <c r="Q35" s="25"/>
      <c r="R35" s="25"/>
      <c r="S35" s="25"/>
      <c r="T35" s="28"/>
      <c r="U35" s="11"/>
      <c r="V35" s="36"/>
      <c r="W35" s="15" t="s">
        <v>48</v>
      </c>
      <c r="X35" s="52"/>
    </row>
    <row r="36" spans="1:24" ht="21" customHeight="1">
      <c r="A36" s="10" t="s">
        <v>198</v>
      </c>
      <c r="B36" s="11">
        <v>1.4583333333333334E-2</v>
      </c>
      <c r="C36" s="11">
        <v>4.1666666666666666E-3</v>
      </c>
      <c r="D36" s="11">
        <f t="shared" si="16"/>
        <v>8.4845833333333336E-3</v>
      </c>
      <c r="E36" s="12">
        <v>0.58179999999999998</v>
      </c>
      <c r="F36" s="11">
        <f t="shared" si="17"/>
        <v>1.0416666666666667E-3</v>
      </c>
      <c r="G36" s="11">
        <f t="shared" si="18"/>
        <v>1.1312777777777777E-3</v>
      </c>
      <c r="H36" s="11">
        <f t="shared" si="19"/>
        <v>1.1666666666666668E-3</v>
      </c>
      <c r="I36" s="11">
        <f t="shared" si="20"/>
        <v>1.2164277180406211E-3</v>
      </c>
      <c r="J36" s="11">
        <f t="shared" si="21"/>
        <v>1.2296497584541061E-3</v>
      </c>
      <c r="K36" s="11">
        <f t="shared" si="22"/>
        <v>1.2855429292929293E-3</v>
      </c>
      <c r="L36" s="11">
        <f t="shared" si="23"/>
        <v>1.3467592592592591E-3</v>
      </c>
      <c r="M36" s="25">
        <f>WO2025Jan7108141618222428303234384042444648545658626466687072747668121618202226283234[[#This Row],[Thresh]]</f>
        <v>1.2855429292929293E-3</v>
      </c>
      <c r="N36" s="28">
        <f>WO2025Jan7108141618222428303234384042444648545658626466687072747668121618202226283234[[#This Row],[Thresh]]*2</f>
        <v>2.5710858585858585E-3</v>
      </c>
      <c r="O36" s="25">
        <f>WO2025Jan7108141618222428303234384042444648545658626466687072747668121618202226283234[[#This Row],[CV]]</f>
        <v>1.2296497584541061E-3</v>
      </c>
      <c r="P36" s="28"/>
      <c r="Q36" s="25"/>
      <c r="R36" s="25"/>
      <c r="S36" s="25"/>
      <c r="T36" s="28"/>
      <c r="U36" s="11"/>
      <c r="V36" s="36"/>
      <c r="W36" s="15" t="s">
        <v>48</v>
      </c>
      <c r="X36" s="52"/>
    </row>
    <row r="37" spans="1:24" ht="21" customHeight="1">
      <c r="A37" s="10"/>
      <c r="B37" s="11"/>
      <c r="C37" s="11"/>
      <c r="D37" s="11"/>
      <c r="E37" s="12"/>
      <c r="F37" s="11"/>
      <c r="G37" s="11"/>
      <c r="H37" s="11"/>
      <c r="I37" s="11"/>
      <c r="J37" s="11"/>
      <c r="K37" s="11"/>
      <c r="L37" s="11"/>
      <c r="M37" s="13"/>
      <c r="N37" s="11"/>
      <c r="O37" s="11"/>
      <c r="P37" s="11"/>
      <c r="Q37" s="14"/>
      <c r="R37" s="11"/>
      <c r="S37" s="14"/>
      <c r="T37" s="14"/>
      <c r="U37" s="14"/>
      <c r="V37" s="17"/>
      <c r="W37" s="18"/>
      <c r="X37" s="52"/>
    </row>
    <row r="38" spans="1:24" ht="21" customHeight="1">
      <c r="A38" s="19"/>
      <c r="B38" s="6"/>
      <c r="C38" s="6"/>
      <c r="D38" s="6"/>
      <c r="E38" s="20"/>
      <c r="F38" s="6"/>
      <c r="G38" s="6"/>
      <c r="H38" s="6"/>
      <c r="I38" s="6"/>
      <c r="J38" s="6"/>
      <c r="K38" s="6"/>
      <c r="L38" s="6"/>
      <c r="M38" s="6"/>
      <c r="N38" s="6"/>
      <c r="O38" s="6"/>
      <c r="P38" s="6"/>
      <c r="Q38" s="6"/>
      <c r="R38" s="6"/>
      <c r="S38" s="6"/>
      <c r="T38" s="6"/>
      <c r="U38" s="6"/>
      <c r="V38" s="6"/>
      <c r="W38" s="35"/>
      <c r="X38" s="52"/>
    </row>
    <row r="39" spans="1:24" ht="21" customHeight="1">
      <c r="A39" s="10" t="s">
        <v>51</v>
      </c>
      <c r="B39" s="11">
        <v>1.2615740740740742E-2</v>
      </c>
      <c r="C39" s="11">
        <v>3.5879629629629629E-3</v>
      </c>
      <c r="D39" s="11">
        <f>B39*E39</f>
        <v>7.3398379629629629E-3</v>
      </c>
      <c r="E39" s="12">
        <v>0.58179999999999998</v>
      </c>
      <c r="F39" s="11">
        <f>C39/4</f>
        <v>8.9699074074074073E-4</v>
      </c>
      <c r="G39" s="11">
        <f>D39/7.5</f>
        <v>9.7864506172839496E-4</v>
      </c>
      <c r="H39" s="11">
        <f>B39/12.5</f>
        <v>1.0092592592592592E-3</v>
      </c>
      <c r="I39" s="11">
        <f>G39/0.93</f>
        <v>1.0523065179875214E-3</v>
      </c>
      <c r="J39" s="11">
        <f>G39/0.92</f>
        <v>1.0637446323134728E-3</v>
      </c>
      <c r="K39" s="11">
        <f>G39/0.88</f>
        <v>1.1120966610549943E-3</v>
      </c>
      <c r="L39" s="11">
        <f>G39/0.84</f>
        <v>1.165053644914756E-3</v>
      </c>
      <c r="M39" s="25"/>
      <c r="N39" s="28"/>
      <c r="O39" s="25"/>
      <c r="P39" s="28"/>
      <c r="Q39" s="25"/>
      <c r="R39" s="25"/>
      <c r="S39" s="25"/>
      <c r="T39" s="28"/>
      <c r="U39" s="11"/>
      <c r="V39" s="36"/>
      <c r="W39" s="15" t="s">
        <v>52</v>
      </c>
      <c r="X39" s="52"/>
    </row>
    <row r="40" spans="1:24" ht="21" customHeight="1">
      <c r="A40" s="10" t="s">
        <v>76</v>
      </c>
      <c r="B40" s="11">
        <v>1.3541666666666667E-2</v>
      </c>
      <c r="C40" s="11">
        <v>4.0509259259259257E-3</v>
      </c>
      <c r="D40" s="11">
        <f>B40*E40</f>
        <v>7.8785416666666674E-3</v>
      </c>
      <c r="E40" s="12">
        <v>0.58179999999999998</v>
      </c>
      <c r="F40" s="11">
        <f>C40/4</f>
        <v>1.0127314814814814E-3</v>
      </c>
      <c r="G40" s="11">
        <f>D40/7.5</f>
        <v>1.0504722222222224E-3</v>
      </c>
      <c r="H40" s="11">
        <f>B40/12.5</f>
        <v>1.0833333333333333E-3</v>
      </c>
      <c r="I40" s="11">
        <f>G40/0.93</f>
        <v>1.1295400238948627E-3</v>
      </c>
      <c r="J40" s="11">
        <f>G40/0.92</f>
        <v>1.1418176328502417E-3</v>
      </c>
      <c r="K40" s="11">
        <f>G40/0.88</f>
        <v>1.1937184343434346E-3</v>
      </c>
      <c r="L40" s="11">
        <f>G40/0.84</f>
        <v>1.2505621693121695E-3</v>
      </c>
      <c r="M40" s="25"/>
      <c r="N40" s="28"/>
      <c r="O40" s="25"/>
      <c r="P40" s="28"/>
      <c r="Q40" s="25"/>
      <c r="R40" s="25"/>
      <c r="S40" s="25"/>
      <c r="T40" s="28"/>
      <c r="U40" s="11"/>
      <c r="V40" s="36"/>
      <c r="W40" s="15" t="s">
        <v>52</v>
      </c>
      <c r="X40" s="52"/>
    </row>
    <row r="41" spans="1:24" ht="21" customHeight="1">
      <c r="A41" s="10" t="s">
        <v>57</v>
      </c>
      <c r="B41" s="11"/>
      <c r="C41" s="11"/>
      <c r="D41" s="11"/>
      <c r="E41" s="12"/>
      <c r="F41" s="11"/>
      <c r="G41" s="11"/>
      <c r="H41" s="11"/>
      <c r="I41" s="11"/>
      <c r="J41" s="11"/>
      <c r="K41" s="11"/>
      <c r="L41" s="11"/>
      <c r="M41" s="25"/>
      <c r="N41" s="28"/>
      <c r="O41" s="25"/>
      <c r="P41" s="28"/>
      <c r="Q41" s="25"/>
      <c r="R41" s="28"/>
      <c r="S41" s="28"/>
      <c r="T41" s="11"/>
      <c r="U41" s="11"/>
      <c r="V41" s="11"/>
      <c r="W41" s="15" t="s">
        <v>52</v>
      </c>
      <c r="X41" s="52"/>
    </row>
    <row r="42" spans="1:24" ht="21" customHeight="1">
      <c r="A42" s="10" t="s">
        <v>61</v>
      </c>
      <c r="B42" s="11">
        <v>1.4583333333333334E-2</v>
      </c>
      <c r="C42" s="11">
        <v>4.3981481481481484E-3</v>
      </c>
      <c r="D42" s="11">
        <f>B42*E42</f>
        <v>8.4845833333333336E-3</v>
      </c>
      <c r="E42" s="12">
        <v>0.58179999999999998</v>
      </c>
      <c r="F42" s="11">
        <f>C42/4</f>
        <v>1.0995370370370371E-3</v>
      </c>
      <c r="G42" s="11">
        <f>D42/7.5</f>
        <v>1.1312777777777777E-3</v>
      </c>
      <c r="H42" s="11">
        <f>B42/12.5</f>
        <v>1.1666666666666668E-3</v>
      </c>
      <c r="I42" s="11">
        <f>G42/0.93</f>
        <v>1.2164277180406211E-3</v>
      </c>
      <c r="J42" s="11">
        <f>G42/0.92</f>
        <v>1.2296497584541061E-3</v>
      </c>
      <c r="K42" s="11">
        <f>G42/0.88</f>
        <v>1.2855429292929293E-3</v>
      </c>
      <c r="L42" s="11">
        <f>G42/0.84</f>
        <v>1.3467592592592591E-3</v>
      </c>
      <c r="M42" s="25"/>
      <c r="N42" s="28"/>
      <c r="O42" s="25"/>
      <c r="P42" s="25"/>
      <c r="Q42" s="25"/>
      <c r="R42" s="25"/>
      <c r="S42" s="28"/>
      <c r="T42" s="28"/>
      <c r="U42" s="28"/>
      <c r="V42" s="28"/>
      <c r="W42" s="15" t="s">
        <v>52</v>
      </c>
      <c r="X42" s="52"/>
    </row>
    <row r="43" spans="1:24" ht="21" customHeight="1">
      <c r="A43" s="10" t="s">
        <v>53</v>
      </c>
      <c r="B43" s="11">
        <v>1.2731481481481481E-2</v>
      </c>
      <c r="C43" s="11">
        <v>3.7615740740740739E-3</v>
      </c>
      <c r="D43" s="11">
        <f>B43*E43</f>
        <v>7.4071759259259256E-3</v>
      </c>
      <c r="E43" s="12">
        <v>0.58179999999999998</v>
      </c>
      <c r="F43" s="11">
        <f>C43/4</f>
        <v>9.4039351851851847E-4</v>
      </c>
      <c r="G43" s="11">
        <f>D43/7.5</f>
        <v>9.8762345679012349E-4</v>
      </c>
      <c r="H43" s="11">
        <f>B43/12.5</f>
        <v>1.0185185185185184E-3</v>
      </c>
      <c r="I43" s="11">
        <f>G43/0.93</f>
        <v>1.0619607062259391E-3</v>
      </c>
      <c r="J43" s="11">
        <f>G43/0.92</f>
        <v>1.073503757380569E-3</v>
      </c>
      <c r="K43" s="11">
        <f>G43/0.88</f>
        <v>1.1222993827160494E-3</v>
      </c>
      <c r="L43" s="11">
        <f>G43/0.84</f>
        <v>1.1757422104644328E-3</v>
      </c>
      <c r="M43" s="25"/>
      <c r="N43" s="28"/>
      <c r="O43" s="25"/>
      <c r="P43" s="28"/>
      <c r="Q43" s="25"/>
      <c r="R43" s="25"/>
      <c r="S43" s="25"/>
      <c r="T43" s="28"/>
      <c r="U43" s="25"/>
      <c r="V43" s="25"/>
      <c r="W43" s="18" t="s">
        <v>52</v>
      </c>
      <c r="X43" s="52"/>
    </row>
    <row r="44" spans="1:24" ht="21" customHeight="1">
      <c r="A44" s="10"/>
      <c r="B44" s="11"/>
      <c r="C44" s="11"/>
      <c r="D44" s="11"/>
      <c r="E44" s="12"/>
      <c r="F44" s="11"/>
      <c r="G44" s="11"/>
      <c r="H44" s="11"/>
      <c r="I44" s="11"/>
      <c r="J44" s="11"/>
      <c r="K44" s="11"/>
      <c r="L44" s="11"/>
      <c r="M44" s="45"/>
      <c r="N44" s="11"/>
      <c r="O44" s="11"/>
      <c r="P44" s="11"/>
      <c r="Q44" s="14"/>
      <c r="R44" s="11"/>
      <c r="S44" s="14"/>
      <c r="T44" s="11"/>
      <c r="U44" s="14"/>
      <c r="V44" s="17"/>
      <c r="W44" s="18"/>
      <c r="X44" s="52"/>
    </row>
    <row r="45" spans="1:24" ht="21" customHeight="1">
      <c r="A45" s="10"/>
      <c r="B45" s="11"/>
      <c r="C45" s="11"/>
      <c r="D45" s="11"/>
      <c r="E45" s="12"/>
      <c r="F45" s="11"/>
      <c r="G45" s="11"/>
      <c r="H45" s="11"/>
      <c r="I45" s="11"/>
      <c r="J45" s="11"/>
      <c r="K45" s="11"/>
      <c r="L45" s="11"/>
      <c r="M45" s="45"/>
      <c r="N45" s="11"/>
      <c r="O45" s="11"/>
      <c r="P45" s="11"/>
      <c r="Q45" s="14"/>
      <c r="R45" s="11"/>
      <c r="S45" s="14"/>
      <c r="T45" s="11"/>
      <c r="U45" s="14"/>
      <c r="V45" s="17"/>
      <c r="W45" s="18"/>
      <c r="X45" s="52"/>
    </row>
    <row r="46" spans="1:24" ht="21" customHeight="1">
      <c r="A46" s="10"/>
      <c r="B46" s="11"/>
      <c r="C46" s="11"/>
      <c r="D46" s="11"/>
      <c r="E46" s="12"/>
      <c r="F46" s="11"/>
      <c r="G46" s="11"/>
      <c r="H46" s="11"/>
      <c r="I46" s="11"/>
      <c r="J46" s="11"/>
      <c r="K46" s="11"/>
      <c r="L46" s="11"/>
      <c r="M46" s="14"/>
      <c r="N46" s="11"/>
      <c r="O46" s="14"/>
      <c r="P46" s="11"/>
      <c r="Q46" s="14"/>
      <c r="R46" s="11"/>
      <c r="S46" s="14"/>
      <c r="T46" s="14"/>
      <c r="U46" s="14"/>
      <c r="V46" s="11"/>
      <c r="W46" s="15"/>
      <c r="X46" s="52"/>
    </row>
    <row r="47" spans="1:24" ht="21" customHeight="1">
      <c r="A47" s="10"/>
      <c r="B47" s="11"/>
      <c r="C47" s="11"/>
      <c r="D47" s="11"/>
      <c r="E47" s="12"/>
      <c r="F47" s="11"/>
      <c r="G47" s="11"/>
      <c r="H47" s="11"/>
      <c r="I47" s="11"/>
      <c r="J47" s="11"/>
      <c r="K47" s="11"/>
      <c r="L47" s="11"/>
      <c r="M47" s="14"/>
      <c r="O47" s="14"/>
      <c r="P47" s="11"/>
      <c r="Q47" s="14"/>
      <c r="R47" s="11"/>
      <c r="S47" s="14"/>
      <c r="T47" s="14"/>
      <c r="U47" s="14"/>
      <c r="V47" s="11"/>
      <c r="W47" s="15"/>
      <c r="X47" s="52"/>
    </row>
    <row r="48" spans="1:24" ht="21" customHeight="1">
      <c r="A48" s="10"/>
      <c r="B48" s="11"/>
      <c r="C48" s="11"/>
      <c r="D48" s="11"/>
      <c r="E48" s="12"/>
      <c r="F48" s="11"/>
      <c r="G48" s="11"/>
      <c r="H48" s="11"/>
      <c r="I48" s="11"/>
      <c r="J48" s="11"/>
      <c r="K48" s="11"/>
      <c r="L48" s="11"/>
      <c r="M48" s="13"/>
      <c r="N48" s="11"/>
      <c r="O48" s="11"/>
      <c r="P48" s="11"/>
      <c r="Q48" s="14"/>
      <c r="R48" s="11"/>
      <c r="S48" s="14"/>
      <c r="T48" s="14"/>
      <c r="U48" s="14"/>
      <c r="V48" s="17"/>
      <c r="W48" s="18"/>
      <c r="X48" s="52"/>
    </row>
    <row r="49" spans="1:24" ht="21" customHeight="1">
      <c r="A49" s="10"/>
      <c r="B49" s="11"/>
      <c r="C49" s="11"/>
      <c r="D49" s="11"/>
      <c r="E49" s="12"/>
      <c r="F49" s="11"/>
      <c r="G49" s="11"/>
      <c r="H49" s="11"/>
      <c r="I49" s="11"/>
      <c r="J49" s="11"/>
      <c r="K49" s="11"/>
      <c r="L49" s="11"/>
      <c r="M49" s="13"/>
      <c r="N49" s="11"/>
      <c r="O49" s="11"/>
      <c r="P49" s="11"/>
      <c r="Q49" s="14"/>
      <c r="R49" s="11"/>
      <c r="S49" s="14"/>
      <c r="T49" s="14"/>
      <c r="U49" s="14"/>
      <c r="V49" s="17"/>
      <c r="W49" s="18"/>
      <c r="X49" s="52"/>
    </row>
    <row r="50" spans="1:24" ht="21" customHeight="1">
      <c r="A50" s="10"/>
      <c r="B50" s="11"/>
      <c r="C50" s="11"/>
      <c r="D50" s="11"/>
      <c r="E50" s="12"/>
      <c r="F50" s="11"/>
      <c r="G50" s="11"/>
      <c r="H50" s="11"/>
      <c r="I50" s="11"/>
      <c r="J50" s="11"/>
      <c r="K50" s="11"/>
      <c r="L50" s="11"/>
      <c r="M50" s="14"/>
      <c r="N50" s="11"/>
      <c r="O50" s="14"/>
      <c r="P50" s="11"/>
      <c r="Q50" s="14"/>
      <c r="R50" s="11"/>
      <c r="S50" s="14"/>
      <c r="T50" s="14"/>
      <c r="U50" s="14"/>
      <c r="V50" s="11"/>
      <c r="W50" s="15"/>
      <c r="X50" s="52"/>
    </row>
    <row r="51" spans="1:24" ht="21" customHeight="1">
      <c r="A51" s="10"/>
      <c r="B51" s="11"/>
      <c r="C51" s="11"/>
      <c r="D51" s="11"/>
      <c r="E51" s="12"/>
      <c r="F51" s="11"/>
      <c r="G51" s="11"/>
      <c r="H51" s="11"/>
      <c r="I51" s="11"/>
      <c r="J51" s="11"/>
      <c r="K51" s="11"/>
      <c r="L51" s="17"/>
      <c r="M51" s="14"/>
      <c r="N51" s="11"/>
      <c r="O51" s="11"/>
      <c r="P51" s="11"/>
      <c r="Q51" s="14"/>
      <c r="R51" s="11"/>
      <c r="S51" s="14"/>
      <c r="T51" s="11"/>
      <c r="U51" s="11"/>
      <c r="V51" s="11"/>
      <c r="W51" s="15"/>
      <c r="X51" s="52"/>
    </row>
    <row r="52" spans="1:24" ht="21" customHeight="1">
      <c r="A52" s="10"/>
      <c r="B52" s="11"/>
      <c r="C52" s="11"/>
      <c r="D52" s="11"/>
      <c r="E52" s="12"/>
      <c r="F52" s="11"/>
      <c r="G52" s="11"/>
      <c r="H52" s="11"/>
      <c r="I52" s="11"/>
      <c r="J52" s="11"/>
      <c r="K52" s="11"/>
      <c r="L52" s="11"/>
      <c r="M52" s="13"/>
      <c r="N52" s="11"/>
      <c r="O52" s="11"/>
      <c r="P52" s="11"/>
      <c r="Q52" s="14"/>
      <c r="R52" s="11"/>
      <c r="S52" s="14"/>
      <c r="T52" s="14"/>
      <c r="U52" s="14"/>
      <c r="V52" s="17"/>
      <c r="W52" s="18"/>
      <c r="X52" s="52"/>
    </row>
    <row r="53" spans="1:24" ht="21" customHeight="1">
      <c r="A53" s="39"/>
      <c r="B53" s="40"/>
      <c r="C53" s="40"/>
      <c r="D53" s="40"/>
      <c r="E53" s="41"/>
      <c r="F53" s="40"/>
      <c r="G53" s="40"/>
      <c r="H53" s="40"/>
      <c r="I53" s="40"/>
      <c r="J53" s="40"/>
      <c r="K53" s="40"/>
      <c r="L53" s="40"/>
      <c r="M53" s="40"/>
      <c r="N53" s="40"/>
      <c r="O53" s="40"/>
      <c r="P53" s="40"/>
      <c r="Q53" s="40"/>
      <c r="R53" s="40"/>
      <c r="S53" s="40"/>
      <c r="T53" s="40"/>
      <c r="U53" s="40"/>
      <c r="V53" s="40"/>
      <c r="W53" s="42"/>
      <c r="X53" s="52"/>
    </row>
    <row r="54" spans="1:24" ht="21" customHeight="1">
      <c r="A54" s="39"/>
      <c r="B54" s="40"/>
      <c r="C54" s="40"/>
      <c r="D54" s="40"/>
      <c r="E54" s="41"/>
      <c r="F54" s="40"/>
      <c r="G54" s="40"/>
      <c r="H54" s="40"/>
      <c r="I54" s="40"/>
      <c r="J54" s="40"/>
      <c r="K54" s="40"/>
      <c r="L54" s="40"/>
      <c r="M54" s="40"/>
      <c r="N54" s="40"/>
      <c r="O54" s="40"/>
      <c r="P54" s="40"/>
      <c r="Q54" s="40"/>
      <c r="R54" s="40"/>
      <c r="S54" s="40"/>
      <c r="T54" s="40"/>
      <c r="U54" s="40"/>
      <c r="V54" s="40"/>
      <c r="W54" s="42"/>
      <c r="X54" s="52"/>
    </row>
    <row r="55" spans="1:24" ht="21" customHeight="1">
      <c r="A55" s="10"/>
      <c r="B55" s="11"/>
      <c r="C55" s="11"/>
      <c r="D55" s="11"/>
      <c r="E55" s="12"/>
      <c r="F55" s="11"/>
      <c r="G55" s="11"/>
      <c r="H55" s="11"/>
      <c r="I55" s="11"/>
      <c r="J55" s="11"/>
      <c r="K55" s="11"/>
      <c r="L55" s="11"/>
      <c r="M55" s="13"/>
      <c r="N55" s="11"/>
      <c r="O55" s="14"/>
      <c r="P55" s="11"/>
      <c r="Q55" s="14"/>
      <c r="R55" s="11"/>
      <c r="S55" s="14"/>
      <c r="T55" s="14"/>
      <c r="U55" s="14"/>
      <c r="V55" s="11"/>
      <c r="W55" s="18"/>
      <c r="X55" s="52"/>
    </row>
    <row r="56" spans="1:24" ht="21" customHeight="1">
      <c r="A56" s="10"/>
      <c r="B56" s="11"/>
      <c r="C56" s="11"/>
      <c r="D56" s="11"/>
      <c r="E56" s="12"/>
      <c r="F56" s="11"/>
      <c r="G56" s="11"/>
      <c r="H56" s="11"/>
      <c r="I56" s="11"/>
      <c r="J56" s="11"/>
      <c r="K56" s="11"/>
      <c r="L56" s="11"/>
      <c r="M56" s="13"/>
      <c r="N56" s="11"/>
      <c r="O56" s="11"/>
      <c r="P56" s="11"/>
      <c r="Q56" s="14"/>
      <c r="R56" s="11"/>
      <c r="S56" s="14"/>
      <c r="T56" s="14"/>
      <c r="U56" s="14"/>
      <c r="V56" s="17"/>
      <c r="W56" s="18"/>
      <c r="X56" s="52"/>
    </row>
    <row r="57" spans="1:24" ht="21" customHeight="1" thickBot="1">
      <c r="A57" s="10"/>
      <c r="B57" s="11"/>
      <c r="C57" s="11"/>
      <c r="D57" s="11"/>
      <c r="E57" s="12"/>
      <c r="F57" s="11"/>
      <c r="G57" s="11"/>
      <c r="H57" s="11"/>
      <c r="I57" s="11"/>
      <c r="J57" s="11"/>
      <c r="K57" s="11"/>
      <c r="L57" s="11"/>
      <c r="M57" s="13"/>
      <c r="N57" s="11"/>
      <c r="O57" s="11"/>
      <c r="P57" s="11"/>
      <c r="Q57" s="14"/>
      <c r="R57" s="11"/>
      <c r="S57" s="14"/>
      <c r="T57" s="14"/>
      <c r="U57" s="14"/>
      <c r="V57" s="17"/>
      <c r="W57" s="18"/>
      <c r="X57" s="52"/>
    </row>
    <row r="58" spans="1:24" ht="20.45" customHeight="1">
      <c r="A58" s="1" t="s">
        <v>220</v>
      </c>
      <c r="B58" s="2" t="s">
        <v>1</v>
      </c>
      <c r="C58" s="2" t="s">
        <v>2</v>
      </c>
      <c r="D58" s="2" t="s">
        <v>3</v>
      </c>
      <c r="E58" s="3" t="s">
        <v>4</v>
      </c>
      <c r="F58" s="2" t="s">
        <v>5</v>
      </c>
      <c r="G58" s="2" t="s">
        <v>6</v>
      </c>
      <c r="H58" s="2" t="s">
        <v>7</v>
      </c>
      <c r="I58" s="4" t="s">
        <v>8</v>
      </c>
      <c r="J58" s="2" t="s">
        <v>9</v>
      </c>
      <c r="K58" s="2" t="s">
        <v>10</v>
      </c>
      <c r="L58" s="2" t="s">
        <v>11</v>
      </c>
      <c r="M58" s="6" t="s">
        <v>12</v>
      </c>
      <c r="N58" s="6" t="s">
        <v>145</v>
      </c>
      <c r="O58" s="7" t="s">
        <v>146</v>
      </c>
      <c r="P58" s="8" t="s">
        <v>158</v>
      </c>
      <c r="Q58" s="8" t="s">
        <v>147</v>
      </c>
      <c r="R58" s="7" t="s">
        <v>148</v>
      </c>
      <c r="S58" s="7" t="s">
        <v>149</v>
      </c>
      <c r="T58" s="7" t="s">
        <v>77</v>
      </c>
      <c r="U58" s="7" t="s">
        <v>20</v>
      </c>
      <c r="V58" s="8" t="s">
        <v>21</v>
      </c>
      <c r="W58" s="24" t="s">
        <v>22</v>
      </c>
      <c r="X58" s="52" t="s">
        <v>225</v>
      </c>
    </row>
    <row r="59" spans="1:24" ht="20.45" customHeight="1">
      <c r="A59" s="10" t="s">
        <v>79</v>
      </c>
      <c r="B59" s="11">
        <v>9.8379629629629633E-3</v>
      </c>
      <c r="C59" s="11">
        <v>2.9745370370370373E-3</v>
      </c>
      <c r="D59" s="11">
        <f>B59*E59</f>
        <v>5.7237268518518522E-3</v>
      </c>
      <c r="E59" s="12">
        <v>0.58179999999999998</v>
      </c>
      <c r="F59" s="11">
        <f>C59/4</f>
        <v>7.4363425925925931E-4</v>
      </c>
      <c r="G59" s="11">
        <f>D59/7.5</f>
        <v>7.6316358024691364E-4</v>
      </c>
      <c r="H59" s="11">
        <f>B59/12.5</f>
        <v>7.8703703703703705E-4</v>
      </c>
      <c r="I59" s="11">
        <f>G59/0.93</f>
        <v>8.2060600026549854E-4</v>
      </c>
      <c r="J59" s="11">
        <f>G59/0.92</f>
        <v>8.29525630703167E-4</v>
      </c>
      <c r="K59" s="11">
        <f>G59/0.88</f>
        <v>8.6723134118967459E-4</v>
      </c>
      <c r="L59" s="11">
        <f>G59/0.84</f>
        <v>9.085280717225163E-4</v>
      </c>
      <c r="M59" s="25">
        <f>WO2025Jan7men119151719232529313335394143454749555759636567697173757779131719212327293335[[#This Row],[Thresh]]</f>
        <v>8.6723134118967459E-4</v>
      </c>
      <c r="N59" s="28">
        <f>WO2025Jan7men119151719232529313335394143454749555759636567697173757779131719212327293335[[#This Row],[Thresh]]*1.5</f>
        <v>1.3008470117845119E-3</v>
      </c>
      <c r="O59" s="25">
        <f>WO2025Jan7men119151719232529313335394143454749555759636567697173757779131719212327293335[[#This Row],[CV]]</f>
        <v>8.29525630703167E-4</v>
      </c>
      <c r="P59" s="28">
        <f>WO2025Jan7men119151719232529313335394143454749555759636567697173757779131719212327293335[[#This Row],[VO2]]</f>
        <v>7.6316358024691364E-4</v>
      </c>
      <c r="Q59" s="25"/>
      <c r="R59" s="28"/>
      <c r="S59" s="25"/>
      <c r="T59" s="25"/>
      <c r="U59" s="28"/>
      <c r="V59" s="25"/>
      <c r="W59" s="15" t="s">
        <v>26</v>
      </c>
      <c r="X59" s="52"/>
    </row>
    <row r="60" spans="1:24" ht="20.45" customHeight="1">
      <c r="A60" s="10" t="s">
        <v>109</v>
      </c>
      <c r="B60" s="11">
        <v>9.8379629629629633E-3</v>
      </c>
      <c r="C60" s="11">
        <v>2.9745370370370373E-3</v>
      </c>
      <c r="D60" s="11">
        <f>B60*E60</f>
        <v>5.7237268518518522E-3</v>
      </c>
      <c r="E60" s="12">
        <v>0.58179999999999998</v>
      </c>
      <c r="F60" s="11">
        <f>C60/4</f>
        <v>7.4363425925925931E-4</v>
      </c>
      <c r="G60" s="11">
        <f>D60/7.5</f>
        <v>7.6316358024691364E-4</v>
      </c>
      <c r="H60" s="11">
        <f>B60/12.5</f>
        <v>7.8703703703703705E-4</v>
      </c>
      <c r="I60" s="11">
        <f>G60/0.93</f>
        <v>8.2060600026549854E-4</v>
      </c>
      <c r="J60" s="11">
        <f>G60/0.92</f>
        <v>8.29525630703167E-4</v>
      </c>
      <c r="K60" s="11">
        <f>G60/0.88</f>
        <v>8.6723134118967459E-4</v>
      </c>
      <c r="L60" s="11">
        <f>G60/0.84</f>
        <v>9.085280717225163E-4</v>
      </c>
      <c r="M60" s="25">
        <f>WO2025Jan7men119151719232529313335394143454749555759636567697173757779131719212327293335[[#This Row],[Thresh]]</f>
        <v>8.6723134118967459E-4</v>
      </c>
      <c r="N60" s="28">
        <f>WO2025Jan7men119151719232529313335394143454749555759636567697173757779131719212327293335[[#This Row],[Thresh]]*1.5</f>
        <v>1.3008470117845119E-3</v>
      </c>
      <c r="O60" s="25">
        <f>WO2025Jan7men119151719232529313335394143454749555759636567697173757779131719212327293335[[#This Row],[CV]]</f>
        <v>8.29525630703167E-4</v>
      </c>
      <c r="P60" s="28">
        <f>WO2025Jan7men119151719232529313335394143454749555759636567697173757779131719212327293335[[#This Row],[VO2]]</f>
        <v>7.6316358024691364E-4</v>
      </c>
      <c r="Q60" s="25"/>
      <c r="R60" s="28"/>
      <c r="S60" s="25"/>
      <c r="T60" s="25"/>
      <c r="U60" s="28"/>
      <c r="V60" s="25"/>
      <c r="W60" s="15" t="s">
        <v>26</v>
      </c>
      <c r="X60" s="52"/>
    </row>
    <row r="61" spans="1:24" ht="20.45" customHeight="1">
      <c r="A61" s="10" t="s">
        <v>80</v>
      </c>
      <c r="B61" s="11">
        <v>9.8379629629629633E-3</v>
      </c>
      <c r="C61" s="11">
        <v>2.8587962962962963E-3</v>
      </c>
      <c r="D61" s="11">
        <f>B61*E61</f>
        <v>5.7237268518518522E-3</v>
      </c>
      <c r="E61" s="12">
        <v>0.58179999999999998</v>
      </c>
      <c r="F61" s="11">
        <f>C61/4</f>
        <v>7.1469907407407409E-4</v>
      </c>
      <c r="G61" s="11">
        <f>D61/7.5</f>
        <v>7.6316358024691364E-4</v>
      </c>
      <c r="H61" s="11">
        <f>B61/12.5</f>
        <v>7.8703703703703705E-4</v>
      </c>
      <c r="I61" s="11">
        <f>G61/0.93</f>
        <v>8.2060600026549854E-4</v>
      </c>
      <c r="J61" s="11">
        <f>G61/0.92</f>
        <v>8.29525630703167E-4</v>
      </c>
      <c r="K61" s="11">
        <f>G61/0.88</f>
        <v>8.6723134118967459E-4</v>
      </c>
      <c r="L61" s="11">
        <f>G61/0.84</f>
        <v>9.085280717225163E-4</v>
      </c>
      <c r="M61" s="25">
        <f>WO2025Jan7men119151719232529313335394143454749555759636567697173757779131719212327293335[[#This Row],[Thresh]]</f>
        <v>8.6723134118967459E-4</v>
      </c>
      <c r="N61" s="28">
        <f>WO2025Jan7men119151719232529313335394143454749555759636567697173757779131719212327293335[[#This Row],[Thresh]]*1.5</f>
        <v>1.3008470117845119E-3</v>
      </c>
      <c r="O61" s="25">
        <f>WO2025Jan7men119151719232529313335394143454749555759636567697173757779131719212327293335[[#This Row],[CV]]</f>
        <v>8.29525630703167E-4</v>
      </c>
      <c r="P61" s="28">
        <f>WO2025Jan7men119151719232529313335394143454749555759636567697173757779131719212327293335[[#This Row],[VO2]]</f>
        <v>7.6316358024691364E-4</v>
      </c>
      <c r="Q61" s="25"/>
      <c r="R61" s="28"/>
      <c r="S61" s="25"/>
      <c r="T61" s="25"/>
      <c r="U61" s="28"/>
      <c r="V61" s="25"/>
      <c r="W61" s="15" t="s">
        <v>26</v>
      </c>
      <c r="X61" s="52"/>
    </row>
    <row r="62" spans="1:24" ht="20.45" customHeight="1">
      <c r="A62" s="10" t="s">
        <v>81</v>
      </c>
      <c r="B62" s="11">
        <v>9.9537037037037042E-3</v>
      </c>
      <c r="C62" s="11">
        <v>2.9745370370370373E-3</v>
      </c>
      <c r="D62" s="11">
        <f>B62*E62</f>
        <v>5.7910648148148149E-3</v>
      </c>
      <c r="E62" s="12">
        <v>0.58179999999999998</v>
      </c>
      <c r="F62" s="11">
        <f>C62/4</f>
        <v>7.4363425925925931E-4</v>
      </c>
      <c r="G62" s="11">
        <f>D62/7.5</f>
        <v>7.7214197530864196E-4</v>
      </c>
      <c r="H62" s="11">
        <f>B62/12.5</f>
        <v>7.9629629629629636E-4</v>
      </c>
      <c r="I62" s="11">
        <f>G62/0.93</f>
        <v>8.3026018850391602E-4</v>
      </c>
      <c r="J62" s="11">
        <f>G62/0.92</f>
        <v>8.3928475577026292E-4</v>
      </c>
      <c r="K62" s="11">
        <f>G62/0.88</f>
        <v>8.7743406285072947E-4</v>
      </c>
      <c r="L62" s="11">
        <f>G62/0.84</f>
        <v>9.1921663727219285E-4</v>
      </c>
      <c r="M62" s="25">
        <f>WO2025Jan7men119151719232529313335394143454749555759636567697173757779131719212327293335[[#This Row],[Thresh]]</f>
        <v>8.7743406285072947E-4</v>
      </c>
      <c r="N62" s="28">
        <f>WO2025Jan7men119151719232529313335394143454749555759636567697173757779131719212327293335[[#This Row],[Thresh]]*1.5</f>
        <v>1.3161510942760941E-3</v>
      </c>
      <c r="O62" s="25">
        <f>WO2025Jan7men119151719232529313335394143454749555759636567697173757779131719212327293335[[#This Row],[CV]]</f>
        <v>8.3928475577026292E-4</v>
      </c>
      <c r="P62" s="28">
        <f>WO2025Jan7men119151719232529313335394143454749555759636567697173757779131719212327293335[[#This Row],[VO2]]</f>
        <v>7.7214197530864196E-4</v>
      </c>
      <c r="Q62" s="25"/>
      <c r="R62" s="28"/>
      <c r="S62" s="25"/>
      <c r="T62" s="25"/>
      <c r="U62" s="28"/>
      <c r="V62" s="25"/>
      <c r="W62" s="15" t="s">
        <v>26</v>
      </c>
      <c r="X62" s="52"/>
    </row>
    <row r="63" spans="1:24" ht="20.45" customHeight="1">
      <c r="A63" s="10" t="s">
        <v>82</v>
      </c>
      <c r="B63" s="11">
        <v>9.9537037037037042E-3</v>
      </c>
      <c r="C63" s="11">
        <v>2.8935185185185188E-3</v>
      </c>
      <c r="D63" s="11">
        <f>B63*E63</f>
        <v>5.7910648148148149E-3</v>
      </c>
      <c r="E63" s="12">
        <v>0.58179999999999998</v>
      </c>
      <c r="F63" s="11">
        <f>C63/4</f>
        <v>7.233796296296297E-4</v>
      </c>
      <c r="G63" s="11">
        <f>D63/7.5</f>
        <v>7.7214197530864196E-4</v>
      </c>
      <c r="H63" s="11">
        <f>B63/12.5</f>
        <v>7.9629629629629636E-4</v>
      </c>
      <c r="I63" s="11">
        <f>G63/0.93</f>
        <v>8.3026018850391602E-4</v>
      </c>
      <c r="J63" s="11">
        <f>G63/0.92</f>
        <v>8.3928475577026292E-4</v>
      </c>
      <c r="K63" s="11">
        <f>G63/0.88</f>
        <v>8.7743406285072947E-4</v>
      </c>
      <c r="L63" s="11">
        <f>G63/0.84</f>
        <v>9.1921663727219285E-4</v>
      </c>
      <c r="M63" s="25">
        <f>WO2025Jan7men119151719232529313335394143454749555759636567697173757779131719212327293335[[#This Row],[Thresh]]</f>
        <v>8.7743406285072947E-4</v>
      </c>
      <c r="N63" s="28">
        <f>WO2025Jan7men119151719232529313335394143454749555759636567697173757779131719212327293335[[#This Row],[Thresh]]*1.5</f>
        <v>1.3161510942760941E-3</v>
      </c>
      <c r="O63" s="25">
        <f>WO2025Jan7men119151719232529313335394143454749555759636567697173757779131719212327293335[[#This Row],[CV]]</f>
        <v>8.3928475577026292E-4</v>
      </c>
      <c r="P63" s="28">
        <f>WO2025Jan7men119151719232529313335394143454749555759636567697173757779131719212327293335[[#This Row],[VO2]]</f>
        <v>7.7214197530864196E-4</v>
      </c>
      <c r="Q63" s="25"/>
      <c r="R63" s="28"/>
      <c r="S63" s="25"/>
      <c r="T63" s="25"/>
      <c r="U63" s="28"/>
      <c r="V63" s="25"/>
      <c r="W63" s="15" t="s">
        <v>26</v>
      </c>
      <c r="X63" s="52"/>
    </row>
    <row r="64" spans="1:24" ht="20.45" customHeight="1">
      <c r="A64" s="10" t="s">
        <v>84</v>
      </c>
      <c r="B64" s="11">
        <v>1.0069444444444445E-2</v>
      </c>
      <c r="C64" s="11">
        <v>3.0092592592592593E-3</v>
      </c>
      <c r="D64" s="11">
        <f t="shared" ref="D64:D98" si="24">B64*E64</f>
        <v>5.8584027777777783E-3</v>
      </c>
      <c r="E64" s="12">
        <v>0.58179999999999998</v>
      </c>
      <c r="F64" s="11">
        <f t="shared" ref="F64:F98" si="25">C64/4</f>
        <v>7.5231481481481482E-4</v>
      </c>
      <c r="G64" s="11">
        <f t="shared" ref="G64:G98" si="26">D64/7.5</f>
        <v>7.811203703703705E-4</v>
      </c>
      <c r="H64" s="11">
        <f t="shared" ref="H64:H98" si="27">B64/12.5</f>
        <v>8.0555555555555556E-4</v>
      </c>
      <c r="I64" s="11">
        <f t="shared" ref="I64:I98" si="28">G64/0.93</f>
        <v>8.3991437674233382E-4</v>
      </c>
      <c r="J64" s="11">
        <f t="shared" ref="J64:J98" si="29">G64/0.92</f>
        <v>8.4904388083735917E-4</v>
      </c>
      <c r="K64" s="11">
        <f t="shared" ref="K64:K98" si="30">G64/0.88</f>
        <v>8.8763678451178466E-4</v>
      </c>
      <c r="L64" s="11">
        <f t="shared" ref="L64:L98" si="31">G64/0.84</f>
        <v>9.2990520282186973E-4</v>
      </c>
      <c r="M64" s="25">
        <f>WO2025Jan7men119151719232529313335394143454749555759636567697173757779131719212327293335[[#This Row],[Thresh]]</f>
        <v>8.8763678451178466E-4</v>
      </c>
      <c r="N64" s="28">
        <f>WO2025Jan7men119151719232529313335394143454749555759636567697173757779131719212327293335[[#This Row],[Thresh]]*1.5</f>
        <v>1.3314551767676769E-3</v>
      </c>
      <c r="O64" s="25">
        <f>WO2025Jan7men119151719232529313335394143454749555759636567697173757779131719212327293335[[#This Row],[CV]]</f>
        <v>8.4904388083735917E-4</v>
      </c>
      <c r="P64" s="28">
        <f>WO2025Jan7men119151719232529313335394143454749555759636567697173757779131719212327293335[[#This Row],[VO2]]</f>
        <v>7.811203703703705E-4</v>
      </c>
      <c r="Q64" s="25"/>
      <c r="R64" s="28"/>
      <c r="S64" s="25"/>
      <c r="T64" s="25"/>
      <c r="U64" s="28"/>
      <c r="V64" s="25"/>
      <c r="W64" s="15" t="s">
        <v>26</v>
      </c>
      <c r="X64" s="52"/>
    </row>
    <row r="65" spans="1:24" ht="20.45" customHeight="1">
      <c r="A65" s="10" t="s">
        <v>110</v>
      </c>
      <c r="B65" s="11">
        <v>1.0069444444444445E-2</v>
      </c>
      <c r="C65" s="11">
        <v>2.8935185185185184E-3</v>
      </c>
      <c r="D65" s="11">
        <f>B65*E65</f>
        <v>5.8584027777777783E-3</v>
      </c>
      <c r="E65" s="12">
        <v>0.58179999999999998</v>
      </c>
      <c r="F65" s="11">
        <f>C65/4</f>
        <v>7.2337962962962959E-4</v>
      </c>
      <c r="G65" s="11">
        <f>D65/7.5</f>
        <v>7.811203703703705E-4</v>
      </c>
      <c r="H65" s="11">
        <f>B65/12.5</f>
        <v>8.0555555555555556E-4</v>
      </c>
      <c r="I65" s="11">
        <f>G65/0.93</f>
        <v>8.3991437674233382E-4</v>
      </c>
      <c r="J65" s="11">
        <f>G65/0.92</f>
        <v>8.4904388083735917E-4</v>
      </c>
      <c r="K65" s="11">
        <f>G65/0.88</f>
        <v>8.8763678451178466E-4</v>
      </c>
      <c r="L65" s="11">
        <f>G65/0.84</f>
        <v>9.2990520282186973E-4</v>
      </c>
      <c r="M65" s="25">
        <f>WO2025Jan7men119151719232529313335394143454749555759636567697173757779131719212327293335[[#This Row],[Thresh]]</f>
        <v>8.8763678451178466E-4</v>
      </c>
      <c r="N65" s="28">
        <f>WO2025Jan7men119151719232529313335394143454749555759636567697173757779131719212327293335[[#This Row],[Thresh]]*1.5</f>
        <v>1.3314551767676769E-3</v>
      </c>
      <c r="O65" s="25">
        <f>WO2025Jan7men119151719232529313335394143454749555759636567697173757779131719212327293335[[#This Row],[CV]]</f>
        <v>8.4904388083735917E-4</v>
      </c>
      <c r="P65" s="28">
        <f>WO2025Jan7men119151719232529313335394143454749555759636567697173757779131719212327293335[[#This Row],[VO2]]</f>
        <v>7.811203703703705E-4</v>
      </c>
      <c r="Q65" s="25"/>
      <c r="R65" s="28"/>
      <c r="S65" s="25"/>
      <c r="T65" s="25"/>
      <c r="U65" s="28"/>
      <c r="V65" s="25"/>
      <c r="W65" s="15" t="s">
        <v>26</v>
      </c>
      <c r="X65" s="52"/>
    </row>
    <row r="66" spans="1:24" ht="20.45" customHeight="1">
      <c r="A66" s="10" t="s">
        <v>83</v>
      </c>
      <c r="B66" s="11">
        <v>1.0069444444444445E-2</v>
      </c>
      <c r="C66" s="11">
        <v>3.0671296296296297E-3</v>
      </c>
      <c r="D66" s="11">
        <f>B66*E66</f>
        <v>5.8584027777777783E-3</v>
      </c>
      <c r="E66" s="12">
        <v>0.58179999999999998</v>
      </c>
      <c r="F66" s="11">
        <f>C66/4</f>
        <v>7.6678240740740743E-4</v>
      </c>
      <c r="G66" s="11">
        <f>D66/7.5</f>
        <v>7.811203703703705E-4</v>
      </c>
      <c r="H66" s="11">
        <f>B66/12.5</f>
        <v>8.0555555555555556E-4</v>
      </c>
      <c r="I66" s="11">
        <f>G66/0.93</f>
        <v>8.3991437674233382E-4</v>
      </c>
      <c r="J66" s="11">
        <f>G66/0.92</f>
        <v>8.4904388083735917E-4</v>
      </c>
      <c r="K66" s="11">
        <f>G66/0.88</f>
        <v>8.8763678451178466E-4</v>
      </c>
      <c r="L66" s="11">
        <f>G66/0.84</f>
        <v>9.2990520282186973E-4</v>
      </c>
      <c r="M66" s="25">
        <f>WO2025Jan7men119151719232529313335394143454749555759636567697173757779131719212327293335[[#This Row],[Thresh]]</f>
        <v>8.8763678451178466E-4</v>
      </c>
      <c r="N66" s="28">
        <f>WO2025Jan7men119151719232529313335394143454749555759636567697173757779131719212327293335[[#This Row],[Thresh]]*1.5</f>
        <v>1.3314551767676769E-3</v>
      </c>
      <c r="O66" s="25">
        <f>WO2025Jan7men119151719232529313335394143454749555759636567697173757779131719212327293335[[#This Row],[CV]]</f>
        <v>8.4904388083735917E-4</v>
      </c>
      <c r="P66" s="28">
        <f>WO2025Jan7men119151719232529313335394143454749555759636567697173757779131719212327293335[[#This Row],[VO2]]</f>
        <v>7.811203703703705E-4</v>
      </c>
      <c r="Q66" s="25"/>
      <c r="R66" s="28"/>
      <c r="S66" s="25"/>
      <c r="T66" s="25"/>
      <c r="U66" s="28"/>
      <c r="V66" s="25"/>
      <c r="W66" s="15" t="s">
        <v>26</v>
      </c>
      <c r="X66" s="52"/>
    </row>
    <row r="67" spans="1:24" ht="20.45" customHeight="1">
      <c r="A67" s="10" t="s">
        <v>111</v>
      </c>
      <c r="B67" s="11">
        <v>1.0069444444444445E-2</v>
      </c>
      <c r="C67" s="11">
        <v>3.0092592592592588E-3</v>
      </c>
      <c r="D67" s="11">
        <f>B67*E67</f>
        <v>5.8584027777777783E-3</v>
      </c>
      <c r="E67" s="12">
        <v>0.58179999999999998</v>
      </c>
      <c r="F67" s="11">
        <f>C67/4</f>
        <v>7.5231481481481471E-4</v>
      </c>
      <c r="G67" s="11">
        <f>D67/7.5</f>
        <v>7.811203703703705E-4</v>
      </c>
      <c r="H67" s="11">
        <f>B67/12.5</f>
        <v>8.0555555555555556E-4</v>
      </c>
      <c r="I67" s="11">
        <f>G67/0.93</f>
        <v>8.3991437674233382E-4</v>
      </c>
      <c r="J67" s="11">
        <f>G67/0.92</f>
        <v>8.4904388083735917E-4</v>
      </c>
      <c r="K67" s="11">
        <f>G67/0.88</f>
        <v>8.8763678451178466E-4</v>
      </c>
      <c r="L67" s="11">
        <f>G67/0.84</f>
        <v>9.2990520282186973E-4</v>
      </c>
      <c r="M67" s="25">
        <f>WO2025Jan7men119151719232529313335394143454749555759636567697173757779131719212327293335[[#This Row],[Thresh]]</f>
        <v>8.8763678451178466E-4</v>
      </c>
      <c r="N67" s="28">
        <f>WO2025Jan7men119151719232529313335394143454749555759636567697173757779131719212327293335[[#This Row],[Thresh]]*1.5</f>
        <v>1.3314551767676769E-3</v>
      </c>
      <c r="O67" s="25">
        <f>WO2025Jan7men119151719232529313335394143454749555759636567697173757779131719212327293335[[#This Row],[CV]]</f>
        <v>8.4904388083735917E-4</v>
      </c>
      <c r="P67" s="28">
        <f>WO2025Jan7men119151719232529313335394143454749555759636567697173757779131719212327293335[[#This Row],[VO2]]</f>
        <v>7.811203703703705E-4</v>
      </c>
      <c r="Q67" s="25"/>
      <c r="R67" s="28"/>
      <c r="S67" s="25"/>
      <c r="T67" s="25"/>
      <c r="U67" s="28"/>
      <c r="V67" s="25"/>
      <c r="W67" s="15" t="s">
        <v>26</v>
      </c>
      <c r="X67" s="52"/>
    </row>
    <row r="68" spans="1:24" ht="20.45" customHeight="1">
      <c r="A68" s="10" t="s">
        <v>112</v>
      </c>
      <c r="B68" s="11">
        <v>1.0243055555555556E-2</v>
      </c>
      <c r="C68" s="11">
        <v>2.8587962962962963E-3</v>
      </c>
      <c r="D68" s="11">
        <f t="shared" si="24"/>
        <v>5.9594097222222218E-3</v>
      </c>
      <c r="E68" s="12">
        <v>0.58179999999999998</v>
      </c>
      <c r="F68" s="11">
        <f t="shared" si="25"/>
        <v>7.1469907407407409E-4</v>
      </c>
      <c r="G68" s="11">
        <f t="shared" si="26"/>
        <v>7.9458796296296287E-4</v>
      </c>
      <c r="H68" s="11">
        <f t="shared" si="27"/>
        <v>8.1944444444444447E-4</v>
      </c>
      <c r="I68" s="11">
        <f t="shared" si="28"/>
        <v>8.5439565909996003E-4</v>
      </c>
      <c r="J68" s="11">
        <f t="shared" si="29"/>
        <v>8.636825684380031E-4</v>
      </c>
      <c r="K68" s="11">
        <f t="shared" si="30"/>
        <v>9.0294086700336686E-4</v>
      </c>
      <c r="L68" s="11">
        <f t="shared" si="31"/>
        <v>9.4593805114638445E-4</v>
      </c>
      <c r="M68" s="25">
        <f>WO2025Jan7men119151719232529313335394143454749555759636567697173757779131719212327293335[[#This Row],[Thresh]]</f>
        <v>9.0294086700336686E-4</v>
      </c>
      <c r="N68" s="28">
        <f>WO2025Jan7men119151719232529313335394143454749555759636567697173757779131719212327293335[[#This Row],[Thresh]]*1.5</f>
        <v>1.3544113005050503E-3</v>
      </c>
      <c r="O68" s="25">
        <f>WO2025Jan7men119151719232529313335394143454749555759636567697173757779131719212327293335[[#This Row],[CV]]</f>
        <v>8.636825684380031E-4</v>
      </c>
      <c r="P68" s="28">
        <f>WO2025Jan7men119151719232529313335394143454749555759636567697173757779131719212327293335[[#This Row],[VO2]]</f>
        <v>7.9458796296296287E-4</v>
      </c>
      <c r="Q68" s="25"/>
      <c r="R68" s="28"/>
      <c r="S68" s="25"/>
      <c r="T68" s="25"/>
      <c r="U68" s="28"/>
      <c r="V68" s="25"/>
      <c r="W68" s="15" t="s">
        <v>26</v>
      </c>
      <c r="X68" s="52" t="s">
        <v>226</v>
      </c>
    </row>
    <row r="69" spans="1:24" ht="20.45" customHeight="1">
      <c r="A69" s="10" t="s">
        <v>116</v>
      </c>
      <c r="B69" s="11">
        <v>1.0243055555555556E-2</v>
      </c>
      <c r="C69" s="11">
        <v>2.9513888888888888E-3</v>
      </c>
      <c r="D69" s="11">
        <f>B69*E69</f>
        <v>5.9594097222222218E-3</v>
      </c>
      <c r="E69" s="12">
        <v>0.58179999999999998</v>
      </c>
      <c r="F69" s="11">
        <f>C69/4</f>
        <v>7.378472222222222E-4</v>
      </c>
      <c r="G69" s="11">
        <f>D69/7.5</f>
        <v>7.9458796296296287E-4</v>
      </c>
      <c r="H69" s="11">
        <f>B69/12.5</f>
        <v>8.1944444444444447E-4</v>
      </c>
      <c r="I69" s="11">
        <f>G69/0.93</f>
        <v>8.5439565909996003E-4</v>
      </c>
      <c r="J69" s="11">
        <f>G69/0.92</f>
        <v>8.636825684380031E-4</v>
      </c>
      <c r="K69" s="11">
        <f>G69/0.88</f>
        <v>9.0294086700336686E-4</v>
      </c>
      <c r="L69" s="17">
        <f>G69/0.84</f>
        <v>9.4593805114638445E-4</v>
      </c>
      <c r="M69" s="25">
        <f>WO2025Jan7men119151719232529313335394143454749555759636567697173757779131719212327293335[[#This Row],[Thresh]]</f>
        <v>9.0294086700336686E-4</v>
      </c>
      <c r="N69" s="28">
        <f>WO2025Jan7men119151719232529313335394143454749555759636567697173757779131719212327293335[[#This Row],[Thresh]]*1.5</f>
        <v>1.3544113005050503E-3</v>
      </c>
      <c r="O69" s="25">
        <f>WO2025Jan7men119151719232529313335394143454749555759636567697173757779131719212327293335[[#This Row],[CV]]</f>
        <v>8.636825684380031E-4</v>
      </c>
      <c r="P69" s="28">
        <f>WO2025Jan7men119151719232529313335394143454749555759636567697173757779131719212327293335[[#This Row],[VO2]]</f>
        <v>7.9458796296296287E-4</v>
      </c>
      <c r="Q69" s="25"/>
      <c r="R69" s="28"/>
      <c r="S69" s="25"/>
      <c r="T69" s="25"/>
      <c r="U69" s="28"/>
      <c r="V69" s="25"/>
      <c r="W69" s="15" t="s">
        <v>35</v>
      </c>
      <c r="X69" s="52"/>
    </row>
    <row r="70" spans="1:24" ht="20.45" customHeight="1">
      <c r="A70" s="10" t="s">
        <v>93</v>
      </c>
      <c r="B70" s="11">
        <v>1.0300925925925925E-2</v>
      </c>
      <c r="C70" s="11"/>
      <c r="D70" s="11">
        <f>B70*E70</f>
        <v>5.9930787037037027E-3</v>
      </c>
      <c r="E70" s="12">
        <v>0.58179999999999998</v>
      </c>
      <c r="F70" s="11">
        <f>C70/4</f>
        <v>0</v>
      </c>
      <c r="G70" s="11">
        <f>D70/7.5</f>
        <v>7.9907716049382703E-4</v>
      </c>
      <c r="H70" s="11">
        <f>B70/12.5</f>
        <v>8.2407407407407397E-4</v>
      </c>
      <c r="I70" s="11">
        <f>G70/0.93</f>
        <v>8.5922275321916877E-4</v>
      </c>
      <c r="J70" s="11">
        <f>G70/0.92</f>
        <v>8.6856213097155112E-4</v>
      </c>
      <c r="K70" s="11">
        <f>G70/0.88</f>
        <v>9.080422278338944E-4</v>
      </c>
      <c r="L70" s="11">
        <f>G70/0.84</f>
        <v>9.5128233392122272E-4</v>
      </c>
      <c r="M70" s="25">
        <f>WO2025Jan7men119151719232529313335394143454749555759636567697173757779131719212327293335[[#This Row],[Thresh]]</f>
        <v>9.080422278338944E-4</v>
      </c>
      <c r="N70" s="28">
        <f>WO2025Jan7men119151719232529313335394143454749555759636567697173757779131719212327293335[[#This Row],[Thresh]]*1.5</f>
        <v>1.3620633417508415E-3</v>
      </c>
      <c r="O70" s="25">
        <f>WO2025Jan7men119151719232529313335394143454749555759636567697173757779131719212327293335[[#This Row],[CV]]</f>
        <v>8.6856213097155112E-4</v>
      </c>
      <c r="P70" s="28">
        <f>WO2025Jan7men119151719232529313335394143454749555759636567697173757779131719212327293335[[#This Row],[VO2]]</f>
        <v>7.9907716049382703E-4</v>
      </c>
      <c r="Q70" s="25"/>
      <c r="R70" s="28"/>
      <c r="S70" s="25"/>
      <c r="T70" s="25"/>
      <c r="U70" s="28"/>
      <c r="V70" s="25"/>
      <c r="W70" s="27" t="s">
        <v>35</v>
      </c>
      <c r="X70" s="52"/>
    </row>
    <row r="71" spans="1:24" ht="20.45" customHeight="1">
      <c r="A71" s="10" t="s">
        <v>92</v>
      </c>
      <c r="B71" s="11">
        <v>1.0300925925925925E-2</v>
      </c>
      <c r="C71" s="11">
        <v>2.9745370370370373E-3</v>
      </c>
      <c r="D71" s="11">
        <f>B71*E71</f>
        <v>5.9930787037037027E-3</v>
      </c>
      <c r="E71" s="12">
        <v>0.58179999999999998</v>
      </c>
      <c r="F71" s="11">
        <f>C71/4</f>
        <v>7.4363425925925931E-4</v>
      </c>
      <c r="G71" s="11">
        <f>D71/7.5</f>
        <v>7.9907716049382703E-4</v>
      </c>
      <c r="H71" s="11">
        <f>B71/12.5</f>
        <v>8.2407407407407397E-4</v>
      </c>
      <c r="I71" s="11">
        <f>G71/0.93</f>
        <v>8.5922275321916877E-4</v>
      </c>
      <c r="J71" s="11">
        <f>G71/0.92</f>
        <v>8.6856213097155112E-4</v>
      </c>
      <c r="K71" s="11">
        <f>G71/0.88</f>
        <v>9.080422278338944E-4</v>
      </c>
      <c r="L71" s="11">
        <f>G71/0.84</f>
        <v>9.5128233392122272E-4</v>
      </c>
      <c r="M71" s="25">
        <f>WO2025Jan7men119151719232529313335394143454749555759636567697173757779131719212327293335[[#This Row],[Thresh]]</f>
        <v>9.080422278338944E-4</v>
      </c>
      <c r="N71" s="28">
        <f>WO2025Jan7men119151719232529313335394143454749555759636567697173757779131719212327293335[[#This Row],[Thresh]]*1.5</f>
        <v>1.3620633417508415E-3</v>
      </c>
      <c r="O71" s="25">
        <f>WO2025Jan7men119151719232529313335394143454749555759636567697173757779131719212327293335[[#This Row],[CV]]</f>
        <v>8.6856213097155112E-4</v>
      </c>
      <c r="P71" s="28">
        <f>WO2025Jan7men119151719232529313335394143454749555759636567697173757779131719212327293335[[#This Row],[VO2]]</f>
        <v>7.9907716049382703E-4</v>
      </c>
      <c r="Q71" s="25"/>
      <c r="R71" s="28"/>
      <c r="S71" s="25"/>
      <c r="T71" s="25"/>
      <c r="U71" s="28"/>
      <c r="V71" s="25"/>
      <c r="W71" s="15" t="s">
        <v>26</v>
      </c>
      <c r="X71" s="52"/>
    </row>
    <row r="72" spans="1:24" ht="20.45" customHeight="1">
      <c r="A72" s="10" t="s">
        <v>85</v>
      </c>
      <c r="B72" s="11">
        <v>1.0300925925925925E-2</v>
      </c>
      <c r="C72" s="11">
        <v>3.0671296296296297E-3</v>
      </c>
      <c r="D72" s="11">
        <f>B72*E72</f>
        <v>5.9930787037037027E-3</v>
      </c>
      <c r="E72" s="12">
        <v>0.58179999999999998</v>
      </c>
      <c r="F72" s="11">
        <f>C72/4</f>
        <v>7.6678240740740743E-4</v>
      </c>
      <c r="G72" s="11">
        <f>D72/7.5</f>
        <v>7.9907716049382703E-4</v>
      </c>
      <c r="H72" s="11">
        <f>B72/12.5</f>
        <v>8.2407407407407397E-4</v>
      </c>
      <c r="I72" s="11">
        <f>G72/0.93</f>
        <v>8.5922275321916877E-4</v>
      </c>
      <c r="J72" s="11">
        <f>G72/0.92</f>
        <v>8.6856213097155112E-4</v>
      </c>
      <c r="K72" s="11">
        <f>G72/0.88</f>
        <v>9.080422278338944E-4</v>
      </c>
      <c r="L72" s="17">
        <f>G72/0.84</f>
        <v>9.5128233392122272E-4</v>
      </c>
      <c r="M72" s="25">
        <f>WO2025Jan7men119151719232529313335394143454749555759636567697173757779131719212327293335[[#This Row],[Thresh]]</f>
        <v>9.080422278338944E-4</v>
      </c>
      <c r="N72" s="28">
        <f>WO2025Jan7men119151719232529313335394143454749555759636567697173757779131719212327293335[[#This Row],[Thresh]]*1.5</f>
        <v>1.3620633417508415E-3</v>
      </c>
      <c r="O72" s="25">
        <f>WO2025Jan7men119151719232529313335394143454749555759636567697173757779131719212327293335[[#This Row],[CV]]</f>
        <v>8.6856213097155112E-4</v>
      </c>
      <c r="P72" s="28">
        <f>WO2025Jan7men119151719232529313335394143454749555759636567697173757779131719212327293335[[#This Row],[VO2]]</f>
        <v>7.9907716049382703E-4</v>
      </c>
      <c r="Q72" s="25"/>
      <c r="R72" s="28"/>
      <c r="S72" s="25"/>
      <c r="T72" s="25"/>
      <c r="U72" s="28"/>
      <c r="V72" s="25"/>
      <c r="W72" s="15" t="s">
        <v>26</v>
      </c>
      <c r="X72" s="52"/>
    </row>
    <row r="73" spans="1:24" ht="20.45" customHeight="1">
      <c r="A73" s="10" t="s">
        <v>117</v>
      </c>
      <c r="B73" s="11">
        <v>1.0300925925925925E-2</v>
      </c>
      <c r="C73" s="11">
        <v>3.0671296296296297E-3</v>
      </c>
      <c r="D73" s="11">
        <f t="shared" si="24"/>
        <v>5.9930787037037027E-3</v>
      </c>
      <c r="E73" s="12">
        <v>0.58179999999999998</v>
      </c>
      <c r="F73" s="11">
        <f t="shared" si="25"/>
        <v>7.6678240740740743E-4</v>
      </c>
      <c r="G73" s="11">
        <f t="shared" si="26"/>
        <v>7.9907716049382703E-4</v>
      </c>
      <c r="H73" s="11">
        <f t="shared" si="27"/>
        <v>8.2407407407407397E-4</v>
      </c>
      <c r="I73" s="11">
        <f t="shared" si="28"/>
        <v>8.5922275321916877E-4</v>
      </c>
      <c r="J73" s="11">
        <f t="shared" si="29"/>
        <v>8.6856213097155112E-4</v>
      </c>
      <c r="K73" s="11">
        <f t="shared" si="30"/>
        <v>9.080422278338944E-4</v>
      </c>
      <c r="L73" s="11">
        <f t="shared" si="31"/>
        <v>9.5128233392122272E-4</v>
      </c>
      <c r="M73" s="25">
        <f>WO2025Jan7men119151719232529313335394143454749555759636567697173757779131719212327293335[[#This Row],[Thresh]]</f>
        <v>9.080422278338944E-4</v>
      </c>
      <c r="N73" s="28">
        <f>WO2025Jan7men119151719232529313335394143454749555759636567697173757779131719212327293335[[#This Row],[Thresh]]*1.5</f>
        <v>1.3620633417508415E-3</v>
      </c>
      <c r="O73" s="25">
        <f>WO2025Jan7men119151719232529313335394143454749555759636567697173757779131719212327293335[[#This Row],[CV]]</f>
        <v>8.6856213097155112E-4</v>
      </c>
      <c r="P73" s="28">
        <f>WO2025Jan7men119151719232529313335394143454749555759636567697173757779131719212327293335[[#This Row],[VO2]]</f>
        <v>7.9907716049382703E-4</v>
      </c>
      <c r="Q73" s="25"/>
      <c r="R73" s="28"/>
      <c r="S73" s="25"/>
      <c r="T73" s="25"/>
      <c r="U73" s="28"/>
      <c r="V73" s="25"/>
      <c r="W73" s="15" t="s">
        <v>26</v>
      </c>
      <c r="X73" s="52"/>
    </row>
    <row r="74" spans="1:24" ht="20.45" customHeight="1">
      <c r="A74" s="10" t="s">
        <v>118</v>
      </c>
      <c r="B74" s="11">
        <v>1.0300925925925925E-2</v>
      </c>
      <c r="C74" s="11">
        <v>3.0671296296296297E-3</v>
      </c>
      <c r="D74" s="11">
        <f>B74*E74</f>
        <v>5.9930787037037027E-3</v>
      </c>
      <c r="E74" s="12">
        <v>0.58179999999999998</v>
      </c>
      <c r="F74" s="11">
        <f>C74/4</f>
        <v>7.6678240740740743E-4</v>
      </c>
      <c r="G74" s="11">
        <f>D74/7.5</f>
        <v>7.9907716049382703E-4</v>
      </c>
      <c r="H74" s="11">
        <f>B74/12.5</f>
        <v>8.2407407407407397E-4</v>
      </c>
      <c r="I74" s="11">
        <f>G74/0.93</f>
        <v>8.5922275321916877E-4</v>
      </c>
      <c r="J74" s="11">
        <f>G74/0.92</f>
        <v>8.6856213097155112E-4</v>
      </c>
      <c r="K74" s="11">
        <f>G74/0.88</f>
        <v>9.080422278338944E-4</v>
      </c>
      <c r="L74" s="11">
        <f>G74/0.84</f>
        <v>9.5128233392122272E-4</v>
      </c>
      <c r="M74" s="25">
        <f>WO2025Jan7men119151719232529313335394143454749555759636567697173757779131719212327293335[[#This Row],[Thresh]]</f>
        <v>9.080422278338944E-4</v>
      </c>
      <c r="N74" s="28">
        <f>WO2025Jan7men119151719232529313335394143454749555759636567697173757779131719212327293335[[#This Row],[Thresh]]*1.5</f>
        <v>1.3620633417508415E-3</v>
      </c>
      <c r="O74" s="25">
        <f>WO2025Jan7men119151719232529313335394143454749555759636567697173757779131719212327293335[[#This Row],[CV]]</f>
        <v>8.6856213097155112E-4</v>
      </c>
      <c r="P74" s="28">
        <f>WO2025Jan7men119151719232529313335394143454749555759636567697173757779131719212327293335[[#This Row],[VO2]]</f>
        <v>7.9907716049382703E-4</v>
      </c>
      <c r="Q74" s="25"/>
      <c r="R74" s="28"/>
      <c r="S74" s="25"/>
      <c r="T74" s="25"/>
      <c r="U74" s="28"/>
      <c r="V74" s="25"/>
      <c r="W74" s="15" t="s">
        <v>26</v>
      </c>
      <c r="X74" s="52"/>
    </row>
    <row r="75" spans="1:24" ht="20.45" customHeight="1">
      <c r="A75" s="10" t="s">
        <v>86</v>
      </c>
      <c r="B75" s="11">
        <v>1.0416666666666666E-2</v>
      </c>
      <c r="C75" s="11">
        <v>3.0671296296296297E-3</v>
      </c>
      <c r="D75" s="11">
        <f>B75*E75</f>
        <v>6.0604166666666662E-3</v>
      </c>
      <c r="E75" s="12">
        <v>0.58179999999999998</v>
      </c>
      <c r="F75" s="11">
        <f>C75/4</f>
        <v>7.6678240740740743E-4</v>
      </c>
      <c r="G75" s="11">
        <f>D75/7.5</f>
        <v>8.0805555555555546E-4</v>
      </c>
      <c r="H75" s="11">
        <f>B75/12.5</f>
        <v>8.3333333333333328E-4</v>
      </c>
      <c r="I75" s="11">
        <f>G75/0.93</f>
        <v>8.6887694145758646E-4</v>
      </c>
      <c r="J75" s="11">
        <f>G75/0.92</f>
        <v>8.7832125603864715E-4</v>
      </c>
      <c r="K75" s="11">
        <f>G75/0.88</f>
        <v>9.1824494949494938E-4</v>
      </c>
      <c r="L75" s="11">
        <f>G75/0.84</f>
        <v>9.6197089947089938E-4</v>
      </c>
      <c r="M75" s="25">
        <f>WO2025Jan7men119151719232529313335394143454749555759636567697173757779131719212327293335[[#This Row],[Thresh]]</f>
        <v>9.1824494949494938E-4</v>
      </c>
      <c r="N75" s="28">
        <f>WO2025Jan7men119151719232529313335394143454749555759636567697173757779131719212327293335[[#This Row],[Thresh]]*1.5</f>
        <v>1.3773674242424242E-3</v>
      </c>
      <c r="O75" s="25">
        <f>WO2025Jan7men119151719232529313335394143454749555759636567697173757779131719212327293335[[#This Row],[CV]]</f>
        <v>8.7832125603864715E-4</v>
      </c>
      <c r="P75" s="28">
        <f>WO2025Jan7men119151719232529313335394143454749555759636567697173757779131719212327293335[[#This Row],[VO2]]</f>
        <v>8.0805555555555546E-4</v>
      </c>
      <c r="Q75" s="25"/>
      <c r="R75" s="28"/>
      <c r="S75" s="25"/>
      <c r="T75" s="25"/>
      <c r="U75" s="28"/>
      <c r="V75" s="25"/>
      <c r="W75" s="15" t="s">
        <v>35</v>
      </c>
      <c r="X75" s="52"/>
    </row>
    <row r="76" spans="1:24" ht="20.45" customHeight="1">
      <c r="A76" s="10" t="s">
        <v>119</v>
      </c>
      <c r="B76" s="11">
        <v>1.0416666666666666E-2</v>
      </c>
      <c r="C76" s="11"/>
      <c r="D76" s="11">
        <f t="shared" si="24"/>
        <v>6.0604166666666662E-3</v>
      </c>
      <c r="E76" s="12">
        <v>0.58179999999999998</v>
      </c>
      <c r="F76" s="11">
        <f t="shared" si="25"/>
        <v>0</v>
      </c>
      <c r="G76" s="11">
        <f t="shared" si="26"/>
        <v>8.0805555555555546E-4</v>
      </c>
      <c r="H76" s="11">
        <f t="shared" si="27"/>
        <v>8.3333333333333328E-4</v>
      </c>
      <c r="I76" s="11">
        <f t="shared" si="28"/>
        <v>8.6887694145758646E-4</v>
      </c>
      <c r="J76" s="11">
        <f t="shared" si="29"/>
        <v>8.7832125603864715E-4</v>
      </c>
      <c r="K76" s="11">
        <f t="shared" si="30"/>
        <v>9.1824494949494938E-4</v>
      </c>
      <c r="L76" s="11">
        <f t="shared" si="31"/>
        <v>9.6197089947089938E-4</v>
      </c>
      <c r="M76" s="25">
        <f>WO2025Jan7men119151719232529313335394143454749555759636567697173757779131719212327293335[[#This Row],[Thresh]]</f>
        <v>9.1824494949494938E-4</v>
      </c>
      <c r="N76" s="28">
        <f>WO2025Jan7men119151719232529313335394143454749555759636567697173757779131719212327293335[[#This Row],[Thresh]]*1.5</f>
        <v>1.3773674242424242E-3</v>
      </c>
      <c r="O76" s="25">
        <f>WO2025Jan7men119151719232529313335394143454749555759636567697173757779131719212327293335[[#This Row],[CV]]</f>
        <v>8.7832125603864715E-4</v>
      </c>
      <c r="P76" s="28">
        <f>WO2025Jan7men119151719232529313335394143454749555759636567697173757779131719212327293335[[#This Row],[VO2]]</f>
        <v>8.0805555555555546E-4</v>
      </c>
      <c r="Q76" s="25"/>
      <c r="R76" s="28"/>
      <c r="S76" s="25"/>
      <c r="T76" s="25"/>
      <c r="U76" s="28"/>
      <c r="V76" s="25"/>
      <c r="W76" s="27" t="s">
        <v>26</v>
      </c>
      <c r="X76" s="52"/>
    </row>
    <row r="77" spans="1:24" ht="20.45" customHeight="1">
      <c r="A77" s="10" t="s">
        <v>120</v>
      </c>
      <c r="B77" s="11">
        <v>1.0416666666666666E-2</v>
      </c>
      <c r="C77" s="11">
        <v>3.1250000000000002E-3</v>
      </c>
      <c r="D77" s="11">
        <f t="shared" si="24"/>
        <v>6.0604166666666662E-3</v>
      </c>
      <c r="E77" s="12">
        <v>0.58179999999999998</v>
      </c>
      <c r="F77" s="11">
        <f t="shared" si="25"/>
        <v>7.8125000000000004E-4</v>
      </c>
      <c r="G77" s="11">
        <f t="shared" si="26"/>
        <v>8.0805555555555546E-4</v>
      </c>
      <c r="H77" s="11">
        <f t="shared" si="27"/>
        <v>8.3333333333333328E-4</v>
      </c>
      <c r="I77" s="11">
        <f t="shared" si="28"/>
        <v>8.6887694145758646E-4</v>
      </c>
      <c r="J77" s="11">
        <f t="shared" si="29"/>
        <v>8.7832125603864715E-4</v>
      </c>
      <c r="K77" s="11">
        <f t="shared" si="30"/>
        <v>9.1824494949494938E-4</v>
      </c>
      <c r="L77" s="11">
        <f t="shared" si="31"/>
        <v>9.6197089947089938E-4</v>
      </c>
      <c r="M77" s="25">
        <f>WO2025Jan7men119151719232529313335394143454749555759636567697173757779131719212327293335[[#This Row],[Thresh]]</f>
        <v>9.1824494949494938E-4</v>
      </c>
      <c r="N77" s="28">
        <f>WO2025Jan7men119151719232529313335394143454749555759636567697173757779131719212327293335[[#This Row],[Thresh]]*1.5</f>
        <v>1.3773674242424242E-3</v>
      </c>
      <c r="O77" s="25">
        <f>WO2025Jan7men119151719232529313335394143454749555759636567697173757779131719212327293335[[#This Row],[CV]]</f>
        <v>8.7832125603864715E-4</v>
      </c>
      <c r="P77" s="28">
        <f>WO2025Jan7men119151719232529313335394143454749555759636567697173757779131719212327293335[[#This Row],[VO2]]</f>
        <v>8.0805555555555546E-4</v>
      </c>
      <c r="Q77" s="25"/>
      <c r="R77" s="28"/>
      <c r="S77" s="25"/>
      <c r="T77" s="25"/>
      <c r="U77" s="28"/>
      <c r="V77" s="25"/>
      <c r="W77" s="15" t="s">
        <v>26</v>
      </c>
      <c r="X77" s="52"/>
    </row>
    <row r="78" spans="1:24" ht="20.45" customHeight="1">
      <c r="A78" s="10" t="s">
        <v>115</v>
      </c>
      <c r="B78" s="11">
        <v>1.0532407407407407E-2</v>
      </c>
      <c r="C78" s="11">
        <v>2.9513888888888888E-3</v>
      </c>
      <c r="D78" s="11">
        <f>B78*E78</f>
        <v>6.1277546296296288E-3</v>
      </c>
      <c r="E78" s="12">
        <v>0.58179999999999998</v>
      </c>
      <c r="F78" s="11">
        <f>C78/4</f>
        <v>7.378472222222222E-4</v>
      </c>
      <c r="G78" s="11">
        <f>D78/7.5</f>
        <v>8.1703395061728389E-4</v>
      </c>
      <c r="H78" s="11">
        <f>B78/12.5</f>
        <v>8.4259259259259259E-4</v>
      </c>
      <c r="I78" s="11">
        <f>G78/0.93</f>
        <v>8.7853112969600415E-4</v>
      </c>
      <c r="J78" s="11">
        <f>G78/0.92</f>
        <v>8.8808038110574329E-4</v>
      </c>
      <c r="K78" s="11">
        <f>G78/0.88</f>
        <v>9.2844767115600447E-4</v>
      </c>
      <c r="L78" s="11">
        <f>G78/0.84</f>
        <v>9.7265946502057604E-4</v>
      </c>
      <c r="M78" s="25">
        <f>WO2025Jan7men119151719232529313335394143454749555759636567697173757779131719212327293335[[#This Row],[Thresh]]</f>
        <v>9.2844767115600447E-4</v>
      </c>
      <c r="N78" s="28">
        <f>WO2025Jan7men119151719232529313335394143454749555759636567697173757779131719212327293335[[#This Row],[Thresh]]*1.5</f>
        <v>1.3926715067340066E-3</v>
      </c>
      <c r="O78" s="25">
        <f>WO2025Jan7men119151719232529313335394143454749555759636567697173757779131719212327293335[[#This Row],[CV]]</f>
        <v>8.8808038110574329E-4</v>
      </c>
      <c r="P78" s="28">
        <f>WO2025Jan7men119151719232529313335394143454749555759636567697173757779131719212327293335[[#This Row],[VO2]]</f>
        <v>8.1703395061728389E-4</v>
      </c>
      <c r="Q78" s="25"/>
      <c r="R78" s="28"/>
      <c r="S78" s="25"/>
      <c r="T78" s="25"/>
      <c r="U78" s="28"/>
      <c r="V78" s="25"/>
      <c r="W78" s="27" t="s">
        <v>35</v>
      </c>
      <c r="X78" s="52" t="s">
        <v>227</v>
      </c>
    </row>
    <row r="79" spans="1:24" ht="20.45" customHeight="1">
      <c r="A79" s="10" t="s">
        <v>87</v>
      </c>
      <c r="B79" s="11">
        <v>1.0532407407407407E-2</v>
      </c>
      <c r="C79" s="11">
        <v>2.9745370370370373E-3</v>
      </c>
      <c r="D79" s="11">
        <f t="shared" si="24"/>
        <v>6.1277546296296288E-3</v>
      </c>
      <c r="E79" s="12">
        <v>0.58179999999999998</v>
      </c>
      <c r="F79" s="11">
        <f t="shared" si="25"/>
        <v>7.4363425925925931E-4</v>
      </c>
      <c r="G79" s="11">
        <f t="shared" si="26"/>
        <v>8.1703395061728389E-4</v>
      </c>
      <c r="H79" s="11">
        <f t="shared" si="27"/>
        <v>8.4259259259259259E-4</v>
      </c>
      <c r="I79" s="11">
        <f t="shared" si="28"/>
        <v>8.7853112969600415E-4</v>
      </c>
      <c r="J79" s="11">
        <f t="shared" si="29"/>
        <v>8.8808038110574329E-4</v>
      </c>
      <c r="K79" s="11">
        <f t="shared" si="30"/>
        <v>9.2844767115600447E-4</v>
      </c>
      <c r="L79" s="11">
        <f t="shared" si="31"/>
        <v>9.7265946502057604E-4</v>
      </c>
      <c r="M79" s="25">
        <f>WO2025Jan7men119151719232529313335394143454749555759636567697173757779131719212327293335[[#This Row],[Thresh]]</f>
        <v>9.2844767115600447E-4</v>
      </c>
      <c r="N79" s="28">
        <f>WO2025Jan7men119151719232529313335394143454749555759636567697173757779131719212327293335[[#This Row],[Thresh]]*1.5</f>
        <v>1.3926715067340066E-3</v>
      </c>
      <c r="O79" s="25">
        <f>WO2025Jan7men119151719232529313335394143454749555759636567697173757779131719212327293335[[#This Row],[CV]]</f>
        <v>8.8808038110574329E-4</v>
      </c>
      <c r="P79" s="28">
        <f>WO2025Jan7men119151719232529313335394143454749555759636567697173757779131719212327293335[[#This Row],[VO2]]</f>
        <v>8.1703395061728389E-4</v>
      </c>
      <c r="Q79" s="25"/>
      <c r="R79" s="28"/>
      <c r="S79" s="25"/>
      <c r="T79" s="25"/>
      <c r="U79" s="28"/>
      <c r="V79" s="25"/>
      <c r="W79" s="15" t="s">
        <v>26</v>
      </c>
      <c r="X79" s="52"/>
    </row>
    <row r="80" spans="1:24" ht="20.45" customHeight="1">
      <c r="A80" s="10" t="s">
        <v>88</v>
      </c>
      <c r="B80" s="11">
        <v>1.0532407407407407E-2</v>
      </c>
      <c r="C80" s="11">
        <v>3.0671296296296297E-3</v>
      </c>
      <c r="D80" s="11">
        <f t="shared" si="24"/>
        <v>6.1277546296296288E-3</v>
      </c>
      <c r="E80" s="12">
        <v>0.58179999999999998</v>
      </c>
      <c r="F80" s="11">
        <f t="shared" si="25"/>
        <v>7.6678240740740743E-4</v>
      </c>
      <c r="G80" s="11">
        <f t="shared" si="26"/>
        <v>8.1703395061728389E-4</v>
      </c>
      <c r="H80" s="11">
        <f t="shared" si="27"/>
        <v>8.4259259259259259E-4</v>
      </c>
      <c r="I80" s="11">
        <f t="shared" si="28"/>
        <v>8.7853112969600415E-4</v>
      </c>
      <c r="J80" s="11">
        <f t="shared" si="29"/>
        <v>8.8808038110574329E-4</v>
      </c>
      <c r="K80" s="11">
        <f t="shared" si="30"/>
        <v>9.2844767115600447E-4</v>
      </c>
      <c r="L80" s="11">
        <f t="shared" si="31"/>
        <v>9.7265946502057604E-4</v>
      </c>
      <c r="M80" s="25">
        <f>WO2025Jan7men119151719232529313335394143454749555759636567697173757779131719212327293335[[#This Row],[Thresh]]</f>
        <v>9.2844767115600447E-4</v>
      </c>
      <c r="N80" s="28">
        <f>WO2025Jan7men119151719232529313335394143454749555759636567697173757779131719212327293335[[#This Row],[Thresh]]*1.5</f>
        <v>1.3926715067340066E-3</v>
      </c>
      <c r="O80" s="25">
        <f>WO2025Jan7men119151719232529313335394143454749555759636567697173757779131719212327293335[[#This Row],[CV]]</f>
        <v>8.8808038110574329E-4</v>
      </c>
      <c r="P80" s="28">
        <f>WO2025Jan7men119151719232529313335394143454749555759636567697173757779131719212327293335[[#This Row],[VO2]]</f>
        <v>8.1703395061728389E-4</v>
      </c>
      <c r="Q80" s="25"/>
      <c r="R80" s="28"/>
      <c r="S80" s="25"/>
      <c r="T80" s="25"/>
      <c r="U80" s="28"/>
      <c r="V80" s="25"/>
      <c r="W80" s="15" t="s">
        <v>26</v>
      </c>
      <c r="X80" s="52"/>
    </row>
    <row r="81" spans="1:24" ht="20.45" customHeight="1">
      <c r="A81" s="10" t="s">
        <v>121</v>
      </c>
      <c r="B81" s="11">
        <v>1.0532407407407407E-2</v>
      </c>
      <c r="C81" s="11"/>
      <c r="D81" s="11">
        <f t="shared" si="24"/>
        <v>6.1277546296296288E-3</v>
      </c>
      <c r="E81" s="12">
        <v>0.58179999999999998</v>
      </c>
      <c r="F81" s="11">
        <f t="shared" si="25"/>
        <v>0</v>
      </c>
      <c r="G81" s="11">
        <f t="shared" si="26"/>
        <v>8.1703395061728389E-4</v>
      </c>
      <c r="H81" s="11">
        <f t="shared" si="27"/>
        <v>8.4259259259259259E-4</v>
      </c>
      <c r="I81" s="11">
        <f t="shared" si="28"/>
        <v>8.7853112969600415E-4</v>
      </c>
      <c r="J81" s="11">
        <f t="shared" si="29"/>
        <v>8.8808038110574329E-4</v>
      </c>
      <c r="K81" s="11">
        <f t="shared" si="30"/>
        <v>9.2844767115600447E-4</v>
      </c>
      <c r="L81" s="11">
        <f t="shared" si="31"/>
        <v>9.7265946502057604E-4</v>
      </c>
      <c r="M81" s="25">
        <f>WO2025Jan7men119151719232529313335394143454749555759636567697173757779131719212327293335[[#This Row],[Thresh]]</f>
        <v>9.2844767115600447E-4</v>
      </c>
      <c r="N81" s="28">
        <f>WO2025Jan7men119151719232529313335394143454749555759636567697173757779131719212327293335[[#This Row],[Thresh]]*1.5</f>
        <v>1.3926715067340066E-3</v>
      </c>
      <c r="O81" s="25">
        <f>WO2025Jan7men119151719232529313335394143454749555759636567697173757779131719212327293335[[#This Row],[CV]]</f>
        <v>8.8808038110574329E-4</v>
      </c>
      <c r="P81" s="28">
        <f>WO2025Jan7men119151719232529313335394143454749555759636567697173757779131719212327293335[[#This Row],[VO2]]</f>
        <v>8.1703395061728389E-4</v>
      </c>
      <c r="Q81" s="25"/>
      <c r="R81" s="28"/>
      <c r="S81" s="25"/>
      <c r="T81" s="25"/>
      <c r="U81" s="28"/>
      <c r="V81" s="25"/>
      <c r="W81" s="27" t="s">
        <v>26</v>
      </c>
      <c r="X81" s="52"/>
    </row>
    <row r="82" spans="1:24" ht="20.45" customHeight="1">
      <c r="A82" s="10" t="s">
        <v>90</v>
      </c>
      <c r="B82" s="11">
        <v>1.0532407407407407E-2</v>
      </c>
      <c r="C82" s="11">
        <v>3.0671296296296297E-3</v>
      </c>
      <c r="D82" s="11">
        <f>B82*E82</f>
        <v>6.1277546296296288E-3</v>
      </c>
      <c r="E82" s="12">
        <v>0.58179999999999998</v>
      </c>
      <c r="F82" s="11">
        <f>C82/4</f>
        <v>7.6678240740740743E-4</v>
      </c>
      <c r="G82" s="11">
        <f>D82/7.5</f>
        <v>8.1703395061728389E-4</v>
      </c>
      <c r="H82" s="11">
        <f>B82/12.5</f>
        <v>8.4259259259259259E-4</v>
      </c>
      <c r="I82" s="11">
        <f>G82/0.93</f>
        <v>8.7853112969600415E-4</v>
      </c>
      <c r="J82" s="11">
        <f>G82/0.92</f>
        <v>8.8808038110574329E-4</v>
      </c>
      <c r="K82" s="11">
        <f>G82/0.88</f>
        <v>9.2844767115600447E-4</v>
      </c>
      <c r="L82" s="17">
        <f>G82/0.84</f>
        <v>9.7265946502057604E-4</v>
      </c>
      <c r="M82" s="25">
        <f>WO2025Jan7men119151719232529313335394143454749555759636567697173757779131719212327293335[[#This Row],[Thresh]]</f>
        <v>9.2844767115600447E-4</v>
      </c>
      <c r="N82" s="28">
        <f>WO2025Jan7men119151719232529313335394143454749555759636567697173757779131719212327293335[[#This Row],[Thresh]]*1.5</f>
        <v>1.3926715067340066E-3</v>
      </c>
      <c r="O82" s="25">
        <f>WO2025Jan7men119151719232529313335394143454749555759636567697173757779131719212327293335[[#This Row],[CV]]</f>
        <v>8.8808038110574329E-4</v>
      </c>
      <c r="P82" s="28">
        <f>WO2025Jan7men119151719232529313335394143454749555759636567697173757779131719212327293335[[#This Row],[VO2]]</f>
        <v>8.1703395061728389E-4</v>
      </c>
      <c r="Q82" s="25"/>
      <c r="R82" s="28"/>
      <c r="S82" s="25"/>
      <c r="T82" s="25"/>
      <c r="U82" s="28"/>
      <c r="V82" s="25"/>
      <c r="W82" s="15" t="s">
        <v>26</v>
      </c>
      <c r="X82" s="52"/>
    </row>
    <row r="83" spans="1:24" ht="20.45" customHeight="1">
      <c r="A83" s="10" t="s">
        <v>122</v>
      </c>
      <c r="B83" s="11">
        <v>1.0590277777777778E-2</v>
      </c>
      <c r="C83" s="11">
        <v>3.0671296296296297E-3</v>
      </c>
      <c r="D83" s="11">
        <f t="shared" si="24"/>
        <v>6.1614236111111114E-3</v>
      </c>
      <c r="E83" s="12">
        <v>0.58179999999999998</v>
      </c>
      <c r="F83" s="11">
        <f t="shared" si="25"/>
        <v>7.6678240740740743E-4</v>
      </c>
      <c r="G83" s="11">
        <f t="shared" si="26"/>
        <v>8.2152314814814816E-4</v>
      </c>
      <c r="H83" s="11">
        <f t="shared" si="27"/>
        <v>8.472222222222223E-4</v>
      </c>
      <c r="I83" s="11">
        <f t="shared" si="28"/>
        <v>8.8335822381521299E-4</v>
      </c>
      <c r="J83" s="11">
        <f t="shared" si="29"/>
        <v>8.9295994363929141E-4</v>
      </c>
      <c r="K83" s="11">
        <f t="shared" si="30"/>
        <v>9.3354903198653201E-4</v>
      </c>
      <c r="L83" s="11">
        <f t="shared" si="31"/>
        <v>9.7800374779541442E-4</v>
      </c>
      <c r="M83" s="25">
        <f>WO2025Jan7men119151719232529313335394143454749555759636567697173757779131719212327293335[[#This Row],[Thresh]]</f>
        <v>9.3354903198653201E-4</v>
      </c>
      <c r="N83" s="28">
        <f>WO2025Jan7men119151719232529313335394143454749555759636567697173757779131719212327293335[[#This Row],[Thresh]]*1.5</f>
        <v>1.400323547979798E-3</v>
      </c>
      <c r="O83" s="25">
        <f>WO2025Jan7men119151719232529313335394143454749555759636567697173757779131719212327293335[[#This Row],[CV]]</f>
        <v>8.9295994363929141E-4</v>
      </c>
      <c r="P83" s="28">
        <f>WO2025Jan7men119151719232529313335394143454749555759636567697173757779131719212327293335[[#This Row],[VO2]]</f>
        <v>8.2152314814814816E-4</v>
      </c>
      <c r="Q83" s="25"/>
      <c r="R83" s="28"/>
      <c r="S83" s="25"/>
      <c r="T83" s="25"/>
      <c r="U83" s="28"/>
      <c r="V83" s="25"/>
      <c r="W83" s="15" t="s">
        <v>35</v>
      </c>
      <c r="X83" s="52"/>
    </row>
    <row r="84" spans="1:24" ht="20.45" customHeight="1">
      <c r="A84" s="10" t="s">
        <v>106</v>
      </c>
      <c r="B84" s="11">
        <v>1.0590277777777778E-2</v>
      </c>
      <c r="C84" s="11">
        <v>2.9745370370370373E-3</v>
      </c>
      <c r="D84" s="11">
        <f t="shared" si="24"/>
        <v>6.1614236111111114E-3</v>
      </c>
      <c r="E84" s="12">
        <v>0.58179999999999998</v>
      </c>
      <c r="F84" s="11">
        <f t="shared" si="25"/>
        <v>7.4363425925925931E-4</v>
      </c>
      <c r="G84" s="11">
        <f t="shared" si="26"/>
        <v>8.2152314814814816E-4</v>
      </c>
      <c r="H84" s="11">
        <f t="shared" si="27"/>
        <v>8.472222222222223E-4</v>
      </c>
      <c r="I84" s="11">
        <f t="shared" si="28"/>
        <v>8.8335822381521299E-4</v>
      </c>
      <c r="J84" s="11">
        <f t="shared" si="29"/>
        <v>8.9295994363929141E-4</v>
      </c>
      <c r="K84" s="11">
        <f t="shared" si="30"/>
        <v>9.3354903198653201E-4</v>
      </c>
      <c r="L84" s="11">
        <f t="shared" si="31"/>
        <v>9.7800374779541442E-4</v>
      </c>
      <c r="M84" s="25">
        <f>WO2025Jan7men119151719232529313335394143454749555759636567697173757779131719212327293335[[#This Row],[Thresh]]</f>
        <v>9.3354903198653201E-4</v>
      </c>
      <c r="N84" s="28">
        <f>WO2025Jan7men119151719232529313335394143454749555759636567697173757779131719212327293335[[#This Row],[Thresh]]*1.5</f>
        <v>1.400323547979798E-3</v>
      </c>
      <c r="O84" s="25">
        <f>WO2025Jan7men119151719232529313335394143454749555759636567697173757779131719212327293335[[#This Row],[CV]]</f>
        <v>8.9295994363929141E-4</v>
      </c>
      <c r="P84" s="28">
        <f>WO2025Jan7men119151719232529313335394143454749555759636567697173757779131719212327293335[[#This Row],[VO2]]</f>
        <v>8.2152314814814816E-4</v>
      </c>
      <c r="Q84" s="25"/>
      <c r="R84" s="28"/>
      <c r="S84" s="25"/>
      <c r="T84" s="25"/>
      <c r="U84" s="28"/>
      <c r="V84" s="25"/>
      <c r="W84" s="15" t="s">
        <v>26</v>
      </c>
      <c r="X84" s="52"/>
    </row>
    <row r="85" spans="1:24" ht="20.45" customHeight="1">
      <c r="A85" s="10" t="s">
        <v>123</v>
      </c>
      <c r="B85" s="11">
        <v>1.0590277777777778E-2</v>
      </c>
      <c r="C85" s="11">
        <v>3.1828703703703702E-3</v>
      </c>
      <c r="D85" s="11">
        <f t="shared" si="24"/>
        <v>6.1614236111111114E-3</v>
      </c>
      <c r="E85" s="12">
        <v>0.58179999999999998</v>
      </c>
      <c r="F85" s="11">
        <f t="shared" si="25"/>
        <v>7.9571759259259255E-4</v>
      </c>
      <c r="G85" s="11">
        <f t="shared" si="26"/>
        <v>8.2152314814814816E-4</v>
      </c>
      <c r="H85" s="11">
        <f t="shared" si="27"/>
        <v>8.472222222222223E-4</v>
      </c>
      <c r="I85" s="11">
        <f t="shared" si="28"/>
        <v>8.8335822381521299E-4</v>
      </c>
      <c r="J85" s="11">
        <f t="shared" si="29"/>
        <v>8.9295994363929141E-4</v>
      </c>
      <c r="K85" s="11">
        <f t="shared" si="30"/>
        <v>9.3354903198653201E-4</v>
      </c>
      <c r="L85" s="11">
        <f t="shared" si="31"/>
        <v>9.7800374779541442E-4</v>
      </c>
      <c r="M85" s="25">
        <f>WO2025Jan7men119151719232529313335394143454749555759636567697173757779131719212327293335[[#This Row],[Thresh]]</f>
        <v>9.3354903198653201E-4</v>
      </c>
      <c r="N85" s="28">
        <f>WO2025Jan7men119151719232529313335394143454749555759636567697173757779131719212327293335[[#This Row],[Thresh]]*1.5</f>
        <v>1.400323547979798E-3</v>
      </c>
      <c r="O85" s="25">
        <f>WO2025Jan7men119151719232529313335394143454749555759636567697173757779131719212327293335[[#This Row],[CV]]</f>
        <v>8.9295994363929141E-4</v>
      </c>
      <c r="P85" s="28">
        <f>WO2025Jan7men119151719232529313335394143454749555759636567697173757779131719212327293335[[#This Row],[VO2]]</f>
        <v>8.2152314814814816E-4</v>
      </c>
      <c r="Q85" s="25"/>
      <c r="R85" s="28"/>
      <c r="S85" s="25"/>
      <c r="T85" s="25"/>
      <c r="U85" s="28"/>
      <c r="V85" s="25"/>
      <c r="W85" s="15" t="s">
        <v>26</v>
      </c>
      <c r="X85" s="52"/>
    </row>
    <row r="86" spans="1:24" ht="20.45" customHeight="1" thickBot="1">
      <c r="A86" s="10" t="s">
        <v>91</v>
      </c>
      <c r="B86" s="11">
        <v>1.0590277777777778E-2</v>
      </c>
      <c r="C86" s="11">
        <v>3.1249999999999997E-3</v>
      </c>
      <c r="D86" s="11">
        <f t="shared" si="24"/>
        <v>6.1614236111111114E-3</v>
      </c>
      <c r="E86" s="12">
        <v>0.58179999999999998</v>
      </c>
      <c r="F86" s="11">
        <f t="shared" si="25"/>
        <v>7.8124999999999993E-4</v>
      </c>
      <c r="G86" s="11">
        <f t="shared" si="26"/>
        <v>8.2152314814814816E-4</v>
      </c>
      <c r="H86" s="11">
        <f t="shared" si="27"/>
        <v>8.472222222222223E-4</v>
      </c>
      <c r="I86" s="11">
        <f t="shared" si="28"/>
        <v>8.8335822381521299E-4</v>
      </c>
      <c r="J86" s="11">
        <f t="shared" si="29"/>
        <v>8.9295994363929141E-4</v>
      </c>
      <c r="K86" s="11">
        <f t="shared" si="30"/>
        <v>9.3354903198653201E-4</v>
      </c>
      <c r="L86" s="11">
        <f t="shared" si="31"/>
        <v>9.7800374779541442E-4</v>
      </c>
      <c r="M86" s="25">
        <f>WO2025Jan7men119151719232529313335394143454749555759636567697173757779131719212327293335[[#This Row],[Thresh]]</f>
        <v>9.3354903198653201E-4</v>
      </c>
      <c r="N86" s="28">
        <f>WO2025Jan7men119151719232529313335394143454749555759636567697173757779131719212327293335[[#This Row],[Thresh]]*1.5</f>
        <v>1.400323547979798E-3</v>
      </c>
      <c r="O86" s="25">
        <f>WO2025Jan7men119151719232529313335394143454749555759636567697173757779131719212327293335[[#This Row],[CV]]</f>
        <v>8.9295994363929141E-4</v>
      </c>
      <c r="P86" s="28">
        <f>WO2025Jan7men119151719232529313335394143454749555759636567697173757779131719212327293335[[#This Row],[VO2]]</f>
        <v>8.2152314814814816E-4</v>
      </c>
      <c r="Q86" s="25"/>
      <c r="R86" s="28"/>
      <c r="S86" s="25"/>
      <c r="T86" s="25"/>
      <c r="U86" s="28"/>
      <c r="V86" s="25"/>
      <c r="W86" s="15" t="s">
        <v>26</v>
      </c>
      <c r="X86" s="52"/>
    </row>
    <row r="87" spans="1:24" ht="20.45" customHeight="1">
      <c r="A87" s="1" t="s">
        <v>220</v>
      </c>
      <c r="B87" s="6"/>
      <c r="C87" s="6"/>
      <c r="D87" s="6"/>
      <c r="E87" s="20"/>
      <c r="F87" s="6"/>
      <c r="G87" s="6"/>
      <c r="H87" s="6"/>
      <c r="I87" s="6"/>
      <c r="J87" s="6"/>
      <c r="K87" s="6"/>
      <c r="L87" s="6"/>
      <c r="M87" s="6" t="s">
        <v>12</v>
      </c>
      <c r="N87" s="6" t="s">
        <v>145</v>
      </c>
      <c r="O87" s="6" t="s">
        <v>146</v>
      </c>
      <c r="P87" s="6" t="s">
        <v>158</v>
      </c>
      <c r="Q87" s="6"/>
      <c r="R87" s="6"/>
      <c r="S87" s="6"/>
      <c r="T87" s="6"/>
      <c r="U87" s="6"/>
      <c r="V87" s="23"/>
      <c r="W87" s="35"/>
      <c r="X87" s="52"/>
    </row>
    <row r="88" spans="1:24" ht="20.45" customHeight="1">
      <c r="A88" s="10" t="s">
        <v>124</v>
      </c>
      <c r="B88" s="11">
        <v>1.0590277777777778E-2</v>
      </c>
      <c r="C88" s="11"/>
      <c r="D88" s="11">
        <f>B88*E88</f>
        <v>6.1614236111111114E-3</v>
      </c>
      <c r="E88" s="12">
        <v>0.58179999999999998</v>
      </c>
      <c r="F88" s="11">
        <f>C88/4</f>
        <v>0</v>
      </c>
      <c r="G88" s="11">
        <f>D88/7.5</f>
        <v>8.2152314814814816E-4</v>
      </c>
      <c r="H88" s="11">
        <f>B88/12.5</f>
        <v>8.472222222222223E-4</v>
      </c>
      <c r="I88" s="11">
        <f>G88/0.93</f>
        <v>8.8335822381521299E-4</v>
      </c>
      <c r="J88" s="11">
        <f>G88/0.92</f>
        <v>8.9295994363929141E-4</v>
      </c>
      <c r="K88" s="11">
        <f>G88/0.88</f>
        <v>9.3354903198653201E-4</v>
      </c>
      <c r="L88" s="11">
        <f>G88/0.84</f>
        <v>9.7800374779541442E-4</v>
      </c>
      <c r="M88" s="25">
        <f>WO2025Jan7men119151719232529313335394143454749555759636567697173757779131719212327293335[[#This Row],[Thresh]]</f>
        <v>9.3354903198653201E-4</v>
      </c>
      <c r="N88" s="28">
        <f>WO2025Jan7men119151719232529313335394143454749555759636567697173757779131719212327293335[[#This Row],[Thresh]]*1.5</f>
        <v>1.400323547979798E-3</v>
      </c>
      <c r="O88" s="25">
        <f>WO2025Jan7men119151719232529313335394143454749555759636567697173757779131719212327293335[[#This Row],[CV]]</f>
        <v>8.9295994363929141E-4</v>
      </c>
      <c r="P88" s="28">
        <f>WO2025Jan7men119151719232529313335394143454749555759636567697173757779131719212327293335[[#This Row],[VO2]]</f>
        <v>8.2152314814814816E-4</v>
      </c>
      <c r="Q88" s="25"/>
      <c r="R88" s="28"/>
      <c r="S88" s="25"/>
      <c r="T88" s="25"/>
      <c r="U88" s="28"/>
      <c r="V88" s="25"/>
      <c r="W88" s="27" t="s">
        <v>35</v>
      </c>
      <c r="X88" s="52" t="s">
        <v>224</v>
      </c>
    </row>
    <row r="89" spans="1:24" ht="20.45" customHeight="1">
      <c r="A89" s="10" t="s">
        <v>125</v>
      </c>
      <c r="B89" s="11">
        <v>1.0648148148148148E-2</v>
      </c>
      <c r="C89" s="11"/>
      <c r="D89" s="11">
        <f t="shared" si="24"/>
        <v>6.1950925925925923E-3</v>
      </c>
      <c r="E89" s="12">
        <v>0.58179999999999998</v>
      </c>
      <c r="F89" s="11">
        <f t="shared" si="25"/>
        <v>0</v>
      </c>
      <c r="G89" s="11">
        <f t="shared" si="26"/>
        <v>8.2601234567901232E-4</v>
      </c>
      <c r="H89" s="11">
        <f t="shared" si="27"/>
        <v>8.5185185185185179E-4</v>
      </c>
      <c r="I89" s="11">
        <f t="shared" si="28"/>
        <v>8.8818531793442184E-4</v>
      </c>
      <c r="J89" s="11">
        <f t="shared" si="29"/>
        <v>8.9783950617283942E-4</v>
      </c>
      <c r="K89" s="11">
        <f t="shared" si="30"/>
        <v>9.3865039281705945E-4</v>
      </c>
      <c r="L89" s="11">
        <f t="shared" si="31"/>
        <v>9.833480305702527E-4</v>
      </c>
      <c r="M89" s="25">
        <f>WO2025Jan7men119151719232529313335394143454749555759636567697173757779131719212327293335[[#This Row],[Thresh]]</f>
        <v>9.3865039281705945E-4</v>
      </c>
      <c r="N89" s="28">
        <f>WO2025Jan7men119151719232529313335394143454749555759636567697173757779131719212327293335[[#This Row],[Thresh]]*1.5</f>
        <v>1.4079755892255892E-3</v>
      </c>
      <c r="O89" s="25">
        <f>WO2025Jan7men119151719232529313335394143454749555759636567697173757779131719212327293335[[#This Row],[CV]]</f>
        <v>8.9783950617283942E-4</v>
      </c>
      <c r="P89" s="28">
        <f>WO2025Jan7men119151719232529313335394143454749555759636567697173757779131719212327293335[[#This Row],[VO2]]</f>
        <v>8.2601234567901232E-4</v>
      </c>
      <c r="Q89" s="25"/>
      <c r="R89" s="28"/>
      <c r="S89" s="25"/>
      <c r="T89" s="25"/>
      <c r="U89" s="28"/>
      <c r="V89" s="25"/>
      <c r="W89" s="15" t="s">
        <v>26</v>
      </c>
      <c r="X89" s="52"/>
    </row>
    <row r="90" spans="1:24" ht="20.45" customHeight="1">
      <c r="A90" s="10" t="s">
        <v>126</v>
      </c>
      <c r="B90" s="11">
        <v>1.0648148148148148E-2</v>
      </c>
      <c r="C90" s="11"/>
      <c r="D90" s="11">
        <f t="shared" si="24"/>
        <v>6.1950925925925923E-3</v>
      </c>
      <c r="E90" s="12">
        <v>0.58179999999999998</v>
      </c>
      <c r="F90" s="11">
        <f t="shared" si="25"/>
        <v>0</v>
      </c>
      <c r="G90" s="11">
        <f t="shared" si="26"/>
        <v>8.2601234567901232E-4</v>
      </c>
      <c r="H90" s="11">
        <f t="shared" si="27"/>
        <v>8.5185185185185179E-4</v>
      </c>
      <c r="I90" s="11">
        <f t="shared" si="28"/>
        <v>8.8818531793442184E-4</v>
      </c>
      <c r="J90" s="11">
        <f t="shared" si="29"/>
        <v>8.9783950617283942E-4</v>
      </c>
      <c r="K90" s="11">
        <f t="shared" si="30"/>
        <v>9.3865039281705945E-4</v>
      </c>
      <c r="L90" s="11">
        <f t="shared" si="31"/>
        <v>9.833480305702527E-4</v>
      </c>
      <c r="M90" s="25">
        <f>WO2025Jan7men119151719232529313335394143454749555759636567697173757779131719212327293335[[#This Row],[Thresh]]</f>
        <v>9.3865039281705945E-4</v>
      </c>
      <c r="N90" s="28">
        <f>WO2025Jan7men119151719232529313335394143454749555759636567697173757779131719212327293335[[#This Row],[Thresh]]*1.5</f>
        <v>1.4079755892255892E-3</v>
      </c>
      <c r="O90" s="25">
        <f>WO2025Jan7men119151719232529313335394143454749555759636567697173757779131719212327293335[[#This Row],[CV]]</f>
        <v>8.9783950617283942E-4</v>
      </c>
      <c r="P90" s="28">
        <f>WO2025Jan7men119151719232529313335394143454749555759636567697173757779131719212327293335[[#This Row],[VO2]]</f>
        <v>8.2601234567901232E-4</v>
      </c>
      <c r="Q90" s="25"/>
      <c r="R90" s="28"/>
      <c r="S90" s="25"/>
      <c r="T90" s="25"/>
      <c r="U90" s="28"/>
      <c r="V90" s="25"/>
      <c r="W90" s="27" t="s">
        <v>26</v>
      </c>
      <c r="X90" s="52"/>
    </row>
    <row r="91" spans="1:24" ht="20.45" customHeight="1">
      <c r="A91" s="10" t="s">
        <v>127</v>
      </c>
      <c r="B91" s="11">
        <v>1.0648148148148148E-2</v>
      </c>
      <c r="C91" s="11">
        <v>2.9513888888888888E-3</v>
      </c>
      <c r="D91" s="11">
        <f>B91*E91</f>
        <v>6.1950925925925923E-3</v>
      </c>
      <c r="E91" s="12">
        <v>0.58179999999999998</v>
      </c>
      <c r="F91" s="11">
        <f>C91/4</f>
        <v>7.378472222222222E-4</v>
      </c>
      <c r="G91" s="11">
        <f>D91/7.5</f>
        <v>8.2601234567901232E-4</v>
      </c>
      <c r="H91" s="11">
        <f>B91/12.5</f>
        <v>8.5185185185185179E-4</v>
      </c>
      <c r="I91" s="11">
        <f>G91/0.93</f>
        <v>8.8818531793442184E-4</v>
      </c>
      <c r="J91" s="11">
        <f>G91/0.92</f>
        <v>8.9783950617283942E-4</v>
      </c>
      <c r="K91" s="11">
        <f>G91/0.88</f>
        <v>9.3865039281705945E-4</v>
      </c>
      <c r="L91" s="11">
        <f>G91/0.84</f>
        <v>9.833480305702527E-4</v>
      </c>
      <c r="M91" s="25">
        <f>WO2025Jan7men119151719232529313335394143454749555759636567697173757779131719212327293335[[#This Row],[Thresh]]</f>
        <v>9.3865039281705945E-4</v>
      </c>
      <c r="N91" s="28">
        <f>WO2025Jan7men119151719232529313335394143454749555759636567697173757779131719212327293335[[#This Row],[Thresh]]*1.5</f>
        <v>1.4079755892255892E-3</v>
      </c>
      <c r="O91" s="25">
        <f>WO2025Jan7men119151719232529313335394143454749555759636567697173757779131719212327293335[[#This Row],[CV]]</f>
        <v>8.9783950617283942E-4</v>
      </c>
      <c r="P91" s="28">
        <f>WO2025Jan7men119151719232529313335394143454749555759636567697173757779131719212327293335[[#This Row],[VO2]]</f>
        <v>8.2601234567901232E-4</v>
      </c>
      <c r="Q91" s="25"/>
      <c r="R91" s="28"/>
      <c r="S91" s="25"/>
      <c r="T91" s="25"/>
      <c r="U91" s="28"/>
      <c r="V91" s="25"/>
      <c r="W91" s="15" t="s">
        <v>35</v>
      </c>
      <c r="X91" s="52"/>
    </row>
    <row r="92" spans="1:24" ht="20.45" customHeight="1">
      <c r="A92" s="10" t="s">
        <v>128</v>
      </c>
      <c r="B92" s="11">
        <v>1.0648148148148148E-2</v>
      </c>
      <c r="C92" s="11"/>
      <c r="D92" s="11">
        <f>B92*E92</f>
        <v>6.1950925925925923E-3</v>
      </c>
      <c r="E92" s="12">
        <v>0.58179999999999998</v>
      </c>
      <c r="F92" s="11">
        <f>C92/4</f>
        <v>0</v>
      </c>
      <c r="G92" s="11">
        <f>D92/7.5</f>
        <v>8.2601234567901232E-4</v>
      </c>
      <c r="H92" s="11">
        <f>B92/12.5</f>
        <v>8.5185185185185179E-4</v>
      </c>
      <c r="I92" s="11">
        <f>G92/0.93</f>
        <v>8.8818531793442184E-4</v>
      </c>
      <c r="J92" s="11">
        <f>G92/0.92</f>
        <v>8.9783950617283942E-4</v>
      </c>
      <c r="K92" s="11">
        <f>G92/0.88</f>
        <v>9.3865039281705945E-4</v>
      </c>
      <c r="L92" s="11">
        <f>G92/0.84</f>
        <v>9.833480305702527E-4</v>
      </c>
      <c r="M92" s="25">
        <f>WO2025Jan7men119151719232529313335394143454749555759636567697173757779131719212327293335[[#This Row],[Thresh]]</f>
        <v>9.3865039281705945E-4</v>
      </c>
      <c r="N92" s="28">
        <f>WO2025Jan7men119151719232529313335394143454749555759636567697173757779131719212327293335[[#This Row],[Thresh]]*1.5</f>
        <v>1.4079755892255892E-3</v>
      </c>
      <c r="O92" s="25">
        <f>WO2025Jan7men119151719232529313335394143454749555759636567697173757779131719212327293335[[#This Row],[CV]]</f>
        <v>8.9783950617283942E-4</v>
      </c>
      <c r="P92" s="28">
        <f>WO2025Jan7men119151719232529313335394143454749555759636567697173757779131719212327293335[[#This Row],[VO2]]</f>
        <v>8.2601234567901232E-4</v>
      </c>
      <c r="Q92" s="25"/>
      <c r="R92" s="28"/>
      <c r="S92" s="25"/>
      <c r="T92" s="25"/>
      <c r="U92" s="28"/>
      <c r="V92" s="25"/>
      <c r="W92" s="27" t="s">
        <v>26</v>
      </c>
      <c r="X92" s="52"/>
    </row>
    <row r="93" spans="1:24" ht="20.45" customHeight="1">
      <c r="A93" s="10" t="s">
        <v>129</v>
      </c>
      <c r="B93" s="11">
        <v>1.0763888888888891E-2</v>
      </c>
      <c r="C93" s="11">
        <v>3.0092592592592593E-3</v>
      </c>
      <c r="D93" s="11">
        <f>B93*E93</f>
        <v>6.2624305555555567E-3</v>
      </c>
      <c r="E93" s="12">
        <v>0.58179999999999998</v>
      </c>
      <c r="F93" s="11">
        <f>C93/4</f>
        <v>7.5231481481481482E-4</v>
      </c>
      <c r="G93" s="11">
        <f>D93/7.5</f>
        <v>8.3499074074074085E-4</v>
      </c>
      <c r="H93" s="11">
        <f>B93/12.5</f>
        <v>8.6111111111111121E-4</v>
      </c>
      <c r="I93" s="11">
        <f>G93/0.93</f>
        <v>8.9783950617283953E-4</v>
      </c>
      <c r="J93" s="11">
        <f>G93/0.92</f>
        <v>9.0759863123993567E-4</v>
      </c>
      <c r="K93" s="11">
        <f>G93/0.88</f>
        <v>9.4885311447811464E-4</v>
      </c>
      <c r="L93" s="11">
        <f>G93/0.84</f>
        <v>9.9403659611992969E-4</v>
      </c>
      <c r="M93" s="25">
        <f>WO2025Jan7men119151719232529313335394143454749555759636567697173757779131719212327293335[[#This Row],[Thresh]]</f>
        <v>9.4885311447811464E-4</v>
      </c>
      <c r="N93" s="28">
        <f>WO2025Jan7men119151719232529313335394143454749555759636567697173757779131719212327293335[[#This Row],[Thresh]]*1.5</f>
        <v>1.4232796717171719E-3</v>
      </c>
      <c r="O93" s="25">
        <f>WO2025Jan7men119151719232529313335394143454749555759636567697173757779131719212327293335[[#This Row],[CV]]</f>
        <v>9.0759863123993567E-4</v>
      </c>
      <c r="P93" s="28">
        <f>WO2025Jan7men119151719232529313335394143454749555759636567697173757779131719212327293335[[#This Row],[VO2]]</f>
        <v>8.3499074074074085E-4</v>
      </c>
      <c r="Q93" s="25"/>
      <c r="R93" s="28"/>
      <c r="S93" s="25"/>
      <c r="T93" s="25"/>
      <c r="U93" s="28"/>
      <c r="V93" s="25"/>
      <c r="W93" s="15" t="s">
        <v>35</v>
      </c>
      <c r="X93" s="52"/>
    </row>
    <row r="94" spans="1:24" ht="20.45" customHeight="1">
      <c r="A94" s="10" t="s">
        <v>130</v>
      </c>
      <c r="B94" s="11">
        <v>1.0763888888888891E-2</v>
      </c>
      <c r="C94" s="11">
        <v>3.1828703703703702E-3</v>
      </c>
      <c r="D94" s="11">
        <f>B94*E94</f>
        <v>6.2624305555555567E-3</v>
      </c>
      <c r="E94" s="12">
        <v>0.58179999999999998</v>
      </c>
      <c r="F94" s="11">
        <f>C94/4</f>
        <v>7.9571759259259255E-4</v>
      </c>
      <c r="G94" s="11">
        <f>D94/7.5</f>
        <v>8.3499074074074085E-4</v>
      </c>
      <c r="H94" s="11">
        <f>B94/12.5</f>
        <v>8.6111111111111121E-4</v>
      </c>
      <c r="I94" s="11">
        <f>G94/0.93</f>
        <v>8.9783950617283953E-4</v>
      </c>
      <c r="J94" s="11">
        <f>G94/0.92</f>
        <v>9.0759863123993567E-4</v>
      </c>
      <c r="K94" s="11">
        <f>G94/0.88</f>
        <v>9.4885311447811464E-4</v>
      </c>
      <c r="L94" s="11">
        <f>G94/0.84</f>
        <v>9.9403659611992969E-4</v>
      </c>
      <c r="M94" s="25">
        <f>WO2025Jan7men119151719232529313335394143454749555759636567697173757779131719212327293335[[#This Row],[Thresh]]</f>
        <v>9.4885311447811464E-4</v>
      </c>
      <c r="N94" s="28">
        <f>WO2025Jan7men119151719232529313335394143454749555759636567697173757779131719212327293335[[#This Row],[Thresh]]*1.5</f>
        <v>1.4232796717171719E-3</v>
      </c>
      <c r="O94" s="25">
        <f>WO2025Jan7men119151719232529313335394143454749555759636567697173757779131719212327293335[[#This Row],[CV]]</f>
        <v>9.0759863123993567E-4</v>
      </c>
      <c r="P94" s="28">
        <f>WO2025Jan7men119151719232529313335394143454749555759636567697173757779131719212327293335[[#This Row],[VO2]]</f>
        <v>8.3499074074074085E-4</v>
      </c>
      <c r="Q94" s="25"/>
      <c r="R94" s="28"/>
      <c r="S94" s="25"/>
      <c r="T94" s="25"/>
      <c r="U94" s="28"/>
      <c r="V94" s="25"/>
      <c r="W94" s="27" t="s">
        <v>35</v>
      </c>
      <c r="X94" s="52"/>
    </row>
    <row r="95" spans="1:24" ht="20.45" customHeight="1">
      <c r="A95" s="10" t="s">
        <v>131</v>
      </c>
      <c r="B95" s="11">
        <v>1.0763888888888891E-2</v>
      </c>
      <c r="C95" s="11">
        <v>3.1828703703703702E-3</v>
      </c>
      <c r="D95" s="11">
        <f t="shared" si="24"/>
        <v>6.2624305555555567E-3</v>
      </c>
      <c r="E95" s="12">
        <v>0.58179999999999998</v>
      </c>
      <c r="F95" s="11">
        <f t="shared" si="25"/>
        <v>7.9571759259259255E-4</v>
      </c>
      <c r="G95" s="11">
        <f t="shared" si="26"/>
        <v>8.3499074074074085E-4</v>
      </c>
      <c r="H95" s="11">
        <f t="shared" si="27"/>
        <v>8.6111111111111121E-4</v>
      </c>
      <c r="I95" s="11">
        <f t="shared" si="28"/>
        <v>8.9783950617283953E-4</v>
      </c>
      <c r="J95" s="11">
        <f t="shared" si="29"/>
        <v>9.0759863123993567E-4</v>
      </c>
      <c r="K95" s="11">
        <f t="shared" si="30"/>
        <v>9.4885311447811464E-4</v>
      </c>
      <c r="L95" s="11">
        <f t="shared" si="31"/>
        <v>9.9403659611992969E-4</v>
      </c>
      <c r="M95" s="25">
        <f>WO2025Jan7men119151719232529313335394143454749555759636567697173757779131719212327293335[[#This Row],[Thresh]]</f>
        <v>9.4885311447811464E-4</v>
      </c>
      <c r="N95" s="28">
        <f>WO2025Jan7men119151719232529313335394143454749555759636567697173757779131719212327293335[[#This Row],[Thresh]]*1.5</f>
        <v>1.4232796717171719E-3</v>
      </c>
      <c r="O95" s="25">
        <f>WO2025Jan7men119151719232529313335394143454749555759636567697173757779131719212327293335[[#This Row],[CV]]</f>
        <v>9.0759863123993567E-4</v>
      </c>
      <c r="P95" s="28">
        <f>WO2025Jan7men119151719232529313335394143454749555759636567697173757779131719212327293335[[#This Row],[VO2]]</f>
        <v>8.3499074074074085E-4</v>
      </c>
      <c r="Q95" s="25"/>
      <c r="R95" s="28"/>
      <c r="S95" s="25"/>
      <c r="T95" s="25"/>
      <c r="U95" s="28"/>
      <c r="V95" s="25"/>
      <c r="W95" s="15" t="s">
        <v>26</v>
      </c>
      <c r="X95" s="52"/>
    </row>
    <row r="96" spans="1:24" ht="20.45" customHeight="1">
      <c r="A96" s="10" t="s">
        <v>113</v>
      </c>
      <c r="B96" s="11">
        <v>1.0763888888888891E-2</v>
      </c>
      <c r="C96" s="11">
        <v>3.2986111111111111E-3</v>
      </c>
      <c r="D96" s="11">
        <f>B96*E96</f>
        <v>6.2624305555555567E-3</v>
      </c>
      <c r="E96" s="12">
        <v>0.58179999999999998</v>
      </c>
      <c r="F96" s="11">
        <f>C96/4</f>
        <v>8.2465277777777778E-4</v>
      </c>
      <c r="G96" s="11">
        <f>D96/7.5</f>
        <v>8.3499074074074085E-4</v>
      </c>
      <c r="H96" s="11">
        <f>B96/12.5</f>
        <v>8.6111111111111121E-4</v>
      </c>
      <c r="I96" s="11">
        <f>G96/0.93</f>
        <v>8.9783950617283953E-4</v>
      </c>
      <c r="J96" s="11">
        <f>G96/0.92</f>
        <v>9.0759863123993567E-4</v>
      </c>
      <c r="K96" s="11">
        <f>G96/0.88</f>
        <v>9.4885311447811464E-4</v>
      </c>
      <c r="L96" s="11">
        <f>G96/0.84</f>
        <v>9.9403659611992969E-4</v>
      </c>
      <c r="M96" s="25">
        <f>WO2025Jan7men119151719232529313335394143454749555759636567697173757779131719212327293335[[#This Row],[Thresh]]</f>
        <v>9.4885311447811464E-4</v>
      </c>
      <c r="N96" s="28">
        <f>WO2025Jan7men119151719232529313335394143454749555759636567697173757779131719212327293335[[#This Row],[Thresh]]*1.5</f>
        <v>1.4232796717171719E-3</v>
      </c>
      <c r="O96" s="25">
        <f>WO2025Jan7men119151719232529313335394143454749555759636567697173757779131719212327293335[[#This Row],[CV]]</f>
        <v>9.0759863123993567E-4</v>
      </c>
      <c r="P96" s="28">
        <f>WO2025Jan7men119151719232529313335394143454749555759636567697173757779131719212327293335[[#This Row],[VO2]]</f>
        <v>8.3499074074074085E-4</v>
      </c>
      <c r="Q96" s="25"/>
      <c r="R96" s="28"/>
      <c r="S96" s="25"/>
      <c r="T96" s="25"/>
      <c r="U96" s="28"/>
      <c r="V96" s="25"/>
      <c r="W96" s="15" t="s">
        <v>35</v>
      </c>
      <c r="X96" s="52"/>
    </row>
    <row r="97" spans="1:24" ht="20.45" customHeight="1">
      <c r="A97" s="10" t="s">
        <v>132</v>
      </c>
      <c r="B97" s="11">
        <v>1.0763888888888891E-2</v>
      </c>
      <c r="C97" s="11"/>
      <c r="D97" s="11">
        <f t="shared" si="24"/>
        <v>6.2624305555555567E-3</v>
      </c>
      <c r="E97" s="12">
        <v>0.58179999999999998</v>
      </c>
      <c r="F97" s="11">
        <f t="shared" si="25"/>
        <v>0</v>
      </c>
      <c r="G97" s="11">
        <f t="shared" si="26"/>
        <v>8.3499074074074085E-4</v>
      </c>
      <c r="H97" s="11">
        <f t="shared" si="27"/>
        <v>8.6111111111111121E-4</v>
      </c>
      <c r="I97" s="11">
        <f t="shared" si="28"/>
        <v>8.9783950617283953E-4</v>
      </c>
      <c r="J97" s="11">
        <f t="shared" si="29"/>
        <v>9.0759863123993567E-4</v>
      </c>
      <c r="K97" s="11">
        <f t="shared" si="30"/>
        <v>9.4885311447811464E-4</v>
      </c>
      <c r="L97" s="11">
        <f t="shared" si="31"/>
        <v>9.9403659611992969E-4</v>
      </c>
      <c r="M97" s="25">
        <f>WO2025Jan7men119151719232529313335394143454749555759636567697173757779131719212327293335[[#This Row],[Thresh]]</f>
        <v>9.4885311447811464E-4</v>
      </c>
      <c r="N97" s="28">
        <f>WO2025Jan7men119151719232529313335394143454749555759636567697173757779131719212327293335[[#This Row],[Thresh]]*1.5</f>
        <v>1.4232796717171719E-3</v>
      </c>
      <c r="O97" s="25">
        <f>WO2025Jan7men119151719232529313335394143454749555759636567697173757779131719212327293335[[#This Row],[CV]]</f>
        <v>9.0759863123993567E-4</v>
      </c>
      <c r="P97" s="28">
        <f>WO2025Jan7men119151719232529313335394143454749555759636567697173757779131719212327293335[[#This Row],[VO2]]</f>
        <v>8.3499074074074085E-4</v>
      </c>
      <c r="Q97" s="25"/>
      <c r="R97" s="28"/>
      <c r="S97" s="25"/>
      <c r="T97" s="25"/>
      <c r="U97" s="28"/>
      <c r="V97" s="25"/>
      <c r="W97" s="27" t="s">
        <v>35</v>
      </c>
      <c r="X97" s="52"/>
    </row>
    <row r="98" spans="1:24" ht="20.45" customHeight="1">
      <c r="A98" s="10" t="s">
        <v>133</v>
      </c>
      <c r="B98" s="11">
        <v>1.0763888888888891E-2</v>
      </c>
      <c r="C98" s="11">
        <v>3.1250000000000002E-3</v>
      </c>
      <c r="D98" s="11">
        <f t="shared" si="24"/>
        <v>6.2624305555555567E-3</v>
      </c>
      <c r="E98" s="12">
        <v>0.58179999999999998</v>
      </c>
      <c r="F98" s="11">
        <f t="shared" si="25"/>
        <v>7.8125000000000004E-4</v>
      </c>
      <c r="G98" s="11">
        <f t="shared" si="26"/>
        <v>8.3499074074074085E-4</v>
      </c>
      <c r="H98" s="11">
        <f t="shared" si="27"/>
        <v>8.6111111111111121E-4</v>
      </c>
      <c r="I98" s="11">
        <f t="shared" si="28"/>
        <v>8.9783950617283953E-4</v>
      </c>
      <c r="J98" s="11">
        <f t="shared" si="29"/>
        <v>9.0759863123993567E-4</v>
      </c>
      <c r="K98" s="11">
        <f t="shared" si="30"/>
        <v>9.4885311447811464E-4</v>
      </c>
      <c r="L98" s="11">
        <f t="shared" si="31"/>
        <v>9.9403659611992969E-4</v>
      </c>
      <c r="M98" s="25">
        <f>WO2025Jan7men119151719232529313335394143454749555759636567697173757779131719212327293335[[#This Row],[Thresh]]</f>
        <v>9.4885311447811464E-4</v>
      </c>
      <c r="N98" s="28">
        <f>WO2025Jan7men119151719232529313335394143454749555759636567697173757779131719212327293335[[#This Row],[Thresh]]*1.5</f>
        <v>1.4232796717171719E-3</v>
      </c>
      <c r="O98" s="25">
        <f>WO2025Jan7men119151719232529313335394143454749555759636567697173757779131719212327293335[[#This Row],[CV]]</f>
        <v>9.0759863123993567E-4</v>
      </c>
      <c r="P98" s="28">
        <f>WO2025Jan7men119151719232529313335394143454749555759636567697173757779131719212327293335[[#This Row],[VO2]]</f>
        <v>8.3499074074074085E-4</v>
      </c>
      <c r="Q98" s="25"/>
      <c r="R98" s="28"/>
      <c r="S98" s="25"/>
      <c r="T98" s="25"/>
      <c r="U98" s="28"/>
      <c r="V98" s="25"/>
      <c r="W98" s="15" t="s">
        <v>26</v>
      </c>
      <c r="X98" s="52"/>
    </row>
    <row r="99" spans="1:24" ht="20.45" customHeight="1">
      <c r="A99" s="10" t="s">
        <v>134</v>
      </c>
      <c r="B99" s="11">
        <v>1.1631944444444445E-2</v>
      </c>
      <c r="C99" s="11"/>
      <c r="D99" s="11">
        <f>B99*E99</f>
        <v>6.7674652777777776E-3</v>
      </c>
      <c r="E99" s="12">
        <v>0.58179999999999998</v>
      </c>
      <c r="F99" s="11">
        <f>C99/4</f>
        <v>0</v>
      </c>
      <c r="G99" s="11">
        <f>D99/7.5</f>
        <v>9.0232870370370369E-4</v>
      </c>
      <c r="H99" s="11">
        <f>B99/12.5</f>
        <v>9.3055555555555556E-4</v>
      </c>
      <c r="I99" s="11">
        <f>G99/0.93</f>
        <v>9.7024591796097167E-4</v>
      </c>
      <c r="J99" s="11">
        <f>G99/0.92</f>
        <v>9.8079206924315621E-4</v>
      </c>
      <c r="K99" s="11">
        <f>G99/0.88</f>
        <v>1.0253735269360269E-3</v>
      </c>
      <c r="L99" s="11">
        <f>G99/0.84</f>
        <v>1.0742008377425045E-3</v>
      </c>
      <c r="M99" s="25">
        <f>WO2025Jan7men119151719232529313335394143454749555759636567697173757779131719212327293335[[#This Row],[Thresh]]</f>
        <v>1.0253735269360269E-3</v>
      </c>
      <c r="N99" s="28">
        <f>WO2025Jan7men119151719232529313335394143454749555759636567697173757779131719212327293335[[#This Row],[Thresh]]*1.5</f>
        <v>1.5380602904040404E-3</v>
      </c>
      <c r="O99" s="25">
        <f>WO2025Jan7men119151719232529313335394143454749555759636567697173757779131719212327293335[[#This Row],[CV]]</f>
        <v>9.8079206924315621E-4</v>
      </c>
      <c r="P99" s="28">
        <f>WO2025Jan7men119151719232529313335394143454749555759636567697173757779131719212327293335[[#This Row],[VO2]]</f>
        <v>9.0232870370370369E-4</v>
      </c>
      <c r="Q99" s="25"/>
      <c r="R99" s="28"/>
      <c r="S99" s="25"/>
      <c r="T99" s="25"/>
      <c r="U99" s="28"/>
      <c r="V99" s="25"/>
      <c r="W99" s="27" t="s">
        <v>35</v>
      </c>
      <c r="X99" s="52"/>
    </row>
    <row r="100" spans="1:24" ht="20.45" customHeight="1">
      <c r="A100" s="10" t="s">
        <v>135</v>
      </c>
      <c r="B100" s="11">
        <v>1.1631944444444445E-2</v>
      </c>
      <c r="C100" s="11">
        <v>3.414351851851852E-3</v>
      </c>
      <c r="D100" s="11">
        <f>B100*E100</f>
        <v>6.7674652777777776E-3</v>
      </c>
      <c r="E100" s="12">
        <v>0.58179999999999998</v>
      </c>
      <c r="F100" s="11">
        <f>C100/4</f>
        <v>8.53587962962963E-4</v>
      </c>
      <c r="G100" s="11">
        <f>D100/7.5</f>
        <v>9.0232870370370369E-4</v>
      </c>
      <c r="H100" s="11">
        <f>B100/12.5</f>
        <v>9.3055555555555556E-4</v>
      </c>
      <c r="I100" s="11">
        <f>G100/0.93</f>
        <v>9.7024591796097167E-4</v>
      </c>
      <c r="J100" s="11">
        <f>G100/0.92</f>
        <v>9.8079206924315621E-4</v>
      </c>
      <c r="K100" s="11">
        <f>G100/0.88</f>
        <v>1.0253735269360269E-3</v>
      </c>
      <c r="L100" s="17">
        <f>G100/0.84</f>
        <v>1.0742008377425045E-3</v>
      </c>
      <c r="M100" s="25">
        <f>WO2025Jan7men119151719232529313335394143454749555759636567697173757779131719212327293335[[#This Row],[Thresh]]</f>
        <v>1.0253735269360269E-3</v>
      </c>
      <c r="N100" s="28">
        <f>WO2025Jan7men119151719232529313335394143454749555759636567697173757779131719212327293335[[#This Row],[Thresh]]*1.5</f>
        <v>1.5380602904040404E-3</v>
      </c>
      <c r="O100" s="25">
        <f>WO2025Jan7men119151719232529313335394143454749555759636567697173757779131719212327293335[[#This Row],[CV]]</f>
        <v>9.8079206924315621E-4</v>
      </c>
      <c r="P100" s="28">
        <f>WO2025Jan7men119151719232529313335394143454749555759636567697173757779131719212327293335[[#This Row],[VO2]]</f>
        <v>9.0232870370370369E-4</v>
      </c>
      <c r="Q100" s="25"/>
      <c r="R100" s="28"/>
      <c r="S100" s="25"/>
      <c r="T100" s="25"/>
      <c r="U100" s="28"/>
      <c r="V100" s="25"/>
      <c r="W100" s="27" t="s">
        <v>26</v>
      </c>
      <c r="X100" s="52"/>
    </row>
    <row r="101" spans="1:24" ht="20.45" customHeight="1">
      <c r="A101" s="10"/>
      <c r="B101" s="11"/>
      <c r="C101" s="11"/>
      <c r="D101" s="11"/>
      <c r="E101" s="12"/>
      <c r="F101" s="11"/>
      <c r="G101" s="11"/>
      <c r="H101" s="11"/>
      <c r="I101" s="11"/>
      <c r="J101" s="11"/>
      <c r="K101" s="11"/>
      <c r="L101" s="11"/>
      <c r="M101" s="25"/>
      <c r="N101" s="28"/>
      <c r="O101" s="25"/>
      <c r="P101" s="28"/>
      <c r="Q101" s="25"/>
      <c r="R101" s="28"/>
      <c r="S101" s="25"/>
      <c r="T101" s="28"/>
      <c r="U101" s="28"/>
      <c r="V101" s="25"/>
      <c r="W101" s="15"/>
      <c r="X101" s="52"/>
    </row>
    <row r="102" spans="1:24" ht="20.45" customHeight="1">
      <c r="A102" s="19"/>
      <c r="B102" s="6"/>
      <c r="C102" s="6"/>
      <c r="D102" s="6"/>
      <c r="E102" s="20"/>
      <c r="F102" s="6"/>
      <c r="G102" s="6"/>
      <c r="H102" s="6"/>
      <c r="I102" s="6"/>
      <c r="J102" s="6"/>
      <c r="K102" s="6"/>
      <c r="L102" s="6"/>
      <c r="M102" s="6"/>
      <c r="N102" s="6"/>
      <c r="O102" s="6"/>
      <c r="P102" s="6"/>
      <c r="Q102" s="6"/>
      <c r="R102" s="6"/>
      <c r="S102" s="6"/>
      <c r="T102" s="6"/>
      <c r="U102" s="6"/>
      <c r="V102" s="23"/>
      <c r="W102" s="35"/>
      <c r="X102" s="52"/>
    </row>
    <row r="103" spans="1:24" ht="20.45" customHeight="1">
      <c r="A103" s="10" t="s">
        <v>107</v>
      </c>
      <c r="B103" s="11">
        <v>1.1111111111111112E-2</v>
      </c>
      <c r="C103" s="11">
        <v>3.2407407407407406E-3</v>
      </c>
      <c r="D103" s="11">
        <f t="shared" ref="D103:D106" si="32">B103*E103</f>
        <v>6.4644444444444445E-3</v>
      </c>
      <c r="E103" s="12">
        <v>0.58179999999999998</v>
      </c>
      <c r="F103" s="11">
        <f t="shared" ref="F103:F106" si="33">C103/4</f>
        <v>8.1018518518518516E-4</v>
      </c>
      <c r="G103" s="11">
        <f t="shared" ref="G103:G106" si="34">D103/7.5</f>
        <v>8.6192592592592592E-4</v>
      </c>
      <c r="H103" s="11">
        <f t="shared" ref="H103:H106" si="35">B103/12.5</f>
        <v>8.8888888888888893E-4</v>
      </c>
      <c r="I103" s="11">
        <f t="shared" ref="I103:I106" si="36">G103/0.93</f>
        <v>9.2680207088809239E-4</v>
      </c>
      <c r="J103" s="11">
        <f t="shared" ref="J103:J106" si="37">G103/0.92</f>
        <v>9.3687600644122375E-4</v>
      </c>
      <c r="K103" s="11">
        <f t="shared" ref="K103:K106" si="38">G103/0.88</f>
        <v>9.7946127946127947E-4</v>
      </c>
      <c r="L103" s="11">
        <f t="shared" ref="L103:L106" si="39">G103/0.84</f>
        <v>1.0261022927689596E-3</v>
      </c>
      <c r="M103" s="25"/>
      <c r="N103" s="28"/>
      <c r="O103" s="25"/>
      <c r="P103" s="25"/>
      <c r="Q103" s="25"/>
      <c r="R103" s="28"/>
      <c r="S103" s="25"/>
      <c r="T103" s="25"/>
      <c r="U103" s="28"/>
      <c r="V103" s="28"/>
      <c r="W103" s="15" t="s">
        <v>52</v>
      </c>
      <c r="X103" s="52"/>
    </row>
    <row r="104" spans="1:24" ht="20.45" customHeight="1">
      <c r="A104" s="10" t="s">
        <v>164</v>
      </c>
      <c r="B104" s="11">
        <v>1.1342592592592593E-2</v>
      </c>
      <c r="C104" s="11">
        <v>3.2407407407407406E-3</v>
      </c>
      <c r="D104" s="11">
        <f t="shared" si="32"/>
        <v>6.5991203703703706E-3</v>
      </c>
      <c r="E104" s="12">
        <v>0.58179999999999998</v>
      </c>
      <c r="F104" s="11">
        <f t="shared" si="33"/>
        <v>8.1018518518518516E-4</v>
      </c>
      <c r="G104" s="11">
        <f t="shared" si="34"/>
        <v>8.7988271604938278E-4</v>
      </c>
      <c r="H104" s="11">
        <f t="shared" si="35"/>
        <v>9.0740740740740745E-4</v>
      </c>
      <c r="I104" s="11">
        <f t="shared" si="36"/>
        <v>9.4611044736492766E-4</v>
      </c>
      <c r="J104" s="11">
        <f t="shared" si="37"/>
        <v>9.5639425657541603E-4</v>
      </c>
      <c r="K104" s="11">
        <f t="shared" si="38"/>
        <v>9.9986672278338943E-4</v>
      </c>
      <c r="L104" s="11">
        <f t="shared" si="39"/>
        <v>1.0474794238683129E-3</v>
      </c>
      <c r="M104" s="25"/>
      <c r="N104" s="28"/>
      <c r="O104" s="25"/>
      <c r="P104" s="28"/>
      <c r="Q104" s="28"/>
      <c r="R104" s="11"/>
      <c r="S104" s="14"/>
      <c r="T104" s="14"/>
      <c r="U104" s="26"/>
      <c r="V104" s="28"/>
      <c r="W104" s="27" t="s">
        <v>52</v>
      </c>
      <c r="X104" s="52"/>
    </row>
    <row r="105" spans="1:24" ht="20.45" customHeight="1">
      <c r="A105" s="10" t="s">
        <v>108</v>
      </c>
      <c r="B105" s="11">
        <v>1.0763888888888891E-2</v>
      </c>
      <c r="C105" s="11">
        <v>3.0671296296296297E-3</v>
      </c>
      <c r="D105" s="11">
        <f t="shared" si="32"/>
        <v>6.2624305555555567E-3</v>
      </c>
      <c r="E105" s="12">
        <v>0.58179999999999998</v>
      </c>
      <c r="F105" s="11">
        <f t="shared" si="33"/>
        <v>7.6678240740740743E-4</v>
      </c>
      <c r="G105" s="11">
        <f t="shared" si="34"/>
        <v>8.3499074074074085E-4</v>
      </c>
      <c r="H105" s="11">
        <f t="shared" si="35"/>
        <v>8.6111111111111121E-4</v>
      </c>
      <c r="I105" s="11">
        <f t="shared" si="36"/>
        <v>8.9783950617283953E-4</v>
      </c>
      <c r="J105" s="11">
        <f t="shared" si="37"/>
        <v>9.0759863123993567E-4</v>
      </c>
      <c r="K105" s="11">
        <f t="shared" si="38"/>
        <v>9.4885311447811464E-4</v>
      </c>
      <c r="L105" s="11">
        <f t="shared" si="39"/>
        <v>9.9403659611992969E-4</v>
      </c>
      <c r="M105" s="25"/>
      <c r="N105" s="28"/>
      <c r="O105" s="25"/>
      <c r="P105" s="28"/>
      <c r="Q105" s="25"/>
      <c r="R105" s="28"/>
      <c r="S105" s="25"/>
      <c r="T105" s="25"/>
      <c r="U105" s="28"/>
      <c r="V105" s="28"/>
      <c r="W105" s="15" t="s">
        <v>52</v>
      </c>
      <c r="X105" s="52"/>
    </row>
    <row r="106" spans="1:24" ht="20.45" customHeight="1">
      <c r="A106" s="10" t="s">
        <v>105</v>
      </c>
      <c r="B106" s="11">
        <v>1.0648148148148148E-2</v>
      </c>
      <c r="C106" s="11">
        <v>2.9745370370370373E-3</v>
      </c>
      <c r="D106" s="11">
        <f t="shared" si="32"/>
        <v>6.1950925925925923E-3</v>
      </c>
      <c r="E106" s="12">
        <v>0.58179999999999998</v>
      </c>
      <c r="F106" s="11">
        <f t="shared" si="33"/>
        <v>7.4363425925925931E-4</v>
      </c>
      <c r="G106" s="11">
        <f t="shared" si="34"/>
        <v>8.2601234567901232E-4</v>
      </c>
      <c r="H106" s="11">
        <f t="shared" si="35"/>
        <v>8.5185185185185179E-4</v>
      </c>
      <c r="I106" s="11">
        <f t="shared" si="36"/>
        <v>8.8818531793442184E-4</v>
      </c>
      <c r="J106" s="11">
        <f t="shared" si="37"/>
        <v>8.9783950617283942E-4</v>
      </c>
      <c r="K106" s="11">
        <f t="shared" si="38"/>
        <v>9.3865039281705945E-4</v>
      </c>
      <c r="L106" s="11">
        <f t="shared" si="39"/>
        <v>9.833480305702527E-4</v>
      </c>
      <c r="M106" s="37"/>
      <c r="N106" s="28"/>
      <c r="O106" s="25"/>
      <c r="P106" s="25"/>
      <c r="Q106" s="25"/>
      <c r="R106" s="25"/>
      <c r="S106" s="25"/>
      <c r="T106" s="25"/>
      <c r="U106" s="28"/>
      <c r="V106" s="25"/>
      <c r="W106" s="15" t="s">
        <v>52</v>
      </c>
      <c r="X106" s="52"/>
    </row>
    <row r="107" spans="1:24" ht="20.45" customHeight="1">
      <c r="A107" s="10"/>
      <c r="B107" s="11"/>
      <c r="C107" s="11"/>
      <c r="D107" s="11"/>
      <c r="E107" s="12"/>
      <c r="F107" s="11"/>
      <c r="G107" s="11"/>
      <c r="H107" s="11"/>
      <c r="I107" s="11"/>
      <c r="J107" s="11"/>
      <c r="K107" s="11"/>
      <c r="L107" s="11"/>
      <c r="M107" s="25"/>
      <c r="N107" s="28"/>
      <c r="O107" s="25"/>
      <c r="P107" s="25"/>
      <c r="Q107" s="25"/>
      <c r="R107" s="28"/>
      <c r="S107" s="25"/>
      <c r="T107" s="25"/>
      <c r="U107" s="28"/>
      <c r="V107" s="25"/>
      <c r="W107" s="15"/>
      <c r="X107" s="52"/>
    </row>
    <row r="108" spans="1:24" ht="20.45" customHeight="1">
      <c r="A108" s="10"/>
      <c r="B108" s="11"/>
      <c r="C108" s="11"/>
      <c r="D108" s="11"/>
      <c r="E108" s="12"/>
      <c r="F108" s="11"/>
      <c r="G108" s="11"/>
      <c r="H108" s="11"/>
      <c r="I108" s="11"/>
      <c r="J108" s="11"/>
      <c r="K108" s="11"/>
      <c r="L108" s="11"/>
      <c r="M108" s="25"/>
      <c r="N108" s="28"/>
      <c r="O108" s="25"/>
      <c r="P108" s="25"/>
      <c r="Q108" s="25"/>
      <c r="R108" s="28"/>
      <c r="S108" s="25"/>
      <c r="T108" s="25"/>
      <c r="U108" s="28"/>
      <c r="V108" s="25"/>
      <c r="W108" s="15"/>
      <c r="X108" s="52"/>
    </row>
    <row r="109" spans="1:24" ht="20.45" customHeight="1">
      <c r="A109" s="10"/>
      <c r="B109" s="11"/>
      <c r="C109" s="11"/>
      <c r="D109" s="11"/>
      <c r="E109" s="12"/>
      <c r="F109" s="11"/>
      <c r="G109" s="11"/>
      <c r="H109" s="11"/>
      <c r="I109" s="11"/>
      <c r="J109" s="11"/>
      <c r="K109" s="11"/>
      <c r="L109" s="11"/>
      <c r="M109" s="25"/>
      <c r="N109" s="28"/>
      <c r="O109" s="25"/>
      <c r="P109" s="25"/>
      <c r="Q109" s="28"/>
      <c r="R109" s="28"/>
      <c r="S109" s="25"/>
      <c r="T109" s="25"/>
      <c r="U109" s="28"/>
      <c r="V109" s="28"/>
      <c r="W109" s="15"/>
      <c r="X109" s="52"/>
    </row>
    <row r="110" spans="1:24" ht="20.45" customHeight="1">
      <c r="A110" s="10"/>
      <c r="B110" s="11"/>
      <c r="C110" s="11"/>
      <c r="D110" s="11"/>
      <c r="E110" s="12"/>
      <c r="F110" s="11"/>
      <c r="G110" s="11"/>
      <c r="H110" s="11"/>
      <c r="I110" s="11"/>
      <c r="J110" s="11"/>
      <c r="K110" s="11"/>
      <c r="L110" s="17"/>
      <c r="M110" s="11"/>
      <c r="N110" s="26"/>
      <c r="P110" s="26"/>
      <c r="Q110" s="26"/>
      <c r="R110" s="26"/>
      <c r="S110" s="14"/>
      <c r="T110" s="14"/>
      <c r="U110" s="26"/>
      <c r="V110" s="38"/>
      <c r="W110" s="31"/>
      <c r="X110" s="52"/>
    </row>
    <row r="111" spans="1:24" ht="20.45" customHeight="1">
      <c r="A111" s="10"/>
      <c r="B111" s="11"/>
      <c r="C111" s="11"/>
      <c r="D111" s="11"/>
      <c r="E111" s="12"/>
      <c r="F111" s="11"/>
      <c r="G111" s="11"/>
      <c r="H111" s="11"/>
      <c r="I111" s="11"/>
      <c r="J111" s="11"/>
      <c r="K111" s="11"/>
      <c r="L111" s="17"/>
      <c r="M111" s="11"/>
      <c r="N111" s="26"/>
      <c r="P111" s="26"/>
      <c r="Q111" s="26"/>
      <c r="R111" s="26"/>
      <c r="S111" s="14"/>
      <c r="T111" s="14"/>
      <c r="U111" s="26"/>
      <c r="V111" s="38"/>
      <c r="W111" s="31"/>
      <c r="X111" s="52"/>
    </row>
    <row r="112" spans="1:24" ht="20.45" customHeight="1">
      <c r="A112" s="10"/>
      <c r="B112" s="11"/>
      <c r="C112" s="11"/>
      <c r="D112" s="11"/>
      <c r="E112" s="12"/>
      <c r="F112" s="11"/>
      <c r="G112" s="11"/>
      <c r="H112" s="11"/>
      <c r="I112" s="11"/>
      <c r="J112" s="11"/>
      <c r="K112" s="11"/>
      <c r="L112" s="11"/>
      <c r="M112" s="25"/>
      <c r="N112" s="28"/>
      <c r="O112" s="25"/>
      <c r="P112" s="25"/>
      <c r="Q112" s="25"/>
      <c r="R112" s="25"/>
      <c r="S112" s="25"/>
      <c r="T112" s="25"/>
      <c r="U112" s="28"/>
      <c r="V112" s="25"/>
      <c r="W112" s="15"/>
      <c r="X112" s="52"/>
    </row>
    <row r="113" spans="1:24" ht="20.45" customHeight="1">
      <c r="A113" s="10"/>
      <c r="B113" s="11"/>
      <c r="C113" s="11"/>
      <c r="D113" s="11"/>
      <c r="E113" s="12"/>
      <c r="F113" s="11"/>
      <c r="G113" s="11"/>
      <c r="H113" s="11"/>
      <c r="I113" s="11"/>
      <c r="J113" s="11"/>
      <c r="K113" s="11"/>
      <c r="L113" s="11"/>
      <c r="M113" s="25"/>
      <c r="N113" s="28"/>
      <c r="O113" s="25"/>
      <c r="P113" s="25"/>
      <c r="Q113" s="25"/>
      <c r="R113" s="25"/>
      <c r="S113" s="25"/>
      <c r="T113" s="25"/>
      <c r="U113" s="28"/>
      <c r="V113" s="25"/>
      <c r="W113" s="15"/>
      <c r="X113" s="52"/>
    </row>
    <row r="114" spans="1:24" ht="20.45" customHeight="1">
      <c r="A114" s="10"/>
      <c r="B114" s="11"/>
      <c r="C114" s="11"/>
      <c r="D114" s="11"/>
      <c r="E114" s="12"/>
      <c r="F114" s="11"/>
      <c r="G114" s="11"/>
      <c r="H114" s="11"/>
      <c r="I114" s="11"/>
      <c r="J114" s="11"/>
      <c r="K114" s="11"/>
      <c r="L114" s="11"/>
      <c r="M114" s="25"/>
      <c r="N114" s="28"/>
      <c r="O114" s="25"/>
      <c r="P114" s="25"/>
      <c r="Q114" s="25"/>
      <c r="R114" s="25"/>
      <c r="S114" s="25"/>
      <c r="T114" s="25"/>
      <c r="U114" s="25"/>
      <c r="V114" s="25"/>
      <c r="W114" s="27"/>
      <c r="X114" s="52"/>
    </row>
    <row r="115" spans="1:24" ht="20.45" customHeight="1" thickBot="1">
      <c r="A115" s="10"/>
      <c r="B115" s="11"/>
      <c r="C115" s="11"/>
      <c r="D115" s="11"/>
      <c r="E115" s="12"/>
      <c r="F115" s="11"/>
      <c r="G115" s="11"/>
      <c r="H115" s="11"/>
      <c r="I115" s="11"/>
      <c r="J115" s="11"/>
      <c r="K115" s="11"/>
      <c r="L115" s="11"/>
      <c r="M115" s="25"/>
      <c r="N115" s="28"/>
      <c r="O115" s="25"/>
      <c r="P115" s="28"/>
      <c r="Q115" s="25"/>
      <c r="R115" s="28"/>
      <c r="S115" s="25"/>
      <c r="T115" s="25"/>
      <c r="U115" s="28"/>
      <c r="V115" s="28"/>
      <c r="W115" s="27"/>
      <c r="X115" s="52"/>
    </row>
    <row r="116" spans="1:24" ht="20.45" customHeight="1">
      <c r="A116" s="1" t="s">
        <v>220</v>
      </c>
      <c r="B116" s="6"/>
      <c r="C116" s="6"/>
      <c r="D116" s="6"/>
      <c r="E116" s="20"/>
      <c r="F116" s="6"/>
      <c r="G116" s="6"/>
      <c r="H116" s="6"/>
      <c r="I116" s="6"/>
      <c r="J116" s="6"/>
      <c r="K116" s="6"/>
      <c r="L116" s="6"/>
      <c r="M116" s="6" t="s">
        <v>12</v>
      </c>
      <c r="N116" s="6" t="s">
        <v>145</v>
      </c>
      <c r="O116" s="6" t="s">
        <v>146</v>
      </c>
      <c r="P116" s="6" t="s">
        <v>158</v>
      </c>
      <c r="Q116" s="22"/>
      <c r="R116" s="6"/>
      <c r="S116" s="6"/>
      <c r="T116" s="6"/>
      <c r="U116" s="6"/>
      <c r="V116" s="23"/>
      <c r="W116" s="35"/>
      <c r="X116" s="52"/>
    </row>
    <row r="117" spans="1:24" ht="20.45" customHeight="1">
      <c r="A117" s="10" t="s">
        <v>95</v>
      </c>
      <c r="B117" s="11">
        <v>1.0243055555555556E-2</v>
      </c>
      <c r="C117" s="11">
        <v>2.9513888888888888E-3</v>
      </c>
      <c r="D117" s="11">
        <f>B117*E117</f>
        <v>5.9594097222222218E-3</v>
      </c>
      <c r="E117" s="12">
        <v>0.58179999999999998</v>
      </c>
      <c r="F117" s="11">
        <f>C117/4</f>
        <v>7.378472222222222E-4</v>
      </c>
      <c r="G117" s="11">
        <f>D117/7.5</f>
        <v>7.9458796296296287E-4</v>
      </c>
      <c r="H117" s="11">
        <f>B117/12.5</f>
        <v>8.1944444444444447E-4</v>
      </c>
      <c r="I117" s="11">
        <f>G117/0.93</f>
        <v>8.5439565909996003E-4</v>
      </c>
      <c r="J117" s="11">
        <f>G117/0.92</f>
        <v>8.636825684380031E-4</v>
      </c>
      <c r="K117" s="11">
        <f>G117/0.88</f>
        <v>9.0294086700336686E-4</v>
      </c>
      <c r="L117" s="11">
        <f>G117/0.84</f>
        <v>9.4593805114638445E-4</v>
      </c>
      <c r="M117" s="25">
        <f>WO2025Jan7men119151719232529313335394143454749555759636567697173757779131719212327293335[[#This Row],[Thresh]]</f>
        <v>9.0294086700336686E-4</v>
      </c>
      <c r="N117" s="28">
        <f>WO2025Jan7men119151719232529313335394143454749555759636567697173757779131719212327293335[[#This Row],[Thresh]]*1.5</f>
        <v>1.3544113005050503E-3</v>
      </c>
      <c r="O117" s="25">
        <f>WO2025Jan7men119151719232529313335394143454749555759636567697173757779131719212327293335[[#This Row],[CV]]</f>
        <v>8.636825684380031E-4</v>
      </c>
      <c r="P117" s="28">
        <f>WO2025Jan7men119151719232529313335394143454749555759636567697173757779131719212327293335[[#This Row],[VO2]]</f>
        <v>7.9458796296296287E-4</v>
      </c>
      <c r="Q117" s="25"/>
      <c r="R117" s="28"/>
      <c r="S117" s="25"/>
      <c r="T117" s="25"/>
      <c r="U117" s="28"/>
      <c r="V117" s="25"/>
      <c r="W117" s="15" t="s">
        <v>48</v>
      </c>
      <c r="X117" s="52"/>
    </row>
    <row r="118" spans="1:24" ht="20.45" customHeight="1">
      <c r="A118" s="10" t="s">
        <v>94</v>
      </c>
      <c r="B118" s="11">
        <v>1.0416666666666666E-2</v>
      </c>
      <c r="C118" s="11">
        <v>2.8935185185185188E-3</v>
      </c>
      <c r="D118" s="11">
        <f>B118*E118</f>
        <v>6.0604166666666662E-3</v>
      </c>
      <c r="E118" s="12">
        <v>0.58179999999999998</v>
      </c>
      <c r="F118" s="11">
        <f>C118/4</f>
        <v>7.233796296296297E-4</v>
      </c>
      <c r="G118" s="11">
        <f>D118/7.5</f>
        <v>8.0805555555555546E-4</v>
      </c>
      <c r="H118" s="11">
        <f>B118/12.5</f>
        <v>8.3333333333333328E-4</v>
      </c>
      <c r="I118" s="11">
        <f>G118/0.93</f>
        <v>8.6887694145758646E-4</v>
      </c>
      <c r="J118" s="11">
        <f>G118/0.92</f>
        <v>8.7832125603864715E-4</v>
      </c>
      <c r="K118" s="11">
        <f>G118/0.88</f>
        <v>9.1824494949494938E-4</v>
      </c>
      <c r="L118" s="17">
        <f>G118/0.84</f>
        <v>9.6197089947089938E-4</v>
      </c>
      <c r="M118" s="25">
        <f>WO2025Jan7men119151719232529313335394143454749555759636567697173757779131719212327293335[[#This Row],[Thresh]]</f>
        <v>9.1824494949494938E-4</v>
      </c>
      <c r="N118" s="28">
        <f>WO2025Jan7men119151719232529313335394143454749555759636567697173757779131719212327293335[[#This Row],[Thresh]]*1.5</f>
        <v>1.3773674242424242E-3</v>
      </c>
      <c r="O118" s="25">
        <f>WO2025Jan7men119151719232529313335394143454749555759636567697173757779131719212327293335[[#This Row],[CV]]</f>
        <v>8.7832125603864715E-4</v>
      </c>
      <c r="P118" s="28">
        <f>WO2025Jan7men119151719232529313335394143454749555759636567697173757779131719212327293335[[#This Row],[VO2]]</f>
        <v>8.0805555555555546E-4</v>
      </c>
      <c r="Q118" s="25"/>
      <c r="R118" s="25"/>
      <c r="S118" s="25"/>
      <c r="T118" s="25"/>
      <c r="U118" s="28"/>
      <c r="V118" s="25"/>
      <c r="W118" s="15" t="s">
        <v>48</v>
      </c>
      <c r="X118" s="50"/>
    </row>
    <row r="119" spans="1:24" ht="20.45" customHeight="1">
      <c r="A119" s="10" t="s">
        <v>96</v>
      </c>
      <c r="B119" s="11">
        <v>1.0648148148148148E-2</v>
      </c>
      <c r="C119" s="11">
        <v>2.9513888888888888E-3</v>
      </c>
      <c r="D119" s="11">
        <f>B119*E119</f>
        <v>6.1950925925925923E-3</v>
      </c>
      <c r="E119" s="12">
        <v>0.58179999999999998</v>
      </c>
      <c r="F119" s="11">
        <f>C119/4</f>
        <v>7.378472222222222E-4</v>
      </c>
      <c r="G119" s="11">
        <f>D119/7.5</f>
        <v>8.2601234567901232E-4</v>
      </c>
      <c r="H119" s="11">
        <f>B119/12.5</f>
        <v>8.5185185185185179E-4</v>
      </c>
      <c r="I119" s="11">
        <f>G119/0.93</f>
        <v>8.8818531793442184E-4</v>
      </c>
      <c r="J119" s="11">
        <f>G119/0.92</f>
        <v>8.9783950617283942E-4</v>
      </c>
      <c r="K119" s="11">
        <f>G119/0.88</f>
        <v>9.3865039281705945E-4</v>
      </c>
      <c r="L119" s="17">
        <f>G119/0.84</f>
        <v>9.833480305702527E-4</v>
      </c>
      <c r="M119" s="25">
        <f>WO2025Jan7men119151719232529313335394143454749555759636567697173757779131719212327293335[[#This Row],[Thresh]]</f>
        <v>9.3865039281705945E-4</v>
      </c>
      <c r="N119" s="28">
        <f>WO2025Jan7men119151719232529313335394143454749555759636567697173757779131719212327293335[[#This Row],[Thresh]]*1.5</f>
        <v>1.4079755892255892E-3</v>
      </c>
      <c r="O119" s="25">
        <f>WO2025Jan7men119151719232529313335394143454749555759636567697173757779131719212327293335[[#This Row],[CV]]</f>
        <v>8.9783950617283942E-4</v>
      </c>
      <c r="P119" s="28">
        <f>WO2025Jan7men119151719232529313335394143454749555759636567697173757779131719212327293335[[#This Row],[VO2]]</f>
        <v>8.2601234567901232E-4</v>
      </c>
      <c r="Q119" s="25"/>
      <c r="R119" s="25"/>
      <c r="S119" s="25"/>
      <c r="T119" s="25"/>
      <c r="U119" s="28"/>
      <c r="V119" s="25"/>
      <c r="W119" s="15" t="s">
        <v>48</v>
      </c>
      <c r="X119" s="50"/>
    </row>
    <row r="120" spans="1:24" ht="20.45" customHeight="1">
      <c r="A120" s="10" t="s">
        <v>97</v>
      </c>
      <c r="B120" s="11">
        <v>1.0763888888888889E-2</v>
      </c>
      <c r="C120" s="11">
        <v>2.9513888888888888E-3</v>
      </c>
      <c r="D120" s="11">
        <f t="shared" ref="D120:D130" si="40">B120*E120</f>
        <v>6.2624305555555549E-3</v>
      </c>
      <c r="E120" s="12">
        <v>0.58179999999999998</v>
      </c>
      <c r="F120" s="11">
        <f t="shared" ref="F120:F130" si="41">C120/4</f>
        <v>7.378472222222222E-4</v>
      </c>
      <c r="G120" s="11">
        <f t="shared" ref="G120:G130" si="42">D120/7.5</f>
        <v>8.3499074074074064E-4</v>
      </c>
      <c r="H120" s="11">
        <f t="shared" ref="H120:H130" si="43">B120/12.5</f>
        <v>8.611111111111111E-4</v>
      </c>
      <c r="I120" s="11">
        <f t="shared" ref="I120:I130" si="44">G120/0.93</f>
        <v>8.9783950617283931E-4</v>
      </c>
      <c r="J120" s="11">
        <f t="shared" ref="J120:J130" si="45">G120/0.92</f>
        <v>9.0759863123993545E-4</v>
      </c>
      <c r="K120" s="11">
        <f t="shared" ref="K120:K130" si="46">G120/0.88</f>
        <v>9.4885311447811432E-4</v>
      </c>
      <c r="L120" s="11">
        <f t="shared" ref="L120:L130" si="47">G120/0.84</f>
        <v>9.9403659611992947E-4</v>
      </c>
      <c r="M120" s="25">
        <f>WO2025Jan7men119151719232529313335394143454749555759636567697173757779131719212327293335[[#This Row],[Thresh]]</f>
        <v>9.4885311447811432E-4</v>
      </c>
      <c r="N120" s="28">
        <f>WO2025Jan7men119151719232529313335394143454749555759636567697173757779131719212327293335[[#This Row],[Thresh]]*1.5</f>
        <v>1.4232796717171714E-3</v>
      </c>
      <c r="O120" s="25">
        <f>WO2025Jan7men119151719232529313335394143454749555759636567697173757779131719212327293335[[#This Row],[CV]]</f>
        <v>9.0759863123993545E-4</v>
      </c>
      <c r="P120" s="28">
        <f>WO2025Jan7men119151719232529313335394143454749555759636567697173757779131719212327293335[[#This Row],[VO2]]</f>
        <v>8.3499074074074064E-4</v>
      </c>
      <c r="Q120" s="25"/>
      <c r="R120" s="25"/>
      <c r="S120" s="25"/>
      <c r="T120" s="25"/>
      <c r="U120" s="28"/>
      <c r="V120" s="25"/>
      <c r="W120" s="15" t="s">
        <v>48</v>
      </c>
      <c r="X120" s="50"/>
    </row>
    <row r="121" spans="1:24" ht="20.45" customHeight="1">
      <c r="A121" s="10" t="s">
        <v>137</v>
      </c>
      <c r="B121" s="11">
        <v>1.0763888888888891E-2</v>
      </c>
      <c r="C121" s="11">
        <v>3.0092592592592593E-3</v>
      </c>
      <c r="D121" s="11">
        <f>B121*E121</f>
        <v>6.2624305555555567E-3</v>
      </c>
      <c r="E121" s="12">
        <v>0.58179999999999998</v>
      </c>
      <c r="F121" s="11">
        <f>C121/4</f>
        <v>7.5231481481481482E-4</v>
      </c>
      <c r="G121" s="11">
        <f>D121/7.5</f>
        <v>8.3499074074074085E-4</v>
      </c>
      <c r="H121" s="11">
        <f>B121/12.5</f>
        <v>8.6111111111111121E-4</v>
      </c>
      <c r="I121" s="11">
        <f>G121/0.93</f>
        <v>8.9783950617283953E-4</v>
      </c>
      <c r="J121" s="11">
        <f>G121/0.92</f>
        <v>9.0759863123993567E-4</v>
      </c>
      <c r="K121" s="11">
        <f>G121/0.88</f>
        <v>9.4885311447811464E-4</v>
      </c>
      <c r="L121" s="11">
        <f>G121/0.84</f>
        <v>9.9403659611992969E-4</v>
      </c>
      <c r="M121" s="25">
        <f>WO2025Jan7men119151719232529313335394143454749555759636567697173757779131719212327293335[[#This Row],[Thresh]]</f>
        <v>9.4885311447811464E-4</v>
      </c>
      <c r="N121" s="28">
        <f>WO2025Jan7men119151719232529313335394143454749555759636567697173757779131719212327293335[[#This Row],[Thresh]]*1.5</f>
        <v>1.4232796717171719E-3</v>
      </c>
      <c r="O121" s="25">
        <f>WO2025Jan7men119151719232529313335394143454749555759636567697173757779131719212327293335[[#This Row],[CV]]</f>
        <v>9.0759863123993567E-4</v>
      </c>
      <c r="P121" s="28">
        <f>WO2025Jan7men119151719232529313335394143454749555759636567697173757779131719212327293335[[#This Row],[VO2]]</f>
        <v>8.3499074074074085E-4</v>
      </c>
      <c r="Q121" s="25"/>
      <c r="R121" s="28"/>
      <c r="S121" s="25"/>
      <c r="T121" s="25"/>
      <c r="U121" s="28"/>
      <c r="V121" s="25"/>
      <c r="W121" s="15" t="s">
        <v>48</v>
      </c>
      <c r="X121" s="50"/>
    </row>
    <row r="122" spans="1:24" ht="20.45" customHeight="1">
      <c r="A122" s="10" t="s">
        <v>100</v>
      </c>
      <c r="B122" s="11">
        <v>1.0763888888888889E-2</v>
      </c>
      <c r="C122" s="11">
        <v>3.0671296296296297E-3</v>
      </c>
      <c r="D122" s="11">
        <f>B122*E122</f>
        <v>6.2624305555555549E-3</v>
      </c>
      <c r="E122" s="12">
        <v>0.58179999999999998</v>
      </c>
      <c r="F122" s="11">
        <f>C122/4</f>
        <v>7.6678240740740743E-4</v>
      </c>
      <c r="G122" s="11">
        <f>D122/7.5</f>
        <v>8.3499074074074064E-4</v>
      </c>
      <c r="H122" s="11">
        <f>B122/12.5</f>
        <v>8.611111111111111E-4</v>
      </c>
      <c r="I122" s="11">
        <f>G122/0.93</f>
        <v>8.9783950617283931E-4</v>
      </c>
      <c r="J122" s="11">
        <f>G122/0.92</f>
        <v>9.0759863123993545E-4</v>
      </c>
      <c r="K122" s="11">
        <f>G122/0.88</f>
        <v>9.4885311447811432E-4</v>
      </c>
      <c r="L122" s="17">
        <f>G122/0.84</f>
        <v>9.9403659611992947E-4</v>
      </c>
      <c r="M122" s="25">
        <f>WO2025Jan7men119151719232529313335394143454749555759636567697173757779131719212327293335[[#This Row],[Thresh]]</f>
        <v>9.4885311447811432E-4</v>
      </c>
      <c r="N122" s="28">
        <f>WO2025Jan7men119151719232529313335394143454749555759636567697173757779131719212327293335[[#This Row],[Thresh]]*1.5</f>
        <v>1.4232796717171714E-3</v>
      </c>
      <c r="O122" s="25">
        <f>WO2025Jan7men119151719232529313335394143454749555759636567697173757779131719212327293335[[#This Row],[CV]]</f>
        <v>9.0759863123993545E-4</v>
      </c>
      <c r="P122" s="28">
        <f>WO2025Jan7men119151719232529313335394143454749555759636567697173757779131719212327293335[[#This Row],[VO2]]</f>
        <v>8.3499074074074064E-4</v>
      </c>
      <c r="Q122" s="25"/>
      <c r="R122" s="28"/>
      <c r="S122" s="25"/>
      <c r="T122" s="25"/>
      <c r="U122" s="28"/>
      <c r="V122" s="25"/>
      <c r="W122" s="15" t="s">
        <v>48</v>
      </c>
      <c r="X122" s="50"/>
    </row>
    <row r="123" spans="1:24" ht="20.45" customHeight="1">
      <c r="A123" s="10" t="s">
        <v>114</v>
      </c>
      <c r="B123" s="11">
        <v>1.087962962962963E-2</v>
      </c>
      <c r="C123" s="11">
        <v>3.0671296296296297E-3</v>
      </c>
      <c r="D123" s="11">
        <f>B123*E123</f>
        <v>6.3297685185185184E-3</v>
      </c>
      <c r="E123" s="12">
        <v>0.58179999999999998</v>
      </c>
      <c r="F123" s="11">
        <f>C123/4</f>
        <v>7.6678240740740743E-4</v>
      </c>
      <c r="G123" s="11">
        <f>D123/7.5</f>
        <v>8.4396913580246917E-4</v>
      </c>
      <c r="H123" s="11">
        <f>B123/12.5</f>
        <v>8.7037037037037042E-4</v>
      </c>
      <c r="I123" s="11">
        <f>G123/0.93</f>
        <v>9.0749369441125711E-4</v>
      </c>
      <c r="J123" s="11">
        <f>G123/0.92</f>
        <v>9.173577563070317E-4</v>
      </c>
      <c r="K123" s="11">
        <f>G123/0.88</f>
        <v>9.5905583613916951E-4</v>
      </c>
      <c r="L123" s="11">
        <f>G123/0.84</f>
        <v>1.0047251616696062E-3</v>
      </c>
      <c r="M123" s="25">
        <f>WO2025Jan7men119151719232529313335394143454749555759636567697173757779131719212327293335[[#This Row],[Thresh]]</f>
        <v>9.5905583613916951E-4</v>
      </c>
      <c r="N123" s="28">
        <f>WO2025Jan7men119151719232529313335394143454749555759636567697173757779131719212327293335[[#This Row],[Thresh]]*1.5</f>
        <v>1.4385837542087543E-3</v>
      </c>
      <c r="O123" s="25">
        <f>WO2025Jan7men119151719232529313335394143454749555759636567697173757779131719212327293335[[#This Row],[CV]]</f>
        <v>9.173577563070317E-4</v>
      </c>
      <c r="P123" s="28">
        <f>WO2025Jan7men119151719232529313335394143454749555759636567697173757779131719212327293335[[#This Row],[VO2]]</f>
        <v>8.4396913580246917E-4</v>
      </c>
      <c r="Q123" s="25"/>
      <c r="R123" s="28"/>
      <c r="S123" s="25"/>
      <c r="T123" s="25"/>
      <c r="U123" s="28"/>
      <c r="V123" s="25"/>
      <c r="W123" s="15" t="s">
        <v>48</v>
      </c>
      <c r="X123" s="50"/>
    </row>
    <row r="124" spans="1:24" ht="20.45" customHeight="1">
      <c r="A124" s="10" t="s">
        <v>101</v>
      </c>
      <c r="B124" s="11">
        <v>1.1111111111111112E-2</v>
      </c>
      <c r="C124" s="11">
        <v>3.0671296296296297E-3</v>
      </c>
      <c r="D124" s="11">
        <f t="shared" si="40"/>
        <v>6.4644444444444445E-3</v>
      </c>
      <c r="E124" s="12">
        <v>0.58179999999999998</v>
      </c>
      <c r="F124" s="11">
        <f t="shared" si="41"/>
        <v>7.6678240740740743E-4</v>
      </c>
      <c r="G124" s="11">
        <f t="shared" si="42"/>
        <v>8.6192592592592592E-4</v>
      </c>
      <c r="H124" s="11">
        <f t="shared" si="43"/>
        <v>8.8888888888888893E-4</v>
      </c>
      <c r="I124" s="11">
        <f t="shared" si="44"/>
        <v>9.2680207088809239E-4</v>
      </c>
      <c r="J124" s="11">
        <f t="shared" si="45"/>
        <v>9.3687600644122375E-4</v>
      </c>
      <c r="K124" s="11">
        <f t="shared" si="46"/>
        <v>9.7946127946127947E-4</v>
      </c>
      <c r="L124" s="11">
        <f t="shared" si="47"/>
        <v>1.0261022927689596E-3</v>
      </c>
      <c r="M124" s="25">
        <f>WO2025Jan7men119151719232529313335394143454749555759636567697173757779131719212327293335[[#This Row],[Thresh]]</f>
        <v>9.7946127946127947E-4</v>
      </c>
      <c r="N124" s="28">
        <f>WO2025Jan7men119151719232529313335394143454749555759636567697173757779131719212327293335[[#This Row],[Thresh]]*1.5</f>
        <v>1.4691919191919191E-3</v>
      </c>
      <c r="O124" s="25">
        <f>WO2025Jan7men119151719232529313335394143454749555759636567697173757779131719212327293335[[#This Row],[CV]]</f>
        <v>9.3687600644122375E-4</v>
      </c>
      <c r="P124" s="28">
        <f>WO2025Jan7men119151719232529313335394143454749555759636567697173757779131719212327293335[[#This Row],[VO2]]</f>
        <v>8.6192592592592592E-4</v>
      </c>
      <c r="Q124" s="25"/>
      <c r="R124" s="25"/>
      <c r="S124" s="25"/>
      <c r="T124" s="25"/>
      <c r="U124" s="28"/>
      <c r="V124" s="25"/>
      <c r="W124" s="15" t="s">
        <v>48</v>
      </c>
      <c r="X124" s="50"/>
    </row>
    <row r="125" spans="1:24" ht="20.45" customHeight="1">
      <c r="A125" s="10" t="s">
        <v>98</v>
      </c>
      <c r="B125" s="11">
        <v>1.1111111111111112E-2</v>
      </c>
      <c r="C125" s="11">
        <v>3.0671296296296297E-3</v>
      </c>
      <c r="D125" s="11">
        <f t="shared" si="40"/>
        <v>6.4644444444444445E-3</v>
      </c>
      <c r="E125" s="12">
        <v>0.58179999999999998</v>
      </c>
      <c r="F125" s="11">
        <f t="shared" si="41"/>
        <v>7.6678240740740743E-4</v>
      </c>
      <c r="G125" s="11">
        <f t="shared" si="42"/>
        <v>8.6192592592592592E-4</v>
      </c>
      <c r="H125" s="11">
        <f t="shared" si="43"/>
        <v>8.8888888888888893E-4</v>
      </c>
      <c r="I125" s="11">
        <f t="shared" si="44"/>
        <v>9.2680207088809239E-4</v>
      </c>
      <c r="J125" s="11">
        <f t="shared" si="45"/>
        <v>9.3687600644122375E-4</v>
      </c>
      <c r="K125" s="11">
        <f t="shared" si="46"/>
        <v>9.7946127946127947E-4</v>
      </c>
      <c r="L125" s="11">
        <f t="shared" si="47"/>
        <v>1.0261022927689596E-3</v>
      </c>
      <c r="M125" s="25">
        <f>WO2025Jan7men119151719232529313335394143454749555759636567697173757779131719212327293335[[#This Row],[Thresh]]</f>
        <v>9.7946127946127947E-4</v>
      </c>
      <c r="N125" s="28">
        <f>WO2025Jan7men119151719232529313335394143454749555759636567697173757779131719212327293335[[#This Row],[Thresh]]*1.5</f>
        <v>1.4691919191919191E-3</v>
      </c>
      <c r="O125" s="25">
        <f>WO2025Jan7men119151719232529313335394143454749555759636567697173757779131719212327293335[[#This Row],[CV]]</f>
        <v>9.3687600644122375E-4</v>
      </c>
      <c r="P125" s="28">
        <f>WO2025Jan7men119151719232529313335394143454749555759636567697173757779131719212327293335[[#This Row],[VO2]]</f>
        <v>8.6192592592592592E-4</v>
      </c>
      <c r="Q125" s="25"/>
      <c r="R125" s="25"/>
      <c r="S125" s="25"/>
      <c r="T125" s="25"/>
      <c r="U125" s="28"/>
      <c r="V125" s="25"/>
      <c r="W125" s="27" t="s">
        <v>48</v>
      </c>
      <c r="X125" s="50"/>
    </row>
    <row r="126" spans="1:24" ht="20.45" customHeight="1">
      <c r="A126" s="10" t="s">
        <v>103</v>
      </c>
      <c r="B126" s="11">
        <v>1.1111111111111112E-2</v>
      </c>
      <c r="C126" s="11">
        <v>3.0671296296296297E-3</v>
      </c>
      <c r="D126" s="11">
        <f t="shared" si="40"/>
        <v>6.4644444444444445E-3</v>
      </c>
      <c r="E126" s="12">
        <v>0.58179999999999998</v>
      </c>
      <c r="F126" s="11">
        <f t="shared" si="41"/>
        <v>7.6678240740740743E-4</v>
      </c>
      <c r="G126" s="11">
        <f t="shared" si="42"/>
        <v>8.6192592592592592E-4</v>
      </c>
      <c r="H126" s="11">
        <f t="shared" si="43"/>
        <v>8.8888888888888893E-4</v>
      </c>
      <c r="I126" s="11">
        <f t="shared" si="44"/>
        <v>9.2680207088809239E-4</v>
      </c>
      <c r="J126" s="11">
        <f t="shared" si="45"/>
        <v>9.3687600644122375E-4</v>
      </c>
      <c r="K126" s="11">
        <f t="shared" si="46"/>
        <v>9.7946127946127947E-4</v>
      </c>
      <c r="L126" s="17">
        <f t="shared" si="47"/>
        <v>1.0261022927689596E-3</v>
      </c>
      <c r="M126" s="25">
        <f>WO2025Jan7men119151719232529313335394143454749555759636567697173757779131719212327293335[[#This Row],[Thresh]]</f>
        <v>9.7946127946127947E-4</v>
      </c>
      <c r="N126" s="28">
        <f>WO2025Jan7men119151719232529313335394143454749555759636567697173757779131719212327293335[[#This Row],[Thresh]]*1.5</f>
        <v>1.4691919191919191E-3</v>
      </c>
      <c r="O126" s="25">
        <f>WO2025Jan7men119151719232529313335394143454749555759636567697173757779131719212327293335[[#This Row],[CV]]</f>
        <v>9.3687600644122375E-4</v>
      </c>
      <c r="P126" s="28">
        <f>WO2025Jan7men119151719232529313335394143454749555759636567697173757779131719212327293335[[#This Row],[VO2]]</f>
        <v>8.6192592592592592E-4</v>
      </c>
      <c r="Q126" s="25"/>
      <c r="R126" s="25"/>
      <c r="S126" s="25"/>
      <c r="T126" s="25"/>
      <c r="U126" s="28"/>
      <c r="V126" s="25"/>
      <c r="W126" s="15" t="s">
        <v>48</v>
      </c>
      <c r="X126" s="50"/>
    </row>
    <row r="127" spans="1:24" ht="20.45" customHeight="1">
      <c r="A127" s="10" t="s">
        <v>136</v>
      </c>
      <c r="B127" s="11">
        <v>1.1111111111111112E-2</v>
      </c>
      <c r="C127" s="11">
        <v>3.1828703703703702E-3</v>
      </c>
      <c r="D127" s="11">
        <f>B127*E127</f>
        <v>6.4644444444444445E-3</v>
      </c>
      <c r="E127" s="12">
        <v>0.58179999999999998</v>
      </c>
      <c r="F127" s="11">
        <f>C127/4</f>
        <v>7.9571759259259255E-4</v>
      </c>
      <c r="G127" s="11">
        <f>D127/7.5</f>
        <v>8.6192592592592592E-4</v>
      </c>
      <c r="H127" s="11">
        <f>B127/12.5</f>
        <v>8.8888888888888893E-4</v>
      </c>
      <c r="I127" s="11">
        <f>G127/0.93</f>
        <v>9.2680207088809239E-4</v>
      </c>
      <c r="J127" s="11">
        <f>G127/0.92</f>
        <v>9.3687600644122375E-4</v>
      </c>
      <c r="K127" s="11">
        <f>G127/0.88</f>
        <v>9.7946127946127947E-4</v>
      </c>
      <c r="L127" s="11">
        <f>G127/0.84</f>
        <v>1.0261022927689596E-3</v>
      </c>
      <c r="M127" s="25">
        <f>WO2025Jan7men119151719232529313335394143454749555759636567697173757779131719212327293335[[#This Row],[Thresh]]</f>
        <v>9.7946127946127947E-4</v>
      </c>
      <c r="N127" s="28">
        <f>WO2025Jan7men119151719232529313335394143454749555759636567697173757779131719212327293335[[#This Row],[Thresh]]*1.5</f>
        <v>1.4691919191919191E-3</v>
      </c>
      <c r="O127" s="25">
        <f>WO2025Jan7men119151719232529313335394143454749555759636567697173757779131719212327293335[[#This Row],[CV]]</f>
        <v>9.3687600644122375E-4</v>
      </c>
      <c r="P127" s="28">
        <f>WO2025Jan7men119151719232529313335394143454749555759636567697173757779131719212327293335[[#This Row],[VO2]]</f>
        <v>8.6192592592592592E-4</v>
      </c>
      <c r="Q127" s="25"/>
      <c r="R127" s="28"/>
      <c r="S127" s="25"/>
      <c r="T127" s="25"/>
      <c r="U127" s="28"/>
      <c r="V127" s="25"/>
      <c r="W127" s="15" t="s">
        <v>48</v>
      </c>
      <c r="X127" s="50"/>
    </row>
    <row r="128" spans="1:24" ht="20.45" customHeight="1">
      <c r="A128" s="10" t="s">
        <v>99</v>
      </c>
      <c r="B128" s="11">
        <v>1.1458333333333333E-2</v>
      </c>
      <c r="C128" s="11">
        <v>3.0092592592592593E-3</v>
      </c>
      <c r="D128" s="11">
        <f>B128*E128</f>
        <v>6.6664583333333324E-3</v>
      </c>
      <c r="E128" s="12">
        <v>0.58179999999999998</v>
      </c>
      <c r="F128" s="11">
        <f>C128/4</f>
        <v>7.5231481481481482E-4</v>
      </c>
      <c r="G128" s="11">
        <f>D128/7.5</f>
        <v>8.8886111111111099E-4</v>
      </c>
      <c r="H128" s="11">
        <f>B128/12.5</f>
        <v>9.1666666666666665E-4</v>
      </c>
      <c r="I128" s="11">
        <f>G128/0.93</f>
        <v>9.5576463560334514E-4</v>
      </c>
      <c r="J128" s="11">
        <f>G128/0.92</f>
        <v>9.6615338164251195E-4</v>
      </c>
      <c r="K128" s="11">
        <f>G128/0.88</f>
        <v>1.0100694444444443E-3</v>
      </c>
      <c r="L128" s="11">
        <f>G128/0.84</f>
        <v>1.0581679894179892E-3</v>
      </c>
      <c r="M128" s="25">
        <f>WO2025Jan7men119151719232529313335394143454749555759636567697173757779131719212327293335[[#This Row],[Thresh]]</f>
        <v>1.0100694444444443E-3</v>
      </c>
      <c r="N128" s="28">
        <f>WO2025Jan7men119151719232529313335394143454749555759636567697173757779131719212327293335[[#This Row],[Thresh]]*1.5</f>
        <v>1.5151041666666663E-3</v>
      </c>
      <c r="O128" s="25">
        <f>WO2025Jan7men119151719232529313335394143454749555759636567697173757779131719212327293335[[#This Row],[CV]]</f>
        <v>9.6615338164251195E-4</v>
      </c>
      <c r="P128" s="28">
        <f>WO2025Jan7men119151719232529313335394143454749555759636567697173757779131719212327293335[[#This Row],[VO2]]</f>
        <v>8.8886111111111099E-4</v>
      </c>
      <c r="Q128" s="25"/>
      <c r="R128" s="25"/>
      <c r="S128" s="25"/>
      <c r="T128" s="25"/>
      <c r="U128" s="28"/>
      <c r="V128" s="25"/>
      <c r="W128" s="27" t="s">
        <v>48</v>
      </c>
      <c r="X128" s="50"/>
    </row>
    <row r="129" spans="1:24" ht="20.45" customHeight="1">
      <c r="A129" s="10" t="s">
        <v>102</v>
      </c>
      <c r="B129" s="11">
        <v>1.1458333333333333E-2</v>
      </c>
      <c r="C129" s="11">
        <v>3.0671296296296297E-3</v>
      </c>
      <c r="D129" s="11">
        <f>B129*E129</f>
        <v>6.6664583333333324E-3</v>
      </c>
      <c r="E129" s="12">
        <v>0.58179999999999998</v>
      </c>
      <c r="F129" s="11">
        <f>C129/4</f>
        <v>7.6678240740740743E-4</v>
      </c>
      <c r="G129" s="11">
        <f>D129/7.5</f>
        <v>8.8886111111111099E-4</v>
      </c>
      <c r="H129" s="11">
        <f>B129/12.5</f>
        <v>9.1666666666666665E-4</v>
      </c>
      <c r="I129" s="11">
        <f>G129/0.93</f>
        <v>9.5576463560334514E-4</v>
      </c>
      <c r="J129" s="11">
        <f>G129/0.92</f>
        <v>9.6615338164251195E-4</v>
      </c>
      <c r="K129" s="11">
        <f>G129/0.88</f>
        <v>1.0100694444444443E-3</v>
      </c>
      <c r="L129" s="11">
        <f>G129/0.84</f>
        <v>1.0581679894179892E-3</v>
      </c>
      <c r="M129" s="25">
        <f>WO2025Jan7men119151719232529313335394143454749555759636567697173757779131719212327293335[[#This Row],[Thresh]]</f>
        <v>1.0100694444444443E-3</v>
      </c>
      <c r="N129" s="28">
        <f>WO2025Jan7men119151719232529313335394143454749555759636567697173757779131719212327293335[[#This Row],[Thresh]]*1.5</f>
        <v>1.5151041666666663E-3</v>
      </c>
      <c r="O129" s="25">
        <f>WO2025Jan7men119151719232529313335394143454749555759636567697173757779131719212327293335[[#This Row],[CV]]</f>
        <v>9.6615338164251195E-4</v>
      </c>
      <c r="P129" s="28">
        <f>WO2025Jan7men119151719232529313335394143454749555759636567697173757779131719212327293335[[#This Row],[VO2]]</f>
        <v>8.8886111111111099E-4</v>
      </c>
      <c r="Q129" s="25"/>
      <c r="R129" s="25"/>
      <c r="S129" s="25"/>
      <c r="T129" s="25"/>
      <c r="U129" s="28"/>
      <c r="V129" s="25"/>
      <c r="W129" s="27" t="s">
        <v>48</v>
      </c>
      <c r="X129" s="50"/>
    </row>
    <row r="130" spans="1:24" ht="20.45" customHeight="1">
      <c r="A130" s="10" t="s">
        <v>104</v>
      </c>
      <c r="B130" s="11">
        <v>1.1458333333333333E-2</v>
      </c>
      <c r="C130" s="11">
        <v>3.2986111111111111E-3</v>
      </c>
      <c r="D130" s="11">
        <f t="shared" si="40"/>
        <v>6.6664583333333324E-3</v>
      </c>
      <c r="E130" s="12">
        <v>0.58179999999999998</v>
      </c>
      <c r="F130" s="11">
        <f t="shared" si="41"/>
        <v>8.2465277777777778E-4</v>
      </c>
      <c r="G130" s="11">
        <f t="shared" si="42"/>
        <v>8.8886111111111099E-4</v>
      </c>
      <c r="H130" s="11">
        <f t="shared" si="43"/>
        <v>9.1666666666666665E-4</v>
      </c>
      <c r="I130" s="11">
        <f t="shared" si="44"/>
        <v>9.5576463560334514E-4</v>
      </c>
      <c r="J130" s="11">
        <f t="shared" si="45"/>
        <v>9.6615338164251195E-4</v>
      </c>
      <c r="K130" s="11">
        <f t="shared" si="46"/>
        <v>1.0100694444444443E-3</v>
      </c>
      <c r="L130" s="11">
        <f t="shared" si="47"/>
        <v>1.0581679894179892E-3</v>
      </c>
      <c r="M130" s="25">
        <f>WO2025Jan7men119151719232529313335394143454749555759636567697173757779131719212327293335[[#This Row],[Thresh]]</f>
        <v>1.0100694444444443E-3</v>
      </c>
      <c r="N130" s="28">
        <f>WO2025Jan7men119151719232529313335394143454749555759636567697173757779131719212327293335[[#This Row],[Thresh]]*1.5</f>
        <v>1.5151041666666663E-3</v>
      </c>
      <c r="O130" s="25">
        <f>WO2025Jan7men119151719232529313335394143454749555759636567697173757779131719212327293335[[#This Row],[CV]]</f>
        <v>9.6615338164251195E-4</v>
      </c>
      <c r="P130" s="28">
        <f>WO2025Jan7men119151719232529313335394143454749555759636567697173757779131719212327293335[[#This Row],[VO2]]</f>
        <v>8.8886111111111099E-4</v>
      </c>
      <c r="Q130" s="25"/>
      <c r="R130" s="25"/>
      <c r="S130" s="25"/>
      <c r="T130" s="25"/>
      <c r="U130" s="28"/>
      <c r="V130" s="25"/>
      <c r="W130" s="15" t="s">
        <v>48</v>
      </c>
      <c r="X130" s="50"/>
    </row>
    <row r="131" spans="1:24" ht="20.45" customHeight="1">
      <c r="A131" s="10"/>
      <c r="B131" s="11"/>
      <c r="C131" s="11"/>
      <c r="D131" s="11"/>
      <c r="E131" s="12"/>
      <c r="F131" s="11"/>
      <c r="G131" s="11"/>
      <c r="H131" s="11"/>
      <c r="I131" s="11"/>
      <c r="J131" s="11"/>
      <c r="K131" s="11"/>
      <c r="L131" s="17"/>
      <c r="M131" s="25"/>
      <c r="N131" s="28"/>
      <c r="O131" s="25"/>
      <c r="P131" s="25"/>
      <c r="Q131" s="25"/>
      <c r="R131" s="25"/>
      <c r="S131" s="25"/>
      <c r="T131" s="25"/>
      <c r="U131" s="28"/>
      <c r="V131" s="25"/>
      <c r="W131" s="15"/>
      <c r="X131" s="50"/>
    </row>
    <row r="132" spans="1:24" ht="20.45" customHeight="1">
      <c r="A132" s="10"/>
      <c r="B132" s="11"/>
      <c r="C132" s="11"/>
      <c r="D132" s="11"/>
      <c r="E132" s="12"/>
      <c r="F132" s="11"/>
      <c r="G132" s="11"/>
      <c r="H132" s="11"/>
      <c r="I132" s="11"/>
      <c r="J132" s="11"/>
      <c r="K132" s="11"/>
      <c r="L132" s="11"/>
      <c r="M132" s="25"/>
      <c r="N132" s="28"/>
      <c r="O132" s="25"/>
      <c r="P132" s="25"/>
      <c r="Q132" s="25"/>
      <c r="R132" s="25"/>
      <c r="S132" s="25"/>
      <c r="T132" s="25"/>
      <c r="U132" s="28"/>
      <c r="V132" s="25"/>
      <c r="W132" s="15"/>
      <c r="X132" s="50"/>
    </row>
    <row r="133" spans="1:24" ht="20.45" customHeight="1">
      <c r="A133" s="10"/>
      <c r="B133" s="11"/>
      <c r="C133" s="11"/>
      <c r="D133" s="11"/>
      <c r="E133" s="12"/>
      <c r="F133" s="11"/>
      <c r="G133" s="11"/>
      <c r="H133" s="11"/>
      <c r="I133" s="11"/>
      <c r="J133" s="11"/>
      <c r="K133" s="11"/>
      <c r="L133" s="11"/>
      <c r="M133" s="25"/>
      <c r="N133" s="28"/>
      <c r="O133" s="25"/>
      <c r="P133" s="25"/>
      <c r="Q133" s="28"/>
      <c r="R133" s="28"/>
      <c r="S133" s="25"/>
      <c r="T133" s="25"/>
      <c r="U133" s="28"/>
      <c r="V133" s="25"/>
      <c r="W133" s="15"/>
      <c r="X133" s="50"/>
    </row>
    <row r="134" spans="1:24" ht="20.45" customHeight="1">
      <c r="A134" s="10"/>
      <c r="B134" s="11"/>
      <c r="C134" s="11"/>
      <c r="D134" s="11"/>
      <c r="E134" s="12"/>
      <c r="F134" s="11"/>
      <c r="G134" s="11"/>
      <c r="H134" s="11"/>
      <c r="I134" s="11"/>
      <c r="J134" s="11"/>
      <c r="K134" s="11"/>
      <c r="L134" s="17"/>
      <c r="M134" s="25"/>
      <c r="N134" s="28"/>
      <c r="O134" s="25"/>
      <c r="P134" s="25"/>
      <c r="Q134" s="25"/>
      <c r="R134" s="25"/>
      <c r="S134" s="25"/>
      <c r="T134" s="25"/>
      <c r="U134" s="28"/>
      <c r="V134" s="25"/>
      <c r="W134" s="15"/>
      <c r="X134" s="50"/>
    </row>
    <row r="135" spans="1:24" ht="20.45" customHeight="1">
      <c r="A135" s="10"/>
      <c r="B135" s="11"/>
      <c r="C135" s="11"/>
      <c r="D135" s="11"/>
      <c r="E135" s="12"/>
      <c r="F135" s="11"/>
      <c r="G135" s="11"/>
      <c r="H135" s="11"/>
      <c r="I135" s="11"/>
      <c r="J135" s="11"/>
      <c r="K135" s="11"/>
      <c r="L135" s="11"/>
      <c r="M135" s="25"/>
      <c r="N135" s="28"/>
      <c r="O135" s="25"/>
      <c r="P135" s="25"/>
      <c r="Q135" s="25"/>
      <c r="R135" s="28"/>
      <c r="S135" s="25"/>
      <c r="T135" s="25"/>
      <c r="U135" s="28"/>
      <c r="V135" s="25"/>
      <c r="W135" s="15"/>
      <c r="X135" s="50"/>
    </row>
    <row r="136" spans="1:24" ht="20.45" customHeight="1">
      <c r="A136" s="10"/>
      <c r="B136" s="11"/>
      <c r="C136" s="11"/>
      <c r="D136" s="11"/>
      <c r="E136" s="12"/>
      <c r="F136" s="11"/>
      <c r="G136" s="11"/>
      <c r="H136" s="11"/>
      <c r="I136" s="11"/>
      <c r="J136" s="11"/>
      <c r="K136" s="11"/>
      <c r="L136" s="17"/>
      <c r="M136" s="25"/>
      <c r="N136" s="28"/>
      <c r="O136" s="25"/>
      <c r="P136" s="25"/>
      <c r="Q136" s="25"/>
      <c r="R136" s="28"/>
      <c r="S136" s="25"/>
      <c r="T136" s="25"/>
      <c r="U136" s="28"/>
      <c r="V136" s="25"/>
      <c r="W136" s="15"/>
      <c r="X136" s="50"/>
    </row>
    <row r="137" spans="1:24" ht="20.45" customHeight="1">
      <c r="A137" s="10"/>
      <c r="B137" s="11"/>
      <c r="C137" s="11"/>
      <c r="D137" s="11"/>
      <c r="E137" s="12"/>
      <c r="F137" s="11"/>
      <c r="G137" s="11"/>
      <c r="H137" s="11"/>
      <c r="I137" s="11"/>
      <c r="J137" s="11"/>
      <c r="K137" s="11"/>
      <c r="L137" s="11"/>
      <c r="M137" s="25"/>
      <c r="N137" s="28"/>
      <c r="O137" s="25"/>
      <c r="P137" s="25"/>
      <c r="Q137" s="28"/>
      <c r="R137" s="28"/>
      <c r="S137" s="25"/>
      <c r="T137" s="25"/>
      <c r="U137" s="28"/>
      <c r="V137" s="25"/>
      <c r="W137" s="15"/>
      <c r="X137" s="50"/>
    </row>
    <row r="138" spans="1:24" ht="20.45" customHeight="1">
      <c r="A138" s="10"/>
      <c r="B138" s="11"/>
      <c r="C138" s="11"/>
      <c r="D138" s="11"/>
      <c r="E138" s="12"/>
      <c r="F138" s="11"/>
      <c r="G138" s="11"/>
      <c r="H138" s="11"/>
      <c r="I138" s="11"/>
      <c r="J138" s="11"/>
      <c r="K138" s="11"/>
      <c r="L138" s="11"/>
      <c r="M138" s="25"/>
      <c r="N138" s="28"/>
      <c r="O138" s="25"/>
      <c r="P138" s="28"/>
      <c r="Q138" s="25"/>
      <c r="R138" s="28"/>
      <c r="S138" s="25"/>
      <c r="T138" s="28"/>
      <c r="U138" s="28"/>
      <c r="V138" s="25"/>
      <c r="W138" s="15"/>
      <c r="X138" s="51"/>
    </row>
    <row r="139" spans="1:24" ht="20.45" customHeight="1">
      <c r="A139" s="10"/>
      <c r="B139" s="11"/>
      <c r="C139" s="11"/>
      <c r="D139" s="11"/>
      <c r="E139" s="12"/>
      <c r="F139" s="11"/>
      <c r="G139" s="11"/>
      <c r="H139" s="11"/>
      <c r="I139" s="11"/>
      <c r="J139" s="11"/>
      <c r="K139" s="11"/>
      <c r="L139" s="11"/>
      <c r="M139" s="25"/>
      <c r="N139" s="28"/>
      <c r="O139" s="25"/>
      <c r="P139" s="25"/>
      <c r="Q139" s="25"/>
      <c r="R139" s="25"/>
      <c r="S139" s="25"/>
      <c r="T139" s="25"/>
      <c r="U139" s="28"/>
      <c r="V139" s="25"/>
      <c r="W139" s="15"/>
      <c r="X139" s="51"/>
    </row>
    <row r="140" spans="1:24" ht="20.45" customHeight="1">
      <c r="A140" s="10"/>
      <c r="B140" s="11"/>
      <c r="C140" s="11"/>
      <c r="D140" s="11"/>
      <c r="E140" s="12"/>
      <c r="F140" s="11"/>
      <c r="G140" s="11"/>
      <c r="H140" s="11"/>
      <c r="I140" s="11"/>
      <c r="J140" s="11"/>
      <c r="K140" s="11"/>
      <c r="L140" s="17"/>
      <c r="M140" s="25"/>
      <c r="N140" s="28"/>
      <c r="O140" s="25"/>
      <c r="P140" s="28"/>
      <c r="Q140" s="25"/>
      <c r="R140" s="28"/>
      <c r="S140" s="25"/>
      <c r="T140" s="25"/>
      <c r="U140" s="28"/>
      <c r="V140" s="28"/>
      <c r="W140" s="27"/>
      <c r="X140" s="51"/>
    </row>
    <row r="141" spans="1:24" ht="20.45" customHeight="1">
      <c r="A141" s="10"/>
      <c r="B141" s="11"/>
      <c r="C141" s="11"/>
      <c r="D141" s="11"/>
      <c r="E141" s="12"/>
      <c r="F141" s="11"/>
      <c r="G141" s="11"/>
      <c r="H141" s="11"/>
      <c r="I141" s="11"/>
      <c r="J141" s="11"/>
      <c r="K141" s="11"/>
      <c r="L141" s="11"/>
      <c r="M141" s="11"/>
      <c r="N141" s="26"/>
      <c r="P141" s="26"/>
      <c r="Q141" s="26"/>
      <c r="R141" s="26"/>
      <c r="S141" s="14"/>
      <c r="T141" s="14"/>
      <c r="U141" s="26"/>
      <c r="V141" s="28"/>
      <c r="W141" s="27"/>
      <c r="X141" s="51"/>
    </row>
    <row r="142" spans="1:24" ht="20.100000000000001" customHeight="1">
      <c r="A142" s="10"/>
      <c r="B142" s="11"/>
      <c r="C142" s="11"/>
      <c r="D142" s="11">
        <f>B142*E142</f>
        <v>0</v>
      </c>
      <c r="E142" s="12"/>
      <c r="F142" s="11">
        <f>C142/4</f>
        <v>0</v>
      </c>
      <c r="G142" s="11">
        <f>D142/7.5</f>
        <v>0</v>
      </c>
      <c r="H142" s="11">
        <f>B142/12.5</f>
        <v>0</v>
      </c>
      <c r="I142" s="11">
        <f>G142/0.93</f>
        <v>0</v>
      </c>
      <c r="J142" s="11">
        <f>G142/0.92</f>
        <v>0</v>
      </c>
      <c r="K142" s="11">
        <f>G142/0.88</f>
        <v>0</v>
      </c>
      <c r="L142" s="17">
        <f>G142/0.84</f>
        <v>0</v>
      </c>
      <c r="M142" s="11"/>
      <c r="N142" s="26"/>
      <c r="P142" s="26"/>
      <c r="Q142" s="26"/>
      <c r="R142" s="26"/>
      <c r="S142" s="14"/>
      <c r="T142" s="14"/>
      <c r="U142" s="26"/>
      <c r="V142" s="38"/>
      <c r="W142" s="31"/>
      <c r="X142" s="51"/>
    </row>
    <row r="143" spans="1:24" ht="20.100000000000001" customHeight="1">
      <c r="A143" s="10"/>
      <c r="B143" s="11"/>
      <c r="C143" s="11"/>
      <c r="D143" s="11">
        <f>B143*E143</f>
        <v>0</v>
      </c>
      <c r="E143" s="12"/>
      <c r="F143" s="11">
        <f>C143/4</f>
        <v>0</v>
      </c>
      <c r="G143" s="11">
        <f>D143/7.5</f>
        <v>0</v>
      </c>
      <c r="H143" s="11">
        <f>B143/12.5</f>
        <v>0</v>
      </c>
      <c r="I143" s="11">
        <f>G143/0.93</f>
        <v>0</v>
      </c>
      <c r="J143" s="11">
        <f>G143/0.92</f>
        <v>0</v>
      </c>
      <c r="K143" s="11">
        <f>G143/0.88</f>
        <v>0</v>
      </c>
      <c r="L143" s="17">
        <f>G143/0.84</f>
        <v>0</v>
      </c>
      <c r="M143" s="11"/>
      <c r="N143" s="26"/>
      <c r="P143" s="26"/>
      <c r="Q143" s="26"/>
      <c r="R143" s="26"/>
      <c r="S143" s="14"/>
      <c r="T143" s="14"/>
      <c r="U143" s="26"/>
      <c r="V143" s="38"/>
      <c r="W143" s="31"/>
      <c r="X143" s="51"/>
    </row>
    <row r="144" spans="1:24" ht="20.100000000000001" customHeight="1">
      <c r="A144" s="10"/>
      <c r="B144" s="11"/>
      <c r="C144" s="11"/>
      <c r="D144" s="11">
        <f>B144*E144</f>
        <v>0</v>
      </c>
      <c r="E144" s="12"/>
      <c r="F144" s="11">
        <f>C144/4</f>
        <v>0</v>
      </c>
      <c r="G144" s="11">
        <f>D144/7.5</f>
        <v>0</v>
      </c>
      <c r="H144" s="11">
        <f>B144/12.5</f>
        <v>0</v>
      </c>
      <c r="I144" s="11">
        <f>G144/0.93</f>
        <v>0</v>
      </c>
      <c r="J144" s="11">
        <f>G144/0.92</f>
        <v>0</v>
      </c>
      <c r="K144" s="11">
        <f>G144/0.88</f>
        <v>0</v>
      </c>
      <c r="L144" s="17">
        <f>G144/0.84</f>
        <v>0</v>
      </c>
      <c r="M144" s="11"/>
      <c r="N144" s="26"/>
      <c r="P144" s="26"/>
      <c r="Q144" s="26"/>
      <c r="R144" s="26"/>
      <c r="S144" s="14"/>
      <c r="T144" s="14"/>
      <c r="U144" s="26"/>
      <c r="V144" s="38"/>
      <c r="W144" s="31"/>
      <c r="X144" s="51"/>
    </row>
  </sheetData>
  <mergeCells count="15">
    <mergeCell ref="X51:X57"/>
    <mergeCell ref="X1:X10"/>
    <mergeCell ref="X11:X20"/>
    <mergeCell ref="X21:X30"/>
    <mergeCell ref="X31:X40"/>
    <mergeCell ref="X41:X50"/>
    <mergeCell ref="X118:X127"/>
    <mergeCell ref="X128:X137"/>
    <mergeCell ref="X138:X144"/>
    <mergeCell ref="X58:X67"/>
    <mergeCell ref="X68:X77"/>
    <mergeCell ref="X78:X87"/>
    <mergeCell ref="X88:X97"/>
    <mergeCell ref="X98:X107"/>
    <mergeCell ref="X108:X117"/>
  </mergeCells>
  <pageMargins left="0.25" right="0.25" top="0.25" bottom="0.25" header="0" footer="0"/>
  <pageSetup scale="95" fitToHeight="0" orientation="landscape"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3A4D8-9DAE-4FFF-A639-0CF261CDC971}">
  <sheetPr>
    <pageSetUpPr fitToPage="1"/>
  </sheetPr>
  <dimension ref="A1:Z144"/>
  <sheetViews>
    <sheetView topLeftCell="A50" zoomScale="70" zoomScaleNormal="70" workbookViewId="0">
      <selection activeCell="J59" sqref="J59"/>
    </sheetView>
  </sheetViews>
  <sheetFormatPr defaultColWidth="8.7109375" defaultRowHeight="14.45"/>
  <cols>
    <col min="1" max="1" width="19.5703125" customWidth="1"/>
    <col min="2" max="2" width="8.7109375" style="29" customWidth="1"/>
    <col min="3" max="3" width="10.140625" customWidth="1"/>
    <col min="4" max="4" width="8.7109375" style="29" customWidth="1"/>
    <col min="5" max="5" width="9.28515625" customWidth="1"/>
    <col min="6" max="6" width="8.7109375" customWidth="1"/>
    <col min="7" max="7" width="9.28515625" customWidth="1"/>
    <col min="8" max="9" width="8.7109375" customWidth="1"/>
    <col min="10" max="10" width="10.7109375" customWidth="1"/>
    <col min="11" max="11" width="11.42578125" customWidth="1"/>
    <col min="12" max="12" width="6.140625" customWidth="1"/>
    <col min="13" max="13" width="8.7109375" customWidth="1"/>
    <col min="14" max="19" width="10.140625" customWidth="1"/>
    <col min="20" max="22" width="8.7109375" customWidth="1"/>
    <col min="23" max="23" width="3.42578125" customWidth="1"/>
    <col min="24" max="24" width="20.42578125" customWidth="1"/>
    <col min="25" max="25" width="12.28515625" bestFit="1" customWidth="1"/>
    <col min="26" max="27" width="12.85546875" bestFit="1" customWidth="1"/>
  </cols>
  <sheetData>
    <row r="1" spans="1:26" ht="14.45" customHeight="1">
      <c r="A1" s="1" t="s">
        <v>228</v>
      </c>
      <c r="B1" s="2" t="s">
        <v>1</v>
      </c>
      <c r="C1" s="2" t="s">
        <v>2</v>
      </c>
      <c r="D1" s="2" t="s">
        <v>3</v>
      </c>
      <c r="E1" s="3" t="s">
        <v>4</v>
      </c>
      <c r="F1" s="2" t="s">
        <v>5</v>
      </c>
      <c r="G1" s="2" t="s">
        <v>6</v>
      </c>
      <c r="H1" s="2" t="s">
        <v>7</v>
      </c>
      <c r="I1" s="4" t="s">
        <v>8</v>
      </c>
      <c r="J1" s="2" t="s">
        <v>9</v>
      </c>
      <c r="K1" s="2" t="s">
        <v>10</v>
      </c>
      <c r="L1" s="2" t="s">
        <v>11</v>
      </c>
      <c r="M1" s="6" t="s">
        <v>12</v>
      </c>
      <c r="N1" s="6" t="s">
        <v>13</v>
      </c>
      <c r="O1" s="7" t="s">
        <v>14</v>
      </c>
      <c r="P1" s="8" t="s">
        <v>161</v>
      </c>
      <c r="Q1" s="8" t="s">
        <v>17</v>
      </c>
      <c r="R1" s="7" t="s">
        <v>199</v>
      </c>
      <c r="S1" s="7" t="s">
        <v>158</v>
      </c>
      <c r="T1" s="7" t="s">
        <v>77</v>
      </c>
      <c r="U1" s="7" t="s">
        <v>20</v>
      </c>
      <c r="V1" s="7" t="s">
        <v>21</v>
      </c>
      <c r="W1" s="9" t="s">
        <v>22</v>
      </c>
      <c r="X1" s="52" t="s">
        <v>229</v>
      </c>
    </row>
    <row r="2" spans="1:26" ht="21" customHeight="1">
      <c r="A2" s="10" t="s">
        <v>34</v>
      </c>
      <c r="B2" s="11">
        <v>1.1979166666666667E-2</v>
      </c>
      <c r="C2" s="11">
        <v>3.472222222222222E-3</v>
      </c>
      <c r="D2" s="11">
        <f t="shared" ref="D2:D11" si="0">B2*E2</f>
        <v>6.9694791666666672E-3</v>
      </c>
      <c r="E2" s="12">
        <v>0.58179999999999998</v>
      </c>
      <c r="F2" s="11">
        <f t="shared" ref="F2:F11" si="1">C2/4</f>
        <v>8.6805555555555551E-4</v>
      </c>
      <c r="G2" s="11">
        <f t="shared" ref="G2:G11" si="2">D2/7.5</f>
        <v>9.2926388888888898E-4</v>
      </c>
      <c r="H2" s="11">
        <f t="shared" ref="H2:H11" si="3">B2/12.5</f>
        <v>9.5833333333333339E-4</v>
      </c>
      <c r="I2" s="11">
        <f t="shared" ref="I2:I11" si="4">G2/0.93</f>
        <v>9.9920848267622464E-4</v>
      </c>
      <c r="J2" s="11">
        <f t="shared" ref="J2:J11" si="5">G2/0.92</f>
        <v>1.0100694444444445E-3</v>
      </c>
      <c r="K2" s="11">
        <f t="shared" ref="K2:K11" si="6">G2/0.88</f>
        <v>1.055981691919192E-3</v>
      </c>
      <c r="L2" s="11">
        <f t="shared" ref="L2:L11" si="7">G2/0.84</f>
        <v>1.1062665343915346E-3</v>
      </c>
      <c r="M2" s="25">
        <f>WO2025Jan71081416182224283032343840424446485456586264666870727476681216182022262832[[#This Row],[Thresh]]</f>
        <v>1.055981691919192E-3</v>
      </c>
      <c r="N2" s="28">
        <f>WO2025Jan71081416182224283032343840424446485456586264666870727476681216182022262832[[#This Row],[Thresh]]*2.5</f>
        <v>2.63995422979798E-3</v>
      </c>
      <c r="O2" s="25">
        <f>WO2025Jan71081416182224283032343840424446485456586264666870727476681216182022262832[[#This Row],[CV]]</f>
        <v>1.0100694444444445E-3</v>
      </c>
      <c r="P2" s="28">
        <f>WO2025Jan71081416182224283032343840424446485456586264666870727476681216182022262832[[#This Row],[CV]]*2.5</f>
        <v>2.5251736111111113E-3</v>
      </c>
      <c r="Q2" s="25">
        <f>WO2025Jan71081416182224283032343840424446485456586264666870727476681216182022262832[[#This Row],[I]]</f>
        <v>9.5833333333333339E-4</v>
      </c>
      <c r="R2" s="25">
        <f>WO2025Jan71081416182224283032343840424446485456586264666870727476681216182022262832[[#This Row],[I]]*2.5</f>
        <v>2.3958333333333336E-3</v>
      </c>
      <c r="S2" s="25">
        <f>WO2025Jan71081416182224283032343840424446485456586264666870727476681216182022262832[[#This Row],[VO2]]</f>
        <v>9.2926388888888898E-4</v>
      </c>
      <c r="T2" s="28"/>
      <c r="U2" s="11"/>
      <c r="V2" s="36"/>
      <c r="W2" s="15" t="s">
        <v>26</v>
      </c>
      <c r="X2" s="52"/>
    </row>
    <row r="3" spans="1:26" ht="21" customHeight="1">
      <c r="A3" s="10" t="s">
        <v>24</v>
      </c>
      <c r="B3" s="11">
        <v>1.1979166666666667E-2</v>
      </c>
      <c r="C3" s="11">
        <v>3.5300925925925925E-3</v>
      </c>
      <c r="D3" s="11">
        <f t="shared" si="0"/>
        <v>6.9694791666666672E-3</v>
      </c>
      <c r="E3" s="12">
        <v>0.58179999999999998</v>
      </c>
      <c r="F3" s="11">
        <f t="shared" si="1"/>
        <v>8.8252314814814812E-4</v>
      </c>
      <c r="G3" s="11">
        <f t="shared" si="2"/>
        <v>9.2926388888888898E-4</v>
      </c>
      <c r="H3" s="11">
        <f t="shared" si="3"/>
        <v>9.5833333333333339E-4</v>
      </c>
      <c r="I3" s="11">
        <f t="shared" si="4"/>
        <v>9.9920848267622464E-4</v>
      </c>
      <c r="J3" s="11">
        <f t="shared" si="5"/>
        <v>1.0100694444444445E-3</v>
      </c>
      <c r="K3" s="11">
        <f t="shared" si="6"/>
        <v>1.055981691919192E-3</v>
      </c>
      <c r="L3" s="11">
        <f t="shared" si="7"/>
        <v>1.1062665343915346E-3</v>
      </c>
      <c r="M3" s="25">
        <f>WO2025Jan71081416182224283032343840424446485456586264666870727476681216182022262832[[#This Row],[Thresh]]</f>
        <v>1.055981691919192E-3</v>
      </c>
      <c r="N3" s="28">
        <f>WO2025Jan71081416182224283032343840424446485456586264666870727476681216182022262832[[#This Row],[Thresh]]*2.5</f>
        <v>2.63995422979798E-3</v>
      </c>
      <c r="O3" s="25">
        <f>WO2025Jan71081416182224283032343840424446485456586264666870727476681216182022262832[[#This Row],[CV]]</f>
        <v>1.0100694444444445E-3</v>
      </c>
      <c r="P3" s="28">
        <f>WO2025Jan71081416182224283032343840424446485456586264666870727476681216182022262832[[#This Row],[CV]]*2.5</f>
        <v>2.5251736111111113E-3</v>
      </c>
      <c r="Q3" s="25">
        <f>WO2025Jan71081416182224283032343840424446485456586264666870727476681216182022262832[[#This Row],[I]]</f>
        <v>9.5833333333333339E-4</v>
      </c>
      <c r="R3" s="25">
        <f>WO2025Jan71081416182224283032343840424446485456586264666870727476681216182022262832[[#This Row],[I]]*2.5</f>
        <v>2.3958333333333336E-3</v>
      </c>
      <c r="S3" s="25">
        <f>WO2025Jan71081416182224283032343840424446485456586264666870727476681216182022262832[[#This Row],[VO2]]</f>
        <v>9.2926388888888898E-4</v>
      </c>
      <c r="T3" s="28"/>
      <c r="U3" s="11"/>
      <c r="V3" s="28"/>
      <c r="W3" s="15" t="s">
        <v>26</v>
      </c>
      <c r="X3" s="52"/>
      <c r="Z3" s="16"/>
    </row>
    <row r="4" spans="1:26" ht="21" customHeight="1">
      <c r="A4" s="10" t="s">
        <v>60</v>
      </c>
      <c r="B4" s="11">
        <v>1.2268518518518519E-2</v>
      </c>
      <c r="C4" s="11">
        <v>3.6458333333333334E-3</v>
      </c>
      <c r="D4" s="11">
        <f t="shared" si="0"/>
        <v>7.1378240740740742E-3</v>
      </c>
      <c r="E4" s="12">
        <v>0.58179999999999998</v>
      </c>
      <c r="F4" s="11">
        <f t="shared" si="1"/>
        <v>9.1145833333333335E-4</v>
      </c>
      <c r="G4" s="11">
        <f t="shared" si="2"/>
        <v>9.5170987654320989E-4</v>
      </c>
      <c r="H4" s="11">
        <f t="shared" si="3"/>
        <v>9.8148148148148161E-4</v>
      </c>
      <c r="I4" s="11">
        <f t="shared" si="4"/>
        <v>1.0233439532722685E-3</v>
      </c>
      <c r="J4" s="11">
        <f t="shared" si="5"/>
        <v>1.0344672571121847E-3</v>
      </c>
      <c r="K4" s="11">
        <f t="shared" si="6"/>
        <v>1.0814884960718295E-3</v>
      </c>
      <c r="L4" s="11">
        <f t="shared" si="7"/>
        <v>1.1329879482657262E-3</v>
      </c>
      <c r="M4" s="25">
        <f>WO2025Jan71081416182224283032343840424446485456586264666870727476681216182022262832[[#This Row],[Thresh]]</f>
        <v>1.0814884960718295E-3</v>
      </c>
      <c r="N4" s="28">
        <f>WO2025Jan71081416182224283032343840424446485456586264666870727476681216182022262832[[#This Row],[Thresh]]*2.5</f>
        <v>2.7037212401795738E-3</v>
      </c>
      <c r="O4" s="25">
        <f>WO2025Jan71081416182224283032343840424446485456586264666870727476681216182022262832[[#This Row],[CV]]</f>
        <v>1.0344672571121847E-3</v>
      </c>
      <c r="P4" s="28">
        <f>WO2025Jan71081416182224283032343840424446485456586264666870727476681216182022262832[[#This Row],[CV]]*2.5</f>
        <v>2.5861681427804617E-3</v>
      </c>
      <c r="Q4" s="25">
        <f>WO2025Jan71081416182224283032343840424446485456586264666870727476681216182022262832[[#This Row],[I]]</f>
        <v>9.8148148148148161E-4</v>
      </c>
      <c r="R4" s="25">
        <f>WO2025Jan71081416182224283032343840424446485456586264666870727476681216182022262832[[#This Row],[I]]*2.5</f>
        <v>2.453703703703704E-3</v>
      </c>
      <c r="S4" s="25">
        <f>WO2025Jan71081416182224283032343840424446485456586264666870727476681216182022262832[[#This Row],[VO2]]</f>
        <v>9.5170987654320989E-4</v>
      </c>
      <c r="T4" s="28"/>
      <c r="U4" s="11"/>
      <c r="V4" s="28"/>
      <c r="W4" s="15" t="s">
        <v>26</v>
      </c>
      <c r="X4" s="52"/>
    </row>
    <row r="5" spans="1:26" ht="21" customHeight="1">
      <c r="A5" s="10" t="s">
        <v>27</v>
      </c>
      <c r="B5" s="11">
        <v>1.2268518518518519E-2</v>
      </c>
      <c r="C5" s="11">
        <v>3.6458333333333334E-3</v>
      </c>
      <c r="D5" s="11">
        <f>B5*E5</f>
        <v>7.1378240740740742E-3</v>
      </c>
      <c r="E5" s="12">
        <v>0.58179999999999998</v>
      </c>
      <c r="F5" s="11">
        <f>C5/4</f>
        <v>9.1145833333333335E-4</v>
      </c>
      <c r="G5" s="11">
        <f>D5/7.5</f>
        <v>9.5170987654320989E-4</v>
      </c>
      <c r="H5" s="11">
        <f>B5/12.5</f>
        <v>9.8148148148148161E-4</v>
      </c>
      <c r="I5" s="11">
        <f>G5/0.93</f>
        <v>1.0233439532722685E-3</v>
      </c>
      <c r="J5" s="11">
        <f>G5/0.92</f>
        <v>1.0344672571121847E-3</v>
      </c>
      <c r="K5" s="11">
        <f>G5/0.88</f>
        <v>1.0814884960718295E-3</v>
      </c>
      <c r="L5" s="11">
        <f>G5/0.84</f>
        <v>1.1329879482657262E-3</v>
      </c>
      <c r="M5" s="25">
        <f>WO2025Jan71081416182224283032343840424446485456586264666870727476681216182022262832[[#This Row],[Thresh]]</f>
        <v>1.0814884960718295E-3</v>
      </c>
      <c r="N5" s="28">
        <f>WO2025Jan71081416182224283032343840424446485456586264666870727476681216182022262832[[#This Row],[Thresh]]*2.5</f>
        <v>2.7037212401795738E-3</v>
      </c>
      <c r="O5" s="25">
        <f>WO2025Jan71081416182224283032343840424446485456586264666870727476681216182022262832[[#This Row],[CV]]</f>
        <v>1.0344672571121847E-3</v>
      </c>
      <c r="P5" s="28">
        <f>WO2025Jan71081416182224283032343840424446485456586264666870727476681216182022262832[[#This Row],[CV]]*2.5</f>
        <v>2.5861681427804617E-3</v>
      </c>
      <c r="Q5" s="25">
        <f>WO2025Jan71081416182224283032343840424446485456586264666870727476681216182022262832[[#This Row],[I]]</f>
        <v>9.8148148148148161E-4</v>
      </c>
      <c r="R5" s="25">
        <f>WO2025Jan71081416182224283032343840424446485456586264666870727476681216182022262832[[#This Row],[I]]*2.5</f>
        <v>2.453703703703704E-3</v>
      </c>
      <c r="S5" s="25">
        <f>WO2025Jan71081416182224283032343840424446485456586264666870727476681216182022262832[[#This Row],[VO2]]</f>
        <v>9.5170987654320989E-4</v>
      </c>
      <c r="T5" s="28"/>
      <c r="U5" s="11"/>
      <c r="V5" s="28"/>
      <c r="W5" s="15" t="s">
        <v>26</v>
      </c>
      <c r="X5" s="52"/>
    </row>
    <row r="6" spans="1:26" ht="21" customHeight="1">
      <c r="A6" s="10" t="s">
        <v>38</v>
      </c>
      <c r="B6" s="11">
        <v>1.238425925925926E-2</v>
      </c>
      <c r="C6" s="11">
        <v>3.5300925925925925E-3</v>
      </c>
      <c r="D6" s="11">
        <f t="shared" si="0"/>
        <v>7.2051620370370368E-3</v>
      </c>
      <c r="E6" s="12">
        <v>0.58179999999999998</v>
      </c>
      <c r="F6" s="11">
        <f t="shared" si="1"/>
        <v>8.8252314814814812E-4</v>
      </c>
      <c r="G6" s="11">
        <f t="shared" si="2"/>
        <v>9.6068827160493821E-4</v>
      </c>
      <c r="H6" s="11">
        <f t="shared" si="3"/>
        <v>9.9074074074074082E-4</v>
      </c>
      <c r="I6" s="11">
        <f t="shared" si="4"/>
        <v>1.0329981415106862E-3</v>
      </c>
      <c r="J6" s="11">
        <f t="shared" si="5"/>
        <v>1.0442263821792807E-3</v>
      </c>
      <c r="K6" s="11">
        <f t="shared" si="6"/>
        <v>1.0916912177328843E-3</v>
      </c>
      <c r="L6" s="11">
        <f t="shared" si="7"/>
        <v>1.1436765138154027E-3</v>
      </c>
      <c r="M6" s="25">
        <f>WO2025Jan71081416182224283032343840424446485456586264666870727476681216182022262832[[#This Row],[Thresh]]</f>
        <v>1.0916912177328843E-3</v>
      </c>
      <c r="N6" s="28">
        <f>WO2025Jan71081416182224283032343840424446485456586264666870727476681216182022262832[[#This Row],[Thresh]]*2.5</f>
        <v>2.7292280443322109E-3</v>
      </c>
      <c r="O6" s="25">
        <f>WO2025Jan71081416182224283032343840424446485456586264666870727476681216182022262832[[#This Row],[CV]]</f>
        <v>1.0442263821792807E-3</v>
      </c>
      <c r="P6" s="28">
        <f>WO2025Jan71081416182224283032343840424446485456586264666870727476681216182022262832[[#This Row],[CV]]*2.5</f>
        <v>2.6105659554482019E-3</v>
      </c>
      <c r="Q6" s="25">
        <f>WO2025Jan71081416182224283032343840424446485456586264666870727476681216182022262832[[#This Row],[I]]</f>
        <v>9.9074074074074082E-4</v>
      </c>
      <c r="R6" s="25">
        <f>WO2025Jan71081416182224283032343840424446485456586264666870727476681216182022262832[[#This Row],[I]]*2.5</f>
        <v>2.476851851851852E-3</v>
      </c>
      <c r="S6" s="25">
        <f>WO2025Jan71081416182224283032343840424446485456586264666870727476681216182022262832[[#This Row],[VO2]]</f>
        <v>9.6068827160493821E-4</v>
      </c>
      <c r="T6" s="28"/>
      <c r="U6" s="11"/>
      <c r="V6" s="28"/>
      <c r="W6" s="15" t="s">
        <v>26</v>
      </c>
      <c r="X6" s="52"/>
    </row>
    <row r="7" spans="1:26" ht="21" customHeight="1">
      <c r="A7" s="10" t="s">
        <v>31</v>
      </c>
      <c r="B7" s="11">
        <v>1.238425925925926E-2</v>
      </c>
      <c r="C7" s="11">
        <v>3.7037037037037038E-3</v>
      </c>
      <c r="D7" s="11">
        <f t="shared" si="0"/>
        <v>7.2051620370370368E-3</v>
      </c>
      <c r="E7" s="12">
        <v>0.58179999999999998</v>
      </c>
      <c r="F7" s="11">
        <f t="shared" si="1"/>
        <v>9.2592592592592596E-4</v>
      </c>
      <c r="G7" s="11">
        <f t="shared" si="2"/>
        <v>9.6068827160493821E-4</v>
      </c>
      <c r="H7" s="11">
        <f t="shared" si="3"/>
        <v>9.9074074074074082E-4</v>
      </c>
      <c r="I7" s="11">
        <f t="shared" si="4"/>
        <v>1.0329981415106862E-3</v>
      </c>
      <c r="J7" s="11">
        <f t="shared" si="5"/>
        <v>1.0442263821792807E-3</v>
      </c>
      <c r="K7" s="11">
        <f t="shared" si="6"/>
        <v>1.0916912177328843E-3</v>
      </c>
      <c r="L7" s="11">
        <f t="shared" si="7"/>
        <v>1.1436765138154027E-3</v>
      </c>
      <c r="M7" s="25">
        <f>WO2025Jan71081416182224283032343840424446485456586264666870727476681216182022262832[[#This Row],[Thresh]]</f>
        <v>1.0916912177328843E-3</v>
      </c>
      <c r="N7" s="28">
        <f>WO2025Jan71081416182224283032343840424446485456586264666870727476681216182022262832[[#This Row],[Thresh]]*2.5</f>
        <v>2.7292280443322109E-3</v>
      </c>
      <c r="O7" s="25">
        <f>WO2025Jan71081416182224283032343840424446485456586264666870727476681216182022262832[[#This Row],[CV]]</f>
        <v>1.0442263821792807E-3</v>
      </c>
      <c r="P7" s="28">
        <f>WO2025Jan71081416182224283032343840424446485456586264666870727476681216182022262832[[#This Row],[CV]]*2.5</f>
        <v>2.6105659554482019E-3</v>
      </c>
      <c r="Q7" s="25">
        <f>WO2025Jan71081416182224283032343840424446485456586264666870727476681216182022262832[[#This Row],[I]]</f>
        <v>9.9074074074074082E-4</v>
      </c>
      <c r="R7" s="25">
        <f>WO2025Jan71081416182224283032343840424446485456586264666870727476681216182022262832[[#This Row],[I]]*2.5</f>
        <v>2.476851851851852E-3</v>
      </c>
      <c r="S7" s="25">
        <f>WO2025Jan71081416182224283032343840424446485456586264666870727476681216182022262832[[#This Row],[VO2]]</f>
        <v>9.6068827160493821E-4</v>
      </c>
      <c r="T7" s="28"/>
      <c r="U7" s="11"/>
      <c r="V7" s="28"/>
      <c r="W7" s="15" t="s">
        <v>35</v>
      </c>
      <c r="X7" s="52"/>
    </row>
    <row r="8" spans="1:26" ht="21" customHeight="1">
      <c r="A8" s="10" t="s">
        <v>28</v>
      </c>
      <c r="B8" s="11">
        <v>1.238425925925926E-2</v>
      </c>
      <c r="C8" s="11">
        <v>3.7037037037037038E-3</v>
      </c>
      <c r="D8" s="11">
        <f>B8*E8</f>
        <v>7.2051620370370368E-3</v>
      </c>
      <c r="E8" s="12">
        <v>0.58179999999999998</v>
      </c>
      <c r="F8" s="11">
        <f>C8/4</f>
        <v>9.2592592592592596E-4</v>
      </c>
      <c r="G8" s="11">
        <f>D8/7.5</f>
        <v>9.6068827160493821E-4</v>
      </c>
      <c r="H8" s="11">
        <f>B8/12.5</f>
        <v>9.9074074074074082E-4</v>
      </c>
      <c r="I8" s="11">
        <f>G8/0.93</f>
        <v>1.0329981415106862E-3</v>
      </c>
      <c r="J8" s="11">
        <f>G8/0.92</f>
        <v>1.0442263821792807E-3</v>
      </c>
      <c r="K8" s="11">
        <f>G8/0.88</f>
        <v>1.0916912177328843E-3</v>
      </c>
      <c r="L8" s="11">
        <f>G8/0.84</f>
        <v>1.1436765138154027E-3</v>
      </c>
      <c r="M8" s="25">
        <f>WO2025Jan71081416182224283032343840424446485456586264666870727476681216182022262832[[#This Row],[Thresh]]</f>
        <v>1.0916912177328843E-3</v>
      </c>
      <c r="N8" s="28">
        <f>WO2025Jan71081416182224283032343840424446485456586264666870727476681216182022262832[[#This Row],[Thresh]]*2.5</f>
        <v>2.7292280443322109E-3</v>
      </c>
      <c r="O8" s="25">
        <f>WO2025Jan71081416182224283032343840424446485456586264666870727476681216182022262832[[#This Row],[CV]]</f>
        <v>1.0442263821792807E-3</v>
      </c>
      <c r="P8" s="28">
        <f>WO2025Jan71081416182224283032343840424446485456586264666870727476681216182022262832[[#This Row],[CV]]*2.5</f>
        <v>2.6105659554482019E-3</v>
      </c>
      <c r="Q8" s="25">
        <f>WO2025Jan71081416182224283032343840424446485456586264666870727476681216182022262832[[#This Row],[I]]</f>
        <v>9.9074074074074082E-4</v>
      </c>
      <c r="R8" s="25">
        <f>WO2025Jan71081416182224283032343840424446485456586264666870727476681216182022262832[[#This Row],[I]]*2.5</f>
        <v>2.476851851851852E-3</v>
      </c>
      <c r="S8" s="25">
        <f>WO2025Jan71081416182224283032343840424446485456586264666870727476681216182022262832[[#This Row],[VO2]]</f>
        <v>9.6068827160493821E-4</v>
      </c>
      <c r="T8" s="28"/>
      <c r="U8" s="11"/>
      <c r="V8" s="28"/>
      <c r="W8" s="15" t="s">
        <v>26</v>
      </c>
      <c r="X8" s="52"/>
    </row>
    <row r="9" spans="1:26" ht="21" customHeight="1">
      <c r="A9" s="10" t="s">
        <v>62</v>
      </c>
      <c r="B9" s="11">
        <v>1.238425925925926E-2</v>
      </c>
      <c r="C9" s="11">
        <v>3.6458333333333334E-3</v>
      </c>
      <c r="D9" s="11">
        <f>B9*E9</f>
        <v>7.2051620370370368E-3</v>
      </c>
      <c r="E9" s="12">
        <v>0.58179999999999998</v>
      </c>
      <c r="F9" s="11">
        <f>C9/4</f>
        <v>9.1145833333333335E-4</v>
      </c>
      <c r="G9" s="11">
        <f>D9/7.5</f>
        <v>9.6068827160493821E-4</v>
      </c>
      <c r="H9" s="11">
        <f>B9/12.5</f>
        <v>9.9074074074074082E-4</v>
      </c>
      <c r="I9" s="11">
        <f>G9/0.93</f>
        <v>1.0329981415106862E-3</v>
      </c>
      <c r="J9" s="11">
        <f>G9/0.92</f>
        <v>1.0442263821792807E-3</v>
      </c>
      <c r="K9" s="11">
        <f>G9/0.88</f>
        <v>1.0916912177328843E-3</v>
      </c>
      <c r="L9" s="11">
        <f>G9/0.84</f>
        <v>1.1436765138154027E-3</v>
      </c>
      <c r="M9" s="25">
        <f>WO2025Jan71081416182224283032343840424446485456586264666870727476681216182022262832[[#This Row],[Thresh]]</f>
        <v>1.0916912177328843E-3</v>
      </c>
      <c r="N9" s="28">
        <f>WO2025Jan71081416182224283032343840424446485456586264666870727476681216182022262832[[#This Row],[Thresh]]*2.5</f>
        <v>2.7292280443322109E-3</v>
      </c>
      <c r="O9" s="25">
        <f>WO2025Jan71081416182224283032343840424446485456586264666870727476681216182022262832[[#This Row],[CV]]</f>
        <v>1.0442263821792807E-3</v>
      </c>
      <c r="P9" s="28">
        <f>WO2025Jan71081416182224283032343840424446485456586264666870727476681216182022262832[[#This Row],[CV]]*2.5</f>
        <v>2.6105659554482019E-3</v>
      </c>
      <c r="Q9" s="25">
        <f>WO2025Jan71081416182224283032343840424446485456586264666870727476681216182022262832[[#This Row],[I]]</f>
        <v>9.9074074074074082E-4</v>
      </c>
      <c r="R9" s="25">
        <f>WO2025Jan71081416182224283032343840424446485456586264666870727476681216182022262832[[#This Row],[I]]*2.5</f>
        <v>2.476851851851852E-3</v>
      </c>
      <c r="S9" s="25">
        <f>WO2025Jan71081416182224283032343840424446485456586264666870727476681216182022262832[[#This Row],[VO2]]</f>
        <v>9.6068827160493821E-4</v>
      </c>
      <c r="T9" s="28"/>
      <c r="U9" s="11"/>
      <c r="V9" s="17"/>
      <c r="W9" s="18" t="s">
        <v>26</v>
      </c>
      <c r="X9" s="52"/>
    </row>
    <row r="10" spans="1:26" ht="21" customHeight="1">
      <c r="A10" s="10" t="s">
        <v>59</v>
      </c>
      <c r="B10" s="11">
        <v>1.2500000000000001E-2</v>
      </c>
      <c r="C10" s="11">
        <v>3.7037037037037038E-3</v>
      </c>
      <c r="D10" s="11">
        <f t="shared" si="0"/>
        <v>7.2725000000000003E-3</v>
      </c>
      <c r="E10" s="12">
        <v>0.58179999999999998</v>
      </c>
      <c r="F10" s="11">
        <f t="shared" si="1"/>
        <v>9.2592592592592596E-4</v>
      </c>
      <c r="G10" s="11">
        <f t="shared" si="2"/>
        <v>9.6966666666666675E-4</v>
      </c>
      <c r="H10" s="11">
        <f t="shared" si="3"/>
        <v>1E-3</v>
      </c>
      <c r="I10" s="11">
        <f t="shared" si="4"/>
        <v>1.0426523297491039E-3</v>
      </c>
      <c r="J10" s="11">
        <f t="shared" si="5"/>
        <v>1.0539855072463768E-3</v>
      </c>
      <c r="K10" s="11">
        <f t="shared" si="6"/>
        <v>1.1018939393939394E-3</v>
      </c>
      <c r="L10" s="17">
        <f t="shared" si="7"/>
        <v>1.1543650793650795E-3</v>
      </c>
      <c r="M10" s="25">
        <f>WO2025Jan71081416182224283032343840424446485456586264666870727476681216182022262832[[#This Row],[Thresh]]</f>
        <v>1.1018939393939394E-3</v>
      </c>
      <c r="N10" s="28">
        <f>WO2025Jan71081416182224283032343840424446485456586264666870727476681216182022262832[[#This Row],[Thresh]]*2.5</f>
        <v>2.7547348484848484E-3</v>
      </c>
      <c r="O10" s="25">
        <f>WO2025Jan71081416182224283032343840424446485456586264666870727476681216182022262832[[#This Row],[CV]]</f>
        <v>1.0539855072463768E-3</v>
      </c>
      <c r="P10" s="28">
        <f>WO2025Jan71081416182224283032343840424446485456586264666870727476681216182022262832[[#This Row],[CV]]*2.5</f>
        <v>2.6349637681159421E-3</v>
      </c>
      <c r="Q10" s="25">
        <f>WO2025Jan71081416182224283032343840424446485456586264666870727476681216182022262832[[#This Row],[I]]</f>
        <v>1E-3</v>
      </c>
      <c r="R10" s="25">
        <f>WO2025Jan71081416182224283032343840424446485456586264666870727476681216182022262832[[#This Row],[I]]*2.5</f>
        <v>2.5000000000000001E-3</v>
      </c>
      <c r="S10" s="25">
        <f>WO2025Jan71081416182224283032343840424446485456586264666870727476681216182022262832[[#This Row],[VO2]]</f>
        <v>9.6966666666666675E-4</v>
      </c>
      <c r="T10" s="28"/>
      <c r="U10" s="11"/>
      <c r="V10" s="38"/>
      <c r="W10" s="15" t="s">
        <v>35</v>
      </c>
      <c r="X10" s="52"/>
    </row>
    <row r="11" spans="1:26" ht="21" customHeight="1">
      <c r="A11" s="10" t="s">
        <v>55</v>
      </c>
      <c r="B11" s="11">
        <v>1.2500000000000001E-2</v>
      </c>
      <c r="C11" s="11">
        <v>3.5879629629629629E-3</v>
      </c>
      <c r="D11" s="11">
        <f t="shared" si="0"/>
        <v>7.2725000000000003E-3</v>
      </c>
      <c r="E11" s="12">
        <v>0.58179999999999998</v>
      </c>
      <c r="F11" s="11">
        <f t="shared" si="1"/>
        <v>8.9699074074074073E-4</v>
      </c>
      <c r="G11" s="11">
        <f t="shared" si="2"/>
        <v>9.6966666666666675E-4</v>
      </c>
      <c r="H11" s="11">
        <f t="shared" si="3"/>
        <v>1E-3</v>
      </c>
      <c r="I11" s="11">
        <f t="shared" si="4"/>
        <v>1.0426523297491039E-3</v>
      </c>
      <c r="J11" s="11">
        <f t="shared" si="5"/>
        <v>1.0539855072463768E-3</v>
      </c>
      <c r="K11" s="11">
        <f t="shared" si="6"/>
        <v>1.1018939393939394E-3</v>
      </c>
      <c r="L11" s="11">
        <f t="shared" si="7"/>
        <v>1.1543650793650795E-3</v>
      </c>
      <c r="M11" s="25">
        <f>WO2025Jan71081416182224283032343840424446485456586264666870727476681216182022262832[[#This Row],[Thresh]]</f>
        <v>1.1018939393939394E-3</v>
      </c>
      <c r="N11" s="28">
        <f>WO2025Jan71081416182224283032343840424446485456586264666870727476681216182022262832[[#This Row],[Thresh]]*2.5</f>
        <v>2.7547348484848484E-3</v>
      </c>
      <c r="O11" s="25">
        <f>WO2025Jan71081416182224283032343840424446485456586264666870727476681216182022262832[[#This Row],[CV]]</f>
        <v>1.0539855072463768E-3</v>
      </c>
      <c r="P11" s="28">
        <f>WO2025Jan71081416182224283032343840424446485456586264666870727476681216182022262832[[#This Row],[CV]]*2.5</f>
        <v>2.6349637681159421E-3</v>
      </c>
      <c r="Q11" s="25">
        <f>WO2025Jan71081416182224283032343840424446485456586264666870727476681216182022262832[[#This Row],[I]]</f>
        <v>1E-3</v>
      </c>
      <c r="R11" s="25">
        <f>WO2025Jan71081416182224283032343840424446485456586264666870727476681216182022262832[[#This Row],[I]]*2.5</f>
        <v>2.5000000000000001E-3</v>
      </c>
      <c r="S11" s="25">
        <f>WO2025Jan71081416182224283032343840424446485456586264666870727476681216182022262832[[#This Row],[VO2]]</f>
        <v>9.6966666666666675E-4</v>
      </c>
      <c r="T11" s="28"/>
      <c r="U11" s="11"/>
      <c r="V11" s="17"/>
      <c r="W11" s="18" t="s">
        <v>26</v>
      </c>
      <c r="X11" s="52" t="s">
        <v>230</v>
      </c>
    </row>
    <row r="12" spans="1:26" ht="21" customHeight="1">
      <c r="A12" s="10" t="s">
        <v>29</v>
      </c>
      <c r="B12" s="11">
        <v>1.2500000000000001E-2</v>
      </c>
      <c r="C12" s="11">
        <v>3.8194444444444443E-3</v>
      </c>
      <c r="D12" s="11">
        <f>B12*E12</f>
        <v>7.2725000000000003E-3</v>
      </c>
      <c r="E12" s="12">
        <v>0.58179999999999998</v>
      </c>
      <c r="F12" s="11">
        <f>C12/4</f>
        <v>9.5486111111111108E-4</v>
      </c>
      <c r="G12" s="11">
        <f>D12/7.5</f>
        <v>9.6966666666666675E-4</v>
      </c>
      <c r="H12" s="11">
        <f>B12/12.5</f>
        <v>1E-3</v>
      </c>
      <c r="I12" s="11">
        <f>G12/0.93</f>
        <v>1.0426523297491039E-3</v>
      </c>
      <c r="J12" s="11">
        <f>G12/0.92</f>
        <v>1.0539855072463768E-3</v>
      </c>
      <c r="K12" s="11">
        <f>G12/0.88</f>
        <v>1.1018939393939394E-3</v>
      </c>
      <c r="L12" s="11">
        <f>G12/0.84</f>
        <v>1.1543650793650795E-3</v>
      </c>
      <c r="M12" s="25">
        <f>WO2025Jan71081416182224283032343840424446485456586264666870727476681216182022262832[[#This Row],[Thresh]]</f>
        <v>1.1018939393939394E-3</v>
      </c>
      <c r="N12" s="28">
        <f>WO2025Jan71081416182224283032343840424446485456586264666870727476681216182022262832[[#This Row],[Thresh]]*2.5</f>
        <v>2.7547348484848484E-3</v>
      </c>
      <c r="O12" s="25">
        <f>WO2025Jan71081416182224283032343840424446485456586264666870727476681216182022262832[[#This Row],[CV]]</f>
        <v>1.0539855072463768E-3</v>
      </c>
      <c r="P12" s="28">
        <f>WO2025Jan71081416182224283032343840424446485456586264666870727476681216182022262832[[#This Row],[CV]]*2.5</f>
        <v>2.6349637681159421E-3</v>
      </c>
      <c r="Q12" s="25">
        <f>WO2025Jan71081416182224283032343840424446485456586264666870727476681216182022262832[[#This Row],[I]]</f>
        <v>1E-3</v>
      </c>
      <c r="R12" s="25">
        <f>WO2025Jan71081416182224283032343840424446485456586264666870727476681216182022262832[[#This Row],[I]]*2.5</f>
        <v>2.5000000000000001E-3</v>
      </c>
      <c r="S12" s="25">
        <f>WO2025Jan71081416182224283032343840424446485456586264666870727476681216182022262832[[#This Row],[VO2]]</f>
        <v>9.6966666666666675E-4</v>
      </c>
      <c r="T12" s="28"/>
      <c r="U12" s="11"/>
      <c r="V12" s="38"/>
      <c r="W12" s="18" t="s">
        <v>26</v>
      </c>
      <c r="X12" s="52"/>
    </row>
    <row r="13" spans="1:26" ht="21" customHeight="1">
      <c r="A13" s="10" t="s">
        <v>30</v>
      </c>
      <c r="B13" s="11">
        <v>1.2500000000000001E-2</v>
      </c>
      <c r="C13" s="11">
        <v>3.6458333333333334E-3</v>
      </c>
      <c r="D13" s="11">
        <f>B13*E13</f>
        <v>7.2725000000000003E-3</v>
      </c>
      <c r="E13" s="12">
        <v>0.58179999999999998</v>
      </c>
      <c r="F13" s="11">
        <f>C13/4</f>
        <v>9.1145833333333335E-4</v>
      </c>
      <c r="G13" s="11">
        <f>D13/7.5</f>
        <v>9.6966666666666675E-4</v>
      </c>
      <c r="H13" s="11">
        <f>B13/12.5</f>
        <v>1E-3</v>
      </c>
      <c r="I13" s="11">
        <f>G13/0.93</f>
        <v>1.0426523297491039E-3</v>
      </c>
      <c r="J13" s="11">
        <f>G13/0.92</f>
        <v>1.0539855072463768E-3</v>
      </c>
      <c r="K13" s="11">
        <f>G13/0.88</f>
        <v>1.1018939393939394E-3</v>
      </c>
      <c r="L13" s="11">
        <f>G13/0.84</f>
        <v>1.1543650793650795E-3</v>
      </c>
      <c r="M13" s="25">
        <f>WO2025Jan71081416182224283032343840424446485456586264666870727476681216182022262832[[#This Row],[Thresh]]</f>
        <v>1.1018939393939394E-3</v>
      </c>
      <c r="N13" s="28">
        <f>WO2025Jan71081416182224283032343840424446485456586264666870727476681216182022262832[[#This Row],[Thresh]]*2.5</f>
        <v>2.7547348484848484E-3</v>
      </c>
      <c r="O13" s="25">
        <f>WO2025Jan71081416182224283032343840424446485456586264666870727476681216182022262832[[#This Row],[CV]]</f>
        <v>1.0539855072463768E-3</v>
      </c>
      <c r="P13" s="28">
        <f>WO2025Jan71081416182224283032343840424446485456586264666870727476681216182022262832[[#This Row],[CV]]*2.5</f>
        <v>2.6349637681159421E-3</v>
      </c>
      <c r="Q13" s="25">
        <f>WO2025Jan71081416182224283032343840424446485456586264666870727476681216182022262832[[#This Row],[I]]</f>
        <v>1E-3</v>
      </c>
      <c r="R13" s="25">
        <f>WO2025Jan71081416182224283032343840424446485456586264666870727476681216182022262832[[#This Row],[I]]*2.5</f>
        <v>2.5000000000000001E-3</v>
      </c>
      <c r="S13" s="25">
        <f>WO2025Jan71081416182224283032343840424446485456586264666870727476681216182022262832[[#This Row],[VO2]]</f>
        <v>9.6966666666666675E-4</v>
      </c>
      <c r="T13" s="28"/>
      <c r="U13" s="11"/>
      <c r="V13" s="28"/>
      <c r="W13" s="15" t="s">
        <v>35</v>
      </c>
      <c r="X13" s="52"/>
    </row>
    <row r="14" spans="1:26" ht="21" customHeight="1">
      <c r="A14" s="10" t="s">
        <v>63</v>
      </c>
      <c r="B14" s="11">
        <v>1.2615740740740742E-2</v>
      </c>
      <c r="C14" s="11">
        <v>3.7037037037037038E-3</v>
      </c>
      <c r="D14" s="11">
        <f>B14*E14</f>
        <v>7.3398379629629629E-3</v>
      </c>
      <c r="E14" s="12">
        <v>0.58179999999999998</v>
      </c>
      <c r="F14" s="11">
        <f>C14/4</f>
        <v>9.2592592592592596E-4</v>
      </c>
      <c r="G14" s="11">
        <f>D14/7.5</f>
        <v>9.7864506172839496E-4</v>
      </c>
      <c r="H14" s="11">
        <f>B14/12.5</f>
        <v>1.0092592592592592E-3</v>
      </c>
      <c r="I14" s="11">
        <f>G14/0.93</f>
        <v>1.0523065179875214E-3</v>
      </c>
      <c r="J14" s="11">
        <f>G14/0.92</f>
        <v>1.0637446323134728E-3</v>
      </c>
      <c r="K14" s="11">
        <f>G14/0.88</f>
        <v>1.1120966610549943E-3</v>
      </c>
      <c r="L14" s="11">
        <f>G14/0.84</f>
        <v>1.165053644914756E-3</v>
      </c>
      <c r="M14" s="25">
        <f>WO2025Jan71081416182224283032343840424446485456586264666870727476681216182022262832[[#This Row],[Thresh]]</f>
        <v>1.1120966610549943E-3</v>
      </c>
      <c r="N14" s="28">
        <f>WO2025Jan71081416182224283032343840424446485456586264666870727476681216182022262832[[#This Row],[Thresh]]*2.5</f>
        <v>2.7802416526374859E-3</v>
      </c>
      <c r="O14" s="25">
        <f>WO2025Jan71081416182224283032343840424446485456586264666870727476681216182022262832[[#This Row],[CV]]</f>
        <v>1.0637446323134728E-3</v>
      </c>
      <c r="P14" s="28">
        <f>WO2025Jan71081416182224283032343840424446485456586264666870727476681216182022262832[[#This Row],[CV]]*2.5</f>
        <v>2.6593615807836818E-3</v>
      </c>
      <c r="Q14" s="25">
        <f>WO2025Jan71081416182224283032343840424446485456586264666870727476681216182022262832[[#This Row],[I]]</f>
        <v>1.0092592592592592E-3</v>
      </c>
      <c r="R14" s="25">
        <f>WO2025Jan71081416182224283032343840424446485456586264666870727476681216182022262832[[#This Row],[I]]*2.5</f>
        <v>2.5231481481481481E-3</v>
      </c>
      <c r="S14" s="25">
        <f>WO2025Jan71081416182224283032343840424446485456586264666870727476681216182022262832[[#This Row],[VO2]]</f>
        <v>9.7864506172839496E-4</v>
      </c>
      <c r="T14" s="28"/>
      <c r="U14" s="11"/>
      <c r="V14" s="36" t="s">
        <v>231</v>
      </c>
      <c r="W14" s="15" t="s">
        <v>35</v>
      </c>
      <c r="X14" s="52"/>
    </row>
    <row r="15" spans="1:26" ht="21" customHeight="1">
      <c r="A15" s="10" t="s">
        <v>51</v>
      </c>
      <c r="B15" s="11">
        <v>1.2615740740740742E-2</v>
      </c>
      <c r="C15" s="11">
        <v>3.5879629629629629E-3</v>
      </c>
      <c r="D15" s="11">
        <f t="shared" ref="D15:D32" si="8">B15*E15</f>
        <v>7.3398379629629629E-3</v>
      </c>
      <c r="E15" s="12">
        <v>0.58179999999999998</v>
      </c>
      <c r="F15" s="11">
        <f t="shared" ref="F15:F32" si="9">C15/4</f>
        <v>8.9699074074074073E-4</v>
      </c>
      <c r="G15" s="11">
        <f t="shared" ref="G15:G32" si="10">D15/7.5</f>
        <v>9.7864506172839496E-4</v>
      </c>
      <c r="H15" s="11">
        <f t="shared" ref="H15:H32" si="11">B15/12.5</f>
        <v>1.0092592592592592E-3</v>
      </c>
      <c r="I15" s="11">
        <f t="shared" ref="I15:I32" si="12">G15/0.93</f>
        <v>1.0523065179875214E-3</v>
      </c>
      <c r="J15" s="11">
        <f t="shared" ref="J15:J32" si="13">G15/0.92</f>
        <v>1.0637446323134728E-3</v>
      </c>
      <c r="K15" s="11">
        <f t="shared" ref="K15:K32" si="14">G15/0.88</f>
        <v>1.1120966610549943E-3</v>
      </c>
      <c r="L15" s="11">
        <f t="shared" ref="L15:L32" si="15">G15/0.84</f>
        <v>1.165053644914756E-3</v>
      </c>
      <c r="M15" s="25">
        <f>WO2025Jan71081416182224283032343840424446485456586264666870727476681216182022262832[[#This Row],[Thresh]]</f>
        <v>1.1120966610549943E-3</v>
      </c>
      <c r="N15" s="28">
        <f>WO2025Jan71081416182224283032343840424446485456586264666870727476681216182022262832[[#This Row],[Thresh]]*2.5</f>
        <v>2.7802416526374859E-3</v>
      </c>
      <c r="O15" s="25">
        <f>WO2025Jan71081416182224283032343840424446485456586264666870727476681216182022262832[[#This Row],[CV]]</f>
        <v>1.0637446323134728E-3</v>
      </c>
      <c r="P15" s="28">
        <f>WO2025Jan71081416182224283032343840424446485456586264666870727476681216182022262832[[#This Row],[CV]]*2.5</f>
        <v>2.6593615807836818E-3</v>
      </c>
      <c r="Q15" s="25">
        <f>WO2025Jan71081416182224283032343840424446485456586264666870727476681216182022262832[[#This Row],[I]]</f>
        <v>1.0092592592592592E-3</v>
      </c>
      <c r="R15" s="25">
        <f>WO2025Jan71081416182224283032343840424446485456586264666870727476681216182022262832[[#This Row],[I]]*2.5</f>
        <v>2.5231481481481481E-3</v>
      </c>
      <c r="S15" s="25">
        <f>WO2025Jan71081416182224283032343840424446485456586264666870727476681216182022262832[[#This Row],[VO2]]</f>
        <v>9.7864506172839496E-4</v>
      </c>
      <c r="T15" s="28"/>
      <c r="U15" s="11"/>
      <c r="V15" s="36" t="s">
        <v>231</v>
      </c>
      <c r="W15" s="15" t="s">
        <v>35</v>
      </c>
      <c r="X15" s="52"/>
    </row>
    <row r="16" spans="1:26" ht="21" customHeight="1">
      <c r="A16" s="10" t="s">
        <v>64</v>
      </c>
      <c r="B16" s="11">
        <v>1.2615740740740742E-2</v>
      </c>
      <c r="C16" s="11">
        <v>3.5879629629629629E-3</v>
      </c>
      <c r="D16" s="11">
        <f>B16*E16</f>
        <v>7.3398379629629629E-3</v>
      </c>
      <c r="E16" s="12">
        <v>0.58179999999999998</v>
      </c>
      <c r="F16" s="11">
        <f>C16/4</f>
        <v>8.9699074074074073E-4</v>
      </c>
      <c r="G16" s="11">
        <f>D16/7.5</f>
        <v>9.7864506172839496E-4</v>
      </c>
      <c r="H16" s="11">
        <f>B16/12.5</f>
        <v>1.0092592592592592E-3</v>
      </c>
      <c r="I16" s="11">
        <f>G16/0.93</f>
        <v>1.0523065179875214E-3</v>
      </c>
      <c r="J16" s="11">
        <f>G16/0.92</f>
        <v>1.0637446323134728E-3</v>
      </c>
      <c r="K16" s="11">
        <f>G16/0.88</f>
        <v>1.1120966610549943E-3</v>
      </c>
      <c r="L16" s="11">
        <f>G16/0.84</f>
        <v>1.165053644914756E-3</v>
      </c>
      <c r="M16" s="25">
        <f>WO2025Jan71081416182224283032343840424446485456586264666870727476681216182022262832[[#This Row],[Thresh]]</f>
        <v>1.1120966610549943E-3</v>
      </c>
      <c r="N16" s="28">
        <f>WO2025Jan71081416182224283032343840424446485456586264666870727476681216182022262832[[#This Row],[Thresh]]*2.5</f>
        <v>2.7802416526374859E-3</v>
      </c>
      <c r="O16" s="25">
        <f>WO2025Jan71081416182224283032343840424446485456586264666870727476681216182022262832[[#This Row],[CV]]</f>
        <v>1.0637446323134728E-3</v>
      </c>
      <c r="P16" s="28">
        <f>WO2025Jan71081416182224283032343840424446485456586264666870727476681216182022262832[[#This Row],[CV]]*2.5</f>
        <v>2.6593615807836818E-3</v>
      </c>
      <c r="Q16" s="25">
        <f>WO2025Jan71081416182224283032343840424446485456586264666870727476681216182022262832[[#This Row],[I]]</f>
        <v>1.0092592592592592E-3</v>
      </c>
      <c r="R16" s="25">
        <f>WO2025Jan71081416182224283032343840424446485456586264666870727476681216182022262832[[#This Row],[I]]*2.5</f>
        <v>2.5231481481481481E-3</v>
      </c>
      <c r="S16" s="25">
        <f>WO2025Jan71081416182224283032343840424446485456586264666870727476681216182022262832[[#This Row],[VO2]]</f>
        <v>9.7864506172839496E-4</v>
      </c>
      <c r="T16" s="28"/>
      <c r="U16" s="11"/>
      <c r="V16" s="48" t="s">
        <v>231</v>
      </c>
      <c r="W16" s="15" t="s">
        <v>35</v>
      </c>
      <c r="X16" s="52"/>
    </row>
    <row r="17" spans="1:24" ht="21" customHeight="1">
      <c r="A17" s="10" t="s">
        <v>49</v>
      </c>
      <c r="B17" s="11">
        <v>1.2731481481481481E-2</v>
      </c>
      <c r="C17" s="11">
        <v>3.5879629629629629E-3</v>
      </c>
      <c r="D17" s="11">
        <f t="shared" si="8"/>
        <v>7.4071759259259256E-3</v>
      </c>
      <c r="E17" s="12">
        <v>0.58179999999999998</v>
      </c>
      <c r="F17" s="11">
        <f t="shared" si="9"/>
        <v>8.9699074074074073E-4</v>
      </c>
      <c r="G17" s="11">
        <f t="shared" si="10"/>
        <v>9.8762345679012349E-4</v>
      </c>
      <c r="H17" s="11">
        <f t="shared" si="11"/>
        <v>1.0185185185185184E-3</v>
      </c>
      <c r="I17" s="11">
        <f t="shared" si="12"/>
        <v>1.0619607062259391E-3</v>
      </c>
      <c r="J17" s="11">
        <f t="shared" si="13"/>
        <v>1.073503757380569E-3</v>
      </c>
      <c r="K17" s="11">
        <f t="shared" si="14"/>
        <v>1.1222993827160494E-3</v>
      </c>
      <c r="L17" s="11">
        <f t="shared" si="15"/>
        <v>1.1757422104644328E-3</v>
      </c>
      <c r="M17" s="25">
        <f>WO2025Jan71081416182224283032343840424446485456586264666870727476681216182022262832[[#This Row],[Thresh]]</f>
        <v>1.1222993827160494E-3</v>
      </c>
      <c r="N17" s="28">
        <f>WO2025Jan71081416182224283032343840424446485456586264666870727476681216182022262832[[#This Row],[Thresh]]*2.5</f>
        <v>2.8057484567901234E-3</v>
      </c>
      <c r="O17" s="25">
        <f>WO2025Jan71081416182224283032343840424446485456586264666870727476681216182022262832[[#This Row],[CV]]</f>
        <v>1.073503757380569E-3</v>
      </c>
      <c r="P17" s="28">
        <f>WO2025Jan71081416182224283032343840424446485456586264666870727476681216182022262832[[#This Row],[CV]]*2.5</f>
        <v>2.6837593934514225E-3</v>
      </c>
      <c r="Q17" s="25">
        <f>WO2025Jan71081416182224283032343840424446485456586264666870727476681216182022262832[[#This Row],[I]]</f>
        <v>1.0185185185185184E-3</v>
      </c>
      <c r="R17" s="25">
        <f>WO2025Jan71081416182224283032343840424446485456586264666870727476681216182022262832[[#This Row],[I]]*2.5</f>
        <v>2.5462962962962961E-3</v>
      </c>
      <c r="S17" s="25">
        <f>WO2025Jan71081416182224283032343840424446485456586264666870727476681216182022262832[[#This Row],[VO2]]</f>
        <v>9.8762345679012349E-4</v>
      </c>
      <c r="T17" s="28"/>
      <c r="U17" s="11"/>
      <c r="V17" s="11"/>
      <c r="W17" s="15" t="s">
        <v>35</v>
      </c>
      <c r="X17" s="52"/>
    </row>
    <row r="18" spans="1:24" ht="21" customHeight="1">
      <c r="A18" s="10" t="s">
        <v>65</v>
      </c>
      <c r="B18" s="11">
        <v>1.2731481481481481E-2</v>
      </c>
      <c r="C18" s="11">
        <v>3.8194444444444443E-3</v>
      </c>
      <c r="D18" s="11">
        <f t="shared" si="8"/>
        <v>7.4071759259259256E-3</v>
      </c>
      <c r="E18" s="12">
        <v>0.58179999999999998</v>
      </c>
      <c r="F18" s="11">
        <f t="shared" si="9"/>
        <v>9.5486111111111108E-4</v>
      </c>
      <c r="G18" s="11">
        <f t="shared" si="10"/>
        <v>9.8762345679012349E-4</v>
      </c>
      <c r="H18" s="11">
        <f t="shared" si="11"/>
        <v>1.0185185185185184E-3</v>
      </c>
      <c r="I18" s="11">
        <f t="shared" si="12"/>
        <v>1.0619607062259391E-3</v>
      </c>
      <c r="J18" s="11">
        <f t="shared" si="13"/>
        <v>1.073503757380569E-3</v>
      </c>
      <c r="K18" s="11">
        <f t="shared" si="14"/>
        <v>1.1222993827160494E-3</v>
      </c>
      <c r="L18" s="11">
        <f t="shared" si="15"/>
        <v>1.1757422104644328E-3</v>
      </c>
      <c r="M18" s="25">
        <f>WO2025Jan71081416182224283032343840424446485456586264666870727476681216182022262832[[#This Row],[Thresh]]</f>
        <v>1.1222993827160494E-3</v>
      </c>
      <c r="N18" s="28">
        <f>WO2025Jan71081416182224283032343840424446485456586264666870727476681216182022262832[[#This Row],[Thresh]]*2.5</f>
        <v>2.8057484567901234E-3</v>
      </c>
      <c r="O18" s="25">
        <f>WO2025Jan71081416182224283032343840424446485456586264666870727476681216182022262832[[#This Row],[CV]]</f>
        <v>1.073503757380569E-3</v>
      </c>
      <c r="P18" s="28">
        <f>WO2025Jan71081416182224283032343840424446485456586264666870727476681216182022262832[[#This Row],[CV]]*2.5</f>
        <v>2.6837593934514225E-3</v>
      </c>
      <c r="Q18" s="25">
        <f>WO2025Jan71081416182224283032343840424446485456586264666870727476681216182022262832[[#This Row],[I]]</f>
        <v>1.0185185185185184E-3</v>
      </c>
      <c r="R18" s="25">
        <f>WO2025Jan71081416182224283032343840424446485456586264666870727476681216182022262832[[#This Row],[I]]*2.5</f>
        <v>2.5462962962962961E-3</v>
      </c>
      <c r="S18" s="25">
        <f>WO2025Jan71081416182224283032343840424446485456586264666870727476681216182022262832[[#This Row],[VO2]]</f>
        <v>9.8762345679012349E-4</v>
      </c>
      <c r="T18" s="28"/>
      <c r="U18" s="11"/>
      <c r="V18" s="28"/>
      <c r="W18" s="15" t="s">
        <v>26</v>
      </c>
      <c r="X18" s="52"/>
    </row>
    <row r="19" spans="1:24" ht="21" customHeight="1">
      <c r="A19" s="10" t="s">
        <v>66</v>
      </c>
      <c r="B19" s="11">
        <v>1.2731481481481481E-2</v>
      </c>
      <c r="C19" s="11">
        <v>3.6458333333333334E-3</v>
      </c>
      <c r="D19" s="11">
        <f>B19*E19</f>
        <v>7.4071759259259256E-3</v>
      </c>
      <c r="E19" s="12">
        <v>0.58179999999999998</v>
      </c>
      <c r="F19" s="11">
        <f>C19/4</f>
        <v>9.1145833333333335E-4</v>
      </c>
      <c r="G19" s="11">
        <f>D19/7.5</f>
        <v>9.8762345679012349E-4</v>
      </c>
      <c r="H19" s="11">
        <f>B19/12.5</f>
        <v>1.0185185185185184E-3</v>
      </c>
      <c r="I19" s="11">
        <f>G19/0.93</f>
        <v>1.0619607062259391E-3</v>
      </c>
      <c r="J19" s="11">
        <f>G19/0.92</f>
        <v>1.073503757380569E-3</v>
      </c>
      <c r="K19" s="11">
        <f>G19/0.88</f>
        <v>1.1222993827160494E-3</v>
      </c>
      <c r="L19" s="17">
        <f>G19/0.84</f>
        <v>1.1757422104644328E-3</v>
      </c>
      <c r="M19" s="25">
        <f>WO2025Jan71081416182224283032343840424446485456586264666870727476681216182022262832[[#This Row],[Thresh]]</f>
        <v>1.1222993827160494E-3</v>
      </c>
      <c r="N19" s="28">
        <f>WO2025Jan71081416182224283032343840424446485456586264666870727476681216182022262832[[#This Row],[Thresh]]*2.5</f>
        <v>2.8057484567901234E-3</v>
      </c>
      <c r="O19" s="25">
        <f>WO2025Jan71081416182224283032343840424446485456586264666870727476681216182022262832[[#This Row],[CV]]</f>
        <v>1.073503757380569E-3</v>
      </c>
      <c r="P19" s="28">
        <f>WO2025Jan71081416182224283032343840424446485456586264666870727476681216182022262832[[#This Row],[CV]]*2.5</f>
        <v>2.6837593934514225E-3</v>
      </c>
      <c r="Q19" s="25">
        <f>WO2025Jan71081416182224283032343840424446485456586264666870727476681216182022262832[[#This Row],[I]]</f>
        <v>1.0185185185185184E-3</v>
      </c>
      <c r="R19" s="25">
        <f>WO2025Jan71081416182224283032343840424446485456586264666870727476681216182022262832[[#This Row],[I]]*2.5</f>
        <v>2.5462962962962961E-3</v>
      </c>
      <c r="S19" s="25">
        <f>WO2025Jan71081416182224283032343840424446485456586264666870727476681216182022262832[[#This Row],[VO2]]</f>
        <v>9.8762345679012349E-4</v>
      </c>
      <c r="T19" s="28"/>
      <c r="U19" s="25"/>
      <c r="V19" s="25"/>
      <c r="W19" s="15" t="s">
        <v>35</v>
      </c>
      <c r="X19" s="52"/>
    </row>
    <row r="20" spans="1:24" ht="21" customHeight="1">
      <c r="A20" s="10" t="s">
        <v>36</v>
      </c>
      <c r="B20" s="11">
        <v>1.2731481481481481E-2</v>
      </c>
      <c r="C20" s="11">
        <v>3.6458333333333334E-3</v>
      </c>
      <c r="D20" s="11">
        <f>B20*E20</f>
        <v>7.4071759259259256E-3</v>
      </c>
      <c r="E20" s="12">
        <v>0.58179999999999998</v>
      </c>
      <c r="F20" s="11">
        <f>C20/4</f>
        <v>9.1145833333333335E-4</v>
      </c>
      <c r="G20" s="11">
        <f>D20/7.5</f>
        <v>9.8762345679012349E-4</v>
      </c>
      <c r="H20" s="11">
        <f>B20/12.5</f>
        <v>1.0185185185185184E-3</v>
      </c>
      <c r="I20" s="11">
        <f>G20/0.93</f>
        <v>1.0619607062259391E-3</v>
      </c>
      <c r="J20" s="11">
        <f>G20/0.92</f>
        <v>1.073503757380569E-3</v>
      </c>
      <c r="K20" s="11">
        <f>G20/0.88</f>
        <v>1.1222993827160494E-3</v>
      </c>
      <c r="L20" s="11">
        <f>G20/0.84</f>
        <v>1.1757422104644328E-3</v>
      </c>
      <c r="M20" s="25">
        <f>WO2025Jan71081416182224283032343840424446485456586264666870727476681216182022262832[[#This Row],[Thresh]]</f>
        <v>1.1222993827160494E-3</v>
      </c>
      <c r="N20" s="28">
        <f>WO2025Jan71081416182224283032343840424446485456586264666870727476681216182022262832[[#This Row],[Thresh]]*2.5</f>
        <v>2.8057484567901234E-3</v>
      </c>
      <c r="O20" s="25">
        <f>WO2025Jan71081416182224283032343840424446485456586264666870727476681216182022262832[[#This Row],[CV]]</f>
        <v>1.073503757380569E-3</v>
      </c>
      <c r="P20" s="28">
        <f>WO2025Jan71081416182224283032343840424446485456586264666870727476681216182022262832[[#This Row],[CV]]*2.5</f>
        <v>2.6837593934514225E-3</v>
      </c>
      <c r="Q20" s="25">
        <f>WO2025Jan71081416182224283032343840424446485456586264666870727476681216182022262832[[#This Row],[I]]</f>
        <v>1.0185185185185184E-3</v>
      </c>
      <c r="R20" s="25">
        <f>WO2025Jan71081416182224283032343840424446485456586264666870727476681216182022262832[[#This Row],[I]]*2.5</f>
        <v>2.5462962962962961E-3</v>
      </c>
      <c r="S20" s="25">
        <f>WO2025Jan71081416182224283032343840424446485456586264666870727476681216182022262832[[#This Row],[VO2]]</f>
        <v>9.8762345679012349E-4</v>
      </c>
      <c r="T20" s="28"/>
      <c r="U20" s="25"/>
      <c r="V20" s="25"/>
      <c r="W20" s="15" t="s">
        <v>35</v>
      </c>
      <c r="X20" s="52"/>
    </row>
    <row r="21" spans="1:24" ht="21" customHeight="1">
      <c r="A21" s="10" t="s">
        <v>67</v>
      </c>
      <c r="B21" s="11">
        <v>1.3020833333333334E-2</v>
      </c>
      <c r="C21" s="11">
        <v>3.8194444444444443E-3</v>
      </c>
      <c r="D21" s="11">
        <f>B21*E21</f>
        <v>7.5755208333333334E-3</v>
      </c>
      <c r="E21" s="12">
        <v>0.58179999999999998</v>
      </c>
      <c r="F21" s="11">
        <f>C21/4</f>
        <v>9.5486111111111108E-4</v>
      </c>
      <c r="G21" s="11">
        <f>D21/7.5</f>
        <v>1.0100694444444445E-3</v>
      </c>
      <c r="H21" s="11">
        <f>B21/12.5</f>
        <v>1.0416666666666667E-3</v>
      </c>
      <c r="I21" s="11">
        <f>G21/0.93</f>
        <v>1.0860961768219832E-3</v>
      </c>
      <c r="J21" s="11">
        <f>G21/0.92</f>
        <v>1.0979015700483092E-3</v>
      </c>
      <c r="K21" s="11">
        <f>G21/0.88</f>
        <v>1.1478061868686869E-3</v>
      </c>
      <c r="L21" s="11">
        <f>G21/0.84</f>
        <v>1.2024636243386244E-3</v>
      </c>
      <c r="M21" s="25">
        <f>WO2025Jan71081416182224283032343840424446485456586264666870727476681216182022262832[[#This Row],[Thresh]]</f>
        <v>1.1478061868686869E-3</v>
      </c>
      <c r="N21" s="28">
        <f>WO2025Jan71081416182224283032343840424446485456586264666870727476681216182022262832[[#This Row],[Thresh]]*2.5</f>
        <v>2.8695154671717171E-3</v>
      </c>
      <c r="O21" s="25">
        <f>WO2025Jan71081416182224283032343840424446485456586264666870727476681216182022262832[[#This Row],[CV]]</f>
        <v>1.0979015700483092E-3</v>
      </c>
      <c r="P21" s="28">
        <f>WO2025Jan71081416182224283032343840424446485456586264666870727476681216182022262832[[#This Row],[CV]]*2.5</f>
        <v>2.7447539251207729E-3</v>
      </c>
      <c r="Q21" s="25">
        <f>WO2025Jan71081416182224283032343840424446485456586264666870727476681216182022262832[[#This Row],[I]]</f>
        <v>1.0416666666666667E-3</v>
      </c>
      <c r="R21" s="25">
        <f>WO2025Jan71081416182224283032343840424446485456586264666870727476681216182022262832[[#This Row],[I]]*2.5</f>
        <v>2.6041666666666665E-3</v>
      </c>
      <c r="S21" s="25">
        <f>WO2025Jan71081416182224283032343840424446485456586264666870727476681216182022262832[[#This Row],[VO2]]</f>
        <v>1.0100694444444445E-3</v>
      </c>
      <c r="T21" s="28"/>
      <c r="U21" s="11"/>
      <c r="V21" s="28"/>
      <c r="W21" s="18" t="s">
        <v>26</v>
      </c>
      <c r="X21" s="52" t="s">
        <v>232</v>
      </c>
    </row>
    <row r="22" spans="1:24" ht="21" customHeight="1">
      <c r="A22" s="10" t="s">
        <v>58</v>
      </c>
      <c r="B22" s="11">
        <v>1.3020833333333334E-2</v>
      </c>
      <c r="C22" s="11">
        <v>4.1087962962962962E-3</v>
      </c>
      <c r="D22" s="11">
        <f>B22*E22</f>
        <v>7.5755208333333334E-3</v>
      </c>
      <c r="E22" s="12">
        <v>0.58179999999999998</v>
      </c>
      <c r="F22" s="11">
        <f>C22/4</f>
        <v>1.027199074074074E-3</v>
      </c>
      <c r="G22" s="11">
        <f>D22/7.5</f>
        <v>1.0100694444444445E-3</v>
      </c>
      <c r="H22" s="11">
        <f>B22/12.5</f>
        <v>1.0416666666666667E-3</v>
      </c>
      <c r="I22" s="11">
        <f>G22/0.93</f>
        <v>1.0860961768219832E-3</v>
      </c>
      <c r="J22" s="11">
        <f>G22/0.92</f>
        <v>1.0979015700483092E-3</v>
      </c>
      <c r="K22" s="11">
        <f>G22/0.88</f>
        <v>1.1478061868686869E-3</v>
      </c>
      <c r="L22" s="11">
        <f>G22/0.84</f>
        <v>1.2024636243386244E-3</v>
      </c>
      <c r="M22" s="25">
        <f>WO2025Jan71081416182224283032343840424446485456586264666870727476681216182022262832[[#This Row],[Thresh]]</f>
        <v>1.1478061868686869E-3</v>
      </c>
      <c r="N22" s="28">
        <f>WO2025Jan71081416182224283032343840424446485456586264666870727476681216182022262832[[#This Row],[Thresh]]*2.5</f>
        <v>2.8695154671717171E-3</v>
      </c>
      <c r="O22" s="25">
        <f>WO2025Jan71081416182224283032343840424446485456586264666870727476681216182022262832[[#This Row],[CV]]</f>
        <v>1.0979015700483092E-3</v>
      </c>
      <c r="P22" s="28">
        <f>WO2025Jan71081416182224283032343840424446485456586264666870727476681216182022262832[[#This Row],[CV]]*2.5</f>
        <v>2.7447539251207729E-3</v>
      </c>
      <c r="Q22" s="25">
        <f>WO2025Jan71081416182224283032343840424446485456586264666870727476681216182022262832[[#This Row],[I]]</f>
        <v>1.0416666666666667E-3</v>
      </c>
      <c r="R22" s="25">
        <f>WO2025Jan71081416182224283032343840424446485456586264666870727476681216182022262832[[#This Row],[I]]*2.5</f>
        <v>2.6041666666666665E-3</v>
      </c>
      <c r="S22" s="25">
        <f>WO2025Jan71081416182224283032343840424446485456586264666870727476681216182022262832[[#This Row],[VO2]]</f>
        <v>1.0100694444444445E-3</v>
      </c>
      <c r="T22" s="28"/>
      <c r="U22" s="11"/>
      <c r="V22" s="38"/>
      <c r="W22" s="15" t="s">
        <v>35</v>
      </c>
      <c r="X22" s="52"/>
    </row>
    <row r="23" spans="1:24" ht="21" customHeight="1">
      <c r="A23" s="10" t="s">
        <v>74</v>
      </c>
      <c r="B23" s="11">
        <v>1.3020833333333334E-2</v>
      </c>
      <c r="C23" s="11">
        <v>3.7037037037037038E-3</v>
      </c>
      <c r="D23" s="11">
        <f>B23*E23</f>
        <v>7.5755208333333334E-3</v>
      </c>
      <c r="E23" s="12">
        <v>0.58179999999999998</v>
      </c>
      <c r="F23" s="11">
        <f>C23/4</f>
        <v>9.2592592592592596E-4</v>
      </c>
      <c r="G23" s="11">
        <f>D23/7.5</f>
        <v>1.0100694444444445E-3</v>
      </c>
      <c r="H23" s="11">
        <f>B23/12.5</f>
        <v>1.0416666666666667E-3</v>
      </c>
      <c r="I23" s="11">
        <f>G23/0.93</f>
        <v>1.0860961768219832E-3</v>
      </c>
      <c r="J23" s="11">
        <f>G23/0.92</f>
        <v>1.0979015700483092E-3</v>
      </c>
      <c r="K23" s="11">
        <f>G23/0.88</f>
        <v>1.1478061868686869E-3</v>
      </c>
      <c r="L23" s="11">
        <f>G23/0.84</f>
        <v>1.2024636243386244E-3</v>
      </c>
      <c r="M23" s="25">
        <f>WO2025Jan71081416182224283032343840424446485456586264666870727476681216182022262832[[#This Row],[Thresh]]</f>
        <v>1.1478061868686869E-3</v>
      </c>
      <c r="N23" s="28">
        <f>WO2025Jan71081416182224283032343840424446485456586264666870727476681216182022262832[[#This Row],[Thresh]]*2.5</f>
        <v>2.8695154671717171E-3</v>
      </c>
      <c r="O23" s="25">
        <f>WO2025Jan71081416182224283032343840424446485456586264666870727476681216182022262832[[#This Row],[CV]]</f>
        <v>1.0979015700483092E-3</v>
      </c>
      <c r="P23" s="28">
        <f>WO2025Jan71081416182224283032343840424446485456586264666870727476681216182022262832[[#This Row],[CV]]*2.5</f>
        <v>2.7447539251207729E-3</v>
      </c>
      <c r="Q23" s="25">
        <f>WO2025Jan71081416182224283032343840424446485456586264666870727476681216182022262832[[#This Row],[I]]</f>
        <v>1.0416666666666667E-3</v>
      </c>
      <c r="R23" s="25">
        <f>WO2025Jan71081416182224283032343840424446485456586264666870727476681216182022262832[[#This Row],[I]]*2.5</f>
        <v>2.6041666666666665E-3</v>
      </c>
      <c r="S23" s="25">
        <f>WO2025Jan71081416182224283032343840424446485456586264666870727476681216182022262832[[#This Row],[VO2]]</f>
        <v>1.0100694444444445E-3</v>
      </c>
      <c r="T23" s="28"/>
      <c r="U23" s="25"/>
      <c r="V23" s="25"/>
      <c r="W23" s="15" t="s">
        <v>35</v>
      </c>
      <c r="X23" s="52"/>
    </row>
    <row r="24" spans="1:24" ht="21" customHeight="1">
      <c r="A24" s="10" t="s">
        <v>69</v>
      </c>
      <c r="B24" s="11">
        <v>1.3368055555555555E-2</v>
      </c>
      <c r="C24" s="11"/>
      <c r="D24" s="11">
        <f t="shared" si="8"/>
        <v>7.7775347222222213E-3</v>
      </c>
      <c r="E24" s="12">
        <v>0.58179999999999998</v>
      </c>
      <c r="F24" s="11">
        <f t="shared" si="9"/>
        <v>0</v>
      </c>
      <c r="G24" s="11">
        <f t="shared" si="10"/>
        <v>1.0370046296296295E-3</v>
      </c>
      <c r="H24" s="11">
        <f t="shared" si="11"/>
        <v>1.0694444444444445E-3</v>
      </c>
      <c r="I24" s="11">
        <f t="shared" si="12"/>
        <v>1.1150587415372358E-3</v>
      </c>
      <c r="J24" s="11">
        <f t="shared" si="13"/>
        <v>1.1271789452495973E-3</v>
      </c>
      <c r="K24" s="11">
        <f t="shared" si="14"/>
        <v>1.1784143518518517E-3</v>
      </c>
      <c r="L24" s="11">
        <f t="shared" si="15"/>
        <v>1.2345293209876543E-3</v>
      </c>
      <c r="M24" s="25">
        <f>WO2025Jan71081416182224283032343840424446485456586264666870727476681216182022262832[[#This Row],[Thresh]]</f>
        <v>1.1784143518518517E-3</v>
      </c>
      <c r="N24" s="28">
        <f>WO2025Jan71081416182224283032343840424446485456586264666870727476681216182022262832[[#This Row],[Thresh]]*2.5</f>
        <v>2.9460358796296292E-3</v>
      </c>
      <c r="O24" s="25">
        <f>WO2025Jan71081416182224283032343840424446485456586264666870727476681216182022262832[[#This Row],[CV]]</f>
        <v>1.1271789452495973E-3</v>
      </c>
      <c r="P24" s="28">
        <f>WO2025Jan71081416182224283032343840424446485456586264666870727476681216182022262832[[#This Row],[CV]]*2.5</f>
        <v>2.817947363123993E-3</v>
      </c>
      <c r="Q24" s="25">
        <f>WO2025Jan71081416182224283032343840424446485456586264666870727476681216182022262832[[#This Row],[I]]</f>
        <v>1.0694444444444445E-3</v>
      </c>
      <c r="R24" s="25">
        <f>WO2025Jan71081416182224283032343840424446485456586264666870727476681216182022262832[[#This Row],[I]]*2.5</f>
        <v>2.673611111111111E-3</v>
      </c>
      <c r="S24" s="25">
        <f>WO2025Jan71081416182224283032343840424446485456586264666870727476681216182022262832[[#This Row],[VO2]]</f>
        <v>1.0370046296296295E-3</v>
      </c>
      <c r="T24" s="28"/>
      <c r="U24" s="11"/>
      <c r="V24" s="36"/>
      <c r="W24" s="15" t="s">
        <v>35</v>
      </c>
      <c r="X24" s="52"/>
    </row>
    <row r="25" spans="1:24" ht="21" customHeight="1">
      <c r="A25" s="10" t="s">
        <v>70</v>
      </c>
      <c r="B25" s="11">
        <v>1.3368055555555555E-2</v>
      </c>
      <c r="C25" s="11">
        <v>4.0509259259259257E-3</v>
      </c>
      <c r="D25" s="11">
        <f t="shared" si="8"/>
        <v>7.7775347222222213E-3</v>
      </c>
      <c r="E25" s="12">
        <v>0.58179999999999998</v>
      </c>
      <c r="F25" s="11">
        <f t="shared" si="9"/>
        <v>1.0127314814814814E-3</v>
      </c>
      <c r="G25" s="11">
        <f t="shared" si="10"/>
        <v>1.0370046296296295E-3</v>
      </c>
      <c r="H25" s="11">
        <f t="shared" si="11"/>
        <v>1.0694444444444445E-3</v>
      </c>
      <c r="I25" s="11">
        <f t="shared" si="12"/>
        <v>1.1150587415372358E-3</v>
      </c>
      <c r="J25" s="11">
        <f t="shared" si="13"/>
        <v>1.1271789452495973E-3</v>
      </c>
      <c r="K25" s="11">
        <f t="shared" si="14"/>
        <v>1.1784143518518517E-3</v>
      </c>
      <c r="L25" s="11">
        <f t="shared" si="15"/>
        <v>1.2345293209876543E-3</v>
      </c>
      <c r="M25" s="25">
        <f>WO2025Jan71081416182224283032343840424446485456586264666870727476681216182022262832[[#This Row],[Thresh]]</f>
        <v>1.1784143518518517E-3</v>
      </c>
      <c r="N25" s="28">
        <f>WO2025Jan71081416182224283032343840424446485456586264666870727476681216182022262832[[#This Row],[Thresh]]*2.5</f>
        <v>2.9460358796296292E-3</v>
      </c>
      <c r="O25" s="25">
        <f>WO2025Jan71081416182224283032343840424446485456586264666870727476681216182022262832[[#This Row],[CV]]</f>
        <v>1.1271789452495973E-3</v>
      </c>
      <c r="P25" s="28">
        <f>WO2025Jan71081416182224283032343840424446485456586264666870727476681216182022262832[[#This Row],[CV]]*2.5</f>
        <v>2.817947363123993E-3</v>
      </c>
      <c r="Q25" s="25">
        <f>WO2025Jan71081416182224283032343840424446485456586264666870727476681216182022262832[[#This Row],[I]]</f>
        <v>1.0694444444444445E-3</v>
      </c>
      <c r="R25" s="25">
        <f>WO2025Jan71081416182224283032343840424446485456586264666870727476681216182022262832[[#This Row],[I]]*2.5</f>
        <v>2.673611111111111E-3</v>
      </c>
      <c r="S25" s="25">
        <f>WO2025Jan71081416182224283032343840424446485456586264666870727476681216182022262832[[#This Row],[VO2]]</f>
        <v>1.0370046296296295E-3</v>
      </c>
      <c r="T25" s="28"/>
      <c r="U25" s="11"/>
      <c r="V25" s="38"/>
      <c r="W25" s="15" t="s">
        <v>35</v>
      </c>
      <c r="X25" s="52"/>
    </row>
    <row r="26" spans="1:24" ht="21" customHeight="1">
      <c r="A26" s="10" t="s">
        <v>68</v>
      </c>
      <c r="B26" s="11">
        <v>1.3368055555555555E-2</v>
      </c>
      <c r="C26" s="11"/>
      <c r="D26" s="11">
        <f>B26*E26</f>
        <v>7.7775347222222213E-3</v>
      </c>
      <c r="E26" s="12">
        <v>0.58179999999999998</v>
      </c>
      <c r="F26" s="11">
        <f>C26/4</f>
        <v>0</v>
      </c>
      <c r="G26" s="11">
        <f>D26/7.5</f>
        <v>1.0370046296296295E-3</v>
      </c>
      <c r="H26" s="11">
        <f>B26/12.5</f>
        <v>1.0694444444444445E-3</v>
      </c>
      <c r="I26" s="11">
        <f>G26/0.93</f>
        <v>1.1150587415372358E-3</v>
      </c>
      <c r="J26" s="11">
        <f>G26/0.92</f>
        <v>1.1271789452495973E-3</v>
      </c>
      <c r="K26" s="11">
        <f>G26/0.88</f>
        <v>1.1784143518518517E-3</v>
      </c>
      <c r="L26" s="11">
        <f>G26/0.84</f>
        <v>1.2345293209876543E-3</v>
      </c>
      <c r="M26" s="25">
        <f>WO2025Jan71081416182224283032343840424446485456586264666870727476681216182022262832[[#This Row],[Thresh]]</f>
        <v>1.1784143518518517E-3</v>
      </c>
      <c r="N26" s="28">
        <f>WO2025Jan71081416182224283032343840424446485456586264666870727476681216182022262832[[#This Row],[Thresh]]*2.5</f>
        <v>2.9460358796296292E-3</v>
      </c>
      <c r="O26" s="25">
        <f>WO2025Jan71081416182224283032343840424446485456586264666870727476681216182022262832[[#This Row],[CV]]</f>
        <v>1.1271789452495973E-3</v>
      </c>
      <c r="P26" s="28">
        <f>WO2025Jan71081416182224283032343840424446485456586264666870727476681216182022262832[[#This Row],[CV]]*2.5</f>
        <v>2.817947363123993E-3</v>
      </c>
      <c r="Q26" s="25">
        <f>WO2025Jan71081416182224283032343840424446485456586264666870727476681216182022262832[[#This Row],[I]]</f>
        <v>1.0694444444444445E-3</v>
      </c>
      <c r="R26" s="25">
        <f>WO2025Jan71081416182224283032343840424446485456586264666870727476681216182022262832[[#This Row],[I]]*2.5</f>
        <v>2.673611111111111E-3</v>
      </c>
      <c r="S26" s="25">
        <f>WO2025Jan71081416182224283032343840424446485456586264666870727476681216182022262832[[#This Row],[VO2]]</f>
        <v>1.0370046296296295E-3</v>
      </c>
      <c r="T26" s="28"/>
      <c r="U26" s="11"/>
      <c r="V26" s="11"/>
      <c r="W26" s="15" t="s">
        <v>35</v>
      </c>
      <c r="X26" s="52"/>
    </row>
    <row r="27" spans="1:24" ht="21" customHeight="1">
      <c r="A27" s="10" t="s">
        <v>71</v>
      </c>
      <c r="B27" s="11">
        <v>1.3541666666666667E-2</v>
      </c>
      <c r="C27" s="11">
        <v>4.0509259259259257E-3</v>
      </c>
      <c r="D27" s="11">
        <f>B27*E27</f>
        <v>7.8785416666666674E-3</v>
      </c>
      <c r="E27" s="12">
        <v>0.58179999999999998</v>
      </c>
      <c r="F27" s="11">
        <f>C27/4</f>
        <v>1.0127314814814814E-3</v>
      </c>
      <c r="G27" s="11">
        <f>D27/7.5</f>
        <v>1.0504722222222224E-3</v>
      </c>
      <c r="H27" s="11">
        <f>B27/12.5</f>
        <v>1.0833333333333333E-3</v>
      </c>
      <c r="I27" s="11">
        <f>G27/0.93</f>
        <v>1.1295400238948627E-3</v>
      </c>
      <c r="J27" s="11">
        <f>G27/0.92</f>
        <v>1.1418176328502417E-3</v>
      </c>
      <c r="K27" s="11">
        <f>G27/0.88</f>
        <v>1.1937184343434346E-3</v>
      </c>
      <c r="L27" s="11">
        <f>G27/0.84</f>
        <v>1.2505621693121695E-3</v>
      </c>
      <c r="M27" s="25">
        <f>WO2025Jan71081416182224283032343840424446485456586264666870727476681216182022262832[[#This Row],[Thresh]]</f>
        <v>1.1937184343434346E-3</v>
      </c>
      <c r="N27" s="28">
        <f>WO2025Jan71081416182224283032343840424446485456586264666870727476681216182022262832[[#This Row],[Thresh]]*2.5</f>
        <v>2.9842960858585863E-3</v>
      </c>
      <c r="O27" s="25">
        <f>WO2025Jan71081416182224283032343840424446485456586264666870727476681216182022262832[[#This Row],[CV]]</f>
        <v>1.1418176328502417E-3</v>
      </c>
      <c r="P27" s="28">
        <f>WO2025Jan71081416182224283032343840424446485456586264666870727476681216182022262832[[#This Row],[CV]]*2.5</f>
        <v>2.8545440821256042E-3</v>
      </c>
      <c r="Q27" s="25">
        <f>WO2025Jan71081416182224283032343840424446485456586264666870727476681216182022262832[[#This Row],[I]]</f>
        <v>1.0833333333333333E-3</v>
      </c>
      <c r="R27" s="25">
        <f>WO2025Jan71081416182224283032343840424446485456586264666870727476681216182022262832[[#This Row],[I]]*2.5</f>
        <v>2.7083333333333334E-3</v>
      </c>
      <c r="S27" s="25">
        <f>WO2025Jan71081416182224283032343840424446485456586264666870727476681216182022262832[[#This Row],[VO2]]</f>
        <v>1.0504722222222224E-3</v>
      </c>
      <c r="T27" s="28"/>
      <c r="U27" s="11"/>
      <c r="V27" s="38"/>
      <c r="W27" s="18" t="s">
        <v>35</v>
      </c>
      <c r="X27" s="52"/>
    </row>
    <row r="28" spans="1:24" ht="21" customHeight="1">
      <c r="A28" s="10" t="s">
        <v>75</v>
      </c>
      <c r="B28" s="11">
        <v>1.3541666666666667E-2</v>
      </c>
      <c r="C28" s="11">
        <v>3.8194444444444443E-3</v>
      </c>
      <c r="D28" s="11">
        <f>B28*E28</f>
        <v>7.8785416666666674E-3</v>
      </c>
      <c r="E28" s="12">
        <v>0.58179999999999998</v>
      </c>
      <c r="F28" s="11">
        <f>C28/4</f>
        <v>9.5486111111111108E-4</v>
      </c>
      <c r="G28" s="11">
        <f>D28/7.5</f>
        <v>1.0504722222222224E-3</v>
      </c>
      <c r="H28" s="11">
        <f>B28/12.5</f>
        <v>1.0833333333333333E-3</v>
      </c>
      <c r="I28" s="11">
        <f>G28/0.93</f>
        <v>1.1295400238948627E-3</v>
      </c>
      <c r="J28" s="11">
        <f>G28/0.92</f>
        <v>1.1418176328502417E-3</v>
      </c>
      <c r="K28" s="11">
        <f>G28/0.88</f>
        <v>1.1937184343434346E-3</v>
      </c>
      <c r="L28" s="11">
        <f>G28/0.84</f>
        <v>1.2505621693121695E-3</v>
      </c>
      <c r="M28" s="25">
        <f>WO2025Jan71081416182224283032343840424446485456586264666870727476681216182022262832[[#This Row],[Thresh]]</f>
        <v>1.1937184343434346E-3</v>
      </c>
      <c r="N28" s="28">
        <f>WO2025Jan71081416182224283032343840424446485456586264666870727476681216182022262832[[#This Row],[Thresh]]*2.5</f>
        <v>2.9842960858585863E-3</v>
      </c>
      <c r="O28" s="25">
        <f>WO2025Jan71081416182224283032343840424446485456586264666870727476681216182022262832[[#This Row],[CV]]</f>
        <v>1.1418176328502417E-3</v>
      </c>
      <c r="P28" s="28">
        <f>WO2025Jan71081416182224283032343840424446485456586264666870727476681216182022262832[[#This Row],[CV]]*2.5</f>
        <v>2.8545440821256042E-3</v>
      </c>
      <c r="Q28" s="25">
        <f>WO2025Jan71081416182224283032343840424446485456586264666870727476681216182022262832[[#This Row],[I]]</f>
        <v>1.0833333333333333E-3</v>
      </c>
      <c r="R28" s="25">
        <f>WO2025Jan71081416182224283032343840424446485456586264666870727476681216182022262832[[#This Row],[I]]*2.5</f>
        <v>2.7083333333333334E-3</v>
      </c>
      <c r="S28" s="25">
        <f>WO2025Jan71081416182224283032343840424446485456586264666870727476681216182022262832[[#This Row],[VO2]]</f>
        <v>1.0504722222222224E-3</v>
      </c>
      <c r="T28" s="28"/>
      <c r="U28" s="25"/>
      <c r="V28" s="25"/>
      <c r="W28" s="15" t="s">
        <v>35</v>
      </c>
      <c r="X28" s="52"/>
    </row>
    <row r="29" spans="1:24" ht="21" customHeight="1" thickBot="1">
      <c r="A29" s="10" t="s">
        <v>72</v>
      </c>
      <c r="B29" s="11">
        <v>1.3541666666666667E-2</v>
      </c>
      <c r="C29" s="11">
        <v>4.0509259259259257E-3</v>
      </c>
      <c r="D29" s="11">
        <f t="shared" si="8"/>
        <v>7.8785416666666674E-3</v>
      </c>
      <c r="E29" s="12">
        <v>0.58179999999999998</v>
      </c>
      <c r="F29" s="11">
        <f t="shared" si="9"/>
        <v>1.0127314814814814E-3</v>
      </c>
      <c r="G29" s="11">
        <f t="shared" si="10"/>
        <v>1.0504722222222224E-3</v>
      </c>
      <c r="H29" s="11">
        <f t="shared" si="11"/>
        <v>1.0833333333333333E-3</v>
      </c>
      <c r="I29" s="11">
        <f t="shared" si="12"/>
        <v>1.1295400238948627E-3</v>
      </c>
      <c r="J29" s="11">
        <f t="shared" si="13"/>
        <v>1.1418176328502417E-3</v>
      </c>
      <c r="K29" s="11">
        <f t="shared" si="14"/>
        <v>1.1937184343434346E-3</v>
      </c>
      <c r="L29" s="11">
        <f t="shared" si="15"/>
        <v>1.2505621693121695E-3</v>
      </c>
      <c r="M29" s="25">
        <f>WO2025Jan71081416182224283032343840424446485456586264666870727476681216182022262832[[#This Row],[Thresh]]</f>
        <v>1.1937184343434346E-3</v>
      </c>
      <c r="N29" s="28">
        <f>WO2025Jan71081416182224283032343840424446485456586264666870727476681216182022262832[[#This Row],[Thresh]]*2.5</f>
        <v>2.9842960858585863E-3</v>
      </c>
      <c r="O29" s="25">
        <f>WO2025Jan71081416182224283032343840424446485456586264666870727476681216182022262832[[#This Row],[CV]]</f>
        <v>1.1418176328502417E-3</v>
      </c>
      <c r="P29" s="28">
        <f>WO2025Jan71081416182224283032343840424446485456586264666870727476681216182022262832[[#This Row],[CV]]*2.5</f>
        <v>2.8545440821256042E-3</v>
      </c>
      <c r="Q29" s="25">
        <f>WO2025Jan71081416182224283032343840424446485456586264666870727476681216182022262832[[#This Row],[I]]</f>
        <v>1.0833333333333333E-3</v>
      </c>
      <c r="R29" s="25">
        <f>WO2025Jan71081416182224283032343840424446485456586264666870727476681216182022262832[[#This Row],[I]]*2.5</f>
        <v>2.7083333333333334E-3</v>
      </c>
      <c r="S29" s="25">
        <f>WO2025Jan71081416182224283032343840424446485456586264666870727476681216182022262832[[#This Row],[VO2]]</f>
        <v>1.0504722222222224E-3</v>
      </c>
      <c r="T29" s="28"/>
      <c r="U29" s="11"/>
      <c r="V29" s="28"/>
      <c r="W29" s="15" t="s">
        <v>26</v>
      </c>
      <c r="X29" s="52"/>
    </row>
    <row r="30" spans="1:24" ht="21" customHeight="1">
      <c r="A30" s="1" t="s">
        <v>228</v>
      </c>
      <c r="B30" s="6"/>
      <c r="C30" s="6"/>
      <c r="D30" s="6"/>
      <c r="E30" s="20"/>
      <c r="F30" s="6"/>
      <c r="G30" s="6"/>
      <c r="H30" s="6"/>
      <c r="I30" s="6"/>
      <c r="J30" s="6"/>
      <c r="K30" s="6"/>
      <c r="L30" s="6"/>
      <c r="M30" s="6" t="s">
        <v>12</v>
      </c>
      <c r="N30" s="6" t="s">
        <v>13</v>
      </c>
      <c r="O30" s="6" t="s">
        <v>14</v>
      </c>
      <c r="P30" s="6" t="s">
        <v>161</v>
      </c>
      <c r="Q30" s="6" t="s">
        <v>17</v>
      </c>
      <c r="R30" s="6" t="s">
        <v>199</v>
      </c>
      <c r="S30" s="6" t="s">
        <v>158</v>
      </c>
      <c r="T30" s="6"/>
      <c r="U30" s="6"/>
      <c r="V30" s="21"/>
      <c r="W30" s="35"/>
      <c r="X30" s="52"/>
    </row>
    <row r="31" spans="1:24" ht="21" customHeight="1">
      <c r="A31" s="10" t="s">
        <v>76</v>
      </c>
      <c r="B31" s="11">
        <v>1.3541666666666667E-2</v>
      </c>
      <c r="C31" s="11"/>
      <c r="D31" s="11">
        <f>B31*E31</f>
        <v>7.8785416666666674E-3</v>
      </c>
      <c r="E31" s="12">
        <v>0.58179999999999998</v>
      </c>
      <c r="F31" s="11">
        <f>C31/4</f>
        <v>0</v>
      </c>
      <c r="G31" s="11">
        <f>D31/7.5</f>
        <v>1.0504722222222224E-3</v>
      </c>
      <c r="H31" s="11">
        <f>B31/12.5</f>
        <v>1.0833333333333333E-3</v>
      </c>
      <c r="I31" s="11">
        <f>G31/0.93</f>
        <v>1.1295400238948627E-3</v>
      </c>
      <c r="J31" s="11">
        <f>G31/0.92</f>
        <v>1.1418176328502417E-3</v>
      </c>
      <c r="K31" s="11">
        <f>G31/0.88</f>
        <v>1.1937184343434346E-3</v>
      </c>
      <c r="L31" s="11">
        <f>G31/0.84</f>
        <v>1.2505621693121695E-3</v>
      </c>
      <c r="M31" s="25">
        <f>WO2025Jan71081416182224283032343840424446485456586264666870727476681216182022262832[[#This Row],[Thresh]]</f>
        <v>1.1937184343434346E-3</v>
      </c>
      <c r="N31" s="28">
        <f>WO2025Jan71081416182224283032343840424446485456586264666870727476681216182022262832[[#This Row],[Thresh]]*2.5</f>
        <v>2.9842960858585863E-3</v>
      </c>
      <c r="O31" s="25">
        <f>WO2025Jan71081416182224283032343840424446485456586264666870727476681216182022262832[[#This Row],[CV]]</f>
        <v>1.1418176328502417E-3</v>
      </c>
      <c r="P31" s="28">
        <f>WO2025Jan71081416182224283032343840424446485456586264666870727476681216182022262832[[#This Row],[CV]]*2.5</f>
        <v>2.8545440821256042E-3</v>
      </c>
      <c r="Q31" s="25">
        <f>WO2025Jan71081416182224283032343840424446485456586264666870727476681216182022262832[[#This Row],[I]]</f>
        <v>1.0833333333333333E-3</v>
      </c>
      <c r="R31" s="25">
        <f>WO2025Jan71081416182224283032343840424446485456586264666870727476681216182022262832[[#This Row],[I]]*2.5</f>
        <v>2.7083333333333334E-3</v>
      </c>
      <c r="S31" s="25">
        <f>WO2025Jan71081416182224283032343840424446485456586264666870727476681216182022262832[[#This Row],[VO2]]</f>
        <v>1.0504722222222224E-3</v>
      </c>
      <c r="T31" s="28"/>
      <c r="U31" s="11"/>
      <c r="V31" s="28"/>
      <c r="W31" s="15" t="s">
        <v>26</v>
      </c>
      <c r="X31" s="52" t="s">
        <v>233</v>
      </c>
    </row>
    <row r="32" spans="1:24" ht="21" customHeight="1">
      <c r="A32" s="10" t="s">
        <v>73</v>
      </c>
      <c r="B32" s="11">
        <v>1.40625E-2</v>
      </c>
      <c r="C32" s="11">
        <v>4.3981481481481484E-3</v>
      </c>
      <c r="D32" s="11">
        <f t="shared" si="8"/>
        <v>8.1815624999999996E-3</v>
      </c>
      <c r="E32" s="12">
        <v>0.58179999999999998</v>
      </c>
      <c r="F32" s="11">
        <f t="shared" si="9"/>
        <v>1.0995370370370371E-3</v>
      </c>
      <c r="G32" s="11">
        <f t="shared" si="10"/>
        <v>1.090875E-3</v>
      </c>
      <c r="H32" s="11">
        <f t="shared" si="11"/>
        <v>1.1250000000000001E-3</v>
      </c>
      <c r="I32" s="11">
        <f t="shared" si="12"/>
        <v>1.172983870967742E-3</v>
      </c>
      <c r="J32" s="11">
        <f t="shared" si="13"/>
        <v>1.1857336956521739E-3</v>
      </c>
      <c r="K32" s="11">
        <f t="shared" si="14"/>
        <v>1.2396306818181818E-3</v>
      </c>
      <c r="L32" s="11">
        <f t="shared" si="15"/>
        <v>1.2986607142857144E-3</v>
      </c>
      <c r="M32" s="25">
        <f>WO2025Jan71081416182224283032343840424446485456586264666870727476681216182022262832[[#This Row],[Thresh]]</f>
        <v>1.2396306818181818E-3</v>
      </c>
      <c r="N32" s="28">
        <f>WO2025Jan71081416182224283032343840424446485456586264666870727476681216182022262832[[#This Row],[Thresh]]*2.5</f>
        <v>3.0990767045454546E-3</v>
      </c>
      <c r="O32" s="25">
        <f>WO2025Jan71081416182224283032343840424446485456586264666870727476681216182022262832[[#This Row],[CV]]</f>
        <v>1.1857336956521739E-3</v>
      </c>
      <c r="P32" s="28">
        <f>WO2025Jan71081416182224283032343840424446485456586264666870727476681216182022262832[[#This Row],[CV]]*2.5</f>
        <v>2.964334239130435E-3</v>
      </c>
      <c r="Q32" s="25">
        <f>WO2025Jan71081416182224283032343840424446485456586264666870727476681216182022262832[[#This Row],[I]]</f>
        <v>1.1250000000000001E-3</v>
      </c>
      <c r="R32" s="25">
        <f>WO2025Jan71081416182224283032343840424446485456586264666870727476681216182022262832[[#This Row],[I]]*2.5</f>
        <v>2.8125000000000003E-3</v>
      </c>
      <c r="S32" s="25">
        <f>WO2025Jan71081416182224283032343840424446485456586264666870727476681216182022262832[[#This Row],[VO2]]</f>
        <v>1.090875E-3</v>
      </c>
      <c r="T32" s="28"/>
      <c r="U32" s="11"/>
      <c r="V32" s="28"/>
      <c r="W32" s="15" t="s">
        <v>35</v>
      </c>
      <c r="X32" s="52"/>
    </row>
    <row r="33" spans="1:24" ht="21" customHeight="1">
      <c r="A33" s="39"/>
      <c r="B33" s="40"/>
      <c r="C33" s="40"/>
      <c r="D33" s="40"/>
      <c r="E33" s="41"/>
      <c r="F33" s="40"/>
      <c r="G33" s="40"/>
      <c r="H33" s="40"/>
      <c r="I33" s="40"/>
      <c r="J33" s="40"/>
      <c r="K33" s="40"/>
      <c r="L33" s="40"/>
      <c r="M33" s="40"/>
      <c r="N33" s="40"/>
      <c r="O33" s="40"/>
      <c r="P33" s="40"/>
      <c r="Q33" s="40"/>
      <c r="R33" s="40"/>
      <c r="S33" s="40"/>
      <c r="T33" s="40"/>
      <c r="U33" s="40"/>
      <c r="V33" s="40"/>
      <c r="W33" s="42"/>
      <c r="X33" s="52"/>
    </row>
    <row r="34" spans="1:24" ht="21" customHeight="1">
      <c r="A34" s="19"/>
      <c r="B34" s="6"/>
      <c r="C34" s="6"/>
      <c r="D34" s="6"/>
      <c r="E34" s="20"/>
      <c r="F34" s="6"/>
      <c r="G34" s="6"/>
      <c r="H34" s="6"/>
      <c r="I34" s="6"/>
      <c r="J34" s="6"/>
      <c r="K34" s="6"/>
      <c r="L34" s="6"/>
      <c r="M34" s="6" t="s">
        <v>12</v>
      </c>
      <c r="N34" s="6" t="s">
        <v>13</v>
      </c>
      <c r="O34" s="6" t="s">
        <v>146</v>
      </c>
      <c r="P34" s="6" t="s">
        <v>32</v>
      </c>
      <c r="Q34" s="6" t="s">
        <v>145</v>
      </c>
      <c r="R34" s="6"/>
      <c r="S34" s="6"/>
      <c r="T34" s="6"/>
      <c r="U34" s="6"/>
      <c r="V34" s="6"/>
      <c r="W34" s="35"/>
      <c r="X34" s="52"/>
    </row>
    <row r="35" spans="1:24" ht="21" customHeight="1">
      <c r="A35" s="10" t="s">
        <v>50</v>
      </c>
      <c r="B35" s="11">
        <v>1.3020833333333334E-2</v>
      </c>
      <c r="C35" s="11">
        <v>3.7037037037037038E-3</v>
      </c>
      <c r="D35" s="11">
        <f t="shared" ref="D35:D37" si="16">B35*E35</f>
        <v>7.5755208333333334E-3</v>
      </c>
      <c r="E35" s="12">
        <v>0.58179999999999998</v>
      </c>
      <c r="F35" s="11">
        <f t="shared" ref="F35:F37" si="17">C35/4</f>
        <v>9.2592592592592596E-4</v>
      </c>
      <c r="G35" s="11">
        <f t="shared" ref="G35:G37" si="18">D35/7.5</f>
        <v>1.0100694444444445E-3</v>
      </c>
      <c r="H35" s="11">
        <f t="shared" ref="H35:H37" si="19">B35/12.5</f>
        <v>1.0416666666666667E-3</v>
      </c>
      <c r="I35" s="11">
        <f t="shared" ref="I35:I37" si="20">G35/0.93</f>
        <v>1.0860961768219832E-3</v>
      </c>
      <c r="J35" s="11">
        <f t="shared" ref="J35:J37" si="21">G35/0.92</f>
        <v>1.0979015700483092E-3</v>
      </c>
      <c r="K35" s="11">
        <f t="shared" ref="K35:K37" si="22">G35/0.88</f>
        <v>1.1478061868686869E-3</v>
      </c>
      <c r="L35" s="11">
        <f t="shared" ref="L35:L37" si="23">G35/0.84</f>
        <v>1.2024636243386244E-3</v>
      </c>
      <c r="M35" s="25">
        <f>WO2025Jan71081416182224283032343840424446485456586264666870727476681216182022262832[[#This Row],[Thresh]]</f>
        <v>1.1478061868686869E-3</v>
      </c>
      <c r="N35" s="28">
        <f>WO2025Jan71081416182224283032343840424446485456586264666870727476681216182022262832[[#This Row],[Thresh]]*2.5</f>
        <v>2.8695154671717171E-3</v>
      </c>
      <c r="O35" s="25">
        <f>WO2025Jan71081416182224283032343840424446485456586264666870727476681216182022262832[[#This Row],[CV]]</f>
        <v>1.0979015700483092E-3</v>
      </c>
      <c r="P35" s="28">
        <f>WO2025Jan71081416182224283032343840424446485456586264666870727476681216182022262832[[#This Row],[R]]</f>
        <v>9.2592592592592596E-4</v>
      </c>
      <c r="Q35" s="25">
        <f>WO2025Jan71081416182224283032343840424446485456586264666870727476681216182022262832[[#This Row],[Thresh]]*1.5</f>
        <v>1.7217092803030304E-3</v>
      </c>
      <c r="R35" s="25"/>
      <c r="S35" s="25"/>
      <c r="T35" s="25"/>
      <c r="U35" s="25"/>
      <c r="V35" s="25"/>
      <c r="W35" s="15" t="s">
        <v>48</v>
      </c>
      <c r="X35" s="52"/>
    </row>
    <row r="36" spans="1:24" ht="21" customHeight="1">
      <c r="A36" s="10" t="s">
        <v>47</v>
      </c>
      <c r="B36" s="11">
        <v>1.3020833333333334E-2</v>
      </c>
      <c r="C36" s="11">
        <v>3.7037037037037038E-3</v>
      </c>
      <c r="D36" s="11">
        <f t="shared" si="16"/>
        <v>7.5755208333333334E-3</v>
      </c>
      <c r="E36" s="12">
        <v>0.58179999999999998</v>
      </c>
      <c r="F36" s="11">
        <f t="shared" si="17"/>
        <v>9.2592592592592596E-4</v>
      </c>
      <c r="G36" s="11">
        <f t="shared" si="18"/>
        <v>1.0100694444444445E-3</v>
      </c>
      <c r="H36" s="11">
        <f t="shared" si="19"/>
        <v>1.0416666666666667E-3</v>
      </c>
      <c r="I36" s="11">
        <f t="shared" si="20"/>
        <v>1.0860961768219832E-3</v>
      </c>
      <c r="J36" s="11">
        <f t="shared" si="21"/>
        <v>1.0979015700483092E-3</v>
      </c>
      <c r="K36" s="11">
        <f t="shared" si="22"/>
        <v>1.1478061868686869E-3</v>
      </c>
      <c r="L36" s="11">
        <f t="shared" si="23"/>
        <v>1.2024636243386244E-3</v>
      </c>
      <c r="M36" s="25">
        <f>WO2025Jan71081416182224283032343840424446485456586264666870727476681216182022262832[[#This Row],[Thresh]]</f>
        <v>1.1478061868686869E-3</v>
      </c>
      <c r="N36" s="28">
        <f>WO2025Jan71081416182224283032343840424446485456586264666870727476681216182022262832[[#This Row],[Thresh]]*2.5</f>
        <v>2.8695154671717171E-3</v>
      </c>
      <c r="O36" s="25">
        <f>WO2025Jan71081416182224283032343840424446485456586264666870727476681216182022262832[[#This Row],[CV]]</f>
        <v>1.0979015700483092E-3</v>
      </c>
      <c r="P36" s="28">
        <f>WO2025Jan71081416182224283032343840424446485456586264666870727476681216182022262832[[#This Row],[R]]</f>
        <v>9.2592592592592596E-4</v>
      </c>
      <c r="Q36" s="25">
        <f>WO2025Jan71081416182224283032343840424446485456586264666870727476681216182022262832[[#This Row],[Thresh]]*1.5</f>
        <v>1.7217092803030304E-3</v>
      </c>
      <c r="R36" s="25"/>
      <c r="S36" s="25"/>
      <c r="T36" s="25"/>
      <c r="U36" s="25"/>
      <c r="V36" s="25"/>
      <c r="W36" s="15" t="s">
        <v>48</v>
      </c>
      <c r="X36" s="52"/>
    </row>
    <row r="37" spans="1:24" ht="21" customHeight="1">
      <c r="A37" s="10" t="s">
        <v>198</v>
      </c>
      <c r="B37" s="11">
        <v>1.4583333333333334E-2</v>
      </c>
      <c r="C37" s="11">
        <v>4.1666666666666666E-3</v>
      </c>
      <c r="D37" s="11">
        <f t="shared" si="16"/>
        <v>8.4845833333333336E-3</v>
      </c>
      <c r="E37" s="12">
        <v>0.58179999999999998</v>
      </c>
      <c r="F37" s="11">
        <f t="shared" si="17"/>
        <v>1.0416666666666667E-3</v>
      </c>
      <c r="G37" s="11">
        <f t="shared" si="18"/>
        <v>1.1312777777777777E-3</v>
      </c>
      <c r="H37" s="11">
        <f t="shared" si="19"/>
        <v>1.1666666666666668E-3</v>
      </c>
      <c r="I37" s="11">
        <f t="shared" si="20"/>
        <v>1.2164277180406211E-3</v>
      </c>
      <c r="J37" s="11">
        <f t="shared" si="21"/>
        <v>1.2296497584541061E-3</v>
      </c>
      <c r="K37" s="11">
        <f t="shared" si="22"/>
        <v>1.2855429292929293E-3</v>
      </c>
      <c r="L37" s="11">
        <f t="shared" si="23"/>
        <v>1.3467592592592591E-3</v>
      </c>
      <c r="M37" s="25">
        <f>WO2025Jan71081416182224283032343840424446485456586264666870727476681216182022262832[[#This Row],[Thresh]]</f>
        <v>1.2855429292929293E-3</v>
      </c>
      <c r="N37" s="28">
        <f>WO2025Jan71081416182224283032343840424446485456586264666870727476681216182022262832[[#This Row],[Thresh]]*2.5</f>
        <v>3.2138573232323234E-3</v>
      </c>
      <c r="O37" s="25">
        <f>WO2025Jan71081416182224283032343840424446485456586264666870727476681216182022262832[[#This Row],[CV]]</f>
        <v>1.2296497584541061E-3</v>
      </c>
      <c r="P37" s="28">
        <f>WO2025Jan71081416182224283032343840424446485456586264666870727476681216182022262832[[#This Row],[R]]</f>
        <v>1.0416666666666667E-3</v>
      </c>
      <c r="Q37" s="25">
        <f>WO2025Jan71081416182224283032343840424446485456586264666870727476681216182022262832[[#This Row],[Thresh]]*1.5</f>
        <v>1.9283143939393939E-3</v>
      </c>
      <c r="R37" s="25"/>
      <c r="S37" s="25"/>
      <c r="T37" s="25"/>
      <c r="U37" s="25"/>
      <c r="V37" s="25"/>
      <c r="W37" s="15" t="s">
        <v>48</v>
      </c>
      <c r="X37" s="52"/>
    </row>
    <row r="38" spans="1:24" ht="21" customHeight="1">
      <c r="A38" s="10"/>
      <c r="B38" s="11"/>
      <c r="C38" s="11"/>
      <c r="D38" s="11"/>
      <c r="E38" s="12"/>
      <c r="F38" s="11"/>
      <c r="G38" s="11"/>
      <c r="H38" s="11"/>
      <c r="I38" s="11"/>
      <c r="J38" s="11"/>
      <c r="K38" s="11"/>
      <c r="L38" s="11"/>
      <c r="M38" s="13"/>
      <c r="N38" s="11"/>
      <c r="O38" s="11"/>
      <c r="P38" s="11"/>
      <c r="Q38" s="14"/>
      <c r="R38" s="11"/>
      <c r="S38" s="14"/>
      <c r="T38" s="14"/>
      <c r="U38" s="14"/>
      <c r="V38" s="17"/>
      <c r="W38" s="18"/>
      <c r="X38" s="52"/>
    </row>
    <row r="39" spans="1:24" ht="21" customHeight="1">
      <c r="A39" s="19"/>
      <c r="B39" s="6"/>
      <c r="C39" s="6"/>
      <c r="D39" s="6"/>
      <c r="E39" s="20"/>
      <c r="F39" s="6"/>
      <c r="G39" s="6"/>
      <c r="H39" s="6"/>
      <c r="I39" s="6"/>
      <c r="J39" s="6"/>
      <c r="K39" s="6"/>
      <c r="L39" s="6"/>
      <c r="M39" s="6"/>
      <c r="N39" s="6"/>
      <c r="O39" s="6"/>
      <c r="P39" s="6"/>
      <c r="Q39" s="6"/>
      <c r="R39" s="6"/>
      <c r="S39" s="6"/>
      <c r="T39" s="6"/>
      <c r="U39" s="6"/>
      <c r="V39" s="6"/>
      <c r="W39" s="35"/>
      <c r="X39" s="52"/>
    </row>
    <row r="40" spans="1:24" ht="21" customHeight="1">
      <c r="A40" s="10" t="s">
        <v>57</v>
      </c>
      <c r="B40" s="11"/>
      <c r="C40" s="11"/>
      <c r="D40" s="11"/>
      <c r="E40" s="12"/>
      <c r="F40" s="11"/>
      <c r="G40" s="11"/>
      <c r="H40" s="11"/>
      <c r="I40" s="11"/>
      <c r="J40" s="11"/>
      <c r="K40" s="11"/>
      <c r="L40" s="11"/>
      <c r="M40" s="25"/>
      <c r="N40" s="28"/>
      <c r="O40" s="25"/>
      <c r="P40" s="28"/>
      <c r="Q40" s="25"/>
      <c r="R40" s="28"/>
      <c r="S40" s="28"/>
      <c r="T40" s="11"/>
      <c r="U40" s="11"/>
      <c r="V40" s="11"/>
      <c r="W40" s="15" t="s">
        <v>52</v>
      </c>
      <c r="X40" s="52"/>
    </row>
    <row r="41" spans="1:24" ht="21" customHeight="1">
      <c r="A41" s="10" t="s">
        <v>61</v>
      </c>
      <c r="B41" s="11">
        <v>1.4583333333333334E-2</v>
      </c>
      <c r="C41" s="11">
        <v>4.3981481481481484E-3</v>
      </c>
      <c r="D41" s="11">
        <f>B41*E41</f>
        <v>8.4845833333333336E-3</v>
      </c>
      <c r="E41" s="12">
        <v>0.58179999999999998</v>
      </c>
      <c r="F41" s="11">
        <f>C41/4</f>
        <v>1.0995370370370371E-3</v>
      </c>
      <c r="G41" s="11">
        <f>D41/7.5</f>
        <v>1.1312777777777777E-3</v>
      </c>
      <c r="H41" s="11">
        <f>B41/12.5</f>
        <v>1.1666666666666668E-3</v>
      </c>
      <c r="I41" s="11">
        <f>G41/0.93</f>
        <v>1.2164277180406211E-3</v>
      </c>
      <c r="J41" s="11">
        <f>G41/0.92</f>
        <v>1.2296497584541061E-3</v>
      </c>
      <c r="K41" s="11">
        <f>G41/0.88</f>
        <v>1.2855429292929293E-3</v>
      </c>
      <c r="L41" s="11">
        <f>G41/0.84</f>
        <v>1.3467592592592591E-3</v>
      </c>
      <c r="M41" s="25"/>
      <c r="N41" s="28"/>
      <c r="O41" s="25"/>
      <c r="P41" s="25"/>
      <c r="Q41" s="25"/>
      <c r="R41" s="25"/>
      <c r="S41" s="28"/>
      <c r="T41" s="28"/>
      <c r="U41" s="28"/>
      <c r="V41" s="28"/>
      <c r="W41" s="15" t="s">
        <v>52</v>
      </c>
      <c r="X41" s="52"/>
    </row>
    <row r="42" spans="1:24" ht="21" customHeight="1">
      <c r="A42" s="10" t="s">
        <v>53</v>
      </c>
      <c r="B42" s="11">
        <v>1.2731481481481481E-2</v>
      </c>
      <c r="C42" s="11">
        <v>3.7615740740740739E-3</v>
      </c>
      <c r="D42" s="11">
        <f>B42*E42</f>
        <v>7.4071759259259256E-3</v>
      </c>
      <c r="E42" s="12">
        <v>0.58179999999999998</v>
      </c>
      <c r="F42" s="11">
        <f>C42/4</f>
        <v>9.4039351851851847E-4</v>
      </c>
      <c r="G42" s="11">
        <f>D42/7.5</f>
        <v>9.8762345679012349E-4</v>
      </c>
      <c r="H42" s="11">
        <f>B42/12.5</f>
        <v>1.0185185185185184E-3</v>
      </c>
      <c r="I42" s="11">
        <f>G42/0.93</f>
        <v>1.0619607062259391E-3</v>
      </c>
      <c r="J42" s="11">
        <f>G42/0.92</f>
        <v>1.073503757380569E-3</v>
      </c>
      <c r="K42" s="11">
        <f>G42/0.88</f>
        <v>1.1222993827160494E-3</v>
      </c>
      <c r="L42" s="11">
        <f>G42/0.84</f>
        <v>1.1757422104644328E-3</v>
      </c>
      <c r="M42" s="25"/>
      <c r="N42" s="28"/>
      <c r="O42" s="25"/>
      <c r="P42" s="28"/>
      <c r="Q42" s="25"/>
      <c r="R42" s="25"/>
      <c r="S42" s="25"/>
      <c r="T42" s="28"/>
      <c r="U42" s="25"/>
      <c r="V42" s="25"/>
      <c r="W42" s="18" t="s">
        <v>52</v>
      </c>
      <c r="X42" s="52"/>
    </row>
    <row r="43" spans="1:24" ht="21" customHeight="1">
      <c r="A43" s="39"/>
      <c r="B43" s="40"/>
      <c r="C43" s="40"/>
      <c r="D43" s="40"/>
      <c r="E43" s="41"/>
      <c r="F43" s="40"/>
      <c r="G43" s="40"/>
      <c r="H43" s="40"/>
      <c r="I43" s="40"/>
      <c r="J43" s="40"/>
      <c r="K43" s="40"/>
      <c r="L43" s="40"/>
      <c r="M43" s="40" t="s">
        <v>39</v>
      </c>
      <c r="N43" s="40"/>
      <c r="O43" s="40"/>
      <c r="P43" s="40"/>
      <c r="Q43" s="40"/>
      <c r="R43" s="40"/>
      <c r="S43" s="40"/>
      <c r="T43" s="40"/>
      <c r="U43" s="40"/>
      <c r="V43" s="40"/>
      <c r="W43" s="42"/>
      <c r="X43" s="52"/>
    </row>
    <row r="44" spans="1:24" ht="21" customHeight="1">
      <c r="A44" s="10"/>
      <c r="B44" s="11"/>
      <c r="C44" s="11"/>
      <c r="D44" s="11"/>
      <c r="E44" s="12"/>
      <c r="F44" s="11"/>
      <c r="G44" s="11"/>
      <c r="H44" s="11"/>
      <c r="I44" s="11"/>
      <c r="J44" s="11"/>
      <c r="K44" s="11"/>
      <c r="L44" s="11"/>
      <c r="M44" s="25"/>
      <c r="N44" s="28"/>
      <c r="O44" s="25"/>
      <c r="P44" s="28"/>
      <c r="Q44" s="25"/>
      <c r="R44" s="11"/>
      <c r="S44" s="14"/>
      <c r="T44" s="11"/>
      <c r="U44" s="11"/>
      <c r="V44" s="17"/>
      <c r="W44" s="18"/>
      <c r="X44" s="52"/>
    </row>
    <row r="45" spans="1:24" ht="21" customHeight="1">
      <c r="A45" s="10"/>
      <c r="B45" s="11"/>
      <c r="C45" s="11"/>
      <c r="D45" s="11"/>
      <c r="E45" s="12"/>
      <c r="F45" s="11"/>
      <c r="G45" s="11"/>
      <c r="H45" s="11"/>
      <c r="I45" s="11"/>
      <c r="J45" s="11"/>
      <c r="K45" s="11"/>
      <c r="L45" s="11"/>
      <c r="M45" s="25"/>
      <c r="N45" s="28"/>
      <c r="O45" s="25"/>
      <c r="P45" s="11"/>
      <c r="Q45" s="14"/>
      <c r="R45" s="11"/>
      <c r="S45" s="14"/>
      <c r="T45" s="14"/>
      <c r="U45" s="14"/>
      <c r="V45" s="17"/>
      <c r="W45" s="18"/>
      <c r="X45" s="52"/>
    </row>
    <row r="46" spans="1:24" ht="21" customHeight="1">
      <c r="A46" s="10"/>
      <c r="B46" s="11"/>
      <c r="C46" s="11"/>
      <c r="D46" s="11"/>
      <c r="E46" s="12"/>
      <c r="F46" s="11"/>
      <c r="G46" s="11"/>
      <c r="H46" s="11"/>
      <c r="I46" s="11"/>
      <c r="J46" s="11"/>
      <c r="K46" s="11"/>
      <c r="L46" s="11"/>
      <c r="M46" s="45"/>
      <c r="N46" s="11"/>
      <c r="O46" s="11"/>
      <c r="P46" s="11"/>
      <c r="Q46" s="14"/>
      <c r="R46" s="11"/>
      <c r="S46" s="14"/>
      <c r="T46" s="11"/>
      <c r="U46" s="14"/>
      <c r="V46" s="17"/>
      <c r="W46" s="18"/>
      <c r="X46" s="52"/>
    </row>
    <row r="47" spans="1:24" ht="21" customHeight="1">
      <c r="A47" s="10"/>
      <c r="B47" s="11"/>
      <c r="C47" s="11"/>
      <c r="D47" s="11"/>
      <c r="E47" s="12"/>
      <c r="F47" s="11"/>
      <c r="G47" s="11"/>
      <c r="H47" s="11"/>
      <c r="I47" s="11"/>
      <c r="J47" s="11"/>
      <c r="K47" s="11"/>
      <c r="L47" s="11"/>
      <c r="M47" s="45"/>
      <c r="N47" s="11"/>
      <c r="O47" s="11"/>
      <c r="P47" s="11"/>
      <c r="Q47" s="14"/>
      <c r="R47" s="11"/>
      <c r="S47" s="14"/>
      <c r="T47" s="11"/>
      <c r="U47" s="14"/>
      <c r="V47" s="17"/>
      <c r="W47" s="18"/>
      <c r="X47" s="52"/>
    </row>
    <row r="48" spans="1:24" ht="21" customHeight="1">
      <c r="A48" s="10"/>
      <c r="B48" s="11"/>
      <c r="C48" s="11"/>
      <c r="D48" s="11"/>
      <c r="E48" s="12"/>
      <c r="F48" s="11"/>
      <c r="G48" s="11"/>
      <c r="H48" s="11"/>
      <c r="I48" s="11"/>
      <c r="J48" s="11"/>
      <c r="K48" s="11"/>
      <c r="L48" s="11"/>
      <c r="M48" s="14"/>
      <c r="N48" s="11"/>
      <c r="O48" s="14"/>
      <c r="P48" s="11"/>
      <c r="Q48" s="14"/>
      <c r="R48" s="11"/>
      <c r="S48" s="14"/>
      <c r="T48" s="14"/>
      <c r="U48" s="14"/>
      <c r="V48" s="11"/>
      <c r="W48" s="15"/>
      <c r="X48" s="52"/>
    </row>
    <row r="49" spans="1:24" ht="21" customHeight="1">
      <c r="A49" s="10"/>
      <c r="B49" s="11"/>
      <c r="C49" s="11"/>
      <c r="D49" s="11"/>
      <c r="E49" s="12"/>
      <c r="F49" s="11"/>
      <c r="G49" s="11"/>
      <c r="H49" s="11"/>
      <c r="I49" s="11"/>
      <c r="J49" s="11"/>
      <c r="K49" s="11"/>
      <c r="L49" s="11"/>
      <c r="M49" s="14"/>
      <c r="O49" s="14"/>
      <c r="P49" s="11"/>
      <c r="Q49" s="14"/>
      <c r="R49" s="11"/>
      <c r="S49" s="14"/>
      <c r="T49" s="14"/>
      <c r="U49" s="14"/>
      <c r="V49" s="11"/>
      <c r="W49" s="15"/>
      <c r="X49" s="52"/>
    </row>
    <row r="50" spans="1:24" ht="21" customHeight="1">
      <c r="A50" s="10"/>
      <c r="B50" s="11"/>
      <c r="C50" s="11"/>
      <c r="D50" s="11"/>
      <c r="E50" s="12"/>
      <c r="F50" s="11"/>
      <c r="G50" s="11"/>
      <c r="H50" s="11"/>
      <c r="I50" s="11"/>
      <c r="J50" s="11"/>
      <c r="K50" s="11"/>
      <c r="L50" s="11"/>
      <c r="M50" s="13"/>
      <c r="N50" s="11"/>
      <c r="O50" s="11"/>
      <c r="P50" s="11"/>
      <c r="Q50" s="14"/>
      <c r="R50" s="11"/>
      <c r="S50" s="14"/>
      <c r="T50" s="14"/>
      <c r="U50" s="14"/>
      <c r="V50" s="17"/>
      <c r="W50" s="18"/>
      <c r="X50" s="52"/>
    </row>
    <row r="51" spans="1:24" ht="21" customHeight="1">
      <c r="A51" s="10"/>
      <c r="B51" s="11"/>
      <c r="C51" s="11"/>
      <c r="D51" s="11"/>
      <c r="E51" s="12"/>
      <c r="F51" s="11"/>
      <c r="G51" s="11"/>
      <c r="H51" s="11"/>
      <c r="I51" s="11"/>
      <c r="J51" s="11"/>
      <c r="K51" s="11"/>
      <c r="L51" s="11"/>
      <c r="M51" s="13"/>
      <c r="N51" s="11"/>
      <c r="O51" s="11"/>
      <c r="P51" s="11"/>
      <c r="Q51" s="14"/>
      <c r="R51" s="11"/>
      <c r="S51" s="14"/>
      <c r="T51" s="14"/>
      <c r="U51" s="14"/>
      <c r="V51" s="17"/>
      <c r="W51" s="18"/>
      <c r="X51" s="52"/>
    </row>
    <row r="52" spans="1:24" ht="21" customHeight="1">
      <c r="A52" s="10"/>
      <c r="B52" s="11"/>
      <c r="C52" s="11"/>
      <c r="D52" s="11"/>
      <c r="E52" s="12"/>
      <c r="F52" s="11"/>
      <c r="G52" s="11"/>
      <c r="H52" s="11"/>
      <c r="I52" s="11"/>
      <c r="J52" s="11"/>
      <c r="K52" s="11"/>
      <c r="L52" s="11"/>
      <c r="M52" s="14"/>
      <c r="N52" s="11"/>
      <c r="O52" s="14"/>
      <c r="P52" s="11"/>
      <c r="Q52" s="14"/>
      <c r="R52" s="11"/>
      <c r="S52" s="14"/>
      <c r="T52" s="14"/>
      <c r="U52" s="14"/>
      <c r="V52" s="11"/>
      <c r="W52" s="15"/>
      <c r="X52" s="52"/>
    </row>
    <row r="53" spans="1:24" ht="21" customHeight="1">
      <c r="A53" s="10"/>
      <c r="B53" s="11"/>
      <c r="C53" s="11"/>
      <c r="D53" s="11"/>
      <c r="E53" s="12"/>
      <c r="F53" s="11"/>
      <c r="G53" s="11"/>
      <c r="H53" s="11"/>
      <c r="I53" s="11"/>
      <c r="J53" s="11"/>
      <c r="K53" s="11"/>
      <c r="L53" s="17"/>
      <c r="M53" s="14"/>
      <c r="N53" s="11"/>
      <c r="O53" s="11"/>
      <c r="P53" s="11"/>
      <c r="Q53" s="14"/>
      <c r="R53" s="11"/>
      <c r="S53" s="14"/>
      <c r="T53" s="11"/>
      <c r="U53" s="11"/>
      <c r="V53" s="11"/>
      <c r="W53" s="15"/>
      <c r="X53" s="52"/>
    </row>
    <row r="54" spans="1:24" ht="21" customHeight="1">
      <c r="A54" s="10"/>
      <c r="B54" s="11"/>
      <c r="C54" s="11"/>
      <c r="D54" s="11"/>
      <c r="E54" s="12"/>
      <c r="F54" s="11"/>
      <c r="G54" s="11"/>
      <c r="H54" s="11"/>
      <c r="I54" s="11"/>
      <c r="J54" s="11"/>
      <c r="K54" s="11"/>
      <c r="L54" s="11"/>
      <c r="M54" s="13"/>
      <c r="N54" s="11"/>
      <c r="O54" s="11"/>
      <c r="P54" s="11"/>
      <c r="Q54" s="14"/>
      <c r="R54" s="11"/>
      <c r="S54" s="14"/>
      <c r="T54" s="14"/>
      <c r="U54" s="14"/>
      <c r="V54" s="17"/>
      <c r="W54" s="18"/>
      <c r="X54" s="52"/>
    </row>
    <row r="55" spans="1:24" ht="21" customHeight="1">
      <c r="A55" s="10"/>
      <c r="B55" s="11"/>
      <c r="C55" s="11"/>
      <c r="D55" s="11"/>
      <c r="E55" s="12"/>
      <c r="F55" s="11"/>
      <c r="G55" s="11"/>
      <c r="H55" s="11"/>
      <c r="I55" s="11"/>
      <c r="J55" s="11"/>
      <c r="K55" s="11"/>
      <c r="L55" s="11"/>
      <c r="M55" s="13"/>
      <c r="N55" s="11"/>
      <c r="O55" s="14"/>
      <c r="P55" s="11"/>
      <c r="Q55" s="14"/>
      <c r="R55" s="11"/>
      <c r="S55" s="14"/>
      <c r="T55" s="14"/>
      <c r="U55" s="14"/>
      <c r="V55" s="11"/>
      <c r="W55" s="18"/>
      <c r="X55" s="52"/>
    </row>
    <row r="56" spans="1:24" ht="21" customHeight="1">
      <c r="A56" s="10"/>
      <c r="B56" s="11"/>
      <c r="C56" s="11"/>
      <c r="D56" s="11"/>
      <c r="E56" s="12"/>
      <c r="F56" s="11"/>
      <c r="G56" s="11"/>
      <c r="H56" s="11"/>
      <c r="I56" s="11"/>
      <c r="J56" s="11"/>
      <c r="K56" s="11"/>
      <c r="L56" s="11"/>
      <c r="M56" s="13"/>
      <c r="N56" s="11"/>
      <c r="O56" s="11"/>
      <c r="P56" s="11"/>
      <c r="Q56" s="14"/>
      <c r="R56" s="11"/>
      <c r="S56" s="14"/>
      <c r="T56" s="14"/>
      <c r="U56" s="14"/>
      <c r="V56" s="17"/>
      <c r="W56" s="18"/>
      <c r="X56" s="52"/>
    </row>
    <row r="57" spans="1:24" ht="21" customHeight="1" thickBot="1">
      <c r="A57" s="10"/>
      <c r="B57" s="11"/>
      <c r="C57" s="11"/>
      <c r="D57" s="11"/>
      <c r="E57" s="12"/>
      <c r="F57" s="11"/>
      <c r="G57" s="11"/>
      <c r="H57" s="11"/>
      <c r="I57" s="11"/>
      <c r="J57" s="11"/>
      <c r="K57" s="11"/>
      <c r="L57" s="11"/>
      <c r="M57" s="13"/>
      <c r="N57" s="11"/>
      <c r="O57" s="11"/>
      <c r="P57" s="11"/>
      <c r="Q57" s="14"/>
      <c r="R57" s="11"/>
      <c r="S57" s="14"/>
      <c r="T57" s="14"/>
      <c r="U57" s="14"/>
      <c r="V57" s="17"/>
      <c r="W57" s="18"/>
      <c r="X57" s="52"/>
    </row>
    <row r="58" spans="1:24" ht="20.45" customHeight="1">
      <c r="A58" s="1" t="s">
        <v>228</v>
      </c>
      <c r="B58" s="2" t="s">
        <v>1</v>
      </c>
      <c r="C58" s="2" t="s">
        <v>2</v>
      </c>
      <c r="D58" s="2" t="s">
        <v>3</v>
      </c>
      <c r="E58" s="3" t="s">
        <v>4</v>
      </c>
      <c r="F58" s="2" t="s">
        <v>5</v>
      </c>
      <c r="G58" s="2" t="s">
        <v>6</v>
      </c>
      <c r="H58" s="2" t="s">
        <v>7</v>
      </c>
      <c r="I58" s="4" t="s">
        <v>8</v>
      </c>
      <c r="J58" s="2" t="s">
        <v>9</v>
      </c>
      <c r="K58" s="2" t="s">
        <v>10</v>
      </c>
      <c r="L58" s="2" t="s">
        <v>11</v>
      </c>
      <c r="M58" s="6" t="s">
        <v>12</v>
      </c>
      <c r="N58" s="6" t="s">
        <v>13</v>
      </c>
      <c r="O58" s="7" t="s">
        <v>14</v>
      </c>
      <c r="P58" s="8" t="s">
        <v>161</v>
      </c>
      <c r="Q58" s="8" t="s">
        <v>17</v>
      </c>
      <c r="R58" s="7" t="s">
        <v>199</v>
      </c>
      <c r="S58" s="7" t="s">
        <v>158</v>
      </c>
      <c r="T58" s="7" t="s">
        <v>77</v>
      </c>
      <c r="U58" s="7" t="s">
        <v>20</v>
      </c>
      <c r="V58" s="8" t="s">
        <v>21</v>
      </c>
      <c r="W58" s="24" t="s">
        <v>22</v>
      </c>
      <c r="X58" s="52" t="s">
        <v>234</v>
      </c>
    </row>
    <row r="59" spans="1:24" ht="20.45" customHeight="1">
      <c r="A59" s="10" t="s">
        <v>79</v>
      </c>
      <c r="B59" s="11">
        <v>9.8379629629629633E-3</v>
      </c>
      <c r="C59" s="11">
        <v>2.9745370370370373E-3</v>
      </c>
      <c r="D59" s="11">
        <f>B59*E59</f>
        <v>5.7237268518518522E-3</v>
      </c>
      <c r="E59" s="12">
        <v>0.58179999999999998</v>
      </c>
      <c r="F59" s="11">
        <f>C59/4</f>
        <v>7.4363425925925931E-4</v>
      </c>
      <c r="G59" s="11">
        <f>D59/7.5</f>
        <v>7.6316358024691364E-4</v>
      </c>
      <c r="H59" s="11">
        <f>B59/12.5</f>
        <v>7.8703703703703705E-4</v>
      </c>
      <c r="I59" s="11">
        <f>G59/0.93</f>
        <v>8.2060600026549854E-4</v>
      </c>
      <c r="J59" s="11">
        <f>G59/0.92</f>
        <v>8.29525630703167E-4</v>
      </c>
      <c r="K59" s="11">
        <f>G59/0.88</f>
        <v>8.6723134118967459E-4</v>
      </c>
      <c r="L59" s="11">
        <f>G59/0.84</f>
        <v>9.085280717225163E-4</v>
      </c>
      <c r="M59" s="25">
        <f>WO2025Jan7men1191517192325293133353941434547495557596365676971737577791317192123272933[[#This Row],[Thresh]]</f>
        <v>8.6723134118967459E-4</v>
      </c>
      <c r="N59" s="28">
        <f>WO2025Jan7men1191517192325293133353941434547495557596365676971737577791317192123272933[[#This Row],[Thresh]]*2.5</f>
        <v>2.1680783529741867E-3</v>
      </c>
      <c r="O59" s="25">
        <f>WO2025Jan7men1191517192325293133353941434547495557596365676971737577791317192123272933[[#This Row],[CV]]</f>
        <v>8.29525630703167E-4</v>
      </c>
      <c r="P59" s="28">
        <f>WO2025Jan7men1191517192325293133353941434547495557596365676971737577791317192123272933[[#This Row],[CV]]*2.5</f>
        <v>2.0738140767579175E-3</v>
      </c>
      <c r="Q59" s="25">
        <f>WO2025Jan7men1191517192325293133353941434547495557596365676971737577791317192123272933[[#This Row],[I]]</f>
        <v>7.8703703703703705E-4</v>
      </c>
      <c r="R59" s="28">
        <f>WO2025Jan7men1191517192325293133353941434547495557596365676971737577791317192123272933[[#This Row],[I]]*2.5</f>
        <v>1.9675925925925928E-3</v>
      </c>
      <c r="S59" s="25">
        <f>WO2025Jan7men1191517192325293133353941434547495557596365676971737577791317192123272933[[#This Row],[VO2]]</f>
        <v>7.6316358024691364E-4</v>
      </c>
      <c r="T59" s="25"/>
      <c r="U59" s="28"/>
      <c r="V59" s="25" t="s">
        <v>231</v>
      </c>
      <c r="W59" s="15" t="s">
        <v>26</v>
      </c>
      <c r="X59" s="52"/>
    </row>
    <row r="60" spans="1:24" ht="20.45" customHeight="1">
      <c r="A60" s="10" t="s">
        <v>109</v>
      </c>
      <c r="B60" s="11">
        <v>9.8379629629629633E-3</v>
      </c>
      <c r="C60" s="11">
        <v>2.9745370370370373E-3</v>
      </c>
      <c r="D60" s="11">
        <f>B60*E60</f>
        <v>5.7237268518518522E-3</v>
      </c>
      <c r="E60" s="12">
        <v>0.58179999999999998</v>
      </c>
      <c r="F60" s="11">
        <f>C60/4</f>
        <v>7.4363425925925931E-4</v>
      </c>
      <c r="G60" s="11">
        <f>D60/7.5</f>
        <v>7.6316358024691364E-4</v>
      </c>
      <c r="H60" s="11">
        <f>B60/12.5</f>
        <v>7.8703703703703705E-4</v>
      </c>
      <c r="I60" s="11">
        <f>G60/0.93</f>
        <v>8.2060600026549854E-4</v>
      </c>
      <c r="J60" s="11">
        <f>G60/0.92</f>
        <v>8.29525630703167E-4</v>
      </c>
      <c r="K60" s="11">
        <f>G60/0.88</f>
        <v>8.6723134118967459E-4</v>
      </c>
      <c r="L60" s="11">
        <f>G60/0.84</f>
        <v>9.085280717225163E-4</v>
      </c>
      <c r="M60" s="25">
        <f>WO2025Jan7men1191517192325293133353941434547495557596365676971737577791317192123272933[[#This Row],[Thresh]]</f>
        <v>8.6723134118967459E-4</v>
      </c>
      <c r="N60" s="28">
        <f>WO2025Jan7men1191517192325293133353941434547495557596365676971737577791317192123272933[[#This Row],[Thresh]]*2.5</f>
        <v>2.1680783529741867E-3</v>
      </c>
      <c r="O60" s="25">
        <f>WO2025Jan7men1191517192325293133353941434547495557596365676971737577791317192123272933[[#This Row],[CV]]</f>
        <v>8.29525630703167E-4</v>
      </c>
      <c r="P60" s="28">
        <f>WO2025Jan7men1191517192325293133353941434547495557596365676971737577791317192123272933[[#This Row],[CV]]*2.5</f>
        <v>2.0738140767579175E-3</v>
      </c>
      <c r="Q60" s="25">
        <f>WO2025Jan7men1191517192325293133353941434547495557596365676971737577791317192123272933[[#This Row],[I]]</f>
        <v>7.8703703703703705E-4</v>
      </c>
      <c r="R60" s="28">
        <f>WO2025Jan7men1191517192325293133353941434547495557596365676971737577791317192123272933[[#This Row],[I]]*2.5</f>
        <v>1.9675925925925928E-3</v>
      </c>
      <c r="S60" s="25">
        <f>WO2025Jan7men1191517192325293133353941434547495557596365676971737577791317192123272933[[#This Row],[VO2]]</f>
        <v>7.6316358024691364E-4</v>
      </c>
      <c r="T60" s="25"/>
      <c r="U60" s="28"/>
      <c r="V60" s="25" t="s">
        <v>231</v>
      </c>
      <c r="W60" s="15" t="s">
        <v>26</v>
      </c>
      <c r="X60" s="52"/>
    </row>
    <row r="61" spans="1:24" ht="20.45" customHeight="1">
      <c r="A61" s="10" t="s">
        <v>80</v>
      </c>
      <c r="B61" s="11">
        <v>9.8379629629629633E-3</v>
      </c>
      <c r="C61" s="11">
        <v>2.8587962962962963E-3</v>
      </c>
      <c r="D61" s="11">
        <f>B61*E61</f>
        <v>5.7237268518518522E-3</v>
      </c>
      <c r="E61" s="12">
        <v>0.58179999999999998</v>
      </c>
      <c r="F61" s="11">
        <f>C61/4</f>
        <v>7.1469907407407409E-4</v>
      </c>
      <c r="G61" s="11">
        <f>D61/7.5</f>
        <v>7.6316358024691364E-4</v>
      </c>
      <c r="H61" s="11">
        <f>B61/12.5</f>
        <v>7.8703703703703705E-4</v>
      </c>
      <c r="I61" s="11">
        <f>G61/0.93</f>
        <v>8.2060600026549854E-4</v>
      </c>
      <c r="J61" s="11">
        <f>G61/0.92</f>
        <v>8.29525630703167E-4</v>
      </c>
      <c r="K61" s="11">
        <f>G61/0.88</f>
        <v>8.6723134118967459E-4</v>
      </c>
      <c r="L61" s="11">
        <f>G61/0.84</f>
        <v>9.085280717225163E-4</v>
      </c>
      <c r="M61" s="25">
        <f>WO2025Jan7men1191517192325293133353941434547495557596365676971737577791317192123272933[[#This Row],[Thresh]]</f>
        <v>8.6723134118967459E-4</v>
      </c>
      <c r="N61" s="28">
        <f>WO2025Jan7men1191517192325293133353941434547495557596365676971737577791317192123272933[[#This Row],[Thresh]]*2.5</f>
        <v>2.1680783529741867E-3</v>
      </c>
      <c r="O61" s="25">
        <f>WO2025Jan7men1191517192325293133353941434547495557596365676971737577791317192123272933[[#This Row],[CV]]</f>
        <v>8.29525630703167E-4</v>
      </c>
      <c r="P61" s="28">
        <f>WO2025Jan7men1191517192325293133353941434547495557596365676971737577791317192123272933[[#This Row],[CV]]*2.5</f>
        <v>2.0738140767579175E-3</v>
      </c>
      <c r="Q61" s="25">
        <f>WO2025Jan7men1191517192325293133353941434547495557596365676971737577791317192123272933[[#This Row],[I]]</f>
        <v>7.8703703703703705E-4</v>
      </c>
      <c r="R61" s="28">
        <f>WO2025Jan7men1191517192325293133353941434547495557596365676971737577791317192123272933[[#This Row],[I]]*2.5</f>
        <v>1.9675925925925928E-3</v>
      </c>
      <c r="S61" s="25">
        <f>WO2025Jan7men1191517192325293133353941434547495557596365676971737577791317192123272933[[#This Row],[VO2]]</f>
        <v>7.6316358024691364E-4</v>
      </c>
      <c r="T61" s="25"/>
      <c r="U61" s="28"/>
      <c r="V61" s="25" t="s">
        <v>231</v>
      </c>
      <c r="W61" s="15" t="s">
        <v>52</v>
      </c>
      <c r="X61" s="52"/>
    </row>
    <row r="62" spans="1:24" ht="20.45" customHeight="1">
      <c r="A62" s="10" t="s">
        <v>81</v>
      </c>
      <c r="B62" s="11">
        <v>9.9537037037037042E-3</v>
      </c>
      <c r="C62" s="11">
        <v>2.9745370370370373E-3</v>
      </c>
      <c r="D62" s="11">
        <f>B62*E62</f>
        <v>5.7910648148148149E-3</v>
      </c>
      <c r="E62" s="12">
        <v>0.58179999999999998</v>
      </c>
      <c r="F62" s="11">
        <f>C62/4</f>
        <v>7.4363425925925931E-4</v>
      </c>
      <c r="G62" s="11">
        <f>D62/7.5</f>
        <v>7.7214197530864196E-4</v>
      </c>
      <c r="H62" s="11">
        <f>B62/12.5</f>
        <v>7.9629629629629636E-4</v>
      </c>
      <c r="I62" s="11">
        <f>G62/0.93</f>
        <v>8.3026018850391602E-4</v>
      </c>
      <c r="J62" s="11">
        <f>G62/0.92</f>
        <v>8.3928475577026292E-4</v>
      </c>
      <c r="K62" s="11">
        <f>G62/0.88</f>
        <v>8.7743406285072947E-4</v>
      </c>
      <c r="L62" s="11">
        <f>G62/0.84</f>
        <v>9.1921663727219285E-4</v>
      </c>
      <c r="M62" s="25">
        <f>WO2025Jan7men1191517192325293133353941434547495557596365676971737577791317192123272933[[#This Row],[Thresh]]</f>
        <v>8.7743406285072947E-4</v>
      </c>
      <c r="N62" s="28">
        <f>WO2025Jan7men1191517192325293133353941434547495557596365676971737577791317192123272933[[#This Row],[Thresh]]*2.5</f>
        <v>2.1935851571268238E-3</v>
      </c>
      <c r="O62" s="25">
        <f>WO2025Jan7men1191517192325293133353941434547495557596365676971737577791317192123272933[[#This Row],[CV]]</f>
        <v>8.3928475577026292E-4</v>
      </c>
      <c r="P62" s="28">
        <f>WO2025Jan7men1191517192325293133353941434547495557596365676971737577791317192123272933[[#This Row],[CV]]*2.5</f>
        <v>2.0982118894256573E-3</v>
      </c>
      <c r="Q62" s="25">
        <f>WO2025Jan7men1191517192325293133353941434547495557596365676971737577791317192123272933[[#This Row],[I]]</f>
        <v>7.9629629629629636E-4</v>
      </c>
      <c r="R62" s="28">
        <f>WO2025Jan7men1191517192325293133353941434547495557596365676971737577791317192123272933[[#This Row],[I]]*2.5</f>
        <v>1.9907407407407408E-3</v>
      </c>
      <c r="S62" s="25">
        <f>WO2025Jan7men1191517192325293133353941434547495557596365676971737577791317192123272933[[#This Row],[VO2]]</f>
        <v>7.7214197530864196E-4</v>
      </c>
      <c r="T62" s="25"/>
      <c r="U62" s="28"/>
      <c r="V62" s="25"/>
      <c r="W62" s="15" t="s">
        <v>26</v>
      </c>
      <c r="X62" s="52"/>
    </row>
    <row r="63" spans="1:24" ht="20.45" customHeight="1">
      <c r="A63" s="10" t="s">
        <v>82</v>
      </c>
      <c r="B63" s="11">
        <v>9.9537037037037042E-3</v>
      </c>
      <c r="C63" s="11">
        <v>2.8935185185185188E-3</v>
      </c>
      <c r="D63" s="11">
        <f>B63*E63</f>
        <v>5.7910648148148149E-3</v>
      </c>
      <c r="E63" s="12">
        <v>0.58179999999999998</v>
      </c>
      <c r="F63" s="11">
        <f>C63/4</f>
        <v>7.233796296296297E-4</v>
      </c>
      <c r="G63" s="11">
        <f>D63/7.5</f>
        <v>7.7214197530864196E-4</v>
      </c>
      <c r="H63" s="11">
        <f>B63/12.5</f>
        <v>7.9629629629629636E-4</v>
      </c>
      <c r="I63" s="11">
        <f>G63/0.93</f>
        <v>8.3026018850391602E-4</v>
      </c>
      <c r="J63" s="11">
        <f>G63/0.92</f>
        <v>8.3928475577026292E-4</v>
      </c>
      <c r="K63" s="11">
        <f>G63/0.88</f>
        <v>8.7743406285072947E-4</v>
      </c>
      <c r="L63" s="11">
        <f>G63/0.84</f>
        <v>9.1921663727219285E-4</v>
      </c>
      <c r="M63" s="25">
        <f>WO2025Jan7men1191517192325293133353941434547495557596365676971737577791317192123272933[[#This Row],[Thresh]]</f>
        <v>8.7743406285072947E-4</v>
      </c>
      <c r="N63" s="28">
        <f>WO2025Jan7men1191517192325293133353941434547495557596365676971737577791317192123272933[[#This Row],[Thresh]]*2.5</f>
        <v>2.1935851571268238E-3</v>
      </c>
      <c r="O63" s="25">
        <f>WO2025Jan7men1191517192325293133353941434547495557596365676971737577791317192123272933[[#This Row],[CV]]</f>
        <v>8.3928475577026292E-4</v>
      </c>
      <c r="P63" s="28">
        <f>WO2025Jan7men1191517192325293133353941434547495557596365676971737577791317192123272933[[#This Row],[CV]]*2.5</f>
        <v>2.0982118894256573E-3</v>
      </c>
      <c r="Q63" s="25">
        <f>WO2025Jan7men1191517192325293133353941434547495557596365676971737577791317192123272933[[#This Row],[I]]</f>
        <v>7.9629629629629636E-4</v>
      </c>
      <c r="R63" s="28">
        <f>WO2025Jan7men1191517192325293133353941434547495557596365676971737577791317192123272933[[#This Row],[I]]*2.5</f>
        <v>1.9907407407407408E-3</v>
      </c>
      <c r="S63" s="25">
        <f>WO2025Jan7men1191517192325293133353941434547495557596365676971737577791317192123272933[[#This Row],[VO2]]</f>
        <v>7.7214197530864196E-4</v>
      </c>
      <c r="T63" s="25"/>
      <c r="U63" s="28"/>
      <c r="V63" s="25"/>
      <c r="W63" s="15" t="s">
        <v>26</v>
      </c>
      <c r="X63" s="52"/>
    </row>
    <row r="64" spans="1:24" ht="20.45" customHeight="1">
      <c r="A64" s="10" t="s">
        <v>84</v>
      </c>
      <c r="B64" s="11">
        <v>1.0069444444444445E-2</v>
      </c>
      <c r="C64" s="11">
        <v>3.0092592592592593E-3</v>
      </c>
      <c r="D64" s="11">
        <f t="shared" ref="D64:D102" si="24">B64*E64</f>
        <v>5.8584027777777783E-3</v>
      </c>
      <c r="E64" s="12">
        <v>0.58179999999999998</v>
      </c>
      <c r="F64" s="11">
        <f t="shared" ref="F64:F102" si="25">C64/4</f>
        <v>7.5231481481481482E-4</v>
      </c>
      <c r="G64" s="11">
        <f t="shared" ref="G64:G102" si="26">D64/7.5</f>
        <v>7.811203703703705E-4</v>
      </c>
      <c r="H64" s="11">
        <f t="shared" ref="H64:H102" si="27">B64/12.5</f>
        <v>8.0555555555555556E-4</v>
      </c>
      <c r="I64" s="11">
        <f t="shared" ref="I64:I102" si="28">G64/0.93</f>
        <v>8.3991437674233382E-4</v>
      </c>
      <c r="J64" s="11">
        <f t="shared" ref="J64:J102" si="29">G64/0.92</f>
        <v>8.4904388083735917E-4</v>
      </c>
      <c r="K64" s="11">
        <f t="shared" ref="K64:K102" si="30">G64/0.88</f>
        <v>8.8763678451178466E-4</v>
      </c>
      <c r="L64" s="11">
        <f t="shared" ref="L64:L102" si="31">G64/0.84</f>
        <v>9.2990520282186973E-4</v>
      </c>
      <c r="M64" s="25">
        <f>WO2025Jan7men1191517192325293133353941434547495557596365676971737577791317192123272933[[#This Row],[Thresh]]</f>
        <v>8.8763678451178466E-4</v>
      </c>
      <c r="N64" s="28">
        <f>WO2025Jan7men1191517192325293133353941434547495557596365676971737577791317192123272933[[#This Row],[Thresh]]*2.5</f>
        <v>2.2190919612794617E-3</v>
      </c>
      <c r="O64" s="25">
        <f>WO2025Jan7men1191517192325293133353941434547495557596365676971737577791317192123272933[[#This Row],[CV]]</f>
        <v>8.4904388083735917E-4</v>
      </c>
      <c r="P64" s="28">
        <f>WO2025Jan7men1191517192325293133353941434547495557596365676971737577791317192123272933[[#This Row],[CV]]*2.5</f>
        <v>2.1226097020933979E-3</v>
      </c>
      <c r="Q64" s="25">
        <f>WO2025Jan7men1191517192325293133353941434547495557596365676971737577791317192123272933[[#This Row],[I]]</f>
        <v>8.0555555555555556E-4</v>
      </c>
      <c r="R64" s="28">
        <f>WO2025Jan7men1191517192325293133353941434547495557596365676971737577791317192123272933[[#This Row],[I]]*2.5</f>
        <v>2.0138888888888888E-3</v>
      </c>
      <c r="S64" s="25">
        <f>WO2025Jan7men1191517192325293133353941434547495557596365676971737577791317192123272933[[#This Row],[VO2]]</f>
        <v>7.811203703703705E-4</v>
      </c>
      <c r="T64" s="25"/>
      <c r="U64" s="28"/>
      <c r="V64" s="25"/>
      <c r="W64" s="15" t="s">
        <v>26</v>
      </c>
      <c r="X64" s="52"/>
    </row>
    <row r="65" spans="1:24" ht="20.45" customHeight="1">
      <c r="A65" s="10" t="s">
        <v>110</v>
      </c>
      <c r="B65" s="11">
        <v>1.0069444444444445E-2</v>
      </c>
      <c r="C65" s="11">
        <v>2.8935185185185184E-3</v>
      </c>
      <c r="D65" s="11">
        <f>B65*E65</f>
        <v>5.8584027777777783E-3</v>
      </c>
      <c r="E65" s="12">
        <v>0.58179999999999998</v>
      </c>
      <c r="F65" s="11">
        <f>C65/4</f>
        <v>7.2337962962962959E-4</v>
      </c>
      <c r="G65" s="11">
        <f>D65/7.5</f>
        <v>7.811203703703705E-4</v>
      </c>
      <c r="H65" s="11">
        <f>B65/12.5</f>
        <v>8.0555555555555556E-4</v>
      </c>
      <c r="I65" s="11">
        <f>G65/0.93</f>
        <v>8.3991437674233382E-4</v>
      </c>
      <c r="J65" s="11">
        <f>G65/0.92</f>
        <v>8.4904388083735917E-4</v>
      </c>
      <c r="K65" s="11">
        <f>G65/0.88</f>
        <v>8.8763678451178466E-4</v>
      </c>
      <c r="L65" s="11">
        <f>G65/0.84</f>
        <v>9.2990520282186973E-4</v>
      </c>
      <c r="M65" s="25">
        <f>WO2025Jan7men1191517192325293133353941434547495557596365676971737577791317192123272933[[#This Row],[Thresh]]</f>
        <v>8.8763678451178466E-4</v>
      </c>
      <c r="N65" s="28">
        <f>WO2025Jan7men1191517192325293133353941434547495557596365676971737577791317192123272933[[#This Row],[Thresh]]*2.5</f>
        <v>2.2190919612794617E-3</v>
      </c>
      <c r="O65" s="25">
        <f>WO2025Jan7men1191517192325293133353941434547495557596365676971737577791317192123272933[[#This Row],[CV]]</f>
        <v>8.4904388083735917E-4</v>
      </c>
      <c r="P65" s="28">
        <f>WO2025Jan7men1191517192325293133353941434547495557596365676971737577791317192123272933[[#This Row],[CV]]*2.5</f>
        <v>2.1226097020933979E-3</v>
      </c>
      <c r="Q65" s="25">
        <f>WO2025Jan7men1191517192325293133353941434547495557596365676971737577791317192123272933[[#This Row],[I]]</f>
        <v>8.0555555555555556E-4</v>
      </c>
      <c r="R65" s="28">
        <f>WO2025Jan7men1191517192325293133353941434547495557596365676971737577791317192123272933[[#This Row],[I]]*2.5</f>
        <v>2.0138888888888888E-3</v>
      </c>
      <c r="S65" s="25">
        <f>WO2025Jan7men1191517192325293133353941434547495557596365676971737577791317192123272933[[#This Row],[VO2]]</f>
        <v>7.811203703703705E-4</v>
      </c>
      <c r="T65" s="25"/>
      <c r="U65" s="28"/>
      <c r="V65" s="25"/>
      <c r="W65" s="15" t="s">
        <v>26</v>
      </c>
      <c r="X65" s="52"/>
    </row>
    <row r="66" spans="1:24" ht="20.45" customHeight="1">
      <c r="A66" s="10" t="s">
        <v>83</v>
      </c>
      <c r="B66" s="11">
        <v>1.0069444444444445E-2</v>
      </c>
      <c r="C66" s="11">
        <v>3.0671296296296297E-3</v>
      </c>
      <c r="D66" s="11">
        <f>B66*E66</f>
        <v>5.8584027777777783E-3</v>
      </c>
      <c r="E66" s="12">
        <v>0.58179999999999998</v>
      </c>
      <c r="F66" s="11">
        <f>C66/4</f>
        <v>7.6678240740740743E-4</v>
      </c>
      <c r="G66" s="11">
        <f>D66/7.5</f>
        <v>7.811203703703705E-4</v>
      </c>
      <c r="H66" s="11">
        <f>B66/12.5</f>
        <v>8.0555555555555556E-4</v>
      </c>
      <c r="I66" s="11">
        <f>G66/0.93</f>
        <v>8.3991437674233382E-4</v>
      </c>
      <c r="J66" s="11">
        <f>G66/0.92</f>
        <v>8.4904388083735917E-4</v>
      </c>
      <c r="K66" s="11">
        <f>G66/0.88</f>
        <v>8.8763678451178466E-4</v>
      </c>
      <c r="L66" s="11">
        <f>G66/0.84</f>
        <v>9.2990520282186973E-4</v>
      </c>
      <c r="M66" s="25">
        <f>WO2025Jan7men1191517192325293133353941434547495557596365676971737577791317192123272933[[#This Row],[Thresh]]</f>
        <v>8.8763678451178466E-4</v>
      </c>
      <c r="N66" s="28">
        <f>WO2025Jan7men1191517192325293133353941434547495557596365676971737577791317192123272933[[#This Row],[Thresh]]*2.5</f>
        <v>2.2190919612794617E-3</v>
      </c>
      <c r="O66" s="25">
        <f>WO2025Jan7men1191517192325293133353941434547495557596365676971737577791317192123272933[[#This Row],[CV]]</f>
        <v>8.4904388083735917E-4</v>
      </c>
      <c r="P66" s="28">
        <f>WO2025Jan7men1191517192325293133353941434547495557596365676971737577791317192123272933[[#This Row],[CV]]*2.5</f>
        <v>2.1226097020933979E-3</v>
      </c>
      <c r="Q66" s="25">
        <f>WO2025Jan7men1191517192325293133353941434547495557596365676971737577791317192123272933[[#This Row],[I]]</f>
        <v>8.0555555555555556E-4</v>
      </c>
      <c r="R66" s="28">
        <f>WO2025Jan7men1191517192325293133353941434547495557596365676971737577791317192123272933[[#This Row],[I]]*2.5</f>
        <v>2.0138888888888888E-3</v>
      </c>
      <c r="S66" s="25">
        <f>WO2025Jan7men1191517192325293133353941434547495557596365676971737577791317192123272933[[#This Row],[VO2]]</f>
        <v>7.811203703703705E-4</v>
      </c>
      <c r="T66" s="25"/>
      <c r="U66" s="28"/>
      <c r="V66" s="28"/>
      <c r="W66" s="15" t="s">
        <v>26</v>
      </c>
      <c r="X66" s="52"/>
    </row>
    <row r="67" spans="1:24" ht="20.45" customHeight="1">
      <c r="A67" s="10" t="s">
        <v>111</v>
      </c>
      <c r="B67" s="11">
        <v>1.0069444444444445E-2</v>
      </c>
      <c r="C67" s="11">
        <v>3.0092592592592588E-3</v>
      </c>
      <c r="D67" s="11">
        <f>B67*E67</f>
        <v>5.8584027777777783E-3</v>
      </c>
      <c r="E67" s="12">
        <v>0.58179999999999998</v>
      </c>
      <c r="F67" s="11">
        <f>C67/4</f>
        <v>7.5231481481481471E-4</v>
      </c>
      <c r="G67" s="11">
        <f>D67/7.5</f>
        <v>7.811203703703705E-4</v>
      </c>
      <c r="H67" s="11">
        <f>B67/12.5</f>
        <v>8.0555555555555556E-4</v>
      </c>
      <c r="I67" s="11">
        <f>G67/0.93</f>
        <v>8.3991437674233382E-4</v>
      </c>
      <c r="J67" s="11">
        <f>G67/0.92</f>
        <v>8.4904388083735917E-4</v>
      </c>
      <c r="K67" s="11">
        <f>G67/0.88</f>
        <v>8.8763678451178466E-4</v>
      </c>
      <c r="L67" s="11">
        <f>G67/0.84</f>
        <v>9.2990520282186973E-4</v>
      </c>
      <c r="M67" s="25">
        <f>WO2025Jan7men1191517192325293133353941434547495557596365676971737577791317192123272933[[#This Row],[Thresh]]</f>
        <v>8.8763678451178466E-4</v>
      </c>
      <c r="N67" s="28">
        <f>WO2025Jan7men1191517192325293133353941434547495557596365676971737577791317192123272933[[#This Row],[Thresh]]*2.5</f>
        <v>2.2190919612794617E-3</v>
      </c>
      <c r="O67" s="25">
        <f>WO2025Jan7men1191517192325293133353941434547495557596365676971737577791317192123272933[[#This Row],[CV]]</f>
        <v>8.4904388083735917E-4</v>
      </c>
      <c r="P67" s="28">
        <f>WO2025Jan7men1191517192325293133353941434547495557596365676971737577791317192123272933[[#This Row],[CV]]*2.5</f>
        <v>2.1226097020933979E-3</v>
      </c>
      <c r="Q67" s="25">
        <f>WO2025Jan7men1191517192325293133353941434547495557596365676971737577791317192123272933[[#This Row],[I]]</f>
        <v>8.0555555555555556E-4</v>
      </c>
      <c r="R67" s="28">
        <f>WO2025Jan7men1191517192325293133353941434547495557596365676971737577791317192123272933[[#This Row],[I]]*2.5</f>
        <v>2.0138888888888888E-3</v>
      </c>
      <c r="S67" s="25">
        <f>WO2025Jan7men1191517192325293133353941434547495557596365676971737577791317192123272933[[#This Row],[VO2]]</f>
        <v>7.811203703703705E-4</v>
      </c>
      <c r="T67" s="25"/>
      <c r="U67" s="28"/>
      <c r="V67" s="25"/>
      <c r="W67" s="15" t="s">
        <v>35</v>
      </c>
      <c r="X67" s="52"/>
    </row>
    <row r="68" spans="1:24" ht="20.45" customHeight="1">
      <c r="A68" s="10" t="s">
        <v>112</v>
      </c>
      <c r="B68" s="11">
        <v>1.0243055555555556E-2</v>
      </c>
      <c r="C68" s="11">
        <v>2.8587962962962963E-3</v>
      </c>
      <c r="D68" s="11">
        <f t="shared" si="24"/>
        <v>5.9594097222222218E-3</v>
      </c>
      <c r="E68" s="12">
        <v>0.58179999999999998</v>
      </c>
      <c r="F68" s="11">
        <f t="shared" si="25"/>
        <v>7.1469907407407409E-4</v>
      </c>
      <c r="G68" s="11">
        <f t="shared" si="26"/>
        <v>7.9458796296296287E-4</v>
      </c>
      <c r="H68" s="11">
        <f t="shared" si="27"/>
        <v>8.1944444444444447E-4</v>
      </c>
      <c r="I68" s="11">
        <f t="shared" si="28"/>
        <v>8.5439565909996003E-4</v>
      </c>
      <c r="J68" s="11">
        <f t="shared" si="29"/>
        <v>8.636825684380031E-4</v>
      </c>
      <c r="K68" s="11">
        <f t="shared" si="30"/>
        <v>9.0294086700336686E-4</v>
      </c>
      <c r="L68" s="11">
        <f t="shared" si="31"/>
        <v>9.4593805114638445E-4</v>
      </c>
      <c r="M68" s="25">
        <f>WO2025Jan7men1191517192325293133353941434547495557596365676971737577791317192123272933[[#This Row],[Thresh]]</f>
        <v>9.0294086700336686E-4</v>
      </c>
      <c r="N68" s="28">
        <f>WO2025Jan7men1191517192325293133353941434547495557596365676971737577791317192123272933[[#This Row],[Thresh]]*2.5</f>
        <v>2.2573521675084171E-3</v>
      </c>
      <c r="O68" s="25">
        <f>WO2025Jan7men1191517192325293133353941434547495557596365676971737577791317192123272933[[#This Row],[CV]]</f>
        <v>8.636825684380031E-4</v>
      </c>
      <c r="P68" s="28">
        <f>WO2025Jan7men1191517192325293133353941434547495557596365676971737577791317192123272933[[#This Row],[CV]]*2.5</f>
        <v>2.1592064210950077E-3</v>
      </c>
      <c r="Q68" s="25">
        <f>WO2025Jan7men1191517192325293133353941434547495557596365676971737577791317192123272933[[#This Row],[I]]</f>
        <v>8.1944444444444447E-4</v>
      </c>
      <c r="R68" s="28">
        <f>WO2025Jan7men1191517192325293133353941434547495557596365676971737577791317192123272933[[#This Row],[I]]*2.5</f>
        <v>2.0486111111111113E-3</v>
      </c>
      <c r="S68" s="25">
        <f>WO2025Jan7men1191517192325293133353941434547495557596365676971737577791317192123272933[[#This Row],[VO2]]</f>
        <v>7.9458796296296287E-4</v>
      </c>
      <c r="T68" s="25"/>
      <c r="U68" s="28"/>
      <c r="V68" s="25"/>
      <c r="W68" s="15" t="s">
        <v>26</v>
      </c>
      <c r="X68" s="52" t="s">
        <v>235</v>
      </c>
    </row>
    <row r="69" spans="1:24" ht="20.45" customHeight="1">
      <c r="A69" s="10" t="s">
        <v>93</v>
      </c>
      <c r="B69" s="11">
        <v>1.0243055555555556E-2</v>
      </c>
      <c r="C69" s="11"/>
      <c r="D69" s="11">
        <f t="shared" si="24"/>
        <v>5.9594097222222218E-3</v>
      </c>
      <c r="E69" s="12">
        <v>0.58179999999999998</v>
      </c>
      <c r="F69" s="11">
        <f t="shared" si="25"/>
        <v>0</v>
      </c>
      <c r="G69" s="11">
        <f t="shared" si="26"/>
        <v>7.9458796296296287E-4</v>
      </c>
      <c r="H69" s="11">
        <f t="shared" si="27"/>
        <v>8.1944444444444447E-4</v>
      </c>
      <c r="I69" s="11">
        <f t="shared" si="28"/>
        <v>8.5439565909996003E-4</v>
      </c>
      <c r="J69" s="11">
        <f t="shared" si="29"/>
        <v>8.636825684380031E-4</v>
      </c>
      <c r="K69" s="11">
        <f t="shared" si="30"/>
        <v>9.0294086700336686E-4</v>
      </c>
      <c r="L69" s="11">
        <f t="shared" si="31"/>
        <v>9.4593805114638445E-4</v>
      </c>
      <c r="M69" s="25">
        <f>WO2025Jan7men1191517192325293133353941434547495557596365676971737577791317192123272933[[#This Row],[Thresh]]</f>
        <v>9.0294086700336686E-4</v>
      </c>
      <c r="N69" s="28">
        <f>WO2025Jan7men1191517192325293133353941434547495557596365676971737577791317192123272933[[#This Row],[Thresh]]*2.5</f>
        <v>2.2573521675084171E-3</v>
      </c>
      <c r="O69" s="25">
        <f>WO2025Jan7men1191517192325293133353941434547495557596365676971737577791317192123272933[[#This Row],[CV]]</f>
        <v>8.636825684380031E-4</v>
      </c>
      <c r="P69" s="28">
        <f>WO2025Jan7men1191517192325293133353941434547495557596365676971737577791317192123272933[[#This Row],[CV]]*2.5</f>
        <v>2.1592064210950077E-3</v>
      </c>
      <c r="Q69" s="25">
        <f>WO2025Jan7men1191517192325293133353941434547495557596365676971737577791317192123272933[[#This Row],[I]]</f>
        <v>8.1944444444444447E-4</v>
      </c>
      <c r="R69" s="28">
        <f>WO2025Jan7men1191517192325293133353941434547495557596365676971737577791317192123272933[[#This Row],[I]]*2.5</f>
        <v>2.0486111111111113E-3</v>
      </c>
      <c r="S69" s="25">
        <f>WO2025Jan7men1191517192325293133353941434547495557596365676971737577791317192123272933[[#This Row],[VO2]]</f>
        <v>7.9458796296296287E-4</v>
      </c>
      <c r="T69" s="25"/>
      <c r="U69" s="28"/>
      <c r="V69" s="28"/>
      <c r="W69" s="27" t="s">
        <v>26</v>
      </c>
      <c r="X69" s="52"/>
    </row>
    <row r="70" spans="1:24" ht="20.45" customHeight="1">
      <c r="A70" s="10" t="s">
        <v>95</v>
      </c>
      <c r="B70" s="11">
        <v>1.0243055555555556E-2</v>
      </c>
      <c r="C70" s="11">
        <v>2.9513888888888888E-3</v>
      </c>
      <c r="D70" s="11">
        <f>B70*E70</f>
        <v>5.9594097222222218E-3</v>
      </c>
      <c r="E70" s="12">
        <v>0.58179999999999998</v>
      </c>
      <c r="F70" s="11">
        <f>C70/4</f>
        <v>7.378472222222222E-4</v>
      </c>
      <c r="G70" s="11">
        <f>D70/7.5</f>
        <v>7.9458796296296287E-4</v>
      </c>
      <c r="H70" s="11">
        <f>B70/12.5</f>
        <v>8.1944444444444447E-4</v>
      </c>
      <c r="I70" s="11">
        <f>G70/0.93</f>
        <v>8.5439565909996003E-4</v>
      </c>
      <c r="J70" s="11">
        <f>G70/0.92</f>
        <v>8.636825684380031E-4</v>
      </c>
      <c r="K70" s="11">
        <f>G70/0.88</f>
        <v>9.0294086700336686E-4</v>
      </c>
      <c r="L70" s="11">
        <f>G70/0.84</f>
        <v>9.4593805114638445E-4</v>
      </c>
      <c r="M70" s="25">
        <f>WO2025Jan7men1191517192325293133353941434547495557596365676971737577791317192123272933[[#This Row],[Thresh]]</f>
        <v>9.0294086700336686E-4</v>
      </c>
      <c r="N70" s="28">
        <f>WO2025Jan7men1191517192325293133353941434547495557596365676971737577791317192123272933[[#This Row],[Thresh]]*2.5</f>
        <v>2.2573521675084171E-3</v>
      </c>
      <c r="O70" s="25">
        <f>WO2025Jan7men1191517192325293133353941434547495557596365676971737577791317192123272933[[#This Row],[CV]]</f>
        <v>8.636825684380031E-4</v>
      </c>
      <c r="P70" s="28">
        <f>WO2025Jan7men1191517192325293133353941434547495557596365676971737577791317192123272933[[#This Row],[CV]]*2.5</f>
        <v>2.1592064210950077E-3</v>
      </c>
      <c r="Q70" s="25">
        <f>WO2025Jan7men1191517192325293133353941434547495557596365676971737577791317192123272933[[#This Row],[I]]</f>
        <v>8.1944444444444447E-4</v>
      </c>
      <c r="R70" s="28">
        <f>WO2025Jan7men1191517192325293133353941434547495557596365676971737577791317192123272933[[#This Row],[I]]*2.5</f>
        <v>2.0486111111111113E-3</v>
      </c>
      <c r="S70" s="25">
        <f>WO2025Jan7men1191517192325293133353941434547495557596365676971737577791317192123272933[[#This Row],[VO2]]</f>
        <v>7.9458796296296287E-4</v>
      </c>
      <c r="T70" s="25"/>
      <c r="U70" s="28"/>
      <c r="V70" s="25"/>
      <c r="W70" s="15" t="s">
        <v>35</v>
      </c>
      <c r="X70" s="52"/>
    </row>
    <row r="71" spans="1:24" ht="20.45" customHeight="1">
      <c r="A71" s="10" t="s">
        <v>116</v>
      </c>
      <c r="B71" s="11">
        <v>1.0243055555555556E-2</v>
      </c>
      <c r="C71" s="11">
        <v>2.9513888888888888E-3</v>
      </c>
      <c r="D71" s="11">
        <f>B71*E71</f>
        <v>5.9594097222222218E-3</v>
      </c>
      <c r="E71" s="12">
        <v>0.58179999999999998</v>
      </c>
      <c r="F71" s="11">
        <f>C71/4</f>
        <v>7.378472222222222E-4</v>
      </c>
      <c r="G71" s="11">
        <f>D71/7.5</f>
        <v>7.9458796296296287E-4</v>
      </c>
      <c r="H71" s="11">
        <f>B71/12.5</f>
        <v>8.1944444444444447E-4</v>
      </c>
      <c r="I71" s="11">
        <f>G71/0.93</f>
        <v>8.5439565909996003E-4</v>
      </c>
      <c r="J71" s="11">
        <f>G71/0.92</f>
        <v>8.636825684380031E-4</v>
      </c>
      <c r="K71" s="11">
        <f>G71/0.88</f>
        <v>9.0294086700336686E-4</v>
      </c>
      <c r="L71" s="17">
        <f>G71/0.84</f>
        <v>9.4593805114638445E-4</v>
      </c>
      <c r="M71" s="25">
        <f>WO2025Jan7men1191517192325293133353941434547495557596365676971737577791317192123272933[[#This Row],[Thresh]]</f>
        <v>9.0294086700336686E-4</v>
      </c>
      <c r="N71" s="28">
        <f>WO2025Jan7men1191517192325293133353941434547495557596365676971737577791317192123272933[[#This Row],[Thresh]]*2.5</f>
        <v>2.2573521675084171E-3</v>
      </c>
      <c r="O71" s="25">
        <f>WO2025Jan7men1191517192325293133353941434547495557596365676971737577791317192123272933[[#This Row],[CV]]</f>
        <v>8.636825684380031E-4</v>
      </c>
      <c r="P71" s="28">
        <f>WO2025Jan7men1191517192325293133353941434547495557596365676971737577791317192123272933[[#This Row],[CV]]*2.5</f>
        <v>2.1592064210950077E-3</v>
      </c>
      <c r="Q71" s="25">
        <f>WO2025Jan7men1191517192325293133353941434547495557596365676971737577791317192123272933[[#This Row],[I]]</f>
        <v>8.1944444444444447E-4</v>
      </c>
      <c r="R71" s="28">
        <f>WO2025Jan7men1191517192325293133353941434547495557596365676971737577791317192123272933[[#This Row],[I]]*2.5</f>
        <v>2.0486111111111113E-3</v>
      </c>
      <c r="S71" s="25">
        <f>WO2025Jan7men1191517192325293133353941434547495557596365676971737577791317192123272933[[#This Row],[VO2]]</f>
        <v>7.9458796296296287E-4</v>
      </c>
      <c r="T71" s="25"/>
      <c r="U71" s="28"/>
      <c r="V71" s="25" t="s">
        <v>231</v>
      </c>
      <c r="W71" s="15" t="s">
        <v>35</v>
      </c>
      <c r="X71" s="52"/>
    </row>
    <row r="72" spans="1:24" ht="20.45" customHeight="1">
      <c r="A72" s="10" t="s">
        <v>92</v>
      </c>
      <c r="B72" s="11">
        <v>1.0300925925925925E-2</v>
      </c>
      <c r="C72" s="11">
        <v>2.9745370370370373E-3</v>
      </c>
      <c r="D72" s="11">
        <f>B72*E72</f>
        <v>5.9930787037037027E-3</v>
      </c>
      <c r="E72" s="12">
        <v>0.58179999999999998</v>
      </c>
      <c r="F72" s="11">
        <f>C72/4</f>
        <v>7.4363425925925931E-4</v>
      </c>
      <c r="G72" s="11">
        <f>D72/7.5</f>
        <v>7.9907716049382703E-4</v>
      </c>
      <c r="H72" s="11">
        <f>B72/12.5</f>
        <v>8.2407407407407397E-4</v>
      </c>
      <c r="I72" s="11">
        <f>G72/0.93</f>
        <v>8.5922275321916877E-4</v>
      </c>
      <c r="J72" s="11">
        <f>G72/0.92</f>
        <v>8.6856213097155112E-4</v>
      </c>
      <c r="K72" s="11">
        <f>G72/0.88</f>
        <v>9.080422278338944E-4</v>
      </c>
      <c r="L72" s="11">
        <f>G72/0.84</f>
        <v>9.5128233392122272E-4</v>
      </c>
      <c r="M72" s="25">
        <f>WO2025Jan7men1191517192325293133353941434547495557596365676971737577791317192123272933[[#This Row],[Thresh]]</f>
        <v>9.080422278338944E-4</v>
      </c>
      <c r="N72" s="28">
        <f>WO2025Jan7men1191517192325293133353941434547495557596365676971737577791317192123272933[[#This Row],[Thresh]]*2.5</f>
        <v>2.2701055695847358E-3</v>
      </c>
      <c r="O72" s="25">
        <f>WO2025Jan7men1191517192325293133353941434547495557596365676971737577791317192123272933[[#This Row],[CV]]</f>
        <v>8.6856213097155112E-4</v>
      </c>
      <c r="P72" s="28">
        <f>WO2025Jan7men1191517192325293133353941434547495557596365676971737577791317192123272933[[#This Row],[CV]]*2.5</f>
        <v>2.1714053274288778E-3</v>
      </c>
      <c r="Q72" s="25">
        <f>WO2025Jan7men1191517192325293133353941434547495557596365676971737577791317192123272933[[#This Row],[I]]</f>
        <v>8.2407407407407397E-4</v>
      </c>
      <c r="R72" s="28">
        <f>WO2025Jan7men1191517192325293133353941434547495557596365676971737577791317192123272933[[#This Row],[I]]*2.5</f>
        <v>2.0601851851851849E-3</v>
      </c>
      <c r="S72" s="25">
        <f>WO2025Jan7men1191517192325293133353941434547495557596365676971737577791317192123272933[[#This Row],[VO2]]</f>
        <v>7.9907716049382703E-4</v>
      </c>
      <c r="T72" s="25"/>
      <c r="U72" s="28"/>
      <c r="V72" s="25"/>
      <c r="W72" s="15" t="s">
        <v>26</v>
      </c>
      <c r="X72" s="52"/>
    </row>
    <row r="73" spans="1:24" ht="20.45" customHeight="1">
      <c r="A73" s="10" t="s">
        <v>85</v>
      </c>
      <c r="B73" s="11">
        <v>1.0300925925925925E-2</v>
      </c>
      <c r="C73" s="11">
        <v>3.0671296296296297E-3</v>
      </c>
      <c r="D73" s="11">
        <f>B73*E73</f>
        <v>5.9930787037037027E-3</v>
      </c>
      <c r="E73" s="12">
        <v>0.58179999999999998</v>
      </c>
      <c r="F73" s="11">
        <f>C73/4</f>
        <v>7.6678240740740743E-4</v>
      </c>
      <c r="G73" s="11">
        <f>D73/7.5</f>
        <v>7.9907716049382703E-4</v>
      </c>
      <c r="H73" s="11">
        <f>B73/12.5</f>
        <v>8.2407407407407397E-4</v>
      </c>
      <c r="I73" s="11">
        <f>G73/0.93</f>
        <v>8.5922275321916877E-4</v>
      </c>
      <c r="J73" s="11">
        <f>G73/0.92</f>
        <v>8.6856213097155112E-4</v>
      </c>
      <c r="K73" s="11">
        <f>G73/0.88</f>
        <v>9.080422278338944E-4</v>
      </c>
      <c r="L73" s="17">
        <f>G73/0.84</f>
        <v>9.5128233392122272E-4</v>
      </c>
      <c r="M73" s="25">
        <f>WO2025Jan7men1191517192325293133353941434547495557596365676971737577791317192123272933[[#This Row],[Thresh]]</f>
        <v>9.080422278338944E-4</v>
      </c>
      <c r="N73" s="28">
        <f>WO2025Jan7men1191517192325293133353941434547495557596365676971737577791317192123272933[[#This Row],[Thresh]]*2.5</f>
        <v>2.2701055695847358E-3</v>
      </c>
      <c r="O73" s="25">
        <f>WO2025Jan7men1191517192325293133353941434547495557596365676971737577791317192123272933[[#This Row],[CV]]</f>
        <v>8.6856213097155112E-4</v>
      </c>
      <c r="P73" s="28">
        <f>WO2025Jan7men1191517192325293133353941434547495557596365676971737577791317192123272933[[#This Row],[CV]]*2.5</f>
        <v>2.1714053274288778E-3</v>
      </c>
      <c r="Q73" s="25">
        <f>WO2025Jan7men1191517192325293133353941434547495557596365676971737577791317192123272933[[#This Row],[I]]</f>
        <v>8.2407407407407397E-4</v>
      </c>
      <c r="R73" s="28">
        <f>WO2025Jan7men1191517192325293133353941434547495557596365676971737577791317192123272933[[#This Row],[I]]*2.5</f>
        <v>2.0601851851851849E-3</v>
      </c>
      <c r="S73" s="25">
        <f>WO2025Jan7men1191517192325293133353941434547495557596365676971737577791317192123272933[[#This Row],[VO2]]</f>
        <v>7.9907716049382703E-4</v>
      </c>
      <c r="T73" s="25"/>
      <c r="U73" s="28"/>
      <c r="V73" s="25"/>
      <c r="W73" s="15" t="s">
        <v>26</v>
      </c>
      <c r="X73" s="52"/>
    </row>
    <row r="74" spans="1:24" ht="20.45" customHeight="1">
      <c r="A74" s="10" t="s">
        <v>86</v>
      </c>
      <c r="B74" s="11">
        <v>1.0300925925925925E-2</v>
      </c>
      <c r="C74" s="11">
        <v>3.0671296296296297E-3</v>
      </c>
      <c r="D74" s="11">
        <f t="shared" si="24"/>
        <v>5.9930787037037027E-3</v>
      </c>
      <c r="E74" s="12">
        <v>0.58179999999999998</v>
      </c>
      <c r="F74" s="11">
        <f t="shared" si="25"/>
        <v>7.6678240740740743E-4</v>
      </c>
      <c r="G74" s="11">
        <f t="shared" si="26"/>
        <v>7.9907716049382703E-4</v>
      </c>
      <c r="H74" s="11">
        <f t="shared" si="27"/>
        <v>8.2407407407407397E-4</v>
      </c>
      <c r="I74" s="11">
        <f t="shared" si="28"/>
        <v>8.5922275321916877E-4</v>
      </c>
      <c r="J74" s="11">
        <f t="shared" si="29"/>
        <v>8.6856213097155112E-4</v>
      </c>
      <c r="K74" s="11">
        <f t="shared" si="30"/>
        <v>9.080422278338944E-4</v>
      </c>
      <c r="L74" s="11">
        <f t="shared" si="31"/>
        <v>9.5128233392122272E-4</v>
      </c>
      <c r="M74" s="25">
        <f>WO2025Jan7men1191517192325293133353941434547495557596365676971737577791317192123272933[[#This Row],[Thresh]]</f>
        <v>9.080422278338944E-4</v>
      </c>
      <c r="N74" s="28">
        <f>WO2025Jan7men1191517192325293133353941434547495557596365676971737577791317192123272933[[#This Row],[Thresh]]*2.5</f>
        <v>2.2701055695847358E-3</v>
      </c>
      <c r="O74" s="25">
        <f>WO2025Jan7men1191517192325293133353941434547495557596365676971737577791317192123272933[[#This Row],[CV]]</f>
        <v>8.6856213097155112E-4</v>
      </c>
      <c r="P74" s="28">
        <f>WO2025Jan7men1191517192325293133353941434547495557596365676971737577791317192123272933[[#This Row],[CV]]*2.5</f>
        <v>2.1714053274288778E-3</v>
      </c>
      <c r="Q74" s="25">
        <f>WO2025Jan7men1191517192325293133353941434547495557596365676971737577791317192123272933[[#This Row],[I]]</f>
        <v>8.2407407407407397E-4</v>
      </c>
      <c r="R74" s="28">
        <f>WO2025Jan7men1191517192325293133353941434547495557596365676971737577791317192123272933[[#This Row],[I]]*2.5</f>
        <v>2.0601851851851849E-3</v>
      </c>
      <c r="S74" s="25">
        <f>WO2025Jan7men1191517192325293133353941434547495557596365676971737577791317192123272933[[#This Row],[VO2]]</f>
        <v>7.9907716049382703E-4</v>
      </c>
      <c r="T74" s="25"/>
      <c r="U74" s="28"/>
      <c r="V74" s="25"/>
      <c r="W74" s="15" t="s">
        <v>35</v>
      </c>
      <c r="X74" s="52"/>
    </row>
    <row r="75" spans="1:24" ht="20.45" customHeight="1">
      <c r="A75" s="10" t="s">
        <v>117</v>
      </c>
      <c r="B75" s="11">
        <v>1.0300925925925925E-2</v>
      </c>
      <c r="C75" s="11">
        <v>3.0671296296296297E-3</v>
      </c>
      <c r="D75" s="11">
        <f t="shared" si="24"/>
        <v>5.9930787037037027E-3</v>
      </c>
      <c r="E75" s="12">
        <v>0.58179999999999998</v>
      </c>
      <c r="F75" s="11">
        <f t="shared" si="25"/>
        <v>7.6678240740740743E-4</v>
      </c>
      <c r="G75" s="11">
        <f t="shared" si="26"/>
        <v>7.9907716049382703E-4</v>
      </c>
      <c r="H75" s="11">
        <f t="shared" si="27"/>
        <v>8.2407407407407397E-4</v>
      </c>
      <c r="I75" s="11">
        <f t="shared" si="28"/>
        <v>8.5922275321916877E-4</v>
      </c>
      <c r="J75" s="11">
        <f t="shared" si="29"/>
        <v>8.6856213097155112E-4</v>
      </c>
      <c r="K75" s="11">
        <f t="shared" si="30"/>
        <v>9.080422278338944E-4</v>
      </c>
      <c r="L75" s="11">
        <f t="shared" si="31"/>
        <v>9.5128233392122272E-4</v>
      </c>
      <c r="M75" s="25">
        <f>WO2025Jan7men1191517192325293133353941434547495557596365676971737577791317192123272933[[#This Row],[Thresh]]</f>
        <v>9.080422278338944E-4</v>
      </c>
      <c r="N75" s="28">
        <f>WO2025Jan7men1191517192325293133353941434547495557596365676971737577791317192123272933[[#This Row],[Thresh]]*2.5</f>
        <v>2.2701055695847358E-3</v>
      </c>
      <c r="O75" s="25">
        <f>WO2025Jan7men1191517192325293133353941434547495557596365676971737577791317192123272933[[#This Row],[CV]]</f>
        <v>8.6856213097155112E-4</v>
      </c>
      <c r="P75" s="28">
        <f>WO2025Jan7men1191517192325293133353941434547495557596365676971737577791317192123272933[[#This Row],[CV]]*2.5</f>
        <v>2.1714053274288778E-3</v>
      </c>
      <c r="Q75" s="25">
        <f>WO2025Jan7men1191517192325293133353941434547495557596365676971737577791317192123272933[[#This Row],[I]]</f>
        <v>8.2407407407407397E-4</v>
      </c>
      <c r="R75" s="28">
        <f>WO2025Jan7men1191517192325293133353941434547495557596365676971737577791317192123272933[[#This Row],[I]]*2.5</f>
        <v>2.0601851851851849E-3</v>
      </c>
      <c r="S75" s="25">
        <f>WO2025Jan7men1191517192325293133353941434547495557596365676971737577791317192123272933[[#This Row],[VO2]]</f>
        <v>7.9907716049382703E-4</v>
      </c>
      <c r="T75" s="25"/>
      <c r="U75" s="28"/>
      <c r="V75" s="25"/>
      <c r="W75" s="15" t="s">
        <v>35</v>
      </c>
      <c r="X75" s="52"/>
    </row>
    <row r="76" spans="1:24" ht="20.45" customHeight="1">
      <c r="A76" s="10" t="s">
        <v>118</v>
      </c>
      <c r="B76" s="11">
        <v>1.0300925925925925E-2</v>
      </c>
      <c r="C76" s="11">
        <v>3.0671296296296297E-3</v>
      </c>
      <c r="D76" s="11">
        <f>B76*E76</f>
        <v>5.9930787037037027E-3</v>
      </c>
      <c r="E76" s="12">
        <v>0.58179999999999998</v>
      </c>
      <c r="F76" s="11">
        <f>C76/4</f>
        <v>7.6678240740740743E-4</v>
      </c>
      <c r="G76" s="11">
        <f>D76/7.5</f>
        <v>7.9907716049382703E-4</v>
      </c>
      <c r="H76" s="11">
        <f>B76/12.5</f>
        <v>8.2407407407407397E-4</v>
      </c>
      <c r="I76" s="11">
        <f>G76/0.93</f>
        <v>8.5922275321916877E-4</v>
      </c>
      <c r="J76" s="11">
        <f>G76/0.92</f>
        <v>8.6856213097155112E-4</v>
      </c>
      <c r="K76" s="11">
        <f>G76/0.88</f>
        <v>9.080422278338944E-4</v>
      </c>
      <c r="L76" s="11">
        <f>G76/0.84</f>
        <v>9.5128233392122272E-4</v>
      </c>
      <c r="M76" s="25">
        <f>WO2025Jan7men1191517192325293133353941434547495557596365676971737577791317192123272933[[#This Row],[Thresh]]</f>
        <v>9.080422278338944E-4</v>
      </c>
      <c r="N76" s="28">
        <f>WO2025Jan7men1191517192325293133353941434547495557596365676971737577791317192123272933[[#This Row],[Thresh]]*2.5</f>
        <v>2.2701055695847358E-3</v>
      </c>
      <c r="O76" s="25">
        <f>WO2025Jan7men1191517192325293133353941434547495557596365676971737577791317192123272933[[#This Row],[CV]]</f>
        <v>8.6856213097155112E-4</v>
      </c>
      <c r="P76" s="28">
        <f>WO2025Jan7men1191517192325293133353941434547495557596365676971737577791317192123272933[[#This Row],[CV]]*2.5</f>
        <v>2.1714053274288778E-3</v>
      </c>
      <c r="Q76" s="25">
        <f>WO2025Jan7men1191517192325293133353941434547495557596365676971737577791317192123272933[[#This Row],[I]]</f>
        <v>8.2407407407407397E-4</v>
      </c>
      <c r="R76" s="28">
        <f>WO2025Jan7men1191517192325293133353941434547495557596365676971737577791317192123272933[[#This Row],[I]]*2.5</f>
        <v>2.0601851851851849E-3</v>
      </c>
      <c r="S76" s="25">
        <f>WO2025Jan7men1191517192325293133353941434547495557596365676971737577791317192123272933[[#This Row],[VO2]]</f>
        <v>7.9907716049382703E-4</v>
      </c>
      <c r="T76" s="25"/>
      <c r="U76" s="28"/>
      <c r="V76" s="25"/>
      <c r="W76" s="15" t="s">
        <v>26</v>
      </c>
      <c r="X76" s="52"/>
    </row>
    <row r="77" spans="1:24" ht="20.45" customHeight="1">
      <c r="A77" s="10" t="s">
        <v>119</v>
      </c>
      <c r="B77" s="11">
        <v>1.0416666666666666E-2</v>
      </c>
      <c r="C77" s="11"/>
      <c r="D77" s="11">
        <f t="shared" si="24"/>
        <v>6.0604166666666662E-3</v>
      </c>
      <c r="E77" s="12">
        <v>0.58179999999999998</v>
      </c>
      <c r="F77" s="11">
        <f t="shared" si="25"/>
        <v>0</v>
      </c>
      <c r="G77" s="11">
        <f t="shared" si="26"/>
        <v>8.0805555555555546E-4</v>
      </c>
      <c r="H77" s="11">
        <f t="shared" si="27"/>
        <v>8.3333333333333328E-4</v>
      </c>
      <c r="I77" s="11">
        <f t="shared" si="28"/>
        <v>8.6887694145758646E-4</v>
      </c>
      <c r="J77" s="11">
        <f t="shared" si="29"/>
        <v>8.7832125603864715E-4</v>
      </c>
      <c r="K77" s="11">
        <f t="shared" si="30"/>
        <v>9.1824494949494938E-4</v>
      </c>
      <c r="L77" s="11">
        <f t="shared" si="31"/>
        <v>9.6197089947089938E-4</v>
      </c>
      <c r="M77" s="25">
        <f>WO2025Jan7men1191517192325293133353941434547495557596365676971737577791317192123272933[[#This Row],[Thresh]]</f>
        <v>9.1824494949494938E-4</v>
      </c>
      <c r="N77" s="28">
        <f>WO2025Jan7men1191517192325293133353941434547495557596365676971737577791317192123272933[[#This Row],[Thresh]]*2.5</f>
        <v>2.2956123737373733E-3</v>
      </c>
      <c r="O77" s="25">
        <f>WO2025Jan7men1191517192325293133353941434547495557596365676971737577791317192123272933[[#This Row],[CV]]</f>
        <v>8.7832125603864715E-4</v>
      </c>
      <c r="P77" s="28">
        <f>WO2025Jan7men1191517192325293133353941434547495557596365676971737577791317192123272933[[#This Row],[CV]]*2.5</f>
        <v>2.195803140096618E-3</v>
      </c>
      <c r="Q77" s="25">
        <f>WO2025Jan7men1191517192325293133353941434547495557596365676971737577791317192123272933[[#This Row],[I]]</f>
        <v>8.3333333333333328E-4</v>
      </c>
      <c r="R77" s="28">
        <f>WO2025Jan7men1191517192325293133353941434547495557596365676971737577791317192123272933[[#This Row],[I]]*2.5</f>
        <v>2.0833333333333333E-3</v>
      </c>
      <c r="S77" s="25">
        <f>WO2025Jan7men1191517192325293133353941434547495557596365676971737577791317192123272933[[#This Row],[VO2]]</f>
        <v>8.0805555555555546E-4</v>
      </c>
      <c r="T77" s="25"/>
      <c r="U77" s="28"/>
      <c r="V77" s="28"/>
      <c r="W77" s="27" t="s">
        <v>35</v>
      </c>
      <c r="X77" s="52"/>
    </row>
    <row r="78" spans="1:24" ht="20.45" customHeight="1">
      <c r="A78" s="10" t="s">
        <v>120</v>
      </c>
      <c r="B78" s="11">
        <v>1.0416666666666666E-2</v>
      </c>
      <c r="C78" s="11">
        <v>3.1250000000000002E-3</v>
      </c>
      <c r="D78" s="11">
        <f t="shared" si="24"/>
        <v>6.0604166666666662E-3</v>
      </c>
      <c r="E78" s="12">
        <v>0.58179999999999998</v>
      </c>
      <c r="F78" s="11">
        <f t="shared" si="25"/>
        <v>7.8125000000000004E-4</v>
      </c>
      <c r="G78" s="11">
        <f t="shared" si="26"/>
        <v>8.0805555555555546E-4</v>
      </c>
      <c r="H78" s="11">
        <f t="shared" si="27"/>
        <v>8.3333333333333328E-4</v>
      </c>
      <c r="I78" s="11">
        <f t="shared" si="28"/>
        <v>8.6887694145758646E-4</v>
      </c>
      <c r="J78" s="11">
        <f t="shared" si="29"/>
        <v>8.7832125603864715E-4</v>
      </c>
      <c r="K78" s="11">
        <f t="shared" si="30"/>
        <v>9.1824494949494938E-4</v>
      </c>
      <c r="L78" s="11">
        <f t="shared" si="31"/>
        <v>9.6197089947089938E-4</v>
      </c>
      <c r="M78" s="25">
        <f>WO2025Jan7men1191517192325293133353941434547495557596365676971737577791317192123272933[[#This Row],[Thresh]]</f>
        <v>9.1824494949494938E-4</v>
      </c>
      <c r="N78" s="28">
        <f>WO2025Jan7men1191517192325293133353941434547495557596365676971737577791317192123272933[[#This Row],[Thresh]]*2.5</f>
        <v>2.2956123737373733E-3</v>
      </c>
      <c r="O78" s="25">
        <f>WO2025Jan7men1191517192325293133353941434547495557596365676971737577791317192123272933[[#This Row],[CV]]</f>
        <v>8.7832125603864715E-4</v>
      </c>
      <c r="P78" s="28">
        <f>WO2025Jan7men1191517192325293133353941434547495557596365676971737577791317192123272933[[#This Row],[CV]]*2.5</f>
        <v>2.195803140096618E-3</v>
      </c>
      <c r="Q78" s="25">
        <f>WO2025Jan7men1191517192325293133353941434547495557596365676971737577791317192123272933[[#This Row],[I]]</f>
        <v>8.3333333333333328E-4</v>
      </c>
      <c r="R78" s="28">
        <f>WO2025Jan7men1191517192325293133353941434547495557596365676971737577791317192123272933[[#This Row],[I]]*2.5</f>
        <v>2.0833333333333333E-3</v>
      </c>
      <c r="S78" s="25">
        <f>WO2025Jan7men1191517192325293133353941434547495557596365676971737577791317192123272933[[#This Row],[VO2]]</f>
        <v>8.0805555555555546E-4</v>
      </c>
      <c r="T78" s="25"/>
      <c r="U78" s="28"/>
      <c r="V78" s="25"/>
      <c r="W78" s="15" t="s">
        <v>35</v>
      </c>
      <c r="X78" s="52" t="s">
        <v>236</v>
      </c>
    </row>
    <row r="79" spans="1:24" ht="20.45" customHeight="1">
      <c r="A79" s="10" t="s">
        <v>115</v>
      </c>
      <c r="B79" s="11">
        <v>1.0416666666666666E-2</v>
      </c>
      <c r="C79" s="11">
        <v>2.9513888888888888E-3</v>
      </c>
      <c r="D79" s="11">
        <f>B79*E79</f>
        <v>6.0604166666666662E-3</v>
      </c>
      <c r="E79" s="12">
        <v>0.58179999999999998</v>
      </c>
      <c r="F79" s="11">
        <f>C79/4</f>
        <v>7.378472222222222E-4</v>
      </c>
      <c r="G79" s="11">
        <f>D79/7.5</f>
        <v>8.0805555555555546E-4</v>
      </c>
      <c r="H79" s="11">
        <f>B79/12.5</f>
        <v>8.3333333333333328E-4</v>
      </c>
      <c r="I79" s="11">
        <f>G79/0.93</f>
        <v>8.6887694145758646E-4</v>
      </c>
      <c r="J79" s="11">
        <f>G79/0.92</f>
        <v>8.7832125603864715E-4</v>
      </c>
      <c r="K79" s="11">
        <f>G79/0.88</f>
        <v>9.1824494949494938E-4</v>
      </c>
      <c r="L79" s="11">
        <f>G79/0.84</f>
        <v>9.6197089947089938E-4</v>
      </c>
      <c r="M79" s="25">
        <f>WO2025Jan7men1191517192325293133353941434547495557596365676971737577791317192123272933[[#This Row],[Thresh]]</f>
        <v>9.1824494949494938E-4</v>
      </c>
      <c r="N79" s="28">
        <f>WO2025Jan7men1191517192325293133353941434547495557596365676971737577791317192123272933[[#This Row],[Thresh]]*2.5</f>
        <v>2.2956123737373733E-3</v>
      </c>
      <c r="O79" s="25">
        <f>WO2025Jan7men1191517192325293133353941434547495557596365676971737577791317192123272933[[#This Row],[CV]]</f>
        <v>8.7832125603864715E-4</v>
      </c>
      <c r="P79" s="28">
        <f>WO2025Jan7men1191517192325293133353941434547495557596365676971737577791317192123272933[[#This Row],[CV]]*2.5</f>
        <v>2.195803140096618E-3</v>
      </c>
      <c r="Q79" s="25">
        <f>WO2025Jan7men1191517192325293133353941434547495557596365676971737577791317192123272933[[#This Row],[I]]</f>
        <v>8.3333333333333328E-4</v>
      </c>
      <c r="R79" s="28">
        <f>WO2025Jan7men1191517192325293133353941434547495557596365676971737577791317192123272933[[#This Row],[I]]*2.5</f>
        <v>2.0833333333333333E-3</v>
      </c>
      <c r="S79" s="25">
        <f>WO2025Jan7men1191517192325293133353941434547495557596365676971737577791317192123272933[[#This Row],[VO2]]</f>
        <v>8.0805555555555546E-4</v>
      </c>
      <c r="T79" s="25"/>
      <c r="U79" s="28"/>
      <c r="V79" s="28" t="s">
        <v>231</v>
      </c>
      <c r="W79" s="27" t="s">
        <v>35</v>
      </c>
      <c r="X79" s="52"/>
    </row>
    <row r="80" spans="1:24" ht="20.45" customHeight="1">
      <c r="A80" s="10" t="s">
        <v>87</v>
      </c>
      <c r="B80" s="11">
        <v>1.0532407407407407E-2</v>
      </c>
      <c r="C80" s="11">
        <v>2.9745370370370373E-3</v>
      </c>
      <c r="D80" s="11">
        <f t="shared" si="24"/>
        <v>6.1277546296296288E-3</v>
      </c>
      <c r="E80" s="12">
        <v>0.58179999999999998</v>
      </c>
      <c r="F80" s="11">
        <f t="shared" si="25"/>
        <v>7.4363425925925931E-4</v>
      </c>
      <c r="G80" s="11">
        <f t="shared" si="26"/>
        <v>8.1703395061728389E-4</v>
      </c>
      <c r="H80" s="11">
        <f t="shared" si="27"/>
        <v>8.4259259259259259E-4</v>
      </c>
      <c r="I80" s="11">
        <f t="shared" si="28"/>
        <v>8.7853112969600415E-4</v>
      </c>
      <c r="J80" s="11">
        <f t="shared" si="29"/>
        <v>8.8808038110574329E-4</v>
      </c>
      <c r="K80" s="11">
        <f t="shared" si="30"/>
        <v>9.2844767115600447E-4</v>
      </c>
      <c r="L80" s="11">
        <f t="shared" si="31"/>
        <v>9.7265946502057604E-4</v>
      </c>
      <c r="M80" s="25">
        <f>WO2025Jan7men1191517192325293133353941434547495557596365676971737577791317192123272933[[#This Row],[Thresh]]</f>
        <v>9.2844767115600447E-4</v>
      </c>
      <c r="N80" s="28">
        <f>WO2025Jan7men1191517192325293133353941434547495557596365676971737577791317192123272933[[#This Row],[Thresh]]*2.5</f>
        <v>2.3211191778900113E-3</v>
      </c>
      <c r="O80" s="25">
        <f>WO2025Jan7men1191517192325293133353941434547495557596365676971737577791317192123272933[[#This Row],[CV]]</f>
        <v>8.8808038110574329E-4</v>
      </c>
      <c r="P80" s="28">
        <f>WO2025Jan7men1191517192325293133353941434547495557596365676971737577791317192123272933[[#This Row],[CV]]*2.5</f>
        <v>2.2202009527643582E-3</v>
      </c>
      <c r="Q80" s="25">
        <f>WO2025Jan7men1191517192325293133353941434547495557596365676971737577791317192123272933[[#This Row],[I]]</f>
        <v>8.4259259259259259E-4</v>
      </c>
      <c r="R80" s="28">
        <f>WO2025Jan7men1191517192325293133353941434547495557596365676971737577791317192123272933[[#This Row],[I]]*2.5</f>
        <v>2.1064814814814813E-3</v>
      </c>
      <c r="S80" s="25">
        <f>WO2025Jan7men1191517192325293133353941434547495557596365676971737577791317192123272933[[#This Row],[VO2]]</f>
        <v>8.1703395061728389E-4</v>
      </c>
      <c r="T80" s="25"/>
      <c r="U80" s="28"/>
      <c r="V80" s="25"/>
      <c r="W80" s="15" t="s">
        <v>26</v>
      </c>
      <c r="X80" s="52"/>
    </row>
    <row r="81" spans="1:24" ht="20.45" customHeight="1">
      <c r="A81" s="10" t="s">
        <v>88</v>
      </c>
      <c r="B81" s="11">
        <v>1.0532407407407407E-2</v>
      </c>
      <c r="C81" s="11">
        <v>3.0671296296296297E-3</v>
      </c>
      <c r="D81" s="11">
        <f t="shared" ref="D81:D86" si="32">B81*E81</f>
        <v>6.1277546296296288E-3</v>
      </c>
      <c r="E81" s="12">
        <v>0.58179999999999998</v>
      </c>
      <c r="F81" s="11">
        <f t="shared" ref="F81:F86" si="33">C81/4</f>
        <v>7.6678240740740743E-4</v>
      </c>
      <c r="G81" s="11">
        <f t="shared" ref="G81:G86" si="34">D81/7.5</f>
        <v>8.1703395061728389E-4</v>
      </c>
      <c r="H81" s="11">
        <f t="shared" ref="H81:H86" si="35">B81/12.5</f>
        <v>8.4259259259259259E-4</v>
      </c>
      <c r="I81" s="11">
        <f t="shared" ref="I81:I86" si="36">G81/0.93</f>
        <v>8.7853112969600415E-4</v>
      </c>
      <c r="J81" s="11">
        <f t="shared" ref="J81:J86" si="37">G81/0.92</f>
        <v>8.8808038110574329E-4</v>
      </c>
      <c r="K81" s="11">
        <f t="shared" ref="K81:K86" si="38">G81/0.88</f>
        <v>9.2844767115600447E-4</v>
      </c>
      <c r="L81" s="11">
        <f t="shared" ref="L81:L86" si="39">G81/0.84</f>
        <v>9.7265946502057604E-4</v>
      </c>
      <c r="M81" s="25">
        <f>WO2025Jan7men1191517192325293133353941434547495557596365676971737577791317192123272933[[#This Row],[Thresh]]</f>
        <v>9.2844767115600447E-4</v>
      </c>
      <c r="N81" s="28">
        <f>WO2025Jan7men1191517192325293133353941434547495557596365676971737577791317192123272933[[#This Row],[Thresh]]*2.5</f>
        <v>2.3211191778900113E-3</v>
      </c>
      <c r="O81" s="25">
        <f>WO2025Jan7men1191517192325293133353941434547495557596365676971737577791317192123272933[[#This Row],[CV]]</f>
        <v>8.8808038110574329E-4</v>
      </c>
      <c r="P81" s="28">
        <f>WO2025Jan7men1191517192325293133353941434547495557596365676971737577791317192123272933[[#This Row],[CV]]*2.5</f>
        <v>2.2202009527643582E-3</v>
      </c>
      <c r="Q81" s="25">
        <f>WO2025Jan7men1191517192325293133353941434547495557596365676971737577791317192123272933[[#This Row],[I]]</f>
        <v>8.4259259259259259E-4</v>
      </c>
      <c r="R81" s="28">
        <f>WO2025Jan7men1191517192325293133353941434547495557596365676971737577791317192123272933[[#This Row],[I]]*2.5</f>
        <v>2.1064814814814813E-3</v>
      </c>
      <c r="S81" s="25">
        <f>WO2025Jan7men1191517192325293133353941434547495557596365676971737577791317192123272933[[#This Row],[VO2]]</f>
        <v>8.1703395061728389E-4</v>
      </c>
      <c r="T81" s="25"/>
      <c r="U81" s="28"/>
      <c r="V81" s="44"/>
      <c r="W81" s="28" t="s">
        <v>26</v>
      </c>
      <c r="X81" s="52"/>
    </row>
    <row r="82" spans="1:24" ht="20.45" customHeight="1">
      <c r="A82" s="10" t="s">
        <v>121</v>
      </c>
      <c r="B82" s="11">
        <v>1.0532407407407407E-2</v>
      </c>
      <c r="C82" s="11"/>
      <c r="D82" s="11">
        <f t="shared" si="32"/>
        <v>6.1277546296296288E-3</v>
      </c>
      <c r="E82" s="12">
        <v>0.58179999999999998</v>
      </c>
      <c r="F82" s="11">
        <f t="shared" si="33"/>
        <v>0</v>
      </c>
      <c r="G82" s="11">
        <f t="shared" si="34"/>
        <v>8.1703395061728389E-4</v>
      </c>
      <c r="H82" s="11">
        <f t="shared" si="35"/>
        <v>8.4259259259259259E-4</v>
      </c>
      <c r="I82" s="11">
        <f t="shared" si="36"/>
        <v>8.7853112969600415E-4</v>
      </c>
      <c r="J82" s="11">
        <f t="shared" si="37"/>
        <v>8.8808038110574329E-4</v>
      </c>
      <c r="K82" s="11">
        <f t="shared" si="38"/>
        <v>9.2844767115600447E-4</v>
      </c>
      <c r="L82" s="11">
        <f t="shared" si="39"/>
        <v>9.7265946502057604E-4</v>
      </c>
      <c r="M82" s="25">
        <f>WO2025Jan7men1191517192325293133353941434547495557596365676971737577791317192123272933[[#This Row],[Thresh]]</f>
        <v>9.2844767115600447E-4</v>
      </c>
      <c r="N82" s="28">
        <f>WO2025Jan7men1191517192325293133353941434547495557596365676971737577791317192123272933[[#This Row],[Thresh]]*2.5</f>
        <v>2.3211191778900113E-3</v>
      </c>
      <c r="O82" s="25">
        <f>WO2025Jan7men1191517192325293133353941434547495557596365676971737577791317192123272933[[#This Row],[CV]]</f>
        <v>8.8808038110574329E-4</v>
      </c>
      <c r="P82" s="28">
        <f>WO2025Jan7men1191517192325293133353941434547495557596365676971737577791317192123272933[[#This Row],[CV]]*2.5</f>
        <v>2.2202009527643582E-3</v>
      </c>
      <c r="Q82" s="25">
        <f>WO2025Jan7men1191517192325293133353941434547495557596365676971737577791317192123272933[[#This Row],[I]]</f>
        <v>8.4259259259259259E-4</v>
      </c>
      <c r="R82" s="28">
        <f>WO2025Jan7men1191517192325293133353941434547495557596365676971737577791317192123272933[[#This Row],[I]]*2.5</f>
        <v>2.1064814814814813E-3</v>
      </c>
      <c r="S82" s="25">
        <f>WO2025Jan7men1191517192325293133353941434547495557596365676971737577791317192123272933[[#This Row],[VO2]]</f>
        <v>8.1703395061728389E-4</v>
      </c>
      <c r="T82" s="25"/>
      <c r="U82" s="28"/>
      <c r="V82" s="28"/>
      <c r="W82" s="27" t="s">
        <v>35</v>
      </c>
      <c r="X82" s="52"/>
    </row>
    <row r="83" spans="1:24" ht="20.45" customHeight="1">
      <c r="A83" s="10" t="s">
        <v>122</v>
      </c>
      <c r="B83" s="11">
        <v>1.0532407407407407E-2</v>
      </c>
      <c r="C83" s="11">
        <v>3.0671296296296297E-3</v>
      </c>
      <c r="D83" s="11">
        <f t="shared" si="32"/>
        <v>6.1277546296296288E-3</v>
      </c>
      <c r="E83" s="12">
        <v>0.58179999999999998</v>
      </c>
      <c r="F83" s="11">
        <f t="shared" si="33"/>
        <v>7.6678240740740743E-4</v>
      </c>
      <c r="G83" s="11">
        <f t="shared" si="34"/>
        <v>8.1703395061728389E-4</v>
      </c>
      <c r="H83" s="11">
        <f t="shared" si="35"/>
        <v>8.4259259259259259E-4</v>
      </c>
      <c r="I83" s="11">
        <f t="shared" si="36"/>
        <v>8.7853112969600415E-4</v>
      </c>
      <c r="J83" s="11">
        <f t="shared" si="37"/>
        <v>8.8808038110574329E-4</v>
      </c>
      <c r="K83" s="11">
        <f t="shared" si="38"/>
        <v>9.2844767115600447E-4</v>
      </c>
      <c r="L83" s="11">
        <f t="shared" si="39"/>
        <v>9.7265946502057604E-4</v>
      </c>
      <c r="M83" s="25">
        <f>WO2025Jan7men1191517192325293133353941434547495557596365676971737577791317192123272933[[#This Row],[Thresh]]</f>
        <v>9.2844767115600447E-4</v>
      </c>
      <c r="N83" s="28">
        <f>WO2025Jan7men1191517192325293133353941434547495557596365676971737577791317192123272933[[#This Row],[Thresh]]*2.5</f>
        <v>2.3211191778900113E-3</v>
      </c>
      <c r="O83" s="25">
        <f>WO2025Jan7men1191517192325293133353941434547495557596365676971737577791317192123272933[[#This Row],[CV]]</f>
        <v>8.8808038110574329E-4</v>
      </c>
      <c r="P83" s="28">
        <f>WO2025Jan7men1191517192325293133353941434547495557596365676971737577791317192123272933[[#This Row],[CV]]*2.5</f>
        <v>2.2202009527643582E-3</v>
      </c>
      <c r="Q83" s="25">
        <f>WO2025Jan7men1191517192325293133353941434547495557596365676971737577791317192123272933[[#This Row],[I]]</f>
        <v>8.4259259259259259E-4</v>
      </c>
      <c r="R83" s="28">
        <f>WO2025Jan7men1191517192325293133353941434547495557596365676971737577791317192123272933[[#This Row],[I]]*2.5</f>
        <v>2.1064814814814813E-3</v>
      </c>
      <c r="S83" s="25">
        <f>WO2025Jan7men1191517192325293133353941434547495557596365676971737577791317192123272933[[#This Row],[VO2]]</f>
        <v>8.1703395061728389E-4</v>
      </c>
      <c r="T83" s="25"/>
      <c r="U83" s="28"/>
      <c r="V83" s="28" t="s">
        <v>231</v>
      </c>
      <c r="W83" s="15" t="s">
        <v>35</v>
      </c>
      <c r="X83" s="52"/>
    </row>
    <row r="84" spans="1:24" ht="20.45" customHeight="1">
      <c r="A84" s="10" t="s">
        <v>106</v>
      </c>
      <c r="B84" s="11">
        <v>1.0532407407407407E-2</v>
      </c>
      <c r="C84" s="11">
        <v>2.9745370370370373E-3</v>
      </c>
      <c r="D84" s="11">
        <f t="shared" si="32"/>
        <v>6.1277546296296288E-3</v>
      </c>
      <c r="E84" s="12">
        <v>0.58179999999999998</v>
      </c>
      <c r="F84" s="11">
        <f t="shared" si="33"/>
        <v>7.4363425925925931E-4</v>
      </c>
      <c r="G84" s="11">
        <f t="shared" si="34"/>
        <v>8.1703395061728389E-4</v>
      </c>
      <c r="H84" s="11">
        <f t="shared" si="35"/>
        <v>8.4259259259259259E-4</v>
      </c>
      <c r="I84" s="11">
        <f t="shared" si="36"/>
        <v>8.7853112969600415E-4</v>
      </c>
      <c r="J84" s="11">
        <f t="shared" si="37"/>
        <v>8.8808038110574329E-4</v>
      </c>
      <c r="K84" s="11">
        <f t="shared" si="38"/>
        <v>9.2844767115600447E-4</v>
      </c>
      <c r="L84" s="11">
        <f t="shared" si="39"/>
        <v>9.7265946502057604E-4</v>
      </c>
      <c r="M84" s="25">
        <f>WO2025Jan7men1191517192325293133353941434547495557596365676971737577791317192123272933[[#This Row],[Thresh]]</f>
        <v>9.2844767115600447E-4</v>
      </c>
      <c r="N84" s="28">
        <f>WO2025Jan7men1191517192325293133353941434547495557596365676971737577791317192123272933[[#This Row],[Thresh]]*2.5</f>
        <v>2.3211191778900113E-3</v>
      </c>
      <c r="O84" s="25">
        <f>WO2025Jan7men1191517192325293133353941434547495557596365676971737577791317192123272933[[#This Row],[CV]]</f>
        <v>8.8808038110574329E-4</v>
      </c>
      <c r="P84" s="28">
        <f>WO2025Jan7men1191517192325293133353941434547495557596365676971737577791317192123272933[[#This Row],[CV]]*2.5</f>
        <v>2.2202009527643582E-3</v>
      </c>
      <c r="Q84" s="25">
        <f>WO2025Jan7men1191517192325293133353941434547495557596365676971737577791317192123272933[[#This Row],[I]]</f>
        <v>8.4259259259259259E-4</v>
      </c>
      <c r="R84" s="28">
        <f>WO2025Jan7men1191517192325293133353941434547495557596365676971737577791317192123272933[[#This Row],[I]]*2.5</f>
        <v>2.1064814814814813E-3</v>
      </c>
      <c r="S84" s="25">
        <f>WO2025Jan7men1191517192325293133353941434547495557596365676971737577791317192123272933[[#This Row],[VO2]]</f>
        <v>8.1703395061728389E-4</v>
      </c>
      <c r="T84" s="25"/>
      <c r="U84" s="28"/>
      <c r="V84" s="25"/>
      <c r="W84" s="15" t="s">
        <v>35</v>
      </c>
      <c r="X84" s="52"/>
    </row>
    <row r="85" spans="1:24" ht="20.45" customHeight="1">
      <c r="A85" s="10" t="s">
        <v>123</v>
      </c>
      <c r="B85" s="11">
        <v>1.0590277777777778E-2</v>
      </c>
      <c r="C85" s="11">
        <v>3.1828703703703702E-3</v>
      </c>
      <c r="D85" s="11">
        <f t="shared" si="32"/>
        <v>6.1614236111111114E-3</v>
      </c>
      <c r="E85" s="12">
        <v>0.58179999999999998</v>
      </c>
      <c r="F85" s="11">
        <f t="shared" si="33"/>
        <v>7.9571759259259255E-4</v>
      </c>
      <c r="G85" s="11">
        <f t="shared" si="34"/>
        <v>8.2152314814814816E-4</v>
      </c>
      <c r="H85" s="11">
        <f t="shared" si="35"/>
        <v>8.472222222222223E-4</v>
      </c>
      <c r="I85" s="11">
        <f t="shared" si="36"/>
        <v>8.8335822381521299E-4</v>
      </c>
      <c r="J85" s="11">
        <f t="shared" si="37"/>
        <v>8.9295994363929141E-4</v>
      </c>
      <c r="K85" s="11">
        <f t="shared" si="38"/>
        <v>9.3354903198653201E-4</v>
      </c>
      <c r="L85" s="11">
        <f t="shared" si="39"/>
        <v>9.7800374779541442E-4</v>
      </c>
      <c r="M85" s="25">
        <f>WO2025Jan7men1191517192325293133353941434547495557596365676971737577791317192123272933[[#This Row],[Thresh]]</f>
        <v>9.3354903198653201E-4</v>
      </c>
      <c r="N85" s="28">
        <f>WO2025Jan7men1191517192325293133353941434547495557596365676971737577791317192123272933[[#This Row],[Thresh]]*2.5</f>
        <v>2.33387257996633E-3</v>
      </c>
      <c r="O85" s="25">
        <f>WO2025Jan7men1191517192325293133353941434547495557596365676971737577791317192123272933[[#This Row],[CV]]</f>
        <v>8.9295994363929141E-4</v>
      </c>
      <c r="P85" s="28">
        <f>WO2025Jan7men1191517192325293133353941434547495557596365676971737577791317192123272933[[#This Row],[CV]]*2.5</f>
        <v>2.2323998590982287E-3</v>
      </c>
      <c r="Q85" s="25">
        <f>WO2025Jan7men1191517192325293133353941434547495557596365676971737577791317192123272933[[#This Row],[I]]</f>
        <v>8.472222222222223E-4</v>
      </c>
      <c r="R85" s="28">
        <f>WO2025Jan7men1191517192325293133353941434547495557596365676971737577791317192123272933[[#This Row],[I]]*2.5</f>
        <v>2.1180555555555558E-3</v>
      </c>
      <c r="S85" s="25">
        <f>WO2025Jan7men1191517192325293133353941434547495557596365676971737577791317192123272933[[#This Row],[VO2]]</f>
        <v>8.2152314814814816E-4</v>
      </c>
      <c r="T85" s="25"/>
      <c r="U85" s="28"/>
      <c r="V85" s="28"/>
      <c r="W85" s="15" t="s">
        <v>26</v>
      </c>
      <c r="X85" s="52"/>
    </row>
    <row r="86" spans="1:24" ht="20.45" customHeight="1" thickBot="1">
      <c r="A86" s="10" t="s">
        <v>91</v>
      </c>
      <c r="B86" s="11">
        <v>1.0590277777777778E-2</v>
      </c>
      <c r="C86" s="11">
        <v>3.1249999999999997E-3</v>
      </c>
      <c r="D86" s="11">
        <f t="shared" si="32"/>
        <v>6.1614236111111114E-3</v>
      </c>
      <c r="E86" s="12">
        <v>0.58179999999999998</v>
      </c>
      <c r="F86" s="11">
        <f t="shared" si="33"/>
        <v>7.8124999999999993E-4</v>
      </c>
      <c r="G86" s="11">
        <f t="shared" si="34"/>
        <v>8.2152314814814816E-4</v>
      </c>
      <c r="H86" s="11">
        <f t="shared" si="35"/>
        <v>8.472222222222223E-4</v>
      </c>
      <c r="I86" s="11">
        <f t="shared" si="36"/>
        <v>8.8335822381521299E-4</v>
      </c>
      <c r="J86" s="11">
        <f t="shared" si="37"/>
        <v>8.9295994363929141E-4</v>
      </c>
      <c r="K86" s="11">
        <f t="shared" si="38"/>
        <v>9.3354903198653201E-4</v>
      </c>
      <c r="L86" s="11">
        <f t="shared" si="39"/>
        <v>9.7800374779541442E-4</v>
      </c>
      <c r="M86" s="25">
        <f>WO2025Jan7men1191517192325293133353941434547495557596365676971737577791317192123272933[[#This Row],[Thresh]]</f>
        <v>9.3354903198653201E-4</v>
      </c>
      <c r="N86" s="28">
        <f>WO2025Jan7men1191517192325293133353941434547495557596365676971737577791317192123272933[[#This Row],[Thresh]]*2.5</f>
        <v>2.33387257996633E-3</v>
      </c>
      <c r="O86" s="25">
        <f>WO2025Jan7men1191517192325293133353941434547495557596365676971737577791317192123272933[[#This Row],[CV]]</f>
        <v>8.9295994363929141E-4</v>
      </c>
      <c r="P86" s="28">
        <f>WO2025Jan7men1191517192325293133353941434547495557596365676971737577791317192123272933[[#This Row],[CV]]*2.5</f>
        <v>2.2323998590982287E-3</v>
      </c>
      <c r="Q86" s="25">
        <f>WO2025Jan7men1191517192325293133353941434547495557596365676971737577791317192123272933[[#This Row],[I]]</f>
        <v>8.472222222222223E-4</v>
      </c>
      <c r="R86" s="28">
        <f>WO2025Jan7men1191517192325293133353941434547495557596365676971737577791317192123272933[[#This Row],[I]]*2.5</f>
        <v>2.1180555555555558E-3</v>
      </c>
      <c r="S86" s="25">
        <f>WO2025Jan7men1191517192325293133353941434547495557596365676971737577791317192123272933[[#This Row],[VO2]]</f>
        <v>8.2152314814814816E-4</v>
      </c>
      <c r="T86" s="25"/>
      <c r="U86" s="28"/>
      <c r="V86" s="25"/>
      <c r="W86" s="15" t="s">
        <v>26</v>
      </c>
      <c r="X86" s="52"/>
    </row>
    <row r="87" spans="1:24" ht="20.45" customHeight="1">
      <c r="A87" s="1" t="s">
        <v>228</v>
      </c>
      <c r="B87" s="6"/>
      <c r="C87" s="6"/>
      <c r="D87" s="6"/>
      <c r="E87" s="20"/>
      <c r="F87" s="6"/>
      <c r="G87" s="6"/>
      <c r="H87" s="6"/>
      <c r="I87" s="6"/>
      <c r="J87" s="6"/>
      <c r="K87" s="6"/>
      <c r="L87" s="6"/>
      <c r="M87" s="6" t="s">
        <v>12</v>
      </c>
      <c r="N87" s="6" t="s">
        <v>13</v>
      </c>
      <c r="O87" s="6" t="s">
        <v>14</v>
      </c>
      <c r="P87" s="6" t="s">
        <v>161</v>
      </c>
      <c r="Q87" s="6" t="s">
        <v>17</v>
      </c>
      <c r="R87" s="6" t="s">
        <v>199</v>
      </c>
      <c r="S87" s="6" t="s">
        <v>158</v>
      </c>
      <c r="T87" s="6"/>
      <c r="U87" s="6"/>
      <c r="V87" s="23"/>
      <c r="W87" s="35"/>
      <c r="X87" s="52"/>
    </row>
    <row r="88" spans="1:24" ht="20.45" customHeight="1">
      <c r="A88" s="10" t="s">
        <v>90</v>
      </c>
      <c r="B88" s="11">
        <v>1.0590277777777778E-2</v>
      </c>
      <c r="C88" s="11">
        <v>3.0671296296296297E-3</v>
      </c>
      <c r="D88" s="11">
        <f>B88*E88</f>
        <v>6.1614236111111114E-3</v>
      </c>
      <c r="E88" s="12">
        <v>0.58179999999999998</v>
      </c>
      <c r="F88" s="11">
        <f>C88/4</f>
        <v>7.6678240740740743E-4</v>
      </c>
      <c r="G88" s="11">
        <f>D88/7.5</f>
        <v>8.2152314814814816E-4</v>
      </c>
      <c r="H88" s="11">
        <f>B88/12.5</f>
        <v>8.472222222222223E-4</v>
      </c>
      <c r="I88" s="11">
        <f>G88/0.93</f>
        <v>8.8335822381521299E-4</v>
      </c>
      <c r="J88" s="11">
        <f>G88/0.92</f>
        <v>8.9295994363929141E-4</v>
      </c>
      <c r="K88" s="11">
        <f>G88/0.88</f>
        <v>9.3354903198653201E-4</v>
      </c>
      <c r="L88" s="17">
        <f>G88/0.84</f>
        <v>9.7800374779541442E-4</v>
      </c>
      <c r="M88" s="25">
        <f>WO2025Jan7men1191517192325293133353941434547495557596365676971737577791317192123272933[[#This Row],[Thresh]]</f>
        <v>9.3354903198653201E-4</v>
      </c>
      <c r="N88" s="28">
        <f>WO2025Jan7men1191517192325293133353941434547495557596365676971737577791317192123272933[[#This Row],[Thresh]]*2.5</f>
        <v>2.33387257996633E-3</v>
      </c>
      <c r="O88" s="25">
        <f>WO2025Jan7men1191517192325293133353941434547495557596365676971737577791317192123272933[[#This Row],[CV]]</f>
        <v>8.9295994363929141E-4</v>
      </c>
      <c r="P88" s="28">
        <f>WO2025Jan7men1191517192325293133353941434547495557596365676971737577791317192123272933[[#This Row],[CV]]*2.5</f>
        <v>2.2323998590982287E-3</v>
      </c>
      <c r="Q88" s="25">
        <f>WO2025Jan7men1191517192325293133353941434547495557596365676971737577791317192123272933[[#This Row],[I]]</f>
        <v>8.472222222222223E-4</v>
      </c>
      <c r="R88" s="28">
        <f>WO2025Jan7men1191517192325293133353941434547495557596365676971737577791317192123272933[[#This Row],[I]]*2.5</f>
        <v>2.1180555555555558E-3</v>
      </c>
      <c r="S88" s="25">
        <f>WO2025Jan7men1191517192325293133353941434547495557596365676971737577791317192123272933[[#This Row],[VO2]]</f>
        <v>8.2152314814814816E-4</v>
      </c>
      <c r="T88" s="25"/>
      <c r="U88" s="28"/>
      <c r="V88" s="25"/>
      <c r="W88" s="15" t="s">
        <v>26</v>
      </c>
      <c r="X88" s="52" t="s">
        <v>233</v>
      </c>
    </row>
    <row r="89" spans="1:24" ht="20.45" customHeight="1">
      <c r="A89" s="10" t="s">
        <v>124</v>
      </c>
      <c r="B89" s="11">
        <v>1.0590277777777778E-2</v>
      </c>
      <c r="C89" s="11"/>
      <c r="D89" s="11">
        <f>B89*E89</f>
        <v>6.1614236111111114E-3</v>
      </c>
      <c r="E89" s="12">
        <v>0.58179999999999998</v>
      </c>
      <c r="F89" s="11">
        <f>C89/4</f>
        <v>0</v>
      </c>
      <c r="G89" s="11">
        <f>D89/7.5</f>
        <v>8.2152314814814816E-4</v>
      </c>
      <c r="H89" s="11">
        <f>B89/12.5</f>
        <v>8.472222222222223E-4</v>
      </c>
      <c r="I89" s="11">
        <f>G89/0.93</f>
        <v>8.8335822381521299E-4</v>
      </c>
      <c r="J89" s="11">
        <f>G89/0.92</f>
        <v>8.9295994363929141E-4</v>
      </c>
      <c r="K89" s="11">
        <f>G89/0.88</f>
        <v>9.3354903198653201E-4</v>
      </c>
      <c r="L89" s="11">
        <f>G89/0.84</f>
        <v>9.7800374779541442E-4</v>
      </c>
      <c r="M89" s="25">
        <f>WO2025Jan7men1191517192325293133353941434547495557596365676971737577791317192123272933[[#This Row],[Thresh]]</f>
        <v>9.3354903198653201E-4</v>
      </c>
      <c r="N89" s="28">
        <f>WO2025Jan7men1191517192325293133353941434547495557596365676971737577791317192123272933[[#This Row],[Thresh]]*2.5</f>
        <v>2.33387257996633E-3</v>
      </c>
      <c r="O89" s="25">
        <f>WO2025Jan7men1191517192325293133353941434547495557596365676971737577791317192123272933[[#This Row],[CV]]</f>
        <v>8.9295994363929141E-4</v>
      </c>
      <c r="P89" s="28">
        <f>WO2025Jan7men1191517192325293133353941434547495557596365676971737577791317192123272933[[#This Row],[CV]]*2.5</f>
        <v>2.2323998590982287E-3</v>
      </c>
      <c r="Q89" s="25">
        <f>WO2025Jan7men1191517192325293133353941434547495557596365676971737577791317192123272933[[#This Row],[I]]</f>
        <v>8.472222222222223E-4</v>
      </c>
      <c r="R89" s="28">
        <f>WO2025Jan7men1191517192325293133353941434547495557596365676971737577791317192123272933[[#This Row],[I]]*2.5</f>
        <v>2.1180555555555558E-3</v>
      </c>
      <c r="S89" s="25">
        <f>WO2025Jan7men1191517192325293133353941434547495557596365676971737577791317192123272933[[#This Row],[VO2]]</f>
        <v>8.2152314814814816E-4</v>
      </c>
      <c r="T89" s="25"/>
      <c r="U89" s="28"/>
      <c r="V89" s="28"/>
      <c r="W89" s="27" t="s">
        <v>26</v>
      </c>
      <c r="X89" s="52"/>
    </row>
    <row r="90" spans="1:24" ht="20.45" customHeight="1">
      <c r="A90" s="10" t="s">
        <v>129</v>
      </c>
      <c r="B90" s="11">
        <v>1.0648148148148148E-2</v>
      </c>
      <c r="C90" s="11">
        <v>3.0092592592592593E-3</v>
      </c>
      <c r="D90" s="11">
        <f t="shared" si="24"/>
        <v>6.1950925925925923E-3</v>
      </c>
      <c r="E90" s="12">
        <v>0.58179999999999998</v>
      </c>
      <c r="F90" s="11">
        <f t="shared" si="25"/>
        <v>7.5231481481481482E-4</v>
      </c>
      <c r="G90" s="11">
        <f t="shared" si="26"/>
        <v>8.2601234567901232E-4</v>
      </c>
      <c r="H90" s="11">
        <f t="shared" si="27"/>
        <v>8.5185185185185179E-4</v>
      </c>
      <c r="I90" s="11">
        <f t="shared" si="28"/>
        <v>8.8818531793442184E-4</v>
      </c>
      <c r="J90" s="11">
        <f t="shared" si="29"/>
        <v>8.9783950617283942E-4</v>
      </c>
      <c r="K90" s="11">
        <f t="shared" si="30"/>
        <v>9.3865039281705945E-4</v>
      </c>
      <c r="L90" s="11">
        <f t="shared" si="31"/>
        <v>9.833480305702527E-4</v>
      </c>
      <c r="M90" s="25">
        <f>WO2025Jan7men1191517192325293133353941434547495557596365676971737577791317192123272933[[#This Row],[Thresh]]</f>
        <v>9.3865039281705945E-4</v>
      </c>
      <c r="N90" s="28">
        <f>WO2025Jan7men1191517192325293133353941434547495557596365676971737577791317192123272933[[#This Row],[Thresh]]*2.5</f>
        <v>2.3466259820426488E-3</v>
      </c>
      <c r="O90" s="25">
        <f>WO2025Jan7men1191517192325293133353941434547495557596365676971737577791317192123272933[[#This Row],[CV]]</f>
        <v>8.9783950617283942E-4</v>
      </c>
      <c r="P90" s="28">
        <f>WO2025Jan7men1191517192325293133353941434547495557596365676971737577791317192123272933[[#This Row],[CV]]*2.5</f>
        <v>2.2445987654320983E-3</v>
      </c>
      <c r="Q90" s="25">
        <f>WO2025Jan7men1191517192325293133353941434547495557596365676971737577791317192123272933[[#This Row],[I]]</f>
        <v>8.5185185185185179E-4</v>
      </c>
      <c r="R90" s="28">
        <f>WO2025Jan7men1191517192325293133353941434547495557596365676971737577791317192123272933[[#This Row],[I]]*2.5</f>
        <v>2.1296296296296293E-3</v>
      </c>
      <c r="S90" s="25">
        <f>WO2025Jan7men1191517192325293133353941434547495557596365676971737577791317192123272933[[#This Row],[VO2]]</f>
        <v>8.2601234567901232E-4</v>
      </c>
      <c r="T90" s="25"/>
      <c r="U90" s="28"/>
      <c r="V90" s="25"/>
      <c r="W90" s="15" t="s">
        <v>35</v>
      </c>
      <c r="X90" s="52"/>
    </row>
    <row r="91" spans="1:24" ht="20.45" customHeight="1">
      <c r="A91" s="10" t="s">
        <v>125</v>
      </c>
      <c r="B91" s="11">
        <v>1.0648148148148148E-2</v>
      </c>
      <c r="C91" s="11"/>
      <c r="D91" s="11">
        <f t="shared" si="24"/>
        <v>6.1950925925925923E-3</v>
      </c>
      <c r="E91" s="12">
        <v>0.58179999999999998</v>
      </c>
      <c r="F91" s="11">
        <f t="shared" si="25"/>
        <v>0</v>
      </c>
      <c r="G91" s="11">
        <f t="shared" si="26"/>
        <v>8.2601234567901232E-4</v>
      </c>
      <c r="H91" s="11">
        <f t="shared" si="27"/>
        <v>8.5185185185185179E-4</v>
      </c>
      <c r="I91" s="11">
        <f t="shared" si="28"/>
        <v>8.8818531793442184E-4</v>
      </c>
      <c r="J91" s="11">
        <f t="shared" si="29"/>
        <v>8.9783950617283942E-4</v>
      </c>
      <c r="K91" s="11">
        <f t="shared" si="30"/>
        <v>9.3865039281705945E-4</v>
      </c>
      <c r="L91" s="11">
        <f t="shared" si="31"/>
        <v>9.833480305702527E-4</v>
      </c>
      <c r="M91" s="25">
        <f>WO2025Jan7men1191517192325293133353941434547495557596365676971737577791317192123272933[[#This Row],[Thresh]]</f>
        <v>9.3865039281705945E-4</v>
      </c>
      <c r="N91" s="28">
        <f>WO2025Jan7men1191517192325293133353941434547495557596365676971737577791317192123272933[[#This Row],[Thresh]]*2.5</f>
        <v>2.3466259820426488E-3</v>
      </c>
      <c r="O91" s="25">
        <f>WO2025Jan7men1191517192325293133353941434547495557596365676971737577791317192123272933[[#This Row],[CV]]</f>
        <v>8.9783950617283942E-4</v>
      </c>
      <c r="P91" s="28">
        <f>WO2025Jan7men1191517192325293133353941434547495557596365676971737577791317192123272933[[#This Row],[CV]]*2.5</f>
        <v>2.2445987654320983E-3</v>
      </c>
      <c r="Q91" s="25">
        <f>WO2025Jan7men1191517192325293133353941434547495557596365676971737577791317192123272933[[#This Row],[I]]</f>
        <v>8.5185185185185179E-4</v>
      </c>
      <c r="R91" s="28">
        <f>WO2025Jan7men1191517192325293133353941434547495557596365676971737577791317192123272933[[#This Row],[I]]*2.5</f>
        <v>2.1296296296296293E-3</v>
      </c>
      <c r="S91" s="25">
        <f>WO2025Jan7men1191517192325293133353941434547495557596365676971737577791317192123272933[[#This Row],[VO2]]</f>
        <v>8.2601234567901232E-4</v>
      </c>
      <c r="T91" s="25"/>
      <c r="U91" s="28"/>
      <c r="V91" s="28"/>
      <c r="W91" s="15" t="s">
        <v>26</v>
      </c>
      <c r="X91" s="52"/>
    </row>
    <row r="92" spans="1:24" ht="20.45" customHeight="1">
      <c r="A92" s="10" t="s">
        <v>126</v>
      </c>
      <c r="B92" s="11">
        <v>1.0648148148148148E-2</v>
      </c>
      <c r="C92" s="11"/>
      <c r="D92" s="11">
        <f t="shared" si="24"/>
        <v>6.1950925925925923E-3</v>
      </c>
      <c r="E92" s="12">
        <v>0.58179999999999998</v>
      </c>
      <c r="F92" s="11">
        <f t="shared" si="25"/>
        <v>0</v>
      </c>
      <c r="G92" s="11">
        <f t="shared" si="26"/>
        <v>8.2601234567901232E-4</v>
      </c>
      <c r="H92" s="11">
        <f t="shared" si="27"/>
        <v>8.5185185185185179E-4</v>
      </c>
      <c r="I92" s="11">
        <f t="shared" si="28"/>
        <v>8.8818531793442184E-4</v>
      </c>
      <c r="J92" s="11">
        <f t="shared" si="29"/>
        <v>8.9783950617283942E-4</v>
      </c>
      <c r="K92" s="11">
        <f t="shared" si="30"/>
        <v>9.3865039281705945E-4</v>
      </c>
      <c r="L92" s="11">
        <f t="shared" si="31"/>
        <v>9.833480305702527E-4</v>
      </c>
      <c r="M92" s="25">
        <f>WO2025Jan7men1191517192325293133353941434547495557596365676971737577791317192123272933[[#This Row],[Thresh]]</f>
        <v>9.3865039281705945E-4</v>
      </c>
      <c r="N92" s="28">
        <f>WO2025Jan7men1191517192325293133353941434547495557596365676971737577791317192123272933[[#This Row],[Thresh]]*2.5</f>
        <v>2.3466259820426488E-3</v>
      </c>
      <c r="O92" s="25">
        <f>WO2025Jan7men1191517192325293133353941434547495557596365676971737577791317192123272933[[#This Row],[CV]]</f>
        <v>8.9783950617283942E-4</v>
      </c>
      <c r="P92" s="28">
        <f>WO2025Jan7men1191517192325293133353941434547495557596365676971737577791317192123272933[[#This Row],[CV]]*2.5</f>
        <v>2.2445987654320983E-3</v>
      </c>
      <c r="Q92" s="25">
        <f>WO2025Jan7men1191517192325293133353941434547495557596365676971737577791317192123272933[[#This Row],[I]]</f>
        <v>8.5185185185185179E-4</v>
      </c>
      <c r="R92" s="28">
        <f>WO2025Jan7men1191517192325293133353941434547495557596365676971737577791317192123272933[[#This Row],[I]]*2.5</f>
        <v>2.1296296296296293E-3</v>
      </c>
      <c r="S92" s="25">
        <f>WO2025Jan7men1191517192325293133353941434547495557596365676971737577791317192123272933[[#This Row],[VO2]]</f>
        <v>8.2601234567901232E-4</v>
      </c>
      <c r="T92" s="25"/>
      <c r="U92" s="28"/>
      <c r="V92" s="28"/>
      <c r="W92" s="27" t="s">
        <v>35</v>
      </c>
      <c r="X92" s="52"/>
    </row>
    <row r="93" spans="1:24" ht="20.45" customHeight="1">
      <c r="A93" s="10" t="s">
        <v>127</v>
      </c>
      <c r="B93" s="11">
        <v>1.0648148148148148E-2</v>
      </c>
      <c r="C93" s="11">
        <v>2.9513888888888888E-3</v>
      </c>
      <c r="D93" s="11">
        <f>B93*E93</f>
        <v>6.1950925925925923E-3</v>
      </c>
      <c r="E93" s="12">
        <v>0.58179999999999998</v>
      </c>
      <c r="F93" s="11">
        <f>C93/4</f>
        <v>7.378472222222222E-4</v>
      </c>
      <c r="G93" s="11">
        <f>D93/7.5</f>
        <v>8.2601234567901232E-4</v>
      </c>
      <c r="H93" s="11">
        <f>B93/12.5</f>
        <v>8.5185185185185179E-4</v>
      </c>
      <c r="I93" s="11">
        <f>G93/0.93</f>
        <v>8.8818531793442184E-4</v>
      </c>
      <c r="J93" s="11">
        <f>G93/0.92</f>
        <v>8.9783950617283942E-4</v>
      </c>
      <c r="K93" s="11">
        <f>G93/0.88</f>
        <v>9.3865039281705945E-4</v>
      </c>
      <c r="L93" s="11">
        <f>G93/0.84</f>
        <v>9.833480305702527E-4</v>
      </c>
      <c r="M93" s="25">
        <f>WO2025Jan7men1191517192325293133353941434547495557596365676971737577791317192123272933[[#This Row],[Thresh]]</f>
        <v>9.3865039281705945E-4</v>
      </c>
      <c r="N93" s="28">
        <f>WO2025Jan7men1191517192325293133353941434547495557596365676971737577791317192123272933[[#This Row],[Thresh]]*2.5</f>
        <v>2.3466259820426488E-3</v>
      </c>
      <c r="O93" s="25">
        <f>WO2025Jan7men1191517192325293133353941434547495557596365676971737577791317192123272933[[#This Row],[CV]]</f>
        <v>8.9783950617283942E-4</v>
      </c>
      <c r="P93" s="28">
        <f>WO2025Jan7men1191517192325293133353941434547495557596365676971737577791317192123272933[[#This Row],[CV]]*2.5</f>
        <v>2.2445987654320983E-3</v>
      </c>
      <c r="Q93" s="25">
        <f>WO2025Jan7men1191517192325293133353941434547495557596365676971737577791317192123272933[[#This Row],[I]]</f>
        <v>8.5185185185185179E-4</v>
      </c>
      <c r="R93" s="28">
        <f>WO2025Jan7men1191517192325293133353941434547495557596365676971737577791317192123272933[[#This Row],[I]]*2.5</f>
        <v>2.1296296296296293E-3</v>
      </c>
      <c r="S93" s="25">
        <f>WO2025Jan7men1191517192325293133353941434547495557596365676971737577791317192123272933[[#This Row],[VO2]]</f>
        <v>8.2601234567901232E-4</v>
      </c>
      <c r="T93" s="25"/>
      <c r="U93" s="28"/>
      <c r="V93" s="28" t="s">
        <v>231</v>
      </c>
      <c r="W93" s="15" t="s">
        <v>35</v>
      </c>
      <c r="X93" s="52"/>
    </row>
    <row r="94" spans="1:24" ht="20.45" customHeight="1">
      <c r="A94" s="10" t="s">
        <v>130</v>
      </c>
      <c r="B94" s="11">
        <v>1.0763888888888891E-2</v>
      </c>
      <c r="C94" s="11">
        <v>3.1828703703703702E-3</v>
      </c>
      <c r="D94" s="11">
        <f>B94*E94</f>
        <v>6.2624305555555567E-3</v>
      </c>
      <c r="E94" s="12">
        <v>0.58179999999999998</v>
      </c>
      <c r="F94" s="11">
        <f>C94/4</f>
        <v>7.9571759259259255E-4</v>
      </c>
      <c r="G94" s="11">
        <f>D94/7.5</f>
        <v>8.3499074074074085E-4</v>
      </c>
      <c r="H94" s="11">
        <f>B94/12.5</f>
        <v>8.6111111111111121E-4</v>
      </c>
      <c r="I94" s="11">
        <f>G94/0.93</f>
        <v>8.9783950617283953E-4</v>
      </c>
      <c r="J94" s="11">
        <f>G94/0.92</f>
        <v>9.0759863123993567E-4</v>
      </c>
      <c r="K94" s="11">
        <f>G94/0.88</f>
        <v>9.4885311447811464E-4</v>
      </c>
      <c r="L94" s="11">
        <f>G94/0.84</f>
        <v>9.9403659611992969E-4</v>
      </c>
      <c r="M94" s="25">
        <f>WO2025Jan7men1191517192325293133353941434547495557596365676971737577791317192123272933[[#This Row],[Thresh]]</f>
        <v>9.4885311447811464E-4</v>
      </c>
      <c r="N94" s="28">
        <f>WO2025Jan7men1191517192325293133353941434547495557596365676971737577791317192123272933[[#This Row],[Thresh]]*2.5</f>
        <v>2.3721327861952867E-3</v>
      </c>
      <c r="O94" s="25">
        <f>WO2025Jan7men1191517192325293133353941434547495557596365676971737577791317192123272933[[#This Row],[CV]]</f>
        <v>9.0759863123993567E-4</v>
      </c>
      <c r="P94" s="28">
        <f>WO2025Jan7men1191517192325293133353941434547495557596365676971737577791317192123272933[[#This Row],[CV]]*2.5</f>
        <v>2.2689965780998394E-3</v>
      </c>
      <c r="Q94" s="25">
        <f>WO2025Jan7men1191517192325293133353941434547495557596365676971737577791317192123272933[[#This Row],[I]]</f>
        <v>8.6111111111111121E-4</v>
      </c>
      <c r="R94" s="28">
        <f>WO2025Jan7men1191517192325293133353941434547495557596365676971737577791317192123272933[[#This Row],[I]]*2.5</f>
        <v>2.1527777777777782E-3</v>
      </c>
      <c r="S94" s="25">
        <f>WO2025Jan7men1191517192325293133353941434547495557596365676971737577791317192123272933[[#This Row],[VO2]]</f>
        <v>8.3499074074074085E-4</v>
      </c>
      <c r="T94" s="25"/>
      <c r="U94" s="28"/>
      <c r="V94" s="28"/>
      <c r="W94" s="27" t="s">
        <v>35</v>
      </c>
      <c r="X94" s="52"/>
    </row>
    <row r="95" spans="1:24" ht="20.45" customHeight="1">
      <c r="A95" s="10" t="s">
        <v>137</v>
      </c>
      <c r="B95" s="11">
        <v>1.0763888888888891E-2</v>
      </c>
      <c r="C95" s="11">
        <v>3.0092592592592593E-3</v>
      </c>
      <c r="D95" s="11">
        <f>B95*E95</f>
        <v>6.2624305555555567E-3</v>
      </c>
      <c r="E95" s="12">
        <v>0.58179999999999998</v>
      </c>
      <c r="F95" s="11">
        <f>C95/4</f>
        <v>7.5231481481481482E-4</v>
      </c>
      <c r="G95" s="11">
        <f>D95/7.5</f>
        <v>8.3499074074074085E-4</v>
      </c>
      <c r="H95" s="11">
        <f>B95/12.5</f>
        <v>8.6111111111111121E-4</v>
      </c>
      <c r="I95" s="11">
        <f>G95/0.93</f>
        <v>8.9783950617283953E-4</v>
      </c>
      <c r="J95" s="11">
        <f>G95/0.92</f>
        <v>9.0759863123993567E-4</v>
      </c>
      <c r="K95" s="11">
        <f>G95/0.88</f>
        <v>9.4885311447811464E-4</v>
      </c>
      <c r="L95" s="11">
        <f>G95/0.84</f>
        <v>9.9403659611992969E-4</v>
      </c>
      <c r="M95" s="25">
        <f>WO2025Jan7men1191517192325293133353941434547495557596365676971737577791317192123272933[[#This Row],[Thresh]]</f>
        <v>9.4885311447811464E-4</v>
      </c>
      <c r="N95" s="28">
        <f>WO2025Jan7men1191517192325293133353941434547495557596365676971737577791317192123272933[[#This Row],[Thresh]]*2.5</f>
        <v>2.3721327861952867E-3</v>
      </c>
      <c r="O95" s="25">
        <f>WO2025Jan7men1191517192325293133353941434547495557596365676971737577791317192123272933[[#This Row],[CV]]</f>
        <v>9.0759863123993567E-4</v>
      </c>
      <c r="P95" s="28">
        <f>WO2025Jan7men1191517192325293133353941434547495557596365676971737577791317192123272933[[#This Row],[CV]]*2.5</f>
        <v>2.2689965780998394E-3</v>
      </c>
      <c r="Q95" s="25">
        <f>WO2025Jan7men1191517192325293133353941434547495557596365676971737577791317192123272933[[#This Row],[I]]</f>
        <v>8.6111111111111121E-4</v>
      </c>
      <c r="R95" s="28">
        <f>WO2025Jan7men1191517192325293133353941434547495557596365676971737577791317192123272933[[#This Row],[I]]*2.5</f>
        <v>2.1527777777777782E-3</v>
      </c>
      <c r="S95" s="25">
        <f>WO2025Jan7men1191517192325293133353941434547495557596365676971737577791317192123272933[[#This Row],[VO2]]</f>
        <v>8.3499074074074085E-4</v>
      </c>
      <c r="T95" s="25"/>
      <c r="U95" s="28"/>
      <c r="V95" s="28"/>
      <c r="W95" s="15" t="s">
        <v>35</v>
      </c>
      <c r="X95" s="52"/>
    </row>
    <row r="96" spans="1:24" ht="20.45" customHeight="1">
      <c r="A96" s="10" t="s">
        <v>100</v>
      </c>
      <c r="B96" s="11">
        <v>1.0763888888888889E-2</v>
      </c>
      <c r="C96" s="11">
        <v>3.0671296296296297E-3</v>
      </c>
      <c r="D96" s="11">
        <f>B96*E96</f>
        <v>6.2624305555555549E-3</v>
      </c>
      <c r="E96" s="12">
        <v>0.58179999999999998</v>
      </c>
      <c r="F96" s="11">
        <f>C96/4</f>
        <v>7.6678240740740743E-4</v>
      </c>
      <c r="G96" s="11">
        <f>D96/7.5</f>
        <v>8.3499074074074064E-4</v>
      </c>
      <c r="H96" s="11">
        <f>B96/12.5</f>
        <v>8.611111111111111E-4</v>
      </c>
      <c r="I96" s="11">
        <f>G96/0.93</f>
        <v>8.9783950617283931E-4</v>
      </c>
      <c r="J96" s="11">
        <f>G96/0.92</f>
        <v>9.0759863123993545E-4</v>
      </c>
      <c r="K96" s="11">
        <f>G96/0.88</f>
        <v>9.4885311447811432E-4</v>
      </c>
      <c r="L96" s="17">
        <f>G96/0.84</f>
        <v>9.9403659611992947E-4</v>
      </c>
      <c r="M96" s="25">
        <f>WO2025Jan7men1191517192325293133353941434547495557596365676971737577791317192123272933[[#This Row],[Thresh]]</f>
        <v>9.4885311447811432E-4</v>
      </c>
      <c r="N96" s="28">
        <f>WO2025Jan7men1191517192325293133353941434547495557596365676971737577791317192123272933[[#This Row],[Thresh]]*2.5</f>
        <v>2.3721327861952858E-3</v>
      </c>
      <c r="O96" s="25">
        <f>WO2025Jan7men1191517192325293133353941434547495557596365676971737577791317192123272933[[#This Row],[CV]]</f>
        <v>9.0759863123993545E-4</v>
      </c>
      <c r="P96" s="28">
        <f>WO2025Jan7men1191517192325293133353941434547495557596365676971737577791317192123272933[[#This Row],[CV]]*2.5</f>
        <v>2.2689965780998385E-3</v>
      </c>
      <c r="Q96" s="25">
        <f>WO2025Jan7men1191517192325293133353941434547495557596365676971737577791317192123272933[[#This Row],[I]]</f>
        <v>8.611111111111111E-4</v>
      </c>
      <c r="R96" s="28">
        <f>WO2025Jan7men1191517192325293133353941434547495557596365676971737577791317192123272933[[#This Row],[I]]*2.5</f>
        <v>2.1527777777777778E-3</v>
      </c>
      <c r="S96" s="25">
        <f>WO2025Jan7men1191517192325293133353941434547495557596365676971737577791317192123272933[[#This Row],[VO2]]</f>
        <v>8.3499074074074064E-4</v>
      </c>
      <c r="T96" s="25"/>
      <c r="U96" s="28"/>
      <c r="V96" s="25"/>
      <c r="W96" s="15" t="s">
        <v>35</v>
      </c>
      <c r="X96" s="52"/>
    </row>
    <row r="97" spans="1:24" ht="20.45" customHeight="1">
      <c r="A97" s="10" t="s">
        <v>131</v>
      </c>
      <c r="B97" s="11">
        <v>1.0763888888888891E-2</v>
      </c>
      <c r="C97" s="11">
        <v>3.1828703703703702E-3</v>
      </c>
      <c r="D97" s="11">
        <f t="shared" si="24"/>
        <v>6.2624305555555567E-3</v>
      </c>
      <c r="E97" s="12">
        <v>0.58179999999999998</v>
      </c>
      <c r="F97" s="11">
        <f t="shared" si="25"/>
        <v>7.9571759259259255E-4</v>
      </c>
      <c r="G97" s="11">
        <f t="shared" si="26"/>
        <v>8.3499074074074085E-4</v>
      </c>
      <c r="H97" s="11">
        <f t="shared" si="27"/>
        <v>8.6111111111111121E-4</v>
      </c>
      <c r="I97" s="11">
        <f t="shared" si="28"/>
        <v>8.9783950617283953E-4</v>
      </c>
      <c r="J97" s="11">
        <f t="shared" si="29"/>
        <v>9.0759863123993567E-4</v>
      </c>
      <c r="K97" s="11">
        <f t="shared" si="30"/>
        <v>9.4885311447811464E-4</v>
      </c>
      <c r="L97" s="11">
        <f t="shared" si="31"/>
        <v>9.9403659611992969E-4</v>
      </c>
      <c r="M97" s="25">
        <f>WO2025Jan7men1191517192325293133353941434547495557596365676971737577791317192123272933[[#This Row],[Thresh]]</f>
        <v>9.4885311447811464E-4</v>
      </c>
      <c r="N97" s="28">
        <f>WO2025Jan7men1191517192325293133353941434547495557596365676971737577791317192123272933[[#This Row],[Thresh]]*2.5</f>
        <v>2.3721327861952867E-3</v>
      </c>
      <c r="O97" s="25">
        <f>WO2025Jan7men1191517192325293133353941434547495557596365676971737577791317192123272933[[#This Row],[CV]]</f>
        <v>9.0759863123993567E-4</v>
      </c>
      <c r="P97" s="28">
        <f>WO2025Jan7men1191517192325293133353941434547495557596365676971737577791317192123272933[[#This Row],[CV]]*2.5</f>
        <v>2.2689965780998394E-3</v>
      </c>
      <c r="Q97" s="25">
        <f>WO2025Jan7men1191517192325293133353941434547495557596365676971737577791317192123272933[[#This Row],[I]]</f>
        <v>8.6111111111111121E-4</v>
      </c>
      <c r="R97" s="28">
        <f>WO2025Jan7men1191517192325293133353941434547495557596365676971737577791317192123272933[[#This Row],[I]]*2.5</f>
        <v>2.1527777777777782E-3</v>
      </c>
      <c r="S97" s="25">
        <f>WO2025Jan7men1191517192325293133353941434547495557596365676971737577791317192123272933[[#This Row],[VO2]]</f>
        <v>8.3499074074074085E-4</v>
      </c>
      <c r="T97" s="25"/>
      <c r="U97" s="28"/>
      <c r="V97" s="28"/>
      <c r="W97" s="15" t="s">
        <v>35</v>
      </c>
      <c r="X97" s="52"/>
    </row>
    <row r="98" spans="1:24" ht="20.45" customHeight="1">
      <c r="A98" s="10" t="s">
        <v>113</v>
      </c>
      <c r="B98" s="11">
        <v>1.0763888888888891E-2</v>
      </c>
      <c r="C98" s="11">
        <v>3.2986111111111111E-3</v>
      </c>
      <c r="D98" s="11">
        <f>B98*E98</f>
        <v>6.2624305555555567E-3</v>
      </c>
      <c r="E98" s="12">
        <v>0.58179999999999998</v>
      </c>
      <c r="F98" s="11">
        <f>C98/4</f>
        <v>8.2465277777777778E-4</v>
      </c>
      <c r="G98" s="11">
        <f>D98/7.5</f>
        <v>8.3499074074074085E-4</v>
      </c>
      <c r="H98" s="11">
        <f>B98/12.5</f>
        <v>8.6111111111111121E-4</v>
      </c>
      <c r="I98" s="11">
        <f>G98/0.93</f>
        <v>8.9783950617283953E-4</v>
      </c>
      <c r="J98" s="11">
        <f>G98/0.92</f>
        <v>9.0759863123993567E-4</v>
      </c>
      <c r="K98" s="11">
        <f>G98/0.88</f>
        <v>9.4885311447811464E-4</v>
      </c>
      <c r="L98" s="11">
        <f>G98/0.84</f>
        <v>9.9403659611992969E-4</v>
      </c>
      <c r="M98" s="25">
        <f>WO2025Jan7men1191517192325293133353941434547495557596365676971737577791317192123272933[[#This Row],[Thresh]]</f>
        <v>9.4885311447811464E-4</v>
      </c>
      <c r="N98" s="28">
        <f>WO2025Jan7men1191517192325293133353941434547495557596365676971737577791317192123272933[[#This Row],[Thresh]]*2.5</f>
        <v>2.3721327861952867E-3</v>
      </c>
      <c r="O98" s="25">
        <f>WO2025Jan7men1191517192325293133353941434547495557596365676971737577791317192123272933[[#This Row],[CV]]</f>
        <v>9.0759863123993567E-4</v>
      </c>
      <c r="P98" s="28">
        <f>WO2025Jan7men1191517192325293133353941434547495557596365676971737577791317192123272933[[#This Row],[CV]]*2.5</f>
        <v>2.2689965780998394E-3</v>
      </c>
      <c r="Q98" s="25">
        <f>WO2025Jan7men1191517192325293133353941434547495557596365676971737577791317192123272933[[#This Row],[I]]</f>
        <v>8.6111111111111121E-4</v>
      </c>
      <c r="R98" s="28">
        <f>WO2025Jan7men1191517192325293133353941434547495557596365676971737577791317192123272933[[#This Row],[I]]*2.5</f>
        <v>2.1527777777777782E-3</v>
      </c>
      <c r="S98" s="25">
        <f>WO2025Jan7men1191517192325293133353941434547495557596365676971737577791317192123272933[[#This Row],[VO2]]</f>
        <v>8.3499074074074085E-4</v>
      </c>
      <c r="T98" s="25"/>
      <c r="U98" s="28"/>
      <c r="V98" s="25"/>
      <c r="W98" s="15" t="s">
        <v>26</v>
      </c>
      <c r="X98" s="52"/>
    </row>
    <row r="99" spans="1:24" ht="20.45" customHeight="1">
      <c r="A99" s="10" t="s">
        <v>128</v>
      </c>
      <c r="B99" s="11">
        <v>1.0763888888888891E-2</v>
      </c>
      <c r="C99" s="11"/>
      <c r="D99" s="11">
        <f>B99*E99</f>
        <v>6.2624305555555567E-3</v>
      </c>
      <c r="E99" s="12">
        <v>0.58179999999999998</v>
      </c>
      <c r="F99" s="11">
        <f>C99/4</f>
        <v>0</v>
      </c>
      <c r="G99" s="11">
        <f>D99/7.5</f>
        <v>8.3499074074074085E-4</v>
      </c>
      <c r="H99" s="11">
        <f>B99/12.5</f>
        <v>8.6111111111111121E-4</v>
      </c>
      <c r="I99" s="11">
        <f>G99/0.93</f>
        <v>8.9783950617283953E-4</v>
      </c>
      <c r="J99" s="11">
        <f>G99/0.92</f>
        <v>9.0759863123993567E-4</v>
      </c>
      <c r="K99" s="11">
        <f>G99/0.88</f>
        <v>9.4885311447811464E-4</v>
      </c>
      <c r="L99" s="11">
        <f>G99/0.84</f>
        <v>9.9403659611992969E-4</v>
      </c>
      <c r="M99" s="25">
        <f>WO2025Jan7men1191517192325293133353941434547495557596365676971737577791317192123272933[[#This Row],[Thresh]]</f>
        <v>9.4885311447811464E-4</v>
      </c>
      <c r="N99" s="28">
        <f>WO2025Jan7men1191517192325293133353941434547495557596365676971737577791317192123272933[[#This Row],[Thresh]]*2.5</f>
        <v>2.3721327861952867E-3</v>
      </c>
      <c r="O99" s="25">
        <f>WO2025Jan7men1191517192325293133353941434547495557596365676971737577791317192123272933[[#This Row],[CV]]</f>
        <v>9.0759863123993567E-4</v>
      </c>
      <c r="P99" s="28">
        <f>WO2025Jan7men1191517192325293133353941434547495557596365676971737577791317192123272933[[#This Row],[CV]]*2.5</f>
        <v>2.2689965780998394E-3</v>
      </c>
      <c r="Q99" s="25">
        <f>WO2025Jan7men1191517192325293133353941434547495557596365676971737577791317192123272933[[#This Row],[I]]</f>
        <v>8.6111111111111121E-4</v>
      </c>
      <c r="R99" s="28">
        <f>WO2025Jan7men1191517192325293133353941434547495557596365676971737577791317192123272933[[#This Row],[I]]*2.5</f>
        <v>2.1527777777777782E-3</v>
      </c>
      <c r="S99" s="25">
        <f>WO2025Jan7men1191517192325293133353941434547495557596365676971737577791317192123272933[[#This Row],[VO2]]</f>
        <v>8.3499074074074085E-4</v>
      </c>
      <c r="T99" s="25"/>
      <c r="U99" s="28"/>
      <c r="V99" s="28"/>
      <c r="W99" s="27" t="s">
        <v>35</v>
      </c>
      <c r="X99" s="52"/>
    </row>
    <row r="100" spans="1:24" ht="20.45" customHeight="1">
      <c r="A100" s="10" t="s">
        <v>114</v>
      </c>
      <c r="B100" s="11">
        <v>1.087962962962963E-2</v>
      </c>
      <c r="C100" s="11">
        <v>3.0671296296296297E-3</v>
      </c>
      <c r="D100" s="11">
        <f>B100*E100</f>
        <v>6.3297685185185184E-3</v>
      </c>
      <c r="E100" s="12">
        <v>0.58179999999999998</v>
      </c>
      <c r="F100" s="11">
        <f>C100/4</f>
        <v>7.6678240740740743E-4</v>
      </c>
      <c r="G100" s="11">
        <f>D100/7.5</f>
        <v>8.4396913580246917E-4</v>
      </c>
      <c r="H100" s="11">
        <f>B100/12.5</f>
        <v>8.7037037037037042E-4</v>
      </c>
      <c r="I100" s="11">
        <f>G100/0.93</f>
        <v>9.0749369441125711E-4</v>
      </c>
      <c r="J100" s="11">
        <f>G100/0.92</f>
        <v>9.173577563070317E-4</v>
      </c>
      <c r="K100" s="11">
        <f>G100/0.88</f>
        <v>9.5905583613916951E-4</v>
      </c>
      <c r="L100" s="11">
        <f>G100/0.84</f>
        <v>1.0047251616696062E-3</v>
      </c>
      <c r="M100" s="25">
        <f>WO2025Jan7men1191517192325293133353941434547495557596365676971737577791317192123272933[[#This Row],[Thresh]]</f>
        <v>9.5905583613916951E-4</v>
      </c>
      <c r="N100" s="28">
        <f>WO2025Jan7men1191517192325293133353941434547495557596365676971737577791317192123272933[[#This Row],[Thresh]]*2.5</f>
        <v>2.3976395903479238E-3</v>
      </c>
      <c r="O100" s="25">
        <f>WO2025Jan7men1191517192325293133353941434547495557596365676971737577791317192123272933[[#This Row],[CV]]</f>
        <v>9.173577563070317E-4</v>
      </c>
      <c r="P100" s="28">
        <f>WO2025Jan7men1191517192325293133353941434547495557596365676971737577791317192123272933[[#This Row],[CV]]*2.5</f>
        <v>2.2933943907675791E-3</v>
      </c>
      <c r="Q100" s="25">
        <f>WO2025Jan7men1191517192325293133353941434547495557596365676971737577791317192123272933[[#This Row],[I]]</f>
        <v>8.7037037037037042E-4</v>
      </c>
      <c r="R100" s="28">
        <f>WO2025Jan7men1191517192325293133353941434547495557596365676971737577791317192123272933[[#This Row],[I]]*2.5</f>
        <v>2.1759259259259262E-3</v>
      </c>
      <c r="S100" s="25">
        <f>WO2025Jan7men1191517192325293133353941434547495557596365676971737577791317192123272933[[#This Row],[VO2]]</f>
        <v>8.4396913580246917E-4</v>
      </c>
      <c r="T100" s="25"/>
      <c r="U100" s="28"/>
      <c r="V100" s="28"/>
      <c r="W100" s="15" t="s">
        <v>35</v>
      </c>
      <c r="X100" s="52"/>
    </row>
    <row r="101" spans="1:24" ht="20.45" customHeight="1">
      <c r="A101" s="10" t="s">
        <v>132</v>
      </c>
      <c r="B101" s="11">
        <v>1.087962962962963E-2</v>
      </c>
      <c r="C101" s="11"/>
      <c r="D101" s="11">
        <f t="shared" si="24"/>
        <v>6.3297685185185184E-3</v>
      </c>
      <c r="E101" s="12">
        <v>0.58179999999999998</v>
      </c>
      <c r="F101" s="11">
        <f t="shared" si="25"/>
        <v>0</v>
      </c>
      <c r="G101" s="11">
        <f t="shared" si="26"/>
        <v>8.4396913580246917E-4</v>
      </c>
      <c r="H101" s="11">
        <f t="shared" si="27"/>
        <v>8.7037037037037042E-4</v>
      </c>
      <c r="I101" s="11">
        <f t="shared" si="28"/>
        <v>9.0749369441125711E-4</v>
      </c>
      <c r="J101" s="11">
        <f t="shared" si="29"/>
        <v>9.173577563070317E-4</v>
      </c>
      <c r="K101" s="11">
        <f t="shared" si="30"/>
        <v>9.5905583613916951E-4</v>
      </c>
      <c r="L101" s="11">
        <f t="shared" si="31"/>
        <v>1.0047251616696062E-3</v>
      </c>
      <c r="M101" s="25">
        <f>WO2025Jan7men1191517192325293133353941434547495557596365676971737577791317192123272933[[#This Row],[Thresh]]</f>
        <v>9.5905583613916951E-4</v>
      </c>
      <c r="N101" s="28">
        <f>WO2025Jan7men1191517192325293133353941434547495557596365676971737577791317192123272933[[#This Row],[Thresh]]*2.5</f>
        <v>2.3976395903479238E-3</v>
      </c>
      <c r="O101" s="25">
        <f>WO2025Jan7men1191517192325293133353941434547495557596365676971737577791317192123272933[[#This Row],[CV]]</f>
        <v>9.173577563070317E-4</v>
      </c>
      <c r="P101" s="28">
        <f>WO2025Jan7men1191517192325293133353941434547495557596365676971737577791317192123272933[[#This Row],[CV]]*2.5</f>
        <v>2.2933943907675791E-3</v>
      </c>
      <c r="Q101" s="25">
        <f>WO2025Jan7men1191517192325293133353941434547495557596365676971737577791317192123272933[[#This Row],[I]]</f>
        <v>8.7037037037037042E-4</v>
      </c>
      <c r="R101" s="28">
        <f>WO2025Jan7men1191517192325293133353941434547495557596365676971737577791317192123272933[[#This Row],[I]]*2.5</f>
        <v>2.1759259259259262E-3</v>
      </c>
      <c r="S101" s="25">
        <f>WO2025Jan7men1191517192325293133353941434547495557596365676971737577791317192123272933[[#This Row],[VO2]]</f>
        <v>8.4396913580246917E-4</v>
      </c>
      <c r="T101" s="25"/>
      <c r="U101" s="28"/>
      <c r="V101" s="28"/>
      <c r="W101" s="27" t="s">
        <v>35</v>
      </c>
      <c r="X101" s="52"/>
    </row>
    <row r="102" spans="1:24" ht="20.45" customHeight="1">
      <c r="A102" s="10" t="s">
        <v>133</v>
      </c>
      <c r="B102" s="11">
        <v>1.087962962962963E-2</v>
      </c>
      <c r="C102" s="11">
        <v>3.1250000000000002E-3</v>
      </c>
      <c r="D102" s="11">
        <f t="shared" si="24"/>
        <v>6.3297685185185184E-3</v>
      </c>
      <c r="E102" s="12">
        <v>0.58179999999999998</v>
      </c>
      <c r="F102" s="11">
        <f t="shared" si="25"/>
        <v>7.8125000000000004E-4</v>
      </c>
      <c r="G102" s="11">
        <f t="shared" si="26"/>
        <v>8.4396913580246917E-4</v>
      </c>
      <c r="H102" s="11">
        <f t="shared" si="27"/>
        <v>8.7037037037037042E-4</v>
      </c>
      <c r="I102" s="11">
        <f t="shared" si="28"/>
        <v>9.0749369441125711E-4</v>
      </c>
      <c r="J102" s="11">
        <f t="shared" si="29"/>
        <v>9.173577563070317E-4</v>
      </c>
      <c r="K102" s="11">
        <f t="shared" si="30"/>
        <v>9.5905583613916951E-4</v>
      </c>
      <c r="L102" s="11">
        <f t="shared" si="31"/>
        <v>1.0047251616696062E-3</v>
      </c>
      <c r="M102" s="25">
        <f>WO2025Jan7men1191517192325293133353941434547495557596365676971737577791317192123272933[[#This Row],[Thresh]]</f>
        <v>9.5905583613916951E-4</v>
      </c>
      <c r="N102" s="28">
        <f>WO2025Jan7men1191517192325293133353941434547495557596365676971737577791317192123272933[[#This Row],[Thresh]]*2.5</f>
        <v>2.3976395903479238E-3</v>
      </c>
      <c r="O102" s="25">
        <f>WO2025Jan7men1191517192325293133353941434547495557596365676971737577791317192123272933[[#This Row],[CV]]</f>
        <v>9.173577563070317E-4</v>
      </c>
      <c r="P102" s="28">
        <f>WO2025Jan7men1191517192325293133353941434547495557596365676971737577791317192123272933[[#This Row],[CV]]*2.5</f>
        <v>2.2933943907675791E-3</v>
      </c>
      <c r="Q102" s="25">
        <f>WO2025Jan7men1191517192325293133353941434547495557596365676971737577791317192123272933[[#This Row],[I]]</f>
        <v>8.7037037037037042E-4</v>
      </c>
      <c r="R102" s="28">
        <f>WO2025Jan7men1191517192325293133353941434547495557596365676971737577791317192123272933[[#This Row],[I]]*2.5</f>
        <v>2.1759259259259262E-3</v>
      </c>
      <c r="S102" s="25">
        <f>WO2025Jan7men1191517192325293133353941434547495557596365676971737577791317192123272933[[#This Row],[VO2]]</f>
        <v>8.4396913580246917E-4</v>
      </c>
      <c r="T102" s="25"/>
      <c r="U102" s="28"/>
      <c r="V102" s="25"/>
      <c r="W102" s="15" t="s">
        <v>26</v>
      </c>
      <c r="X102" s="52"/>
    </row>
    <row r="103" spans="1:24" ht="20.45" customHeight="1">
      <c r="A103" s="10" t="s">
        <v>136</v>
      </c>
      <c r="B103" s="11">
        <v>1.1111111111111112E-2</v>
      </c>
      <c r="C103" s="11">
        <v>3.1828703703703702E-3</v>
      </c>
      <c r="D103" s="11">
        <f>B103*E103</f>
        <v>6.4644444444444445E-3</v>
      </c>
      <c r="E103" s="12">
        <v>0.58179999999999998</v>
      </c>
      <c r="F103" s="11">
        <f>C103/4</f>
        <v>7.9571759259259255E-4</v>
      </c>
      <c r="G103" s="11">
        <f>D103/7.5</f>
        <v>8.6192592592592592E-4</v>
      </c>
      <c r="H103" s="11">
        <f>B103/12.5</f>
        <v>8.8888888888888893E-4</v>
      </c>
      <c r="I103" s="11">
        <f>G103/0.93</f>
        <v>9.2680207088809239E-4</v>
      </c>
      <c r="J103" s="11">
        <f>G103/0.92</f>
        <v>9.3687600644122375E-4</v>
      </c>
      <c r="K103" s="11">
        <f>G103/0.88</f>
        <v>9.7946127946127947E-4</v>
      </c>
      <c r="L103" s="11">
        <f>G103/0.84</f>
        <v>1.0261022927689596E-3</v>
      </c>
      <c r="M103" s="25">
        <f>WO2025Jan7men1191517192325293133353941434547495557596365676971737577791317192123272933[[#This Row],[Thresh]]</f>
        <v>9.7946127946127947E-4</v>
      </c>
      <c r="N103" s="28">
        <f>WO2025Jan7men1191517192325293133353941434547495557596365676971737577791317192123272933[[#This Row],[Thresh]]*2.5</f>
        <v>2.4486531986531988E-3</v>
      </c>
      <c r="O103" s="25">
        <f>WO2025Jan7men1191517192325293133353941434547495557596365676971737577791317192123272933[[#This Row],[CV]]</f>
        <v>9.3687600644122375E-4</v>
      </c>
      <c r="P103" s="28">
        <f>WO2025Jan7men1191517192325293133353941434547495557596365676971737577791317192123272933[[#This Row],[CV]]*2.5</f>
        <v>2.3421900161030595E-3</v>
      </c>
      <c r="Q103" s="25">
        <f>WO2025Jan7men1191517192325293133353941434547495557596365676971737577791317192123272933[[#This Row],[I]]</f>
        <v>8.8888888888888893E-4</v>
      </c>
      <c r="R103" s="28">
        <f>WO2025Jan7men1191517192325293133353941434547495557596365676971737577791317192123272933[[#This Row],[I]]*2.5</f>
        <v>2.2222222222222222E-3</v>
      </c>
      <c r="S103" s="25">
        <f>WO2025Jan7men1191517192325293133353941434547495557596365676971737577791317192123272933[[#This Row],[VO2]]</f>
        <v>8.6192592592592592E-4</v>
      </c>
      <c r="T103" s="25"/>
      <c r="U103" s="28"/>
      <c r="V103" s="25"/>
      <c r="W103" s="15" t="s">
        <v>35</v>
      </c>
      <c r="X103" s="52"/>
    </row>
    <row r="104" spans="1:24" ht="20.45" customHeight="1">
      <c r="A104" s="10" t="s">
        <v>134</v>
      </c>
      <c r="B104" s="11">
        <v>1.1631944444444445E-2</v>
      </c>
      <c r="C104" s="11"/>
      <c r="D104" s="11">
        <f>B104*E104</f>
        <v>6.7674652777777776E-3</v>
      </c>
      <c r="E104" s="12">
        <v>0.58179999999999998</v>
      </c>
      <c r="F104" s="11">
        <f>C104/4</f>
        <v>0</v>
      </c>
      <c r="G104" s="11">
        <f>D104/7.5</f>
        <v>9.0232870370370369E-4</v>
      </c>
      <c r="H104" s="11">
        <f>B104/12.5</f>
        <v>9.3055555555555556E-4</v>
      </c>
      <c r="I104" s="11">
        <f>G104/0.93</f>
        <v>9.7024591796097167E-4</v>
      </c>
      <c r="J104" s="11">
        <f>G104/0.92</f>
        <v>9.8079206924315621E-4</v>
      </c>
      <c r="K104" s="11">
        <f>G104/0.88</f>
        <v>1.0253735269360269E-3</v>
      </c>
      <c r="L104" s="11">
        <f>G104/0.84</f>
        <v>1.0742008377425045E-3</v>
      </c>
      <c r="M104" s="25">
        <f>WO2025Jan7men1191517192325293133353941434547495557596365676971737577791317192123272933[[#This Row],[Thresh]]</f>
        <v>1.0253735269360269E-3</v>
      </c>
      <c r="N104" s="28">
        <f>WO2025Jan7men1191517192325293133353941434547495557596365676971737577791317192123272933[[#This Row],[Thresh]]*2.5</f>
        <v>2.5634338173400675E-3</v>
      </c>
      <c r="O104" s="25">
        <f>WO2025Jan7men1191517192325293133353941434547495557596365676971737577791317192123272933[[#This Row],[CV]]</f>
        <v>9.8079206924315621E-4</v>
      </c>
      <c r="P104" s="28">
        <f>WO2025Jan7men1191517192325293133353941434547495557596365676971737577791317192123272933[[#This Row],[CV]]*2.5</f>
        <v>2.4519801731078903E-3</v>
      </c>
      <c r="Q104" s="25">
        <f>WO2025Jan7men1191517192325293133353941434547495557596365676971737577791317192123272933[[#This Row],[I]]</f>
        <v>9.3055555555555556E-4</v>
      </c>
      <c r="R104" s="28">
        <f>WO2025Jan7men1191517192325293133353941434547495557596365676971737577791317192123272933[[#This Row],[I]]*2.5</f>
        <v>2.3263888888888891E-3</v>
      </c>
      <c r="S104" s="25">
        <f>WO2025Jan7men1191517192325293133353941434547495557596365676971737577791317192123272933[[#This Row],[VO2]]</f>
        <v>9.0232870370370369E-4</v>
      </c>
      <c r="T104" s="25"/>
      <c r="U104" s="28"/>
      <c r="V104" s="28"/>
      <c r="W104" s="27" t="s">
        <v>35</v>
      </c>
      <c r="X104" s="52"/>
    </row>
    <row r="105" spans="1:24" ht="20.45" customHeight="1">
      <c r="A105" s="10" t="s">
        <v>135</v>
      </c>
      <c r="B105" s="11">
        <v>1.1631944444444445E-2</v>
      </c>
      <c r="C105" s="11">
        <v>3.414351851851852E-3</v>
      </c>
      <c r="D105" s="11">
        <f>B105*E105</f>
        <v>6.7674652777777776E-3</v>
      </c>
      <c r="E105" s="12">
        <v>0.58179999999999998</v>
      </c>
      <c r="F105" s="11">
        <f>C105/4</f>
        <v>8.53587962962963E-4</v>
      </c>
      <c r="G105" s="11">
        <f>D105/7.5</f>
        <v>9.0232870370370369E-4</v>
      </c>
      <c r="H105" s="11">
        <f>B105/12.5</f>
        <v>9.3055555555555556E-4</v>
      </c>
      <c r="I105" s="11">
        <f>G105/0.93</f>
        <v>9.7024591796097167E-4</v>
      </c>
      <c r="J105" s="11">
        <f>G105/0.92</f>
        <v>9.8079206924315621E-4</v>
      </c>
      <c r="K105" s="11">
        <f>G105/0.88</f>
        <v>1.0253735269360269E-3</v>
      </c>
      <c r="L105" s="17">
        <f>G105/0.84</f>
        <v>1.0742008377425045E-3</v>
      </c>
      <c r="M105" s="25">
        <f>WO2025Jan7men1191517192325293133353941434547495557596365676971737577791317192123272933[[#This Row],[Thresh]]</f>
        <v>1.0253735269360269E-3</v>
      </c>
      <c r="N105" s="28">
        <f>WO2025Jan7men1191517192325293133353941434547495557596365676971737577791317192123272933[[#This Row],[Thresh]]*2.5</f>
        <v>2.5634338173400675E-3</v>
      </c>
      <c r="O105" s="25">
        <f>WO2025Jan7men1191517192325293133353941434547495557596365676971737577791317192123272933[[#This Row],[CV]]</f>
        <v>9.8079206924315621E-4</v>
      </c>
      <c r="P105" s="28">
        <f>WO2025Jan7men1191517192325293133353941434547495557596365676971737577791317192123272933[[#This Row],[CV]]*2.5</f>
        <v>2.4519801731078903E-3</v>
      </c>
      <c r="Q105" s="25">
        <f>WO2025Jan7men1191517192325293133353941434547495557596365676971737577791317192123272933[[#This Row],[I]]</f>
        <v>9.3055555555555556E-4</v>
      </c>
      <c r="R105" s="28">
        <f>WO2025Jan7men1191517192325293133353941434547495557596365676971737577791317192123272933[[#This Row],[I]]*2.5</f>
        <v>2.3263888888888891E-3</v>
      </c>
      <c r="S105" s="25">
        <f>WO2025Jan7men1191517192325293133353941434547495557596365676971737577791317192123272933[[#This Row],[VO2]]</f>
        <v>9.0232870370370369E-4</v>
      </c>
      <c r="T105" s="25"/>
      <c r="U105" s="28"/>
      <c r="V105" s="44"/>
      <c r="W105" s="28" t="s">
        <v>26</v>
      </c>
      <c r="X105" s="52"/>
    </row>
    <row r="106" spans="1:24" ht="20.45" customHeight="1">
      <c r="A106" s="10"/>
      <c r="B106" s="11"/>
      <c r="C106" s="11"/>
      <c r="D106" s="11"/>
      <c r="E106" s="12"/>
      <c r="F106" s="11"/>
      <c r="G106" s="11"/>
      <c r="H106" s="11"/>
      <c r="I106" s="11"/>
      <c r="J106" s="11"/>
      <c r="K106" s="11"/>
      <c r="L106" s="11"/>
      <c r="M106" s="25"/>
      <c r="N106" s="28"/>
      <c r="O106" s="25"/>
      <c r="P106" s="28"/>
      <c r="Q106" s="25"/>
      <c r="R106" s="28"/>
      <c r="S106" s="25"/>
      <c r="T106" s="28"/>
      <c r="U106" s="28"/>
      <c r="V106" s="25"/>
      <c r="W106" s="15"/>
      <c r="X106" s="52"/>
    </row>
    <row r="107" spans="1:24" ht="20.45" customHeight="1">
      <c r="A107" s="19"/>
      <c r="B107" s="6"/>
      <c r="C107" s="6"/>
      <c r="D107" s="6"/>
      <c r="E107" s="20"/>
      <c r="F107" s="6"/>
      <c r="G107" s="6"/>
      <c r="H107" s="6"/>
      <c r="I107" s="6"/>
      <c r="J107" s="6"/>
      <c r="K107" s="6"/>
      <c r="L107" s="6"/>
      <c r="M107" s="6"/>
      <c r="N107" s="6"/>
      <c r="O107" s="6"/>
      <c r="P107" s="6"/>
      <c r="Q107" s="6"/>
      <c r="R107" s="6"/>
      <c r="S107" s="6"/>
      <c r="T107" s="6"/>
      <c r="U107" s="6"/>
      <c r="V107" s="23"/>
      <c r="W107" s="35"/>
      <c r="X107" s="52"/>
    </row>
    <row r="108" spans="1:24" ht="20.45" customHeight="1">
      <c r="A108" s="10" t="s">
        <v>107</v>
      </c>
      <c r="B108" s="11">
        <v>1.1111111111111112E-2</v>
      </c>
      <c r="C108" s="11">
        <v>3.2407407407407406E-3</v>
      </c>
      <c r="D108" s="11">
        <f t="shared" ref="D108:D111" si="40">B108*E108</f>
        <v>6.4644444444444445E-3</v>
      </c>
      <c r="E108" s="12">
        <v>0.58179999999999998</v>
      </c>
      <c r="F108" s="11">
        <f t="shared" ref="F108:F111" si="41">C108/4</f>
        <v>8.1018518518518516E-4</v>
      </c>
      <c r="G108" s="11">
        <f t="shared" ref="G108:G111" si="42">D108/7.5</f>
        <v>8.6192592592592592E-4</v>
      </c>
      <c r="H108" s="11">
        <f t="shared" ref="H108:H111" si="43">B108/12.5</f>
        <v>8.8888888888888893E-4</v>
      </c>
      <c r="I108" s="11">
        <f t="shared" ref="I108:I111" si="44">G108/0.93</f>
        <v>9.2680207088809239E-4</v>
      </c>
      <c r="J108" s="11">
        <f t="shared" ref="J108:J111" si="45">G108/0.92</f>
        <v>9.3687600644122375E-4</v>
      </c>
      <c r="K108" s="11">
        <f t="shared" ref="K108:K111" si="46">G108/0.88</f>
        <v>9.7946127946127947E-4</v>
      </c>
      <c r="L108" s="11">
        <f t="shared" ref="L108:L111" si="47">G108/0.84</f>
        <v>1.0261022927689596E-3</v>
      </c>
      <c r="M108" s="25"/>
      <c r="N108" s="28"/>
      <c r="O108" s="25"/>
      <c r="P108" s="25"/>
      <c r="Q108" s="25"/>
      <c r="R108" s="28"/>
      <c r="S108" s="25"/>
      <c r="T108" s="25"/>
      <c r="U108" s="28"/>
      <c r="V108" s="28"/>
      <c r="W108" s="15" t="s">
        <v>52</v>
      </c>
      <c r="X108" s="52"/>
    </row>
    <row r="109" spans="1:24" ht="20.45" customHeight="1">
      <c r="A109" s="10" t="s">
        <v>164</v>
      </c>
      <c r="B109" s="11">
        <v>1.1342592592592593E-2</v>
      </c>
      <c r="C109" s="11">
        <v>3.2407407407407406E-3</v>
      </c>
      <c r="D109" s="11">
        <f t="shared" si="40"/>
        <v>6.5991203703703706E-3</v>
      </c>
      <c r="E109" s="12">
        <v>0.58179999999999998</v>
      </c>
      <c r="F109" s="11">
        <f t="shared" si="41"/>
        <v>8.1018518518518516E-4</v>
      </c>
      <c r="G109" s="11">
        <f t="shared" si="42"/>
        <v>8.7988271604938278E-4</v>
      </c>
      <c r="H109" s="11">
        <f t="shared" si="43"/>
        <v>9.0740740740740745E-4</v>
      </c>
      <c r="I109" s="11">
        <f t="shared" si="44"/>
        <v>9.4611044736492766E-4</v>
      </c>
      <c r="J109" s="11">
        <f t="shared" si="45"/>
        <v>9.5639425657541603E-4</v>
      </c>
      <c r="K109" s="11">
        <f t="shared" si="46"/>
        <v>9.9986672278338943E-4</v>
      </c>
      <c r="L109" s="11">
        <f t="shared" si="47"/>
        <v>1.0474794238683129E-3</v>
      </c>
      <c r="M109" s="25"/>
      <c r="N109" s="28"/>
      <c r="O109" s="25"/>
      <c r="P109" s="28"/>
      <c r="Q109" s="28"/>
      <c r="R109" s="11"/>
      <c r="S109" s="14"/>
      <c r="T109" s="14"/>
      <c r="U109" s="26"/>
      <c r="V109" s="28"/>
      <c r="W109" s="27" t="s">
        <v>52</v>
      </c>
      <c r="X109" s="52"/>
    </row>
    <row r="110" spans="1:24" ht="20.45" customHeight="1">
      <c r="A110" s="10" t="s">
        <v>108</v>
      </c>
      <c r="B110" s="11">
        <v>1.0763888888888891E-2</v>
      </c>
      <c r="C110" s="11">
        <v>3.0671296296296297E-3</v>
      </c>
      <c r="D110" s="11">
        <f t="shared" si="40"/>
        <v>6.2624305555555567E-3</v>
      </c>
      <c r="E110" s="12">
        <v>0.58179999999999998</v>
      </c>
      <c r="F110" s="11">
        <f t="shared" si="41"/>
        <v>7.6678240740740743E-4</v>
      </c>
      <c r="G110" s="11">
        <f t="shared" si="42"/>
        <v>8.3499074074074085E-4</v>
      </c>
      <c r="H110" s="11">
        <f t="shared" si="43"/>
        <v>8.6111111111111121E-4</v>
      </c>
      <c r="I110" s="11">
        <f t="shared" si="44"/>
        <v>8.9783950617283953E-4</v>
      </c>
      <c r="J110" s="11">
        <f t="shared" si="45"/>
        <v>9.0759863123993567E-4</v>
      </c>
      <c r="K110" s="11">
        <f t="shared" si="46"/>
        <v>9.4885311447811464E-4</v>
      </c>
      <c r="L110" s="11">
        <f t="shared" si="47"/>
        <v>9.9403659611992969E-4</v>
      </c>
      <c r="M110" s="25"/>
      <c r="N110" s="28"/>
      <c r="O110" s="25"/>
      <c r="P110" s="28"/>
      <c r="Q110" s="25"/>
      <c r="R110" s="28"/>
      <c r="S110" s="25"/>
      <c r="T110" s="25"/>
      <c r="U110" s="28"/>
      <c r="V110" s="28"/>
      <c r="W110" s="15" t="s">
        <v>52</v>
      </c>
      <c r="X110" s="52"/>
    </row>
    <row r="111" spans="1:24" ht="20.45" customHeight="1">
      <c r="A111" s="10" t="s">
        <v>105</v>
      </c>
      <c r="B111" s="11">
        <v>1.0648148148148148E-2</v>
      </c>
      <c r="C111" s="11">
        <v>2.9745370370370373E-3</v>
      </c>
      <c r="D111" s="11">
        <f t="shared" si="40"/>
        <v>6.1950925925925923E-3</v>
      </c>
      <c r="E111" s="12">
        <v>0.58179999999999998</v>
      </c>
      <c r="F111" s="11">
        <f t="shared" si="41"/>
        <v>7.4363425925925931E-4</v>
      </c>
      <c r="G111" s="11">
        <f t="shared" si="42"/>
        <v>8.2601234567901232E-4</v>
      </c>
      <c r="H111" s="11">
        <f t="shared" si="43"/>
        <v>8.5185185185185179E-4</v>
      </c>
      <c r="I111" s="11">
        <f t="shared" si="44"/>
        <v>8.8818531793442184E-4</v>
      </c>
      <c r="J111" s="11">
        <f t="shared" si="45"/>
        <v>8.9783950617283942E-4</v>
      </c>
      <c r="K111" s="11">
        <f t="shared" si="46"/>
        <v>9.3865039281705945E-4</v>
      </c>
      <c r="L111" s="11">
        <f t="shared" si="47"/>
        <v>9.833480305702527E-4</v>
      </c>
      <c r="M111" s="37"/>
      <c r="N111" s="28"/>
      <c r="O111" s="25"/>
      <c r="P111" s="25"/>
      <c r="Q111" s="25"/>
      <c r="R111" s="25"/>
      <c r="S111" s="25"/>
      <c r="T111" s="25"/>
      <c r="U111" s="28"/>
      <c r="V111" s="25"/>
      <c r="W111" s="15" t="s">
        <v>52</v>
      </c>
      <c r="X111" s="52"/>
    </row>
    <row r="112" spans="1:24" ht="20.45" customHeight="1">
      <c r="A112" s="10"/>
      <c r="B112" s="11"/>
      <c r="C112" s="11"/>
      <c r="D112" s="11"/>
      <c r="E112" s="12"/>
      <c r="F112" s="11"/>
      <c r="G112" s="11"/>
      <c r="H112" s="11"/>
      <c r="I112" s="11"/>
      <c r="J112" s="11"/>
      <c r="K112" s="11"/>
      <c r="L112" s="11"/>
      <c r="M112" s="25"/>
      <c r="N112" s="28"/>
      <c r="O112" s="25"/>
      <c r="P112" s="25"/>
      <c r="Q112" s="25"/>
      <c r="R112" s="28"/>
      <c r="S112" s="25"/>
      <c r="T112" s="25"/>
      <c r="U112" s="28"/>
      <c r="V112" s="25"/>
      <c r="W112" s="15"/>
      <c r="X112" s="52"/>
    </row>
    <row r="113" spans="1:24" ht="20.45" customHeight="1">
      <c r="A113" s="10"/>
      <c r="B113" s="11"/>
      <c r="C113" s="11"/>
      <c r="D113" s="11"/>
      <c r="E113" s="12"/>
      <c r="F113" s="11"/>
      <c r="G113" s="11"/>
      <c r="H113" s="11"/>
      <c r="I113" s="11"/>
      <c r="J113" s="11"/>
      <c r="K113" s="11"/>
      <c r="L113" s="11"/>
      <c r="M113" s="25"/>
      <c r="N113" s="28"/>
      <c r="O113" s="25"/>
      <c r="P113" s="25"/>
      <c r="Q113" s="25"/>
      <c r="R113" s="28"/>
      <c r="S113" s="25"/>
      <c r="T113" s="25"/>
      <c r="U113" s="28"/>
      <c r="V113" s="25"/>
      <c r="W113" s="15"/>
      <c r="X113" s="52"/>
    </row>
    <row r="114" spans="1:24" ht="20.45" customHeight="1">
      <c r="A114" s="10"/>
      <c r="B114" s="11"/>
      <c r="C114" s="11"/>
      <c r="D114" s="11"/>
      <c r="E114" s="12"/>
      <c r="F114" s="11"/>
      <c r="G114" s="11"/>
      <c r="H114" s="11"/>
      <c r="I114" s="11"/>
      <c r="J114" s="11"/>
      <c r="K114" s="11"/>
      <c r="L114" s="11"/>
      <c r="M114" s="25"/>
      <c r="N114" s="28"/>
      <c r="O114" s="25"/>
      <c r="P114" s="25"/>
      <c r="Q114" s="28"/>
      <c r="R114" s="28"/>
      <c r="S114" s="25"/>
      <c r="T114" s="25"/>
      <c r="U114" s="28"/>
      <c r="V114" s="28"/>
      <c r="W114" s="15"/>
      <c r="X114" s="52"/>
    </row>
    <row r="115" spans="1:24" ht="20.45" customHeight="1" thickBot="1">
      <c r="A115" s="10"/>
      <c r="B115" s="11"/>
      <c r="C115" s="11"/>
      <c r="D115" s="11"/>
      <c r="E115" s="12"/>
      <c r="F115" s="11"/>
      <c r="G115" s="11"/>
      <c r="H115" s="11"/>
      <c r="I115" s="11"/>
      <c r="J115" s="11"/>
      <c r="K115" s="11"/>
      <c r="L115" s="11"/>
      <c r="M115" s="25"/>
      <c r="N115" s="28"/>
      <c r="O115" s="25"/>
      <c r="P115" s="28"/>
      <c r="Q115" s="25"/>
      <c r="R115" s="28"/>
      <c r="S115" s="25"/>
      <c r="T115" s="25"/>
      <c r="U115" s="28"/>
      <c r="V115" s="28"/>
      <c r="W115" s="27"/>
      <c r="X115" s="52"/>
    </row>
    <row r="116" spans="1:24" ht="20.45" customHeight="1">
      <c r="A116" s="1" t="s">
        <v>228</v>
      </c>
      <c r="B116" s="6"/>
      <c r="C116" s="6"/>
      <c r="D116" s="6"/>
      <c r="E116" s="20"/>
      <c r="F116" s="6"/>
      <c r="G116" s="6"/>
      <c r="H116" s="6"/>
      <c r="I116" s="6"/>
      <c r="J116" s="6"/>
      <c r="K116" s="6"/>
      <c r="L116" s="6"/>
      <c r="M116" s="6" t="s">
        <v>12</v>
      </c>
      <c r="N116" s="6" t="s">
        <v>174</v>
      </c>
      <c r="O116" s="6" t="s">
        <v>14</v>
      </c>
      <c r="P116" s="6" t="s">
        <v>15</v>
      </c>
      <c r="Q116" s="22" t="s">
        <v>32</v>
      </c>
      <c r="R116" s="6" t="s">
        <v>155</v>
      </c>
      <c r="S116" s="6"/>
      <c r="T116" s="6"/>
      <c r="U116" s="6"/>
      <c r="V116" s="23"/>
      <c r="W116" s="35"/>
      <c r="X116" s="52"/>
    </row>
    <row r="117" spans="1:24" ht="20.45" customHeight="1">
      <c r="A117" s="10" t="s">
        <v>94</v>
      </c>
      <c r="B117" s="11">
        <v>1.0416666666666666E-2</v>
      </c>
      <c r="C117" s="11">
        <v>2.8935185185185188E-3</v>
      </c>
      <c r="D117" s="11">
        <f>B117*E117</f>
        <v>6.0604166666666662E-3</v>
      </c>
      <c r="E117" s="12">
        <v>0.58179999999999998</v>
      </c>
      <c r="F117" s="11">
        <f>C117/4</f>
        <v>7.233796296296297E-4</v>
      </c>
      <c r="G117" s="11">
        <f>D117/7.5</f>
        <v>8.0805555555555546E-4</v>
      </c>
      <c r="H117" s="11">
        <f>B117/12.5</f>
        <v>8.3333333333333328E-4</v>
      </c>
      <c r="I117" s="11">
        <f>G117/0.93</f>
        <v>8.6887694145758646E-4</v>
      </c>
      <c r="J117" s="11">
        <f>G117/0.92</f>
        <v>8.7832125603864715E-4</v>
      </c>
      <c r="K117" s="11">
        <f>G117/0.88</f>
        <v>9.1824494949494938E-4</v>
      </c>
      <c r="L117" s="17">
        <f>G117/0.84</f>
        <v>9.6197089947089938E-4</v>
      </c>
      <c r="M117" s="25">
        <f>WO2025Jan7men1191517192325293133353941434547495557596365676971737577791317192123272933[[#This Row],[Thresh]]</f>
        <v>9.1824494949494938E-4</v>
      </c>
      <c r="N117" s="28">
        <f>WO2025Jan7men1191517192325293133353941434547495557596365676971737577791317192123272933[[#This Row],[Thresh]]*3</f>
        <v>2.7547348484848484E-3</v>
      </c>
      <c r="O117" s="25">
        <f>WO2025Jan7men1191517192325293133353941434547495557596365676971737577791317192123272933[[#This Row],[CV]]</f>
        <v>8.7832125603864715E-4</v>
      </c>
      <c r="P117" s="25">
        <f>WO2025Jan7men1191517192325293133353941434547495557596365676971737577791317192123272933[[#This Row],[CV]]*1.5</f>
        <v>1.3174818840579706E-3</v>
      </c>
      <c r="Q117" s="25">
        <f>WO2025Jan7men1191517192325293133353941434547495557596365676971737577791317192123272933[[#This Row],[R]]</f>
        <v>7.233796296296297E-4</v>
      </c>
      <c r="R117" s="25">
        <f>WO2025Jan7men1191517192325293133353941434547495557596365676971737577791317192123272933[[#This Row],[Thresh]]*2</f>
        <v>1.8364898989898988E-3</v>
      </c>
      <c r="S117" s="25"/>
      <c r="T117" s="25"/>
      <c r="U117" s="28"/>
      <c r="V117" s="25"/>
      <c r="W117" s="15" t="s">
        <v>48</v>
      </c>
      <c r="X117" s="52"/>
    </row>
    <row r="118" spans="1:24" ht="20.45" customHeight="1">
      <c r="A118" s="10" t="s">
        <v>96</v>
      </c>
      <c r="B118" s="11">
        <v>1.0648148148148148E-2</v>
      </c>
      <c r="C118" s="11">
        <v>2.9513888888888888E-3</v>
      </c>
      <c r="D118" s="11">
        <f>B118*E118</f>
        <v>6.1950925925925923E-3</v>
      </c>
      <c r="E118" s="12">
        <v>0.58179999999999998</v>
      </c>
      <c r="F118" s="11">
        <f>C118/4</f>
        <v>7.378472222222222E-4</v>
      </c>
      <c r="G118" s="11">
        <f>D118/7.5</f>
        <v>8.2601234567901232E-4</v>
      </c>
      <c r="H118" s="11">
        <f>B118/12.5</f>
        <v>8.5185185185185179E-4</v>
      </c>
      <c r="I118" s="11">
        <f>G118/0.93</f>
        <v>8.8818531793442184E-4</v>
      </c>
      <c r="J118" s="11">
        <f>G118/0.92</f>
        <v>8.9783950617283942E-4</v>
      </c>
      <c r="K118" s="11">
        <f>G118/0.88</f>
        <v>9.3865039281705945E-4</v>
      </c>
      <c r="L118" s="17">
        <f>G118/0.84</f>
        <v>9.833480305702527E-4</v>
      </c>
      <c r="M118" s="25">
        <f>WO2025Jan7men1191517192325293133353941434547495557596365676971737577791317192123272933[[#This Row],[Thresh]]</f>
        <v>9.3865039281705945E-4</v>
      </c>
      <c r="N118" s="28">
        <f>WO2025Jan7men1191517192325293133353941434547495557596365676971737577791317192123272933[[#This Row],[Thresh]]*3</f>
        <v>2.8159511784511784E-3</v>
      </c>
      <c r="O118" s="25">
        <f>WO2025Jan7men1191517192325293133353941434547495557596365676971737577791317192123272933[[#This Row],[CV]]</f>
        <v>8.9783950617283942E-4</v>
      </c>
      <c r="P118" s="25">
        <f>WO2025Jan7men1191517192325293133353941434547495557596365676971737577791317192123272933[[#This Row],[CV]]*1.5</f>
        <v>1.3467592592592591E-3</v>
      </c>
      <c r="Q118" s="25">
        <f>WO2025Jan7men1191517192325293133353941434547495557596365676971737577791317192123272933[[#This Row],[R]]</f>
        <v>7.378472222222222E-4</v>
      </c>
      <c r="R118" s="25">
        <f>WO2025Jan7men1191517192325293133353941434547495557596365676971737577791317192123272933[[#This Row],[Thresh]]*2</f>
        <v>1.8773007856341189E-3</v>
      </c>
      <c r="S118" s="25"/>
      <c r="T118" s="25"/>
      <c r="U118" s="25"/>
      <c r="V118" s="25"/>
      <c r="W118" s="15" t="s">
        <v>48</v>
      </c>
      <c r="X118" s="50"/>
    </row>
    <row r="119" spans="1:24" ht="20.45" customHeight="1">
      <c r="A119" s="10" t="s">
        <v>97</v>
      </c>
      <c r="B119" s="11">
        <v>1.0763888888888889E-2</v>
      </c>
      <c r="C119" s="11">
        <v>2.9513888888888888E-3</v>
      </c>
      <c r="D119" s="11">
        <f t="shared" ref="D119:D125" si="48">B119*E119</f>
        <v>6.2624305555555549E-3</v>
      </c>
      <c r="E119" s="12">
        <v>0.58179999999999998</v>
      </c>
      <c r="F119" s="11">
        <f t="shared" ref="F119:F125" si="49">C119/4</f>
        <v>7.378472222222222E-4</v>
      </c>
      <c r="G119" s="11">
        <f t="shared" ref="G119:G125" si="50">D119/7.5</f>
        <v>8.3499074074074064E-4</v>
      </c>
      <c r="H119" s="11">
        <f t="shared" ref="H119:H125" si="51">B119/12.5</f>
        <v>8.611111111111111E-4</v>
      </c>
      <c r="I119" s="11">
        <f t="shared" ref="I119:I125" si="52">G119/0.93</f>
        <v>8.9783950617283931E-4</v>
      </c>
      <c r="J119" s="11">
        <f t="shared" ref="J119:J125" si="53">G119/0.92</f>
        <v>9.0759863123993545E-4</v>
      </c>
      <c r="K119" s="11">
        <f t="shared" ref="K119:K125" si="54">G119/0.88</f>
        <v>9.4885311447811432E-4</v>
      </c>
      <c r="L119" s="11">
        <f t="shared" ref="L119:L125" si="55">G119/0.84</f>
        <v>9.9403659611992947E-4</v>
      </c>
      <c r="M119" s="25">
        <f>WO2025Jan7men1191517192325293133353941434547495557596365676971737577791317192123272933[[#This Row],[Thresh]]</f>
        <v>9.4885311447811432E-4</v>
      </c>
      <c r="N119" s="28">
        <f>WO2025Jan7men1191517192325293133353941434547495557596365676971737577791317192123272933[[#This Row],[Thresh]]*3</f>
        <v>2.8465593434343428E-3</v>
      </c>
      <c r="O119" s="25">
        <f>WO2025Jan7men1191517192325293133353941434547495557596365676971737577791317192123272933[[#This Row],[CV]]</f>
        <v>9.0759863123993545E-4</v>
      </c>
      <c r="P119" s="25">
        <f>WO2025Jan7men1191517192325293133353941434547495557596365676971737577791317192123272933[[#This Row],[CV]]*1.5</f>
        <v>1.3613979468599033E-3</v>
      </c>
      <c r="Q119" s="25">
        <f>WO2025Jan7men1191517192325293133353941434547495557596365676971737577791317192123272933[[#This Row],[R]]</f>
        <v>7.378472222222222E-4</v>
      </c>
      <c r="R119" s="25">
        <f>WO2025Jan7men1191517192325293133353941434547495557596365676971737577791317192123272933[[#This Row],[Thresh]]*2</f>
        <v>1.8977062289562286E-3</v>
      </c>
      <c r="S119" s="25"/>
      <c r="T119" s="25"/>
      <c r="U119" s="25"/>
      <c r="V119" s="25"/>
      <c r="W119" s="15" t="s">
        <v>48</v>
      </c>
      <c r="X119" s="50"/>
    </row>
    <row r="120" spans="1:24" ht="20.45" customHeight="1">
      <c r="A120" s="10" t="s">
        <v>101</v>
      </c>
      <c r="B120" s="11">
        <v>1.1111111111111112E-2</v>
      </c>
      <c r="C120" s="11">
        <v>3.0671296296296297E-3</v>
      </c>
      <c r="D120" s="11">
        <f t="shared" si="48"/>
        <v>6.4644444444444445E-3</v>
      </c>
      <c r="E120" s="12">
        <v>0.58179999999999998</v>
      </c>
      <c r="F120" s="11">
        <f t="shared" si="49"/>
        <v>7.6678240740740743E-4</v>
      </c>
      <c r="G120" s="11">
        <f t="shared" si="50"/>
        <v>8.6192592592592592E-4</v>
      </c>
      <c r="H120" s="11">
        <f t="shared" si="51"/>
        <v>8.8888888888888893E-4</v>
      </c>
      <c r="I120" s="11">
        <f t="shared" si="52"/>
        <v>9.2680207088809239E-4</v>
      </c>
      <c r="J120" s="11">
        <f t="shared" si="53"/>
        <v>9.3687600644122375E-4</v>
      </c>
      <c r="K120" s="11">
        <f t="shared" si="54"/>
        <v>9.7946127946127947E-4</v>
      </c>
      <c r="L120" s="11">
        <f t="shared" si="55"/>
        <v>1.0261022927689596E-3</v>
      </c>
      <c r="M120" s="25">
        <f>WO2025Jan7men1191517192325293133353941434547495557596365676971737577791317192123272933[[#This Row],[Thresh]]</f>
        <v>9.7946127946127947E-4</v>
      </c>
      <c r="N120" s="28">
        <f>WO2025Jan7men1191517192325293133353941434547495557596365676971737577791317192123272933[[#This Row],[Thresh]]*3</f>
        <v>2.9383838383838382E-3</v>
      </c>
      <c r="O120" s="25">
        <f>WO2025Jan7men1191517192325293133353941434547495557596365676971737577791317192123272933[[#This Row],[CV]]</f>
        <v>9.3687600644122375E-4</v>
      </c>
      <c r="P120" s="25">
        <f>WO2025Jan7men1191517192325293133353941434547495557596365676971737577791317192123272933[[#This Row],[CV]]*1.5</f>
        <v>1.4053140096618355E-3</v>
      </c>
      <c r="Q120" s="25">
        <f>WO2025Jan7men1191517192325293133353941434547495557596365676971737577791317192123272933[[#This Row],[R]]</f>
        <v>7.6678240740740743E-4</v>
      </c>
      <c r="R120" s="25">
        <f>WO2025Jan7men1191517192325293133353941434547495557596365676971737577791317192123272933[[#This Row],[Thresh]]*2</f>
        <v>1.9589225589225589E-3</v>
      </c>
      <c r="S120" s="25"/>
      <c r="T120" s="25"/>
      <c r="U120" s="25"/>
      <c r="V120" s="25"/>
      <c r="W120" s="15" t="s">
        <v>48</v>
      </c>
      <c r="X120" s="50"/>
    </row>
    <row r="121" spans="1:24" ht="20.45" customHeight="1">
      <c r="A121" s="10" t="s">
        <v>98</v>
      </c>
      <c r="B121" s="11">
        <v>1.1111111111111112E-2</v>
      </c>
      <c r="C121" s="11">
        <v>3.0671296296296297E-3</v>
      </c>
      <c r="D121" s="11">
        <f t="shared" si="48"/>
        <v>6.4644444444444445E-3</v>
      </c>
      <c r="E121" s="12">
        <v>0.58179999999999998</v>
      </c>
      <c r="F121" s="11">
        <f t="shared" si="49"/>
        <v>7.6678240740740743E-4</v>
      </c>
      <c r="G121" s="11">
        <f t="shared" si="50"/>
        <v>8.6192592592592592E-4</v>
      </c>
      <c r="H121" s="11">
        <f t="shared" si="51"/>
        <v>8.8888888888888893E-4</v>
      </c>
      <c r="I121" s="11">
        <f t="shared" si="52"/>
        <v>9.2680207088809239E-4</v>
      </c>
      <c r="J121" s="11">
        <f t="shared" si="53"/>
        <v>9.3687600644122375E-4</v>
      </c>
      <c r="K121" s="11">
        <f t="shared" si="54"/>
        <v>9.7946127946127947E-4</v>
      </c>
      <c r="L121" s="11">
        <f t="shared" si="55"/>
        <v>1.0261022927689596E-3</v>
      </c>
      <c r="M121" s="25">
        <f>WO2025Jan7men1191517192325293133353941434547495557596365676971737577791317192123272933[[#This Row],[Thresh]]</f>
        <v>9.7946127946127947E-4</v>
      </c>
      <c r="N121" s="28">
        <f>WO2025Jan7men1191517192325293133353941434547495557596365676971737577791317192123272933[[#This Row],[Thresh]]*3</f>
        <v>2.9383838383838382E-3</v>
      </c>
      <c r="O121" s="25">
        <f>WO2025Jan7men1191517192325293133353941434547495557596365676971737577791317192123272933[[#This Row],[CV]]</f>
        <v>9.3687600644122375E-4</v>
      </c>
      <c r="P121" s="25">
        <f>WO2025Jan7men1191517192325293133353941434547495557596365676971737577791317192123272933[[#This Row],[CV]]*1.5</f>
        <v>1.4053140096618355E-3</v>
      </c>
      <c r="Q121" s="25">
        <f>WO2025Jan7men1191517192325293133353941434547495557596365676971737577791317192123272933[[#This Row],[R]]</f>
        <v>7.6678240740740743E-4</v>
      </c>
      <c r="R121" s="25">
        <f>WO2025Jan7men1191517192325293133353941434547495557596365676971737577791317192123272933[[#This Row],[Thresh]]*2</f>
        <v>1.9589225589225589E-3</v>
      </c>
      <c r="S121" s="25"/>
      <c r="T121" s="25"/>
      <c r="U121" s="25"/>
      <c r="V121" s="25"/>
      <c r="W121" s="27" t="s">
        <v>48</v>
      </c>
      <c r="X121" s="50"/>
    </row>
    <row r="122" spans="1:24" ht="20.45" customHeight="1">
      <c r="A122" s="10" t="s">
        <v>103</v>
      </c>
      <c r="B122" s="11">
        <v>1.1111111111111112E-2</v>
      </c>
      <c r="C122" s="11">
        <v>3.0671296296296297E-3</v>
      </c>
      <c r="D122" s="11">
        <f t="shared" si="48"/>
        <v>6.4644444444444445E-3</v>
      </c>
      <c r="E122" s="12">
        <v>0.58179999999999998</v>
      </c>
      <c r="F122" s="11">
        <f t="shared" si="49"/>
        <v>7.6678240740740743E-4</v>
      </c>
      <c r="G122" s="11">
        <f t="shared" si="50"/>
        <v>8.6192592592592592E-4</v>
      </c>
      <c r="H122" s="11">
        <f t="shared" si="51"/>
        <v>8.8888888888888893E-4</v>
      </c>
      <c r="I122" s="11">
        <f t="shared" si="52"/>
        <v>9.2680207088809239E-4</v>
      </c>
      <c r="J122" s="11">
        <f t="shared" si="53"/>
        <v>9.3687600644122375E-4</v>
      </c>
      <c r="K122" s="11">
        <f t="shared" si="54"/>
        <v>9.7946127946127947E-4</v>
      </c>
      <c r="L122" s="17">
        <f t="shared" si="55"/>
        <v>1.0261022927689596E-3</v>
      </c>
      <c r="M122" s="25">
        <f>WO2025Jan7men1191517192325293133353941434547495557596365676971737577791317192123272933[[#This Row],[Thresh]]</f>
        <v>9.7946127946127947E-4</v>
      </c>
      <c r="N122" s="28">
        <f>WO2025Jan7men1191517192325293133353941434547495557596365676971737577791317192123272933[[#This Row],[Thresh]]*3</f>
        <v>2.9383838383838382E-3</v>
      </c>
      <c r="O122" s="25">
        <f>WO2025Jan7men1191517192325293133353941434547495557596365676971737577791317192123272933[[#This Row],[CV]]</f>
        <v>9.3687600644122375E-4</v>
      </c>
      <c r="P122" s="25">
        <f>WO2025Jan7men1191517192325293133353941434547495557596365676971737577791317192123272933[[#This Row],[CV]]*1.5</f>
        <v>1.4053140096618355E-3</v>
      </c>
      <c r="Q122" s="25">
        <f>WO2025Jan7men1191517192325293133353941434547495557596365676971737577791317192123272933[[#This Row],[R]]</f>
        <v>7.6678240740740743E-4</v>
      </c>
      <c r="R122" s="25">
        <f>WO2025Jan7men1191517192325293133353941434547495557596365676971737577791317192123272933[[#This Row],[Thresh]]*2</f>
        <v>1.9589225589225589E-3</v>
      </c>
      <c r="S122" s="25"/>
      <c r="T122" s="25"/>
      <c r="U122" s="25"/>
      <c r="V122" s="25"/>
      <c r="W122" s="15" t="s">
        <v>48</v>
      </c>
      <c r="X122" s="50"/>
    </row>
    <row r="123" spans="1:24" ht="20.45" customHeight="1">
      <c r="A123" s="10" t="s">
        <v>99</v>
      </c>
      <c r="B123" s="11">
        <v>1.1458333333333333E-2</v>
      </c>
      <c r="C123" s="11">
        <v>3.0092592592592593E-3</v>
      </c>
      <c r="D123" s="11">
        <f>B123*E123</f>
        <v>6.6664583333333324E-3</v>
      </c>
      <c r="E123" s="12">
        <v>0.58179999999999998</v>
      </c>
      <c r="F123" s="11">
        <f>C123/4</f>
        <v>7.5231481481481482E-4</v>
      </c>
      <c r="G123" s="11">
        <f>D123/7.5</f>
        <v>8.8886111111111099E-4</v>
      </c>
      <c r="H123" s="11">
        <f>B123/12.5</f>
        <v>9.1666666666666665E-4</v>
      </c>
      <c r="I123" s="11">
        <f>G123/0.93</f>
        <v>9.5576463560334514E-4</v>
      </c>
      <c r="J123" s="11">
        <f>G123/0.92</f>
        <v>9.6615338164251195E-4</v>
      </c>
      <c r="K123" s="11">
        <f>G123/0.88</f>
        <v>1.0100694444444443E-3</v>
      </c>
      <c r="L123" s="11">
        <f>G123/0.84</f>
        <v>1.0581679894179892E-3</v>
      </c>
      <c r="M123" s="25">
        <f>WO2025Jan7men1191517192325293133353941434547495557596365676971737577791317192123272933[[#This Row],[Thresh]]</f>
        <v>1.0100694444444443E-3</v>
      </c>
      <c r="N123" s="28">
        <f>WO2025Jan7men1191517192325293133353941434547495557596365676971737577791317192123272933[[#This Row],[Thresh]]*3</f>
        <v>3.0302083333333327E-3</v>
      </c>
      <c r="O123" s="25">
        <f>WO2025Jan7men1191517192325293133353941434547495557596365676971737577791317192123272933[[#This Row],[CV]]</f>
        <v>9.6615338164251195E-4</v>
      </c>
      <c r="P123" s="25">
        <f>WO2025Jan7men1191517192325293133353941434547495557596365676971737577791317192123272933[[#This Row],[CV]]*1.5</f>
        <v>1.449230072463768E-3</v>
      </c>
      <c r="Q123" s="25">
        <f>WO2025Jan7men1191517192325293133353941434547495557596365676971737577791317192123272933[[#This Row],[R]]</f>
        <v>7.5231481481481482E-4</v>
      </c>
      <c r="R123" s="25">
        <f>WO2025Jan7men1191517192325293133353941434547495557596365676971737577791317192123272933[[#This Row],[Thresh]]*2</f>
        <v>2.0201388888888886E-3</v>
      </c>
      <c r="S123" s="25"/>
      <c r="T123" s="25"/>
      <c r="U123" s="25"/>
      <c r="V123" s="25"/>
      <c r="W123" s="27" t="s">
        <v>48</v>
      </c>
      <c r="X123" s="50"/>
    </row>
    <row r="124" spans="1:24" ht="20.45" customHeight="1">
      <c r="A124" s="10" t="s">
        <v>102</v>
      </c>
      <c r="B124" s="11">
        <v>1.1458333333333333E-2</v>
      </c>
      <c r="C124" s="11">
        <v>3.0671296296296297E-3</v>
      </c>
      <c r="D124" s="11">
        <f>B124*E124</f>
        <v>6.6664583333333324E-3</v>
      </c>
      <c r="E124" s="12">
        <v>0.58179999999999998</v>
      </c>
      <c r="F124" s="11">
        <f>C124/4</f>
        <v>7.6678240740740743E-4</v>
      </c>
      <c r="G124" s="11">
        <f>D124/7.5</f>
        <v>8.8886111111111099E-4</v>
      </c>
      <c r="H124" s="11">
        <f>B124/12.5</f>
        <v>9.1666666666666665E-4</v>
      </c>
      <c r="I124" s="11">
        <f>G124/0.93</f>
        <v>9.5576463560334514E-4</v>
      </c>
      <c r="J124" s="11">
        <f>G124/0.92</f>
        <v>9.6615338164251195E-4</v>
      </c>
      <c r="K124" s="11">
        <f>G124/0.88</f>
        <v>1.0100694444444443E-3</v>
      </c>
      <c r="L124" s="11">
        <f>G124/0.84</f>
        <v>1.0581679894179892E-3</v>
      </c>
      <c r="M124" s="25">
        <f>WO2025Jan7men1191517192325293133353941434547495557596365676971737577791317192123272933[[#This Row],[Thresh]]</f>
        <v>1.0100694444444443E-3</v>
      </c>
      <c r="N124" s="28">
        <f>WO2025Jan7men1191517192325293133353941434547495557596365676971737577791317192123272933[[#This Row],[Thresh]]*3</f>
        <v>3.0302083333333327E-3</v>
      </c>
      <c r="O124" s="25">
        <f>WO2025Jan7men1191517192325293133353941434547495557596365676971737577791317192123272933[[#This Row],[CV]]</f>
        <v>9.6615338164251195E-4</v>
      </c>
      <c r="P124" s="25">
        <f>WO2025Jan7men1191517192325293133353941434547495557596365676971737577791317192123272933[[#This Row],[CV]]*1.5</f>
        <v>1.449230072463768E-3</v>
      </c>
      <c r="Q124" s="25">
        <f>WO2025Jan7men1191517192325293133353941434547495557596365676971737577791317192123272933[[#This Row],[R]]</f>
        <v>7.6678240740740743E-4</v>
      </c>
      <c r="R124" s="25">
        <f>WO2025Jan7men1191517192325293133353941434547495557596365676971737577791317192123272933[[#This Row],[Thresh]]*2</f>
        <v>2.0201388888888886E-3</v>
      </c>
      <c r="S124" s="25"/>
      <c r="T124" s="25"/>
      <c r="U124" s="25"/>
      <c r="V124" s="25"/>
      <c r="W124" s="27" t="s">
        <v>48</v>
      </c>
      <c r="X124" s="50"/>
    </row>
    <row r="125" spans="1:24" ht="20.45" customHeight="1">
      <c r="A125" s="10" t="s">
        <v>104</v>
      </c>
      <c r="B125" s="11">
        <v>1.1458333333333333E-2</v>
      </c>
      <c r="C125" s="11">
        <v>3.2986111111111111E-3</v>
      </c>
      <c r="D125" s="11">
        <f t="shared" si="48"/>
        <v>6.6664583333333324E-3</v>
      </c>
      <c r="E125" s="12">
        <v>0.58179999999999998</v>
      </c>
      <c r="F125" s="11">
        <f t="shared" si="49"/>
        <v>8.2465277777777778E-4</v>
      </c>
      <c r="G125" s="11">
        <f t="shared" si="50"/>
        <v>8.8886111111111099E-4</v>
      </c>
      <c r="H125" s="11">
        <f t="shared" si="51"/>
        <v>9.1666666666666665E-4</v>
      </c>
      <c r="I125" s="11">
        <f t="shared" si="52"/>
        <v>9.5576463560334514E-4</v>
      </c>
      <c r="J125" s="11">
        <f t="shared" si="53"/>
        <v>9.6615338164251195E-4</v>
      </c>
      <c r="K125" s="11">
        <f t="shared" si="54"/>
        <v>1.0100694444444443E-3</v>
      </c>
      <c r="L125" s="11">
        <f t="shared" si="55"/>
        <v>1.0581679894179892E-3</v>
      </c>
      <c r="M125" s="25">
        <f>WO2025Jan7men1191517192325293133353941434547495557596365676971737577791317192123272933[[#This Row],[Thresh]]</f>
        <v>1.0100694444444443E-3</v>
      </c>
      <c r="N125" s="28">
        <f>WO2025Jan7men1191517192325293133353941434547495557596365676971737577791317192123272933[[#This Row],[Thresh]]*3</f>
        <v>3.0302083333333327E-3</v>
      </c>
      <c r="O125" s="25">
        <f>WO2025Jan7men1191517192325293133353941434547495557596365676971737577791317192123272933[[#This Row],[CV]]</f>
        <v>9.6615338164251195E-4</v>
      </c>
      <c r="P125" s="25">
        <f>WO2025Jan7men1191517192325293133353941434547495557596365676971737577791317192123272933[[#This Row],[CV]]*1.5</f>
        <v>1.449230072463768E-3</v>
      </c>
      <c r="Q125" s="25">
        <f>WO2025Jan7men1191517192325293133353941434547495557596365676971737577791317192123272933[[#This Row],[R]]</f>
        <v>8.2465277777777778E-4</v>
      </c>
      <c r="R125" s="25">
        <f>WO2025Jan7men1191517192325293133353941434547495557596365676971737577791317192123272933[[#This Row],[Thresh]]*2</f>
        <v>2.0201388888888886E-3</v>
      </c>
      <c r="S125" s="25"/>
      <c r="T125" s="25"/>
      <c r="U125" s="25"/>
      <c r="V125" s="25"/>
      <c r="W125" s="15" t="s">
        <v>48</v>
      </c>
      <c r="X125" s="50"/>
    </row>
    <row r="126" spans="1:24" ht="20.45" customHeight="1">
      <c r="A126" s="10"/>
      <c r="B126" s="11"/>
      <c r="C126" s="11"/>
      <c r="D126" s="11"/>
      <c r="E126" s="12"/>
      <c r="F126" s="11"/>
      <c r="G126" s="11"/>
      <c r="H126" s="11"/>
      <c r="I126" s="11"/>
      <c r="J126" s="11"/>
      <c r="K126" s="11"/>
      <c r="L126" s="17"/>
      <c r="M126" s="25"/>
      <c r="N126" s="28"/>
      <c r="O126" s="25"/>
      <c r="P126" s="25"/>
      <c r="Q126" s="25"/>
      <c r="R126" s="25"/>
      <c r="S126" s="25"/>
      <c r="T126" s="25"/>
      <c r="U126" s="28"/>
      <c r="V126" s="25"/>
      <c r="W126" s="15"/>
      <c r="X126" s="50"/>
    </row>
    <row r="127" spans="1:24" ht="20.45" customHeight="1">
      <c r="A127" s="10"/>
      <c r="B127" s="11"/>
      <c r="C127" s="11"/>
      <c r="D127" s="11"/>
      <c r="E127" s="12"/>
      <c r="F127" s="11"/>
      <c r="G127" s="11"/>
      <c r="H127" s="11"/>
      <c r="I127" s="11"/>
      <c r="J127" s="11"/>
      <c r="K127" s="11"/>
      <c r="L127" s="11"/>
      <c r="M127" s="25"/>
      <c r="N127" s="28"/>
      <c r="O127" s="25"/>
      <c r="P127" s="25"/>
      <c r="Q127" s="25"/>
      <c r="R127" s="25"/>
      <c r="S127" s="25"/>
      <c r="T127" s="25"/>
      <c r="U127" s="28"/>
      <c r="V127" s="25"/>
      <c r="W127" s="15"/>
      <c r="X127" s="50"/>
    </row>
    <row r="128" spans="1:24" ht="20.45" customHeight="1">
      <c r="A128" s="10"/>
      <c r="B128" s="11"/>
      <c r="C128" s="11"/>
      <c r="D128" s="11"/>
      <c r="E128" s="12"/>
      <c r="F128" s="11"/>
      <c r="G128" s="11"/>
      <c r="H128" s="11"/>
      <c r="I128" s="11"/>
      <c r="J128" s="11"/>
      <c r="K128" s="11"/>
      <c r="L128" s="17"/>
      <c r="M128" s="11"/>
      <c r="N128" s="26"/>
      <c r="P128" s="26"/>
      <c r="Q128" s="26"/>
      <c r="R128" s="26"/>
      <c r="S128" s="14"/>
      <c r="T128" s="14"/>
      <c r="U128" s="26"/>
      <c r="V128" s="38"/>
      <c r="W128" s="31"/>
      <c r="X128" s="50"/>
    </row>
    <row r="129" spans="1:24" ht="20.45" customHeight="1">
      <c r="A129" s="10"/>
      <c r="B129" s="11"/>
      <c r="C129" s="11"/>
      <c r="D129" s="11"/>
      <c r="E129" s="12"/>
      <c r="F129" s="11"/>
      <c r="G129" s="11"/>
      <c r="H129" s="11"/>
      <c r="I129" s="11"/>
      <c r="J129" s="11"/>
      <c r="K129" s="11"/>
      <c r="L129" s="17"/>
      <c r="M129" s="11"/>
      <c r="N129" s="26"/>
      <c r="P129" s="26"/>
      <c r="Q129" s="26"/>
      <c r="R129" s="26"/>
      <c r="S129" s="14"/>
      <c r="T129" s="14"/>
      <c r="U129" s="26"/>
      <c r="V129" s="38"/>
      <c r="W129" s="31"/>
      <c r="X129" s="50"/>
    </row>
    <row r="130" spans="1:24" ht="20.45" customHeight="1">
      <c r="A130" s="10"/>
      <c r="B130" s="11"/>
      <c r="C130" s="11"/>
      <c r="D130" s="11"/>
      <c r="E130" s="12"/>
      <c r="F130" s="11"/>
      <c r="G130" s="11"/>
      <c r="H130" s="11"/>
      <c r="I130" s="11"/>
      <c r="J130" s="11"/>
      <c r="K130" s="11"/>
      <c r="L130" s="11"/>
      <c r="M130" s="25"/>
      <c r="N130" s="28"/>
      <c r="O130" s="25"/>
      <c r="P130" s="25"/>
      <c r="Q130" s="25"/>
      <c r="R130" s="25"/>
      <c r="S130" s="25"/>
      <c r="T130" s="25"/>
      <c r="U130" s="28"/>
      <c r="V130" s="25"/>
      <c r="W130" s="15"/>
      <c r="X130" s="50"/>
    </row>
    <row r="131" spans="1:24" ht="20.45" customHeight="1">
      <c r="A131" s="10"/>
      <c r="B131" s="11"/>
      <c r="C131" s="11"/>
      <c r="D131" s="11"/>
      <c r="E131" s="12"/>
      <c r="F131" s="11"/>
      <c r="G131" s="11"/>
      <c r="H131" s="11"/>
      <c r="I131" s="11"/>
      <c r="J131" s="11"/>
      <c r="K131" s="11"/>
      <c r="L131" s="11"/>
      <c r="M131" s="25"/>
      <c r="N131" s="28"/>
      <c r="O131" s="25"/>
      <c r="P131" s="25"/>
      <c r="Q131" s="25"/>
      <c r="R131" s="25"/>
      <c r="S131" s="25"/>
      <c r="T131" s="25"/>
      <c r="U131" s="28"/>
      <c r="V131" s="25"/>
      <c r="W131" s="15"/>
      <c r="X131" s="50"/>
    </row>
    <row r="132" spans="1:24" ht="20.45" customHeight="1">
      <c r="A132" s="10"/>
      <c r="B132" s="11"/>
      <c r="C132" s="11"/>
      <c r="D132" s="11"/>
      <c r="E132" s="12"/>
      <c r="F132" s="11"/>
      <c r="G132" s="11"/>
      <c r="H132" s="11"/>
      <c r="I132" s="11"/>
      <c r="J132" s="11"/>
      <c r="K132" s="11"/>
      <c r="L132" s="11"/>
      <c r="M132" s="25"/>
      <c r="N132" s="28"/>
      <c r="O132" s="25"/>
      <c r="P132" s="25"/>
      <c r="Q132" s="25"/>
      <c r="R132" s="25"/>
      <c r="S132" s="25"/>
      <c r="T132" s="25"/>
      <c r="U132" s="25"/>
      <c r="V132" s="25"/>
      <c r="W132" s="27"/>
      <c r="X132" s="50"/>
    </row>
    <row r="133" spans="1:24" ht="20.45" customHeight="1">
      <c r="A133" s="10"/>
      <c r="B133" s="11"/>
      <c r="C133" s="11"/>
      <c r="D133" s="11"/>
      <c r="E133" s="12"/>
      <c r="F133" s="11"/>
      <c r="G133" s="11"/>
      <c r="H133" s="11"/>
      <c r="I133" s="11"/>
      <c r="J133" s="11"/>
      <c r="K133" s="11"/>
      <c r="L133" s="11"/>
      <c r="M133" s="25"/>
      <c r="N133" s="28"/>
      <c r="O133" s="25"/>
      <c r="P133" s="25"/>
      <c r="Q133" s="28"/>
      <c r="R133" s="28"/>
      <c r="S133" s="25"/>
      <c r="T133" s="25"/>
      <c r="U133" s="28"/>
      <c r="V133" s="25"/>
      <c r="W133" s="15"/>
      <c r="X133" s="50"/>
    </row>
    <row r="134" spans="1:24" ht="20.45" customHeight="1">
      <c r="A134" s="10"/>
      <c r="B134" s="11"/>
      <c r="C134" s="11"/>
      <c r="D134" s="11"/>
      <c r="E134" s="12"/>
      <c r="F134" s="11"/>
      <c r="G134" s="11"/>
      <c r="H134" s="11"/>
      <c r="I134" s="11"/>
      <c r="J134" s="11"/>
      <c r="K134" s="11"/>
      <c r="L134" s="17"/>
      <c r="M134" s="25"/>
      <c r="N134" s="28"/>
      <c r="O134" s="25"/>
      <c r="P134" s="25"/>
      <c r="Q134" s="25"/>
      <c r="R134" s="25"/>
      <c r="S134" s="25"/>
      <c r="T134" s="25"/>
      <c r="U134" s="28"/>
      <c r="V134" s="25"/>
      <c r="W134" s="15"/>
      <c r="X134" s="50"/>
    </row>
    <row r="135" spans="1:24" ht="20.45" customHeight="1">
      <c r="A135" s="10"/>
      <c r="B135" s="11"/>
      <c r="C135" s="11"/>
      <c r="D135" s="11"/>
      <c r="E135" s="12"/>
      <c r="F135" s="11"/>
      <c r="G135" s="11"/>
      <c r="H135" s="11"/>
      <c r="I135" s="11"/>
      <c r="J135" s="11"/>
      <c r="K135" s="11"/>
      <c r="L135" s="11"/>
      <c r="M135" s="25"/>
      <c r="N135" s="28"/>
      <c r="O135" s="25"/>
      <c r="P135" s="25"/>
      <c r="Q135" s="25"/>
      <c r="R135" s="28"/>
      <c r="S135" s="25"/>
      <c r="T135" s="25"/>
      <c r="U135" s="28"/>
      <c r="V135" s="25"/>
      <c r="W135" s="15"/>
      <c r="X135" s="50"/>
    </row>
    <row r="136" spans="1:24" ht="20.45" customHeight="1">
      <c r="A136" s="10"/>
      <c r="B136" s="11"/>
      <c r="C136" s="11"/>
      <c r="D136" s="11"/>
      <c r="E136" s="12"/>
      <c r="F136" s="11"/>
      <c r="G136" s="11"/>
      <c r="H136" s="11"/>
      <c r="I136" s="11"/>
      <c r="J136" s="11"/>
      <c r="K136" s="11"/>
      <c r="L136" s="17"/>
      <c r="M136" s="25"/>
      <c r="N136" s="28"/>
      <c r="O136" s="25"/>
      <c r="P136" s="25"/>
      <c r="Q136" s="25"/>
      <c r="R136" s="28"/>
      <c r="S136" s="25"/>
      <c r="T136" s="25"/>
      <c r="U136" s="28"/>
      <c r="V136" s="25"/>
      <c r="W136" s="15"/>
      <c r="X136" s="50"/>
    </row>
    <row r="137" spans="1:24" ht="20.45" customHeight="1">
      <c r="A137" s="10"/>
      <c r="B137" s="11"/>
      <c r="C137" s="11"/>
      <c r="D137" s="11"/>
      <c r="E137" s="12"/>
      <c r="F137" s="11"/>
      <c r="G137" s="11"/>
      <c r="H137" s="11"/>
      <c r="I137" s="11"/>
      <c r="J137" s="11"/>
      <c r="K137" s="11"/>
      <c r="L137" s="11"/>
      <c r="M137" s="25"/>
      <c r="N137" s="28"/>
      <c r="O137" s="25"/>
      <c r="P137" s="25"/>
      <c r="Q137" s="28"/>
      <c r="R137" s="28"/>
      <c r="S137" s="25"/>
      <c r="T137" s="25"/>
      <c r="U137" s="28"/>
      <c r="V137" s="25"/>
      <c r="W137" s="15"/>
      <c r="X137" s="50"/>
    </row>
    <row r="138" spans="1:24" ht="20.45" customHeight="1">
      <c r="A138" s="10"/>
      <c r="B138" s="11"/>
      <c r="C138" s="11"/>
      <c r="D138" s="11"/>
      <c r="E138" s="12"/>
      <c r="F138" s="11"/>
      <c r="G138" s="11"/>
      <c r="H138" s="11"/>
      <c r="I138" s="11"/>
      <c r="J138" s="11"/>
      <c r="K138" s="11"/>
      <c r="L138" s="11"/>
      <c r="M138" s="25"/>
      <c r="N138" s="28"/>
      <c r="O138" s="25"/>
      <c r="P138" s="28"/>
      <c r="Q138" s="25"/>
      <c r="R138" s="28"/>
      <c r="S138" s="25"/>
      <c r="T138" s="28"/>
      <c r="U138" s="28"/>
      <c r="V138" s="25"/>
      <c r="W138" s="15"/>
      <c r="X138" s="51"/>
    </row>
    <row r="139" spans="1:24" ht="20.45" customHeight="1">
      <c r="A139" s="10"/>
      <c r="B139" s="11"/>
      <c r="C139" s="11"/>
      <c r="D139" s="11"/>
      <c r="E139" s="12"/>
      <c r="F139" s="11"/>
      <c r="G139" s="11"/>
      <c r="H139" s="11"/>
      <c r="I139" s="11"/>
      <c r="J139" s="11"/>
      <c r="K139" s="11"/>
      <c r="L139" s="11"/>
      <c r="M139" s="25"/>
      <c r="N139" s="28"/>
      <c r="O139" s="25"/>
      <c r="P139" s="25"/>
      <c r="Q139" s="25"/>
      <c r="R139" s="25"/>
      <c r="S139" s="25"/>
      <c r="T139" s="25"/>
      <c r="U139" s="28"/>
      <c r="V139" s="25"/>
      <c r="W139" s="15"/>
      <c r="X139" s="51"/>
    </row>
    <row r="140" spans="1:24" ht="20.45" customHeight="1">
      <c r="A140" s="10"/>
      <c r="B140" s="11"/>
      <c r="C140" s="11"/>
      <c r="D140" s="11"/>
      <c r="E140" s="12"/>
      <c r="F140" s="11"/>
      <c r="G140" s="11"/>
      <c r="H140" s="11"/>
      <c r="I140" s="11"/>
      <c r="J140" s="11"/>
      <c r="K140" s="11"/>
      <c r="L140" s="17"/>
      <c r="M140" s="25"/>
      <c r="N140" s="28"/>
      <c r="O140" s="25"/>
      <c r="P140" s="28"/>
      <c r="Q140" s="25"/>
      <c r="R140" s="28"/>
      <c r="S140" s="25"/>
      <c r="T140" s="25"/>
      <c r="U140" s="28"/>
      <c r="V140" s="28"/>
      <c r="W140" s="27"/>
      <c r="X140" s="51"/>
    </row>
    <row r="141" spans="1:24" ht="20.45" customHeight="1">
      <c r="A141" s="10"/>
      <c r="B141" s="11"/>
      <c r="C141" s="11"/>
      <c r="D141" s="11"/>
      <c r="E141" s="12"/>
      <c r="F141" s="11"/>
      <c r="G141" s="11"/>
      <c r="H141" s="11"/>
      <c r="I141" s="11"/>
      <c r="J141" s="11"/>
      <c r="K141" s="11"/>
      <c r="L141" s="11"/>
      <c r="M141" s="11"/>
      <c r="N141" s="26"/>
      <c r="P141" s="26"/>
      <c r="Q141" s="26"/>
      <c r="R141" s="26"/>
      <c r="S141" s="14"/>
      <c r="T141" s="14"/>
      <c r="U141" s="26"/>
      <c r="V141" s="28"/>
      <c r="W141" s="27"/>
      <c r="X141" s="51"/>
    </row>
    <row r="142" spans="1:24" ht="20.100000000000001" customHeight="1">
      <c r="A142" s="10"/>
      <c r="B142" s="11"/>
      <c r="C142" s="11"/>
      <c r="D142" s="11">
        <f>B142*E142</f>
        <v>0</v>
      </c>
      <c r="E142" s="12"/>
      <c r="F142" s="11">
        <f>C142/4</f>
        <v>0</v>
      </c>
      <c r="G142" s="11">
        <f>D142/7.5</f>
        <v>0</v>
      </c>
      <c r="H142" s="11">
        <f>B142/12.5</f>
        <v>0</v>
      </c>
      <c r="I142" s="11">
        <f>G142/0.93</f>
        <v>0</v>
      </c>
      <c r="J142" s="11">
        <f>G142/0.92</f>
        <v>0</v>
      </c>
      <c r="K142" s="11">
        <f>G142/0.88</f>
        <v>0</v>
      </c>
      <c r="L142" s="17">
        <f>G142/0.84</f>
        <v>0</v>
      </c>
      <c r="M142" s="11"/>
      <c r="N142" s="26"/>
      <c r="P142" s="26"/>
      <c r="Q142" s="26"/>
      <c r="R142" s="26"/>
      <c r="S142" s="14"/>
      <c r="T142" s="14"/>
      <c r="U142" s="26"/>
      <c r="V142" s="38"/>
      <c r="W142" s="31"/>
      <c r="X142" s="51"/>
    </row>
    <row r="143" spans="1:24" ht="20.100000000000001" customHeight="1">
      <c r="A143" s="10"/>
      <c r="B143" s="11"/>
      <c r="C143" s="11"/>
      <c r="D143" s="11">
        <f>B143*E143</f>
        <v>0</v>
      </c>
      <c r="E143" s="12"/>
      <c r="F143" s="11">
        <f>C143/4</f>
        <v>0</v>
      </c>
      <c r="G143" s="11">
        <f>D143/7.5</f>
        <v>0</v>
      </c>
      <c r="H143" s="11">
        <f>B143/12.5</f>
        <v>0</v>
      </c>
      <c r="I143" s="11">
        <f>G143/0.93</f>
        <v>0</v>
      </c>
      <c r="J143" s="11">
        <f>G143/0.92</f>
        <v>0</v>
      </c>
      <c r="K143" s="11">
        <f>G143/0.88</f>
        <v>0</v>
      </c>
      <c r="L143" s="17">
        <f>G143/0.84</f>
        <v>0</v>
      </c>
      <c r="M143" s="11"/>
      <c r="N143" s="26"/>
      <c r="P143" s="26"/>
      <c r="Q143" s="26"/>
      <c r="R143" s="26"/>
      <c r="S143" s="14"/>
      <c r="T143" s="14"/>
      <c r="U143" s="26"/>
      <c r="V143" s="38"/>
      <c r="W143" s="31"/>
      <c r="X143" s="51"/>
    </row>
    <row r="144" spans="1:24" ht="20.100000000000001" customHeight="1">
      <c r="A144" s="10"/>
      <c r="B144" s="11"/>
      <c r="C144" s="11"/>
      <c r="D144" s="11">
        <f>B144*E144</f>
        <v>0</v>
      </c>
      <c r="E144" s="12"/>
      <c r="F144" s="11">
        <f>C144/4</f>
        <v>0</v>
      </c>
      <c r="G144" s="11">
        <f>D144/7.5</f>
        <v>0</v>
      </c>
      <c r="H144" s="11">
        <f>B144/12.5</f>
        <v>0</v>
      </c>
      <c r="I144" s="11">
        <f>G144/0.93</f>
        <v>0</v>
      </c>
      <c r="J144" s="11">
        <f>G144/0.92</f>
        <v>0</v>
      </c>
      <c r="K144" s="11">
        <f>G144/0.88</f>
        <v>0</v>
      </c>
      <c r="L144" s="17">
        <f>G144/0.84</f>
        <v>0</v>
      </c>
      <c r="M144" s="11"/>
      <c r="N144" s="26"/>
      <c r="P144" s="26"/>
      <c r="Q144" s="26"/>
      <c r="R144" s="26"/>
      <c r="S144" s="14"/>
      <c r="T144" s="14"/>
      <c r="U144" s="26"/>
      <c r="V144" s="38"/>
      <c r="W144" s="31"/>
      <c r="X144" s="51"/>
    </row>
  </sheetData>
  <mergeCells count="15">
    <mergeCell ref="X51:X57"/>
    <mergeCell ref="X1:X10"/>
    <mergeCell ref="X11:X20"/>
    <mergeCell ref="X21:X30"/>
    <mergeCell ref="X31:X40"/>
    <mergeCell ref="X41:X50"/>
    <mergeCell ref="X118:X127"/>
    <mergeCell ref="X128:X137"/>
    <mergeCell ref="X138:X144"/>
    <mergeCell ref="X58:X67"/>
    <mergeCell ref="X68:X77"/>
    <mergeCell ref="X78:X87"/>
    <mergeCell ref="X88:X97"/>
    <mergeCell ref="X98:X107"/>
    <mergeCell ref="X108:X117"/>
  </mergeCells>
  <pageMargins left="0.25" right="0.25" top="0.25" bottom="0.25" header="0" footer="0"/>
  <pageSetup scale="95" fitToHeight="0" orientation="landscape" r:id="rId1"/>
  <tableParts count="2">
    <tablePart r:id="rId2"/>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C644B-0275-4B7B-9C39-0F82C0932446}">
  <sheetPr>
    <pageSetUpPr fitToPage="1"/>
  </sheetPr>
  <dimension ref="A1:Z144"/>
  <sheetViews>
    <sheetView topLeftCell="A17" zoomScale="70" zoomScaleNormal="70" workbookViewId="0">
      <selection activeCell="X21" sqref="X21:X30"/>
    </sheetView>
  </sheetViews>
  <sheetFormatPr defaultColWidth="8.7109375" defaultRowHeight="14.45"/>
  <cols>
    <col min="1" max="1" width="19.5703125" customWidth="1"/>
    <col min="2" max="2" width="8.7109375" style="29" hidden="1" customWidth="1"/>
    <col min="3" max="3" width="10.140625" hidden="1" customWidth="1"/>
    <col min="4" max="4" width="8.7109375" style="29" hidden="1" customWidth="1"/>
    <col min="5" max="5" width="9.28515625" hidden="1" customWidth="1"/>
    <col min="6" max="6" width="8.7109375" hidden="1" customWidth="1"/>
    <col min="7" max="7" width="9.28515625" hidden="1" customWidth="1"/>
    <col min="8" max="9" width="8.7109375" hidden="1" customWidth="1"/>
    <col min="10" max="10" width="10.7109375" hidden="1" customWidth="1"/>
    <col min="11" max="11" width="11.42578125" hidden="1" customWidth="1"/>
    <col min="12" max="12" width="6.140625" hidden="1" customWidth="1"/>
    <col min="13" max="13" width="8.7109375" customWidth="1"/>
    <col min="14" max="19" width="10.140625" customWidth="1"/>
    <col min="20" max="22" width="8.7109375" customWidth="1"/>
    <col min="23" max="23" width="3.42578125" customWidth="1"/>
    <col min="24" max="24" width="20.42578125" customWidth="1"/>
    <col min="25" max="25" width="12.28515625" bestFit="1" customWidth="1"/>
    <col min="26" max="27" width="12.85546875" bestFit="1" customWidth="1"/>
  </cols>
  <sheetData>
    <row r="1" spans="1:26" ht="14.45" customHeight="1">
      <c r="A1" s="1" t="s">
        <v>237</v>
      </c>
      <c r="B1" s="2" t="s">
        <v>1</v>
      </c>
      <c r="C1" s="2" t="s">
        <v>2</v>
      </c>
      <c r="D1" s="2" t="s">
        <v>3</v>
      </c>
      <c r="E1" s="3" t="s">
        <v>4</v>
      </c>
      <c r="F1" s="2" t="s">
        <v>5</v>
      </c>
      <c r="G1" s="2" t="s">
        <v>6</v>
      </c>
      <c r="H1" s="2" t="s">
        <v>7</v>
      </c>
      <c r="I1" s="4" t="s">
        <v>8</v>
      </c>
      <c r="J1" s="2" t="s">
        <v>9</v>
      </c>
      <c r="K1" s="2" t="s">
        <v>10</v>
      </c>
      <c r="L1" s="2" t="s">
        <v>11</v>
      </c>
      <c r="M1" s="6" t="s">
        <v>206</v>
      </c>
      <c r="N1" s="6" t="s">
        <v>207</v>
      </c>
      <c r="O1" s="7" t="s">
        <v>208</v>
      </c>
      <c r="P1" s="8" t="s">
        <v>209</v>
      </c>
      <c r="Q1" s="8" t="s">
        <v>147</v>
      </c>
      <c r="R1" s="7" t="s">
        <v>148</v>
      </c>
      <c r="S1" s="7" t="s">
        <v>149</v>
      </c>
      <c r="T1" s="7" t="s">
        <v>77</v>
      </c>
      <c r="U1" s="7" t="s">
        <v>20</v>
      </c>
      <c r="V1" s="7" t="s">
        <v>21</v>
      </c>
      <c r="W1" s="9" t="s">
        <v>22</v>
      </c>
      <c r="X1" s="52" t="s">
        <v>238</v>
      </c>
    </row>
    <row r="2" spans="1:26" ht="21" customHeight="1">
      <c r="A2" s="10" t="s">
        <v>34</v>
      </c>
      <c r="B2" s="11">
        <v>1.1979166666666667E-2</v>
      </c>
      <c r="C2" s="11">
        <v>3.472222222222222E-3</v>
      </c>
      <c r="D2" s="11">
        <f t="shared" ref="D2:D41" si="0">B2*E2</f>
        <v>6.9694791666666672E-3</v>
      </c>
      <c r="E2" s="12">
        <v>0.58179999999999998</v>
      </c>
      <c r="F2" s="11">
        <f t="shared" ref="F2:F41" si="1">C2/4</f>
        <v>8.6805555555555551E-4</v>
      </c>
      <c r="G2" s="11">
        <f t="shared" ref="G2:G41" si="2">D2/7.5</f>
        <v>9.2926388888888898E-4</v>
      </c>
      <c r="H2" s="11">
        <f t="shared" ref="H2:H41" si="3">B2/12.5</f>
        <v>9.5833333333333339E-4</v>
      </c>
      <c r="I2" s="11">
        <f t="shared" ref="I2:I41" si="4">G2/0.93</f>
        <v>9.9920848267622464E-4</v>
      </c>
      <c r="J2" s="11">
        <f t="shared" ref="J2:J41" si="5">G2/0.92</f>
        <v>1.0100694444444445E-3</v>
      </c>
      <c r="K2" s="11">
        <f t="shared" ref="K2:K41" si="6">G2/0.88</f>
        <v>1.055981691919192E-3</v>
      </c>
      <c r="L2" s="11">
        <f t="shared" ref="L2:L41" si="7">G2/0.84</f>
        <v>1.1062665343915346E-3</v>
      </c>
      <c r="M2" s="25"/>
      <c r="N2" s="28"/>
      <c r="O2" s="25"/>
      <c r="P2" s="28"/>
      <c r="Q2" s="25"/>
      <c r="R2" s="25"/>
      <c r="S2" s="25"/>
      <c r="T2" s="28"/>
      <c r="U2" s="11"/>
      <c r="V2" s="36"/>
      <c r="W2" s="15" t="s">
        <v>26</v>
      </c>
      <c r="X2" s="52"/>
    </row>
    <row r="3" spans="1:26" ht="21" customHeight="1">
      <c r="A3" s="10" t="s">
        <v>24</v>
      </c>
      <c r="B3" s="11">
        <v>1.2152777777777778E-2</v>
      </c>
      <c r="C3" s="11">
        <v>3.5300925925925925E-3</v>
      </c>
      <c r="D3" s="11">
        <f t="shared" si="0"/>
        <v>7.0704861111111107E-3</v>
      </c>
      <c r="E3" s="12">
        <v>0.58179999999999998</v>
      </c>
      <c r="F3" s="11">
        <f t="shared" si="1"/>
        <v>8.8252314814814812E-4</v>
      </c>
      <c r="G3" s="11">
        <f t="shared" si="2"/>
        <v>9.4273148148148146E-4</v>
      </c>
      <c r="H3" s="11">
        <f t="shared" si="3"/>
        <v>9.7222222222222219E-4</v>
      </c>
      <c r="I3" s="11">
        <f t="shared" si="4"/>
        <v>1.0136897650338511E-3</v>
      </c>
      <c r="J3" s="11">
        <f t="shared" si="5"/>
        <v>1.0247081320450884E-3</v>
      </c>
      <c r="K3" s="11">
        <f t="shared" si="6"/>
        <v>1.0712857744107744E-3</v>
      </c>
      <c r="L3" s="11">
        <f t="shared" si="7"/>
        <v>1.1222993827160494E-3</v>
      </c>
      <c r="M3" s="25"/>
      <c r="N3" s="28"/>
      <c r="O3" s="25"/>
      <c r="P3" s="28"/>
      <c r="Q3" s="25"/>
      <c r="R3" s="25"/>
      <c r="S3" s="25"/>
      <c r="T3" s="28"/>
      <c r="U3" s="11"/>
      <c r="V3" s="28"/>
      <c r="W3" s="15" t="s">
        <v>26</v>
      </c>
      <c r="X3" s="52"/>
      <c r="Z3" s="16"/>
    </row>
    <row r="4" spans="1:26" ht="21" customHeight="1">
      <c r="A4" s="10" t="s">
        <v>60</v>
      </c>
      <c r="B4" s="11">
        <v>1.2152777777777778E-2</v>
      </c>
      <c r="C4" s="11">
        <v>3.6458333333333334E-3</v>
      </c>
      <c r="D4" s="11">
        <f t="shared" si="0"/>
        <v>7.0704861111111107E-3</v>
      </c>
      <c r="E4" s="12">
        <v>0.58179999999999998</v>
      </c>
      <c r="F4" s="11">
        <f t="shared" si="1"/>
        <v>9.1145833333333335E-4</v>
      </c>
      <c r="G4" s="11">
        <f t="shared" si="2"/>
        <v>9.4273148148148146E-4</v>
      </c>
      <c r="H4" s="11">
        <f t="shared" si="3"/>
        <v>9.7222222222222219E-4</v>
      </c>
      <c r="I4" s="11">
        <f t="shared" si="4"/>
        <v>1.0136897650338511E-3</v>
      </c>
      <c r="J4" s="11">
        <f t="shared" si="5"/>
        <v>1.0247081320450884E-3</v>
      </c>
      <c r="K4" s="11">
        <f t="shared" si="6"/>
        <v>1.0712857744107744E-3</v>
      </c>
      <c r="L4" s="11">
        <f t="shared" si="7"/>
        <v>1.1222993827160494E-3</v>
      </c>
      <c r="M4" s="25"/>
      <c r="N4" s="28"/>
      <c r="O4" s="25"/>
      <c r="P4" s="28"/>
      <c r="Q4" s="25"/>
      <c r="R4" s="25"/>
      <c r="S4" s="25"/>
      <c r="T4" s="28"/>
      <c r="U4" s="11"/>
      <c r="V4" s="28"/>
      <c r="W4" s="15" t="s">
        <v>26</v>
      </c>
      <c r="X4" s="52"/>
    </row>
    <row r="5" spans="1:26" ht="21" customHeight="1">
      <c r="A5" s="10" t="s">
        <v>27</v>
      </c>
      <c r="B5" s="11">
        <v>1.238425925925926E-2</v>
      </c>
      <c r="C5" s="11">
        <v>3.6458333333333334E-3</v>
      </c>
      <c r="D5" s="11">
        <f t="shared" si="0"/>
        <v>7.2051620370370368E-3</v>
      </c>
      <c r="E5" s="12">
        <v>0.58179999999999998</v>
      </c>
      <c r="F5" s="11">
        <f t="shared" si="1"/>
        <v>9.1145833333333335E-4</v>
      </c>
      <c r="G5" s="11">
        <f t="shared" si="2"/>
        <v>9.6068827160493821E-4</v>
      </c>
      <c r="H5" s="11">
        <f t="shared" si="3"/>
        <v>9.9074074074074082E-4</v>
      </c>
      <c r="I5" s="11">
        <f t="shared" si="4"/>
        <v>1.0329981415106862E-3</v>
      </c>
      <c r="J5" s="11">
        <f t="shared" si="5"/>
        <v>1.0442263821792807E-3</v>
      </c>
      <c r="K5" s="11">
        <f t="shared" si="6"/>
        <v>1.0916912177328843E-3</v>
      </c>
      <c r="L5" s="11">
        <f t="shared" si="7"/>
        <v>1.1436765138154027E-3</v>
      </c>
      <c r="M5" s="25"/>
      <c r="N5" s="28"/>
      <c r="O5" s="25"/>
      <c r="P5" s="28"/>
      <c r="Q5" s="25"/>
      <c r="R5" s="25"/>
      <c r="S5" s="25"/>
      <c r="T5" s="28"/>
      <c r="U5" s="11"/>
      <c r="V5" s="28"/>
      <c r="W5" s="15" t="s">
        <v>26</v>
      </c>
      <c r="X5" s="52"/>
    </row>
    <row r="6" spans="1:26" ht="21" customHeight="1">
      <c r="A6" s="10" t="s">
        <v>31</v>
      </c>
      <c r="B6" s="11">
        <v>1.238425925925926E-2</v>
      </c>
      <c r="C6" s="11">
        <v>3.7037037037037038E-3</v>
      </c>
      <c r="D6" s="11">
        <f t="shared" si="0"/>
        <v>7.2051620370370368E-3</v>
      </c>
      <c r="E6" s="12">
        <v>0.58179999999999998</v>
      </c>
      <c r="F6" s="11">
        <f t="shared" si="1"/>
        <v>9.2592592592592596E-4</v>
      </c>
      <c r="G6" s="11">
        <f t="shared" si="2"/>
        <v>9.6068827160493821E-4</v>
      </c>
      <c r="H6" s="11">
        <f t="shared" si="3"/>
        <v>9.9074074074074082E-4</v>
      </c>
      <c r="I6" s="11">
        <f t="shared" si="4"/>
        <v>1.0329981415106862E-3</v>
      </c>
      <c r="J6" s="11">
        <f t="shared" si="5"/>
        <v>1.0442263821792807E-3</v>
      </c>
      <c r="K6" s="11">
        <f t="shared" si="6"/>
        <v>1.0916912177328843E-3</v>
      </c>
      <c r="L6" s="11">
        <f t="shared" si="7"/>
        <v>1.1436765138154027E-3</v>
      </c>
      <c r="M6" s="25"/>
      <c r="N6" s="28"/>
      <c r="O6" s="25"/>
      <c r="P6" s="28"/>
      <c r="Q6" s="25"/>
      <c r="R6" s="25"/>
      <c r="S6" s="25"/>
      <c r="T6" s="28"/>
      <c r="U6" s="11"/>
      <c r="V6" s="28"/>
      <c r="W6" s="15" t="s">
        <v>26</v>
      </c>
      <c r="X6" s="52"/>
    </row>
    <row r="7" spans="1:26" ht="21" customHeight="1">
      <c r="A7" s="10" t="s">
        <v>59</v>
      </c>
      <c r="B7" s="11">
        <v>1.2500000000000001E-2</v>
      </c>
      <c r="C7" s="11">
        <v>3.7037037037037038E-3</v>
      </c>
      <c r="D7" s="11">
        <f t="shared" si="0"/>
        <v>7.2725000000000003E-3</v>
      </c>
      <c r="E7" s="12">
        <v>0.58179999999999998</v>
      </c>
      <c r="F7" s="11">
        <f t="shared" si="1"/>
        <v>9.2592592592592596E-4</v>
      </c>
      <c r="G7" s="11">
        <f t="shared" si="2"/>
        <v>9.6966666666666675E-4</v>
      </c>
      <c r="H7" s="11">
        <f t="shared" si="3"/>
        <v>1E-3</v>
      </c>
      <c r="I7" s="11">
        <f t="shared" si="4"/>
        <v>1.0426523297491039E-3</v>
      </c>
      <c r="J7" s="11">
        <f t="shared" si="5"/>
        <v>1.0539855072463768E-3</v>
      </c>
      <c r="K7" s="11">
        <f t="shared" si="6"/>
        <v>1.1018939393939394E-3</v>
      </c>
      <c r="L7" s="17">
        <f t="shared" si="7"/>
        <v>1.1543650793650795E-3</v>
      </c>
      <c r="M7" s="25"/>
      <c r="N7" s="28"/>
      <c r="O7" s="25"/>
      <c r="P7" s="28"/>
      <c r="Q7" s="25"/>
      <c r="R7" s="25"/>
      <c r="S7" s="25"/>
      <c r="T7" s="28"/>
      <c r="U7" s="11"/>
      <c r="V7" s="38"/>
      <c r="W7" s="15" t="s">
        <v>26</v>
      </c>
      <c r="X7" s="52"/>
    </row>
    <row r="8" spans="1:26" ht="21" customHeight="1">
      <c r="A8" s="10" t="s">
        <v>28</v>
      </c>
      <c r="B8" s="11">
        <v>1.2500000000000001E-2</v>
      </c>
      <c r="C8" s="11">
        <v>3.7037037037037038E-3</v>
      </c>
      <c r="D8" s="11">
        <f t="shared" si="0"/>
        <v>7.2725000000000003E-3</v>
      </c>
      <c r="E8" s="12">
        <v>0.58179999999999998</v>
      </c>
      <c r="F8" s="11">
        <f t="shared" si="1"/>
        <v>9.2592592592592596E-4</v>
      </c>
      <c r="G8" s="11">
        <f t="shared" si="2"/>
        <v>9.6966666666666675E-4</v>
      </c>
      <c r="H8" s="11">
        <f t="shared" si="3"/>
        <v>1E-3</v>
      </c>
      <c r="I8" s="11">
        <f t="shared" si="4"/>
        <v>1.0426523297491039E-3</v>
      </c>
      <c r="J8" s="11">
        <f t="shared" si="5"/>
        <v>1.0539855072463768E-3</v>
      </c>
      <c r="K8" s="11">
        <f t="shared" si="6"/>
        <v>1.1018939393939394E-3</v>
      </c>
      <c r="L8" s="11">
        <f t="shared" si="7"/>
        <v>1.1543650793650795E-3</v>
      </c>
      <c r="M8" s="25"/>
      <c r="N8" s="28"/>
      <c r="O8" s="25"/>
      <c r="P8" s="28"/>
      <c r="Q8" s="25"/>
      <c r="R8" s="25"/>
      <c r="S8" s="25"/>
      <c r="T8" s="28"/>
      <c r="U8" s="11"/>
      <c r="V8" s="28"/>
      <c r="W8" s="15" t="s">
        <v>26</v>
      </c>
      <c r="X8" s="52"/>
    </row>
    <row r="9" spans="1:26" ht="21" customHeight="1">
      <c r="A9" s="10" t="s">
        <v>29</v>
      </c>
      <c r="B9" s="11">
        <v>1.2500000000000001E-2</v>
      </c>
      <c r="C9" s="11">
        <v>3.8194444444444443E-3</v>
      </c>
      <c r="D9" s="11">
        <f t="shared" si="0"/>
        <v>7.2725000000000003E-3</v>
      </c>
      <c r="E9" s="12">
        <v>0.58179999999999998</v>
      </c>
      <c r="F9" s="11">
        <f t="shared" si="1"/>
        <v>9.5486111111111108E-4</v>
      </c>
      <c r="G9" s="11">
        <f t="shared" si="2"/>
        <v>9.6966666666666675E-4</v>
      </c>
      <c r="H9" s="11">
        <f t="shared" si="3"/>
        <v>1E-3</v>
      </c>
      <c r="I9" s="11">
        <f t="shared" si="4"/>
        <v>1.0426523297491039E-3</v>
      </c>
      <c r="J9" s="11">
        <f t="shared" si="5"/>
        <v>1.0539855072463768E-3</v>
      </c>
      <c r="K9" s="11">
        <f t="shared" si="6"/>
        <v>1.1018939393939394E-3</v>
      </c>
      <c r="L9" s="11">
        <f t="shared" si="7"/>
        <v>1.1543650793650795E-3</v>
      </c>
      <c r="M9" s="25"/>
      <c r="N9" s="28"/>
      <c r="O9" s="25"/>
      <c r="P9" s="28"/>
      <c r="Q9" s="25"/>
      <c r="R9" s="25"/>
      <c r="S9" s="25"/>
      <c r="T9" s="28"/>
      <c r="U9" s="11"/>
      <c r="V9" s="38"/>
      <c r="W9" s="18" t="s">
        <v>26</v>
      </c>
      <c r="X9" s="52"/>
    </row>
    <row r="10" spans="1:26" ht="21" customHeight="1">
      <c r="A10" s="10" t="s">
        <v>30</v>
      </c>
      <c r="B10" s="11">
        <v>1.2500000000000001E-2</v>
      </c>
      <c r="C10" s="11">
        <v>3.6458333333333334E-3</v>
      </c>
      <c r="D10" s="11">
        <f t="shared" si="0"/>
        <v>7.2725000000000003E-3</v>
      </c>
      <c r="E10" s="12">
        <v>0.58179999999999998</v>
      </c>
      <c r="F10" s="11">
        <f t="shared" si="1"/>
        <v>9.1145833333333335E-4</v>
      </c>
      <c r="G10" s="11">
        <f t="shared" si="2"/>
        <v>9.6966666666666675E-4</v>
      </c>
      <c r="H10" s="11">
        <f t="shared" si="3"/>
        <v>1E-3</v>
      </c>
      <c r="I10" s="11">
        <f t="shared" si="4"/>
        <v>1.0426523297491039E-3</v>
      </c>
      <c r="J10" s="11">
        <f t="shared" si="5"/>
        <v>1.0539855072463768E-3</v>
      </c>
      <c r="K10" s="11">
        <f t="shared" si="6"/>
        <v>1.1018939393939394E-3</v>
      </c>
      <c r="L10" s="11">
        <f t="shared" si="7"/>
        <v>1.1543650793650795E-3</v>
      </c>
      <c r="M10" s="25"/>
      <c r="N10" s="28"/>
      <c r="O10" s="25"/>
      <c r="P10" s="28"/>
      <c r="Q10" s="25"/>
      <c r="R10" s="25"/>
      <c r="S10" s="25"/>
      <c r="T10" s="28"/>
      <c r="U10" s="11"/>
      <c r="V10" s="28"/>
      <c r="W10" s="15" t="s">
        <v>26</v>
      </c>
      <c r="X10" s="52"/>
    </row>
    <row r="11" spans="1:26" ht="21" customHeight="1">
      <c r="A11" s="10" t="s">
        <v>55</v>
      </c>
      <c r="B11" s="11">
        <v>1.2500000000000001E-2</v>
      </c>
      <c r="C11" s="11">
        <v>3.5879629629629629E-3</v>
      </c>
      <c r="D11" s="11">
        <f t="shared" si="0"/>
        <v>7.2725000000000003E-3</v>
      </c>
      <c r="E11" s="12">
        <v>0.58179999999999998</v>
      </c>
      <c r="F11" s="11">
        <f t="shared" si="1"/>
        <v>8.9699074074074073E-4</v>
      </c>
      <c r="G11" s="11">
        <f t="shared" si="2"/>
        <v>9.6966666666666675E-4</v>
      </c>
      <c r="H11" s="11">
        <f t="shared" si="3"/>
        <v>1E-3</v>
      </c>
      <c r="I11" s="11">
        <f t="shared" si="4"/>
        <v>1.0426523297491039E-3</v>
      </c>
      <c r="J11" s="11">
        <f t="shared" si="5"/>
        <v>1.0539855072463768E-3</v>
      </c>
      <c r="K11" s="11">
        <f t="shared" si="6"/>
        <v>1.1018939393939394E-3</v>
      </c>
      <c r="L11" s="11">
        <f t="shared" si="7"/>
        <v>1.1543650793650795E-3</v>
      </c>
      <c r="M11" s="25"/>
      <c r="N11" s="28"/>
      <c r="O11" s="25"/>
      <c r="P11" s="28"/>
      <c r="Q11" s="25"/>
      <c r="R11" s="25"/>
      <c r="S11" s="25"/>
      <c r="T11" s="28"/>
      <c r="U11" s="11"/>
      <c r="V11" s="17"/>
      <c r="W11" s="18" t="s">
        <v>26</v>
      </c>
      <c r="X11" s="52" t="s">
        <v>211</v>
      </c>
    </row>
    <row r="12" spans="1:26" ht="21" customHeight="1">
      <c r="A12" s="10" t="s">
        <v>62</v>
      </c>
      <c r="B12" s="11">
        <v>1.2500000000000001E-2</v>
      </c>
      <c r="C12" s="11">
        <v>3.6458333333333334E-3</v>
      </c>
      <c r="D12" s="11">
        <f>B12*E12</f>
        <v>7.2725000000000003E-3</v>
      </c>
      <c r="E12" s="12">
        <v>0.58179999999999998</v>
      </c>
      <c r="F12" s="11">
        <f>C12/4</f>
        <v>9.1145833333333335E-4</v>
      </c>
      <c r="G12" s="11">
        <f>D12/7.5</f>
        <v>9.6966666666666675E-4</v>
      </c>
      <c r="H12" s="11">
        <f>B12/12.5</f>
        <v>1E-3</v>
      </c>
      <c r="I12" s="11">
        <f>G12/0.93</f>
        <v>1.0426523297491039E-3</v>
      </c>
      <c r="J12" s="11">
        <f>G12/0.92</f>
        <v>1.0539855072463768E-3</v>
      </c>
      <c r="K12" s="11">
        <f>G12/0.88</f>
        <v>1.1018939393939394E-3</v>
      </c>
      <c r="L12" s="11">
        <f>G12/0.84</f>
        <v>1.1543650793650795E-3</v>
      </c>
      <c r="M12" s="25"/>
      <c r="N12" s="28"/>
      <c r="O12" s="25"/>
      <c r="P12" s="28"/>
      <c r="Q12" s="25"/>
      <c r="R12" s="25"/>
      <c r="S12" s="25"/>
      <c r="T12" s="28"/>
      <c r="U12" s="11"/>
      <c r="V12" s="17"/>
      <c r="W12" s="18" t="s">
        <v>26</v>
      </c>
      <c r="X12" s="52"/>
    </row>
    <row r="13" spans="1:26" ht="21" customHeight="1">
      <c r="A13" s="10" t="s">
        <v>65</v>
      </c>
      <c r="B13" s="11">
        <v>1.2731481481481481E-2</v>
      </c>
      <c r="C13" s="11">
        <v>3.8194444444444443E-3</v>
      </c>
      <c r="D13" s="11">
        <f t="shared" si="0"/>
        <v>7.4071759259259256E-3</v>
      </c>
      <c r="E13" s="12">
        <v>0.58179999999999998</v>
      </c>
      <c r="F13" s="11">
        <f t="shared" si="1"/>
        <v>9.5486111111111108E-4</v>
      </c>
      <c r="G13" s="11">
        <f t="shared" si="2"/>
        <v>9.8762345679012349E-4</v>
      </c>
      <c r="H13" s="11">
        <f t="shared" si="3"/>
        <v>1.0185185185185184E-3</v>
      </c>
      <c r="I13" s="11">
        <f t="shared" si="4"/>
        <v>1.0619607062259391E-3</v>
      </c>
      <c r="J13" s="11">
        <f t="shared" si="5"/>
        <v>1.073503757380569E-3</v>
      </c>
      <c r="K13" s="11">
        <f t="shared" si="6"/>
        <v>1.1222993827160494E-3</v>
      </c>
      <c r="L13" s="11">
        <f t="shared" si="7"/>
        <v>1.1757422104644328E-3</v>
      </c>
      <c r="M13" s="25"/>
      <c r="N13" s="28"/>
      <c r="O13" s="25"/>
      <c r="P13" s="28"/>
      <c r="Q13" s="25"/>
      <c r="R13" s="25"/>
      <c r="S13" s="25"/>
      <c r="T13" s="28"/>
      <c r="U13" s="11"/>
      <c r="V13" s="28"/>
      <c r="W13" s="15" t="s">
        <v>26</v>
      </c>
      <c r="X13" s="52"/>
    </row>
    <row r="14" spans="1:26" ht="21" customHeight="1">
      <c r="A14" s="10" t="s">
        <v>38</v>
      </c>
      <c r="B14" s="11">
        <v>1.238425925925926E-2</v>
      </c>
      <c r="C14" s="11">
        <v>3.5300925925925925E-3</v>
      </c>
      <c r="D14" s="11">
        <f>B14*E14</f>
        <v>7.2051620370370368E-3</v>
      </c>
      <c r="E14" s="12">
        <v>0.58179999999999998</v>
      </c>
      <c r="F14" s="11">
        <f>C14/4</f>
        <v>8.8252314814814812E-4</v>
      </c>
      <c r="G14" s="11">
        <f>D14/7.5</f>
        <v>9.6068827160493821E-4</v>
      </c>
      <c r="H14" s="11">
        <f>B14/12.5</f>
        <v>9.9074074074074082E-4</v>
      </c>
      <c r="I14" s="11">
        <f>G14/0.93</f>
        <v>1.0329981415106862E-3</v>
      </c>
      <c r="J14" s="11">
        <f>G14/0.92</f>
        <v>1.0442263821792807E-3</v>
      </c>
      <c r="K14" s="11">
        <f>G14/0.88</f>
        <v>1.0916912177328843E-3</v>
      </c>
      <c r="L14" s="11">
        <f>G14/0.84</f>
        <v>1.1436765138154027E-3</v>
      </c>
      <c r="M14" s="25"/>
      <c r="N14" s="28"/>
      <c r="O14" s="25"/>
      <c r="P14" s="28"/>
      <c r="Q14" s="25"/>
      <c r="R14" s="25"/>
      <c r="S14" s="25"/>
      <c r="T14" s="28"/>
      <c r="U14" s="11"/>
      <c r="V14" s="28"/>
      <c r="W14" s="15" t="s">
        <v>26</v>
      </c>
      <c r="X14" s="52"/>
    </row>
    <row r="15" spans="1:26" ht="21" customHeight="1">
      <c r="A15" s="10" t="s">
        <v>67</v>
      </c>
      <c r="B15" s="11">
        <v>1.3020833333333334E-2</v>
      </c>
      <c r="C15" s="11">
        <v>3.8194444444444443E-3</v>
      </c>
      <c r="D15" s="11">
        <f>B15*E15</f>
        <v>7.5755208333333334E-3</v>
      </c>
      <c r="E15" s="12">
        <v>0.58179999999999998</v>
      </c>
      <c r="F15" s="11">
        <f>C15/4</f>
        <v>9.5486111111111108E-4</v>
      </c>
      <c r="G15" s="11">
        <f>D15/7.5</f>
        <v>1.0100694444444445E-3</v>
      </c>
      <c r="H15" s="11">
        <f>B15/12.5</f>
        <v>1.0416666666666667E-3</v>
      </c>
      <c r="I15" s="11">
        <f>G15/0.93</f>
        <v>1.0860961768219832E-3</v>
      </c>
      <c r="J15" s="11">
        <f>G15/0.92</f>
        <v>1.0979015700483092E-3</v>
      </c>
      <c r="K15" s="11">
        <f>G15/0.88</f>
        <v>1.1478061868686869E-3</v>
      </c>
      <c r="L15" s="11">
        <f>G15/0.84</f>
        <v>1.2024636243386244E-3</v>
      </c>
      <c r="M15" s="25"/>
      <c r="N15" s="28"/>
      <c r="O15" s="25"/>
      <c r="P15" s="28"/>
      <c r="Q15" s="25"/>
      <c r="R15" s="25"/>
      <c r="S15" s="25"/>
      <c r="T15" s="28"/>
      <c r="U15" s="11"/>
      <c r="V15" s="28"/>
      <c r="W15" s="18" t="s">
        <v>26</v>
      </c>
      <c r="X15" s="52"/>
    </row>
    <row r="16" spans="1:26" ht="21" customHeight="1">
      <c r="A16" s="10"/>
      <c r="B16" s="11"/>
      <c r="C16" s="11"/>
      <c r="D16" s="11"/>
      <c r="E16" s="12"/>
      <c r="F16" s="11"/>
      <c r="G16" s="11"/>
      <c r="H16" s="11"/>
      <c r="I16" s="11"/>
      <c r="J16" s="11"/>
      <c r="K16" s="11"/>
      <c r="L16" s="11"/>
      <c r="M16" s="25"/>
      <c r="N16" s="28"/>
      <c r="O16" s="25"/>
      <c r="P16" s="11"/>
      <c r="Q16" s="14"/>
      <c r="R16" s="11"/>
      <c r="S16" s="14"/>
      <c r="T16" s="14"/>
      <c r="U16" s="14"/>
      <c r="V16" s="17"/>
      <c r="W16" s="18"/>
      <c r="X16" s="52"/>
    </row>
    <row r="17" spans="1:24" ht="21" customHeight="1">
      <c r="A17" s="19"/>
      <c r="B17" s="6"/>
      <c r="C17" s="6"/>
      <c r="D17" s="6"/>
      <c r="E17" s="20"/>
      <c r="F17" s="6"/>
      <c r="G17" s="6"/>
      <c r="H17" s="6"/>
      <c r="I17" s="6"/>
      <c r="J17" s="6"/>
      <c r="K17" s="6"/>
      <c r="L17" s="6"/>
      <c r="M17" s="6"/>
      <c r="N17" s="6"/>
      <c r="O17" s="6"/>
      <c r="P17" s="6"/>
      <c r="Q17" s="6"/>
      <c r="R17" s="6"/>
      <c r="S17" s="6"/>
      <c r="T17" s="6"/>
      <c r="U17" s="6"/>
      <c r="V17" s="6"/>
      <c r="W17" s="35"/>
      <c r="X17" s="52"/>
    </row>
    <row r="18" spans="1:24" ht="21" customHeight="1">
      <c r="A18" s="10" t="s">
        <v>36</v>
      </c>
      <c r="B18" s="11">
        <v>1.2731481481481481E-2</v>
      </c>
      <c r="C18" s="11">
        <v>3.6458333333333334E-3</v>
      </c>
      <c r="D18" s="11">
        <f t="shared" ref="D18:D21" si="8">B18*E18</f>
        <v>7.4071759259259256E-3</v>
      </c>
      <c r="E18" s="12">
        <v>0.58179999999999998</v>
      </c>
      <c r="F18" s="11">
        <f t="shared" ref="F18:F21" si="9">C18/4</f>
        <v>9.1145833333333335E-4</v>
      </c>
      <c r="G18" s="11">
        <f t="shared" ref="G18:G21" si="10">D18/7.5</f>
        <v>9.8762345679012349E-4</v>
      </c>
      <c r="H18" s="11">
        <f t="shared" ref="H18:H21" si="11">B18/12.5</f>
        <v>1.0185185185185184E-3</v>
      </c>
      <c r="I18" s="11">
        <f t="shared" ref="I18:I21" si="12">G18/0.93</f>
        <v>1.0619607062259391E-3</v>
      </c>
      <c r="J18" s="11">
        <f t="shared" ref="J18:J21" si="13">G18/0.92</f>
        <v>1.073503757380569E-3</v>
      </c>
      <c r="K18" s="11">
        <f t="shared" ref="K18:K21" si="14">G18/0.88</f>
        <v>1.1222993827160494E-3</v>
      </c>
      <c r="L18" s="11">
        <f t="shared" ref="L18:L21" si="15">G18/0.84</f>
        <v>1.1757422104644328E-3</v>
      </c>
      <c r="M18" s="25"/>
      <c r="N18" s="28"/>
      <c r="O18" s="25"/>
      <c r="P18" s="28"/>
      <c r="Q18" s="25"/>
      <c r="R18" s="25"/>
      <c r="S18" s="25"/>
      <c r="T18" s="25"/>
      <c r="U18" s="25"/>
      <c r="V18" s="25"/>
      <c r="W18" s="15" t="s">
        <v>48</v>
      </c>
      <c r="X18" s="52"/>
    </row>
    <row r="19" spans="1:24" ht="21" customHeight="1">
      <c r="A19" s="10" t="s">
        <v>50</v>
      </c>
      <c r="B19" s="11">
        <v>1.3020833333333334E-2</v>
      </c>
      <c r="C19" s="11">
        <v>3.7037037037037038E-3</v>
      </c>
      <c r="D19" s="11">
        <f t="shared" si="8"/>
        <v>7.5755208333333334E-3</v>
      </c>
      <c r="E19" s="12">
        <v>0.58179999999999998</v>
      </c>
      <c r="F19" s="11">
        <f t="shared" si="9"/>
        <v>9.2592592592592596E-4</v>
      </c>
      <c r="G19" s="11">
        <f t="shared" si="10"/>
        <v>1.0100694444444445E-3</v>
      </c>
      <c r="H19" s="11">
        <f t="shared" si="11"/>
        <v>1.0416666666666667E-3</v>
      </c>
      <c r="I19" s="11">
        <f t="shared" si="12"/>
        <v>1.0860961768219832E-3</v>
      </c>
      <c r="J19" s="11">
        <f t="shared" si="13"/>
        <v>1.0979015700483092E-3</v>
      </c>
      <c r="K19" s="11">
        <f t="shared" si="14"/>
        <v>1.1478061868686869E-3</v>
      </c>
      <c r="L19" s="11">
        <f t="shared" si="15"/>
        <v>1.2024636243386244E-3</v>
      </c>
      <c r="M19" s="25"/>
      <c r="N19" s="28"/>
      <c r="O19" s="25"/>
      <c r="P19" s="28"/>
      <c r="Q19" s="25"/>
      <c r="R19" s="25"/>
      <c r="S19" s="25"/>
      <c r="T19" s="25"/>
      <c r="U19" s="25"/>
      <c r="V19" s="25"/>
      <c r="W19" s="15" t="s">
        <v>48</v>
      </c>
      <c r="X19" s="52"/>
    </row>
    <row r="20" spans="1:24" ht="21" customHeight="1">
      <c r="A20" s="10" t="s">
        <v>47</v>
      </c>
      <c r="B20" s="11">
        <v>1.3020833333333334E-2</v>
      </c>
      <c r="C20" s="11">
        <v>3.7037037037037038E-3</v>
      </c>
      <c r="D20" s="11">
        <f t="shared" si="8"/>
        <v>7.5755208333333334E-3</v>
      </c>
      <c r="E20" s="12">
        <v>0.58179999999999998</v>
      </c>
      <c r="F20" s="11">
        <f t="shared" si="9"/>
        <v>9.2592592592592596E-4</v>
      </c>
      <c r="G20" s="11">
        <f t="shared" si="10"/>
        <v>1.0100694444444445E-3</v>
      </c>
      <c r="H20" s="11">
        <f t="shared" si="11"/>
        <v>1.0416666666666667E-3</v>
      </c>
      <c r="I20" s="11">
        <f t="shared" si="12"/>
        <v>1.0860961768219832E-3</v>
      </c>
      <c r="J20" s="11">
        <f t="shared" si="13"/>
        <v>1.0979015700483092E-3</v>
      </c>
      <c r="K20" s="11">
        <f t="shared" si="14"/>
        <v>1.1478061868686869E-3</v>
      </c>
      <c r="L20" s="11">
        <f t="shared" si="15"/>
        <v>1.2024636243386244E-3</v>
      </c>
      <c r="M20" s="25"/>
      <c r="N20" s="28"/>
      <c r="O20" s="25"/>
      <c r="P20" s="28"/>
      <c r="Q20" s="25"/>
      <c r="R20" s="25"/>
      <c r="S20" s="25"/>
      <c r="T20" s="25"/>
      <c r="U20" s="25"/>
      <c r="V20" s="25"/>
      <c r="W20" s="15" t="s">
        <v>48</v>
      </c>
      <c r="X20" s="52"/>
    </row>
    <row r="21" spans="1:24" ht="21" customHeight="1">
      <c r="A21" s="10" t="s">
        <v>198</v>
      </c>
      <c r="B21" s="11">
        <v>1.4583333333333334E-2</v>
      </c>
      <c r="C21" s="11">
        <v>4.1666666666666666E-3</v>
      </c>
      <c r="D21" s="11">
        <f t="shared" si="8"/>
        <v>8.4845833333333336E-3</v>
      </c>
      <c r="E21" s="12">
        <v>0.58179999999999998</v>
      </c>
      <c r="F21" s="11">
        <f t="shared" si="9"/>
        <v>1.0416666666666667E-3</v>
      </c>
      <c r="G21" s="11">
        <f t="shared" si="10"/>
        <v>1.1312777777777777E-3</v>
      </c>
      <c r="H21" s="11">
        <f t="shared" si="11"/>
        <v>1.1666666666666668E-3</v>
      </c>
      <c r="I21" s="11">
        <f t="shared" si="12"/>
        <v>1.2164277180406211E-3</v>
      </c>
      <c r="J21" s="11">
        <f t="shared" si="13"/>
        <v>1.2296497584541061E-3</v>
      </c>
      <c r="K21" s="11">
        <f t="shared" si="14"/>
        <v>1.2855429292929293E-3</v>
      </c>
      <c r="L21" s="11">
        <f t="shared" si="15"/>
        <v>1.3467592592592591E-3</v>
      </c>
      <c r="M21" s="25"/>
      <c r="N21" s="28"/>
      <c r="O21" s="25"/>
      <c r="P21" s="28"/>
      <c r="Q21" s="25"/>
      <c r="R21" s="25"/>
      <c r="S21" s="25"/>
      <c r="T21" s="25"/>
      <c r="U21" s="25"/>
      <c r="V21" s="25"/>
      <c r="W21" s="15" t="s">
        <v>48</v>
      </c>
      <c r="X21" s="52" t="s">
        <v>212</v>
      </c>
    </row>
    <row r="22" spans="1:24" ht="21" customHeight="1">
      <c r="A22" s="10" t="s">
        <v>71</v>
      </c>
      <c r="B22" s="11">
        <v>1.3541666666666667E-2</v>
      </c>
      <c r="C22" s="11">
        <v>4.0509259259259257E-3</v>
      </c>
      <c r="D22" s="11">
        <f>B22*E22</f>
        <v>7.8785416666666674E-3</v>
      </c>
      <c r="E22" s="12">
        <v>0.58179999999999998</v>
      </c>
      <c r="F22" s="11">
        <f>C22/4</f>
        <v>1.0127314814814814E-3</v>
      </c>
      <c r="G22" s="11">
        <f>D22/7.5</f>
        <v>1.0504722222222224E-3</v>
      </c>
      <c r="H22" s="11">
        <f>B22/12.5</f>
        <v>1.0833333333333333E-3</v>
      </c>
      <c r="I22" s="11">
        <f>G22/0.93</f>
        <v>1.1295400238948627E-3</v>
      </c>
      <c r="J22" s="11">
        <f>G22/0.92</f>
        <v>1.1418176328502417E-3</v>
      </c>
      <c r="K22" s="11">
        <f>G22/0.88</f>
        <v>1.1937184343434346E-3</v>
      </c>
      <c r="L22" s="11">
        <f>G22/0.84</f>
        <v>1.2505621693121695E-3</v>
      </c>
      <c r="M22" s="25"/>
      <c r="N22" s="28"/>
      <c r="O22" s="25"/>
      <c r="P22" s="28"/>
      <c r="Q22" s="25"/>
      <c r="R22" s="25"/>
      <c r="S22" s="25"/>
      <c r="T22" s="28"/>
      <c r="U22" s="11"/>
      <c r="V22" s="38"/>
      <c r="W22" s="18" t="s">
        <v>48</v>
      </c>
      <c r="X22" s="52"/>
    </row>
    <row r="23" spans="1:24" ht="21" customHeight="1">
      <c r="A23" s="10" t="s">
        <v>74</v>
      </c>
      <c r="B23" s="11">
        <v>1.3020833333333334E-2</v>
      </c>
      <c r="C23" s="11">
        <v>3.7037037037037038E-3</v>
      </c>
      <c r="D23" s="11">
        <f>B23*E23</f>
        <v>7.5755208333333334E-3</v>
      </c>
      <c r="E23" s="12">
        <v>0.58179999999999998</v>
      </c>
      <c r="F23" s="11">
        <f>C23/4</f>
        <v>9.2592592592592596E-4</v>
      </c>
      <c r="G23" s="11">
        <f>D23/7.5</f>
        <v>1.0100694444444445E-3</v>
      </c>
      <c r="H23" s="11">
        <f>B23/12.5</f>
        <v>1.0416666666666667E-3</v>
      </c>
      <c r="I23" s="11">
        <f>G23/0.93</f>
        <v>1.0860961768219832E-3</v>
      </c>
      <c r="J23" s="11">
        <f>G23/0.92</f>
        <v>1.0979015700483092E-3</v>
      </c>
      <c r="K23" s="11">
        <f>G23/0.88</f>
        <v>1.1478061868686869E-3</v>
      </c>
      <c r="L23" s="11">
        <f>G23/0.84</f>
        <v>1.2024636243386244E-3</v>
      </c>
      <c r="M23" s="25"/>
      <c r="N23" s="28"/>
      <c r="O23" s="25"/>
      <c r="P23" s="28"/>
      <c r="Q23" s="25"/>
      <c r="R23" s="25"/>
      <c r="S23" s="25"/>
      <c r="T23" s="25"/>
      <c r="U23" s="25"/>
      <c r="V23" s="25"/>
      <c r="W23" s="15" t="s">
        <v>48</v>
      </c>
      <c r="X23" s="52"/>
    </row>
    <row r="24" spans="1:24" ht="21" customHeight="1">
      <c r="A24" s="10" t="s">
        <v>75</v>
      </c>
      <c r="B24" s="11">
        <v>1.3541666666666667E-2</v>
      </c>
      <c r="C24" s="11">
        <v>3.8194444444444443E-3</v>
      </c>
      <c r="D24" s="11">
        <f>B24*E24</f>
        <v>7.8785416666666674E-3</v>
      </c>
      <c r="E24" s="12">
        <v>0.58179999999999998</v>
      </c>
      <c r="F24" s="11">
        <f>C24/4</f>
        <v>9.5486111111111108E-4</v>
      </c>
      <c r="G24" s="11">
        <f>D24/7.5</f>
        <v>1.0504722222222224E-3</v>
      </c>
      <c r="H24" s="11">
        <f>B24/12.5</f>
        <v>1.0833333333333333E-3</v>
      </c>
      <c r="I24" s="11">
        <f>G24/0.93</f>
        <v>1.1295400238948627E-3</v>
      </c>
      <c r="J24" s="11">
        <f>G24/0.92</f>
        <v>1.1418176328502417E-3</v>
      </c>
      <c r="K24" s="11">
        <f>G24/0.88</f>
        <v>1.1937184343434346E-3</v>
      </c>
      <c r="L24" s="11">
        <f>G24/0.84</f>
        <v>1.2505621693121695E-3</v>
      </c>
      <c r="M24" s="25"/>
      <c r="N24" s="28"/>
      <c r="O24" s="25"/>
      <c r="P24" s="28"/>
      <c r="Q24" s="25"/>
      <c r="R24" s="25"/>
      <c r="S24" s="25"/>
      <c r="T24" s="25"/>
      <c r="U24" s="25"/>
      <c r="V24" s="25"/>
      <c r="W24" s="15" t="s">
        <v>48</v>
      </c>
      <c r="X24" s="52"/>
    </row>
    <row r="25" spans="1:24" ht="21" customHeight="1">
      <c r="A25" s="10"/>
      <c r="B25" s="11"/>
      <c r="C25" s="11"/>
      <c r="D25" s="11"/>
      <c r="E25" s="12"/>
      <c r="F25" s="11"/>
      <c r="G25" s="11"/>
      <c r="H25" s="11"/>
      <c r="I25" s="11"/>
      <c r="J25" s="11"/>
      <c r="K25" s="11"/>
      <c r="L25" s="11"/>
      <c r="M25" s="25"/>
      <c r="N25" s="28"/>
      <c r="O25" s="25"/>
      <c r="P25" s="28"/>
      <c r="Q25" s="25"/>
      <c r="R25" s="11"/>
      <c r="S25" s="14"/>
      <c r="T25" s="11"/>
      <c r="U25" s="11"/>
      <c r="V25" s="17"/>
      <c r="W25" s="18"/>
      <c r="X25" s="52"/>
    </row>
    <row r="26" spans="1:24" ht="21" customHeight="1">
      <c r="A26" s="19"/>
      <c r="B26" s="6"/>
      <c r="C26" s="6"/>
      <c r="D26" s="6"/>
      <c r="E26" s="20"/>
      <c r="F26" s="6"/>
      <c r="G26" s="6"/>
      <c r="H26" s="6"/>
      <c r="I26" s="6"/>
      <c r="J26" s="6"/>
      <c r="K26" s="6"/>
      <c r="L26" s="6"/>
      <c r="M26" s="6"/>
      <c r="N26" s="6"/>
      <c r="O26" s="6"/>
      <c r="P26" s="6"/>
      <c r="Q26" s="6"/>
      <c r="R26" s="6"/>
      <c r="S26" s="6"/>
      <c r="T26" s="6"/>
      <c r="U26" s="6"/>
      <c r="V26" s="6"/>
      <c r="W26" s="35"/>
      <c r="X26" s="52"/>
    </row>
    <row r="27" spans="1:24" ht="21" customHeight="1">
      <c r="A27" s="10" t="s">
        <v>61</v>
      </c>
      <c r="B27" s="11">
        <v>1.4583333333333334E-2</v>
      </c>
      <c r="C27" s="11">
        <v>4.3981481481481484E-3</v>
      </c>
      <c r="D27" s="11">
        <f>B27*E27</f>
        <v>8.4845833333333336E-3</v>
      </c>
      <c r="E27" s="12">
        <v>0.58179999999999998</v>
      </c>
      <c r="F27" s="11">
        <f>C27/4</f>
        <v>1.0995370370370371E-3</v>
      </c>
      <c r="G27" s="11">
        <f>D27/7.5</f>
        <v>1.1312777777777777E-3</v>
      </c>
      <c r="H27" s="11">
        <f>B27/12.5</f>
        <v>1.1666666666666668E-3</v>
      </c>
      <c r="I27" s="11">
        <f>G27/0.93</f>
        <v>1.2164277180406211E-3</v>
      </c>
      <c r="J27" s="11">
        <f>G27/0.92</f>
        <v>1.2296497584541061E-3</v>
      </c>
      <c r="K27" s="11">
        <f>G27/0.88</f>
        <v>1.2855429292929293E-3</v>
      </c>
      <c r="L27" s="11">
        <f>G27/0.84</f>
        <v>1.3467592592592591E-3</v>
      </c>
      <c r="M27" s="25"/>
      <c r="N27" s="28"/>
      <c r="O27" s="25"/>
      <c r="P27" s="25"/>
      <c r="Q27" s="25"/>
      <c r="R27" s="25"/>
      <c r="S27" s="28"/>
      <c r="T27" s="28"/>
      <c r="U27" s="28"/>
      <c r="V27" s="28"/>
      <c r="W27" s="15"/>
      <c r="X27" s="52"/>
    </row>
    <row r="28" spans="1:24" ht="21" customHeight="1">
      <c r="A28" s="10" t="s">
        <v>57</v>
      </c>
      <c r="B28" s="11"/>
      <c r="C28" s="11"/>
      <c r="D28" s="11"/>
      <c r="E28" s="12"/>
      <c r="F28" s="11"/>
      <c r="G28" s="11"/>
      <c r="H28" s="11"/>
      <c r="I28" s="11"/>
      <c r="J28" s="11"/>
      <c r="K28" s="11"/>
      <c r="L28" s="11"/>
      <c r="M28" s="25"/>
      <c r="N28" s="28"/>
      <c r="O28" s="25"/>
      <c r="P28" s="28"/>
      <c r="Q28" s="25"/>
      <c r="R28" s="28"/>
      <c r="S28" s="28"/>
      <c r="T28" s="11"/>
      <c r="U28" s="11"/>
      <c r="V28" s="11"/>
      <c r="W28" s="15" t="s">
        <v>52</v>
      </c>
      <c r="X28" s="52"/>
    </row>
    <row r="29" spans="1:24" ht="21" customHeight="1">
      <c r="A29" s="10" t="s">
        <v>53</v>
      </c>
      <c r="B29" s="11">
        <v>1.2731481481481481E-2</v>
      </c>
      <c r="C29" s="11">
        <v>3.7615740740740739E-3</v>
      </c>
      <c r="D29" s="11">
        <f>B29*E29</f>
        <v>7.4071759259259256E-3</v>
      </c>
      <c r="E29" s="12">
        <v>0.58179999999999998</v>
      </c>
      <c r="F29" s="11">
        <f>C29/4</f>
        <v>9.4039351851851847E-4</v>
      </c>
      <c r="G29" s="11">
        <f>D29/7.5</f>
        <v>9.8762345679012349E-4</v>
      </c>
      <c r="H29" s="11">
        <f>B29/12.5</f>
        <v>1.0185185185185184E-3</v>
      </c>
      <c r="I29" s="11">
        <f>G29/0.93</f>
        <v>1.0619607062259391E-3</v>
      </c>
      <c r="J29" s="11">
        <f>G29/0.92</f>
        <v>1.073503757380569E-3</v>
      </c>
      <c r="K29" s="11">
        <f>G29/0.88</f>
        <v>1.1222993827160494E-3</v>
      </c>
      <c r="L29" s="11">
        <f>G29/0.84</f>
        <v>1.1757422104644328E-3</v>
      </c>
      <c r="M29" s="25"/>
      <c r="N29" s="28"/>
      <c r="O29" s="25"/>
      <c r="P29" s="28"/>
      <c r="Q29" s="25"/>
      <c r="R29" s="25"/>
      <c r="S29" s="25"/>
      <c r="T29" s="25"/>
      <c r="U29" s="25"/>
      <c r="V29" s="25"/>
      <c r="W29" s="18" t="s">
        <v>52</v>
      </c>
      <c r="X29" s="52"/>
    </row>
    <row r="30" spans="1:24" ht="21" customHeight="1">
      <c r="A30" s="1" t="s">
        <v>237</v>
      </c>
      <c r="B30" s="6"/>
      <c r="C30" s="6"/>
      <c r="D30" s="6"/>
      <c r="E30" s="20"/>
      <c r="F30" s="6"/>
      <c r="G30" s="6"/>
      <c r="H30" s="6"/>
      <c r="I30" s="6"/>
      <c r="J30" s="6"/>
      <c r="K30" s="6"/>
      <c r="L30" s="6"/>
      <c r="M30" s="6"/>
      <c r="N30" s="6"/>
      <c r="O30" s="6"/>
      <c r="P30" s="6"/>
      <c r="Q30" s="6"/>
      <c r="R30" s="6"/>
      <c r="S30" s="6"/>
      <c r="T30" s="6"/>
      <c r="U30" s="6"/>
      <c r="V30" s="21"/>
      <c r="W30" s="35"/>
      <c r="X30" s="52"/>
    </row>
    <row r="31" spans="1:24" ht="21" customHeight="1">
      <c r="A31" s="10" t="s">
        <v>64</v>
      </c>
      <c r="B31" s="11">
        <v>1.2731481481481481E-2</v>
      </c>
      <c r="C31" s="11">
        <v>3.5879629629629629E-3</v>
      </c>
      <c r="D31" s="11">
        <f t="shared" ref="D31:D35" si="16">B31*E31</f>
        <v>7.4071759259259256E-3</v>
      </c>
      <c r="E31" s="12">
        <v>0.58179999999999998</v>
      </c>
      <c r="F31" s="11">
        <f t="shared" ref="F31:F35" si="17">C31/4</f>
        <v>8.9699074074074073E-4</v>
      </c>
      <c r="G31" s="11">
        <f t="shared" ref="G31:G35" si="18">D31/7.5</f>
        <v>9.8762345679012349E-4</v>
      </c>
      <c r="H31" s="11">
        <f t="shared" ref="H31:H35" si="19">B31/12.5</f>
        <v>1.0185185185185184E-3</v>
      </c>
      <c r="I31" s="11">
        <f t="shared" ref="I31:I35" si="20">G31/0.93</f>
        <v>1.0619607062259391E-3</v>
      </c>
      <c r="J31" s="11">
        <f t="shared" ref="J31:J35" si="21">G31/0.92</f>
        <v>1.073503757380569E-3</v>
      </c>
      <c r="K31" s="11">
        <f t="shared" ref="K31:K35" si="22">G31/0.88</f>
        <v>1.1222993827160494E-3</v>
      </c>
      <c r="L31" s="11">
        <f t="shared" ref="L31:L35" si="23">G31/0.84</f>
        <v>1.1757422104644328E-3</v>
      </c>
      <c r="M31" s="25"/>
      <c r="N31" s="28"/>
      <c r="O31" s="25"/>
      <c r="P31" s="28"/>
      <c r="Q31" s="25"/>
      <c r="R31" s="25"/>
      <c r="S31" s="25"/>
      <c r="T31" s="28"/>
      <c r="U31" s="11"/>
      <c r="V31" s="48"/>
      <c r="W31" s="15" t="s">
        <v>35</v>
      </c>
      <c r="X31" s="52" t="s">
        <v>239</v>
      </c>
    </row>
    <row r="32" spans="1:24" ht="21" customHeight="1">
      <c r="A32" s="10" t="s">
        <v>49</v>
      </c>
      <c r="B32" s="11">
        <v>1.2731481481481481E-2</v>
      </c>
      <c r="C32" s="11">
        <v>3.5879629629629629E-3</v>
      </c>
      <c r="D32" s="11">
        <f t="shared" si="16"/>
        <v>7.4071759259259256E-3</v>
      </c>
      <c r="E32" s="12">
        <v>0.58179999999999998</v>
      </c>
      <c r="F32" s="11">
        <f t="shared" si="17"/>
        <v>8.9699074074074073E-4</v>
      </c>
      <c r="G32" s="11">
        <f t="shared" si="18"/>
        <v>9.8762345679012349E-4</v>
      </c>
      <c r="H32" s="11">
        <f t="shared" si="19"/>
        <v>1.0185185185185184E-3</v>
      </c>
      <c r="I32" s="11">
        <f t="shared" si="20"/>
        <v>1.0619607062259391E-3</v>
      </c>
      <c r="J32" s="11">
        <f t="shared" si="21"/>
        <v>1.073503757380569E-3</v>
      </c>
      <c r="K32" s="11">
        <f t="shared" si="22"/>
        <v>1.1222993827160494E-3</v>
      </c>
      <c r="L32" s="11">
        <f t="shared" si="23"/>
        <v>1.1757422104644328E-3</v>
      </c>
      <c r="M32" s="25"/>
      <c r="N32" s="28"/>
      <c r="O32" s="25"/>
      <c r="P32" s="28"/>
      <c r="Q32" s="25"/>
      <c r="R32" s="25"/>
      <c r="S32" s="25"/>
      <c r="T32" s="28"/>
      <c r="U32" s="11"/>
      <c r="V32" s="11"/>
      <c r="W32" s="15" t="s">
        <v>35</v>
      </c>
      <c r="X32" s="52"/>
    </row>
    <row r="33" spans="1:24" ht="21" customHeight="1">
      <c r="A33" s="10" t="s">
        <v>58</v>
      </c>
      <c r="B33" s="11">
        <v>1.3020833333333334E-2</v>
      </c>
      <c r="C33" s="11">
        <v>4.1087962962962962E-3</v>
      </c>
      <c r="D33" s="11">
        <f t="shared" si="16"/>
        <v>7.5755208333333334E-3</v>
      </c>
      <c r="E33" s="12">
        <v>0.58179999999999998</v>
      </c>
      <c r="F33" s="11">
        <f t="shared" si="17"/>
        <v>1.027199074074074E-3</v>
      </c>
      <c r="G33" s="11">
        <f t="shared" si="18"/>
        <v>1.0100694444444445E-3</v>
      </c>
      <c r="H33" s="11">
        <f t="shared" si="19"/>
        <v>1.0416666666666667E-3</v>
      </c>
      <c r="I33" s="11">
        <f t="shared" si="20"/>
        <v>1.0860961768219832E-3</v>
      </c>
      <c r="J33" s="11">
        <f t="shared" si="21"/>
        <v>1.0979015700483092E-3</v>
      </c>
      <c r="K33" s="11">
        <f t="shared" si="22"/>
        <v>1.1478061868686869E-3</v>
      </c>
      <c r="L33" s="11">
        <f t="shared" si="23"/>
        <v>1.2024636243386244E-3</v>
      </c>
      <c r="M33" s="25"/>
      <c r="N33" s="28"/>
      <c r="O33" s="25"/>
      <c r="P33" s="28"/>
      <c r="Q33" s="25"/>
      <c r="R33" s="25"/>
      <c r="S33" s="25"/>
      <c r="T33" s="28"/>
      <c r="U33" s="11"/>
      <c r="V33" s="38"/>
      <c r="W33" s="15" t="s">
        <v>35</v>
      </c>
      <c r="X33" s="52"/>
    </row>
    <row r="34" spans="1:24" ht="21" customHeight="1">
      <c r="A34" s="10" t="s">
        <v>63</v>
      </c>
      <c r="B34" s="11">
        <v>1.2615740740740742E-2</v>
      </c>
      <c r="C34" s="11">
        <v>3.7037037037037038E-3</v>
      </c>
      <c r="D34" s="11">
        <f t="shared" si="16"/>
        <v>7.3398379629629629E-3</v>
      </c>
      <c r="E34" s="12">
        <v>0.58179999999999998</v>
      </c>
      <c r="F34" s="11">
        <f t="shared" si="17"/>
        <v>9.2592592592592596E-4</v>
      </c>
      <c r="G34" s="11">
        <f t="shared" si="18"/>
        <v>9.7864506172839496E-4</v>
      </c>
      <c r="H34" s="11">
        <f t="shared" si="19"/>
        <v>1.0092592592592592E-3</v>
      </c>
      <c r="I34" s="11">
        <f t="shared" si="20"/>
        <v>1.0523065179875214E-3</v>
      </c>
      <c r="J34" s="11">
        <f t="shared" si="21"/>
        <v>1.0637446323134728E-3</v>
      </c>
      <c r="K34" s="11">
        <f t="shared" si="22"/>
        <v>1.1120966610549943E-3</v>
      </c>
      <c r="L34" s="11">
        <f t="shared" si="23"/>
        <v>1.165053644914756E-3</v>
      </c>
      <c r="M34" s="25"/>
      <c r="N34" s="28"/>
      <c r="O34" s="25"/>
      <c r="P34" s="28"/>
      <c r="Q34" s="25"/>
      <c r="R34" s="25"/>
      <c r="S34" s="25"/>
      <c r="T34" s="28"/>
      <c r="U34" s="11"/>
      <c r="V34" s="36"/>
      <c r="W34" s="15" t="s">
        <v>35</v>
      </c>
      <c r="X34" s="52"/>
    </row>
    <row r="35" spans="1:24" ht="21" customHeight="1">
      <c r="A35" s="10" t="s">
        <v>51</v>
      </c>
      <c r="B35" s="11">
        <v>1.2615740740740742E-2</v>
      </c>
      <c r="C35" s="11">
        <v>3.5879629629629629E-3</v>
      </c>
      <c r="D35" s="11">
        <f t="shared" si="16"/>
        <v>7.3398379629629629E-3</v>
      </c>
      <c r="E35" s="12">
        <v>0.58179999999999998</v>
      </c>
      <c r="F35" s="11">
        <f t="shared" si="17"/>
        <v>8.9699074074074073E-4</v>
      </c>
      <c r="G35" s="11">
        <f t="shared" si="18"/>
        <v>9.7864506172839496E-4</v>
      </c>
      <c r="H35" s="11">
        <f t="shared" si="19"/>
        <v>1.0092592592592592E-3</v>
      </c>
      <c r="I35" s="11">
        <f t="shared" si="20"/>
        <v>1.0523065179875214E-3</v>
      </c>
      <c r="J35" s="11">
        <f t="shared" si="21"/>
        <v>1.0637446323134728E-3</v>
      </c>
      <c r="K35" s="11">
        <f t="shared" si="22"/>
        <v>1.1120966610549943E-3</v>
      </c>
      <c r="L35" s="11">
        <f t="shared" si="23"/>
        <v>1.165053644914756E-3</v>
      </c>
      <c r="M35" s="25"/>
      <c r="N35" s="28"/>
      <c r="O35" s="25"/>
      <c r="P35" s="28"/>
      <c r="Q35" s="25"/>
      <c r="R35" s="25"/>
      <c r="S35" s="25"/>
      <c r="T35" s="28"/>
      <c r="U35" s="11"/>
      <c r="V35" s="36"/>
      <c r="W35" s="15" t="s">
        <v>35</v>
      </c>
      <c r="X35" s="52"/>
    </row>
    <row r="36" spans="1:24" ht="21" customHeight="1">
      <c r="A36" s="10" t="s">
        <v>69</v>
      </c>
      <c r="B36" s="11">
        <v>1.3368055555555555E-2</v>
      </c>
      <c r="C36" s="11"/>
      <c r="D36" s="11">
        <f t="shared" si="0"/>
        <v>7.7775347222222213E-3</v>
      </c>
      <c r="E36" s="12">
        <v>0.58179999999999998</v>
      </c>
      <c r="F36" s="11">
        <f t="shared" si="1"/>
        <v>0</v>
      </c>
      <c r="G36" s="11">
        <f t="shared" si="2"/>
        <v>1.0370046296296295E-3</v>
      </c>
      <c r="H36" s="11">
        <f t="shared" si="3"/>
        <v>1.0694444444444445E-3</v>
      </c>
      <c r="I36" s="11">
        <f t="shared" si="4"/>
        <v>1.1150587415372358E-3</v>
      </c>
      <c r="J36" s="11">
        <f t="shared" si="5"/>
        <v>1.1271789452495973E-3</v>
      </c>
      <c r="K36" s="11">
        <f t="shared" si="6"/>
        <v>1.1784143518518517E-3</v>
      </c>
      <c r="L36" s="11">
        <f t="shared" si="7"/>
        <v>1.2345293209876543E-3</v>
      </c>
      <c r="M36" s="25"/>
      <c r="N36" s="28"/>
      <c r="O36" s="25"/>
      <c r="P36" s="28"/>
      <c r="Q36" s="25"/>
      <c r="R36" s="25"/>
      <c r="S36" s="25"/>
      <c r="T36" s="28"/>
      <c r="U36" s="11"/>
      <c r="V36" s="36"/>
      <c r="W36" s="15" t="s">
        <v>35</v>
      </c>
      <c r="X36" s="52"/>
    </row>
    <row r="37" spans="1:24" ht="21" customHeight="1">
      <c r="A37" s="10" t="s">
        <v>70</v>
      </c>
      <c r="B37" s="11">
        <v>1.3368055555555555E-2</v>
      </c>
      <c r="C37" s="11">
        <v>4.0509259259259257E-3</v>
      </c>
      <c r="D37" s="11">
        <f t="shared" si="0"/>
        <v>7.7775347222222213E-3</v>
      </c>
      <c r="E37" s="12">
        <v>0.58179999999999998</v>
      </c>
      <c r="F37" s="11">
        <f t="shared" si="1"/>
        <v>1.0127314814814814E-3</v>
      </c>
      <c r="G37" s="11">
        <f t="shared" si="2"/>
        <v>1.0370046296296295E-3</v>
      </c>
      <c r="H37" s="11">
        <f t="shared" si="3"/>
        <v>1.0694444444444445E-3</v>
      </c>
      <c r="I37" s="11">
        <f t="shared" si="4"/>
        <v>1.1150587415372358E-3</v>
      </c>
      <c r="J37" s="11">
        <f t="shared" si="5"/>
        <v>1.1271789452495973E-3</v>
      </c>
      <c r="K37" s="11">
        <f t="shared" si="6"/>
        <v>1.1784143518518517E-3</v>
      </c>
      <c r="L37" s="11">
        <f t="shared" si="7"/>
        <v>1.2345293209876543E-3</v>
      </c>
      <c r="M37" s="25"/>
      <c r="N37" s="28"/>
      <c r="O37" s="25"/>
      <c r="P37" s="28"/>
      <c r="Q37" s="25"/>
      <c r="R37" s="25"/>
      <c r="S37" s="25"/>
      <c r="T37" s="28"/>
      <c r="U37" s="11"/>
      <c r="V37" s="38"/>
      <c r="W37" s="15" t="s">
        <v>35</v>
      </c>
      <c r="X37" s="52"/>
    </row>
    <row r="38" spans="1:24" ht="21" customHeight="1">
      <c r="A38" s="10" t="s">
        <v>68</v>
      </c>
      <c r="B38" s="11">
        <v>1.3368055555555555E-2</v>
      </c>
      <c r="C38" s="11"/>
      <c r="D38" s="11">
        <f>B38*E38</f>
        <v>7.7775347222222213E-3</v>
      </c>
      <c r="E38" s="12">
        <v>0.58179999999999998</v>
      </c>
      <c r="F38" s="11">
        <f>C38/4</f>
        <v>0</v>
      </c>
      <c r="G38" s="11">
        <f>D38/7.5</f>
        <v>1.0370046296296295E-3</v>
      </c>
      <c r="H38" s="11">
        <f>B38/12.5</f>
        <v>1.0694444444444445E-3</v>
      </c>
      <c r="I38" s="11">
        <f>G38/0.93</f>
        <v>1.1150587415372358E-3</v>
      </c>
      <c r="J38" s="11">
        <f>G38/0.92</f>
        <v>1.1271789452495973E-3</v>
      </c>
      <c r="K38" s="11">
        <f>G38/0.88</f>
        <v>1.1784143518518517E-3</v>
      </c>
      <c r="L38" s="11">
        <f>G38/0.84</f>
        <v>1.2345293209876543E-3</v>
      </c>
      <c r="M38" s="25"/>
      <c r="N38" s="28"/>
      <c r="O38" s="25"/>
      <c r="P38" s="28"/>
      <c r="Q38" s="25"/>
      <c r="R38" s="25"/>
      <c r="S38" s="25"/>
      <c r="T38" s="28"/>
      <c r="U38" s="11"/>
      <c r="V38" s="11"/>
      <c r="W38" s="15" t="s">
        <v>35</v>
      </c>
      <c r="X38" s="52"/>
    </row>
    <row r="39" spans="1:24" ht="21" customHeight="1">
      <c r="A39" s="10" t="s">
        <v>72</v>
      </c>
      <c r="B39" s="11">
        <v>1.3541666666666667E-2</v>
      </c>
      <c r="C39" s="11">
        <v>4.0509259259259257E-3</v>
      </c>
      <c r="D39" s="11">
        <f t="shared" si="0"/>
        <v>7.8785416666666674E-3</v>
      </c>
      <c r="E39" s="12">
        <v>0.58179999999999998</v>
      </c>
      <c r="F39" s="11">
        <f t="shared" si="1"/>
        <v>1.0127314814814814E-3</v>
      </c>
      <c r="G39" s="11">
        <f t="shared" si="2"/>
        <v>1.0504722222222224E-3</v>
      </c>
      <c r="H39" s="11">
        <f t="shared" si="3"/>
        <v>1.0833333333333333E-3</v>
      </c>
      <c r="I39" s="11">
        <f t="shared" si="4"/>
        <v>1.1295400238948627E-3</v>
      </c>
      <c r="J39" s="11">
        <f t="shared" si="5"/>
        <v>1.1418176328502417E-3</v>
      </c>
      <c r="K39" s="11">
        <f t="shared" si="6"/>
        <v>1.1937184343434346E-3</v>
      </c>
      <c r="L39" s="11">
        <f t="shared" si="7"/>
        <v>1.2505621693121695E-3</v>
      </c>
      <c r="M39" s="25"/>
      <c r="N39" s="28"/>
      <c r="O39" s="25"/>
      <c r="P39" s="28"/>
      <c r="Q39" s="25"/>
      <c r="R39" s="25"/>
      <c r="S39" s="25"/>
      <c r="T39" s="28"/>
      <c r="U39" s="11"/>
      <c r="V39" s="28"/>
      <c r="W39" s="15" t="s">
        <v>35</v>
      </c>
      <c r="X39" s="52"/>
    </row>
    <row r="40" spans="1:24" ht="21" customHeight="1">
      <c r="A40" s="10" t="s">
        <v>73</v>
      </c>
      <c r="B40" s="11">
        <v>1.40625E-2</v>
      </c>
      <c r="C40" s="11">
        <v>4.3981481481481484E-3</v>
      </c>
      <c r="D40" s="11">
        <f t="shared" si="0"/>
        <v>8.1815624999999996E-3</v>
      </c>
      <c r="E40" s="12">
        <v>0.58179999999999998</v>
      </c>
      <c r="F40" s="11">
        <f t="shared" si="1"/>
        <v>1.0995370370370371E-3</v>
      </c>
      <c r="G40" s="11">
        <f t="shared" si="2"/>
        <v>1.090875E-3</v>
      </c>
      <c r="H40" s="11">
        <f t="shared" si="3"/>
        <v>1.1250000000000001E-3</v>
      </c>
      <c r="I40" s="11">
        <f t="shared" si="4"/>
        <v>1.172983870967742E-3</v>
      </c>
      <c r="J40" s="11">
        <f t="shared" si="5"/>
        <v>1.1857336956521739E-3</v>
      </c>
      <c r="K40" s="11">
        <f t="shared" si="6"/>
        <v>1.2396306818181818E-3</v>
      </c>
      <c r="L40" s="11">
        <f t="shared" si="7"/>
        <v>1.2986607142857144E-3</v>
      </c>
      <c r="M40" s="25"/>
      <c r="N40" s="28"/>
      <c r="O40" s="25"/>
      <c r="P40" s="28"/>
      <c r="Q40" s="25"/>
      <c r="R40" s="25"/>
      <c r="S40" s="25"/>
      <c r="T40" s="28"/>
      <c r="U40" s="11"/>
      <c r="V40" s="28"/>
      <c r="W40" s="15" t="s">
        <v>35</v>
      </c>
      <c r="X40" s="52"/>
    </row>
    <row r="41" spans="1:24" ht="21" customHeight="1">
      <c r="A41" s="10" t="s">
        <v>76</v>
      </c>
      <c r="B41" s="11">
        <v>1.40625E-2</v>
      </c>
      <c r="C41" s="11"/>
      <c r="D41" s="11">
        <f t="shared" si="0"/>
        <v>8.1815624999999996E-3</v>
      </c>
      <c r="E41" s="12">
        <v>0.58179999999999998</v>
      </c>
      <c r="F41" s="11">
        <f t="shared" si="1"/>
        <v>0</v>
      </c>
      <c r="G41" s="11">
        <f t="shared" si="2"/>
        <v>1.090875E-3</v>
      </c>
      <c r="H41" s="11">
        <f t="shared" si="3"/>
        <v>1.1250000000000001E-3</v>
      </c>
      <c r="I41" s="11">
        <f t="shared" si="4"/>
        <v>1.172983870967742E-3</v>
      </c>
      <c r="J41" s="11">
        <f t="shared" si="5"/>
        <v>1.1857336956521739E-3</v>
      </c>
      <c r="K41" s="11">
        <f t="shared" si="6"/>
        <v>1.2396306818181818E-3</v>
      </c>
      <c r="L41" s="11">
        <f t="shared" si="7"/>
        <v>1.2986607142857144E-3</v>
      </c>
      <c r="M41" s="25"/>
      <c r="N41" s="28"/>
      <c r="O41" s="25"/>
      <c r="P41" s="28"/>
      <c r="Q41" s="25"/>
      <c r="R41" s="25"/>
      <c r="S41" s="25"/>
      <c r="T41" s="28"/>
      <c r="U41" s="11"/>
      <c r="V41" s="28"/>
      <c r="W41" s="15" t="s">
        <v>35</v>
      </c>
      <c r="X41" s="52"/>
    </row>
    <row r="42" spans="1:24" ht="21" customHeight="1">
      <c r="A42" s="10" t="s">
        <v>66</v>
      </c>
      <c r="B42" s="11">
        <v>1.2731481481481481E-2</v>
      </c>
      <c r="C42" s="11">
        <v>3.6458333333333334E-3</v>
      </c>
      <c r="D42" s="11">
        <f>B42*E42</f>
        <v>7.4071759259259256E-3</v>
      </c>
      <c r="E42" s="12">
        <v>0.58179999999999998</v>
      </c>
      <c r="F42" s="11">
        <f>C42/4</f>
        <v>9.1145833333333335E-4</v>
      </c>
      <c r="G42" s="11">
        <f>D42/7.5</f>
        <v>9.8762345679012349E-4</v>
      </c>
      <c r="H42" s="11">
        <f>B42/12.5</f>
        <v>1.0185185185185184E-3</v>
      </c>
      <c r="I42" s="11">
        <f>G42/0.93</f>
        <v>1.0619607062259391E-3</v>
      </c>
      <c r="J42" s="11">
        <f>G42/0.92</f>
        <v>1.073503757380569E-3</v>
      </c>
      <c r="K42" s="11">
        <f>G42/0.88</f>
        <v>1.1222993827160494E-3</v>
      </c>
      <c r="L42" s="17">
        <f>G42/0.84</f>
        <v>1.1757422104644328E-3</v>
      </c>
      <c r="M42" s="25"/>
      <c r="N42" s="28"/>
      <c r="O42" s="25"/>
      <c r="P42" s="28"/>
      <c r="Q42" s="25"/>
      <c r="R42" s="25"/>
      <c r="S42" s="25"/>
      <c r="T42" s="25"/>
      <c r="U42" s="25"/>
      <c r="V42" s="25"/>
      <c r="W42" s="15" t="s">
        <v>35</v>
      </c>
      <c r="X42" s="52"/>
    </row>
    <row r="43" spans="1:24" ht="21" customHeight="1">
      <c r="A43" s="10"/>
      <c r="B43" s="11"/>
      <c r="C43" s="11"/>
      <c r="D43" s="11"/>
      <c r="E43" s="12"/>
      <c r="F43" s="11"/>
      <c r="G43" s="11"/>
      <c r="H43" s="11"/>
      <c r="I43" s="11"/>
      <c r="J43" s="11"/>
      <c r="K43" s="11"/>
      <c r="L43" s="11"/>
      <c r="M43" s="14"/>
      <c r="O43" s="14"/>
      <c r="P43" s="11"/>
      <c r="Q43" s="14"/>
      <c r="R43" s="11"/>
      <c r="S43" s="14"/>
      <c r="T43" s="14"/>
      <c r="U43" s="14"/>
      <c r="V43" s="11"/>
      <c r="W43" s="15"/>
      <c r="X43" s="52"/>
    </row>
    <row r="44" spans="1:24" ht="21" customHeight="1">
      <c r="A44" s="10"/>
      <c r="B44" s="11"/>
      <c r="C44" s="11"/>
      <c r="D44" s="11"/>
      <c r="E44" s="12"/>
      <c r="F44" s="11"/>
      <c r="G44" s="11"/>
      <c r="H44" s="11"/>
      <c r="I44" s="11"/>
      <c r="J44" s="11"/>
      <c r="K44" s="11"/>
      <c r="L44" s="11"/>
      <c r="M44" s="13"/>
      <c r="N44" s="11"/>
      <c r="O44" s="11"/>
      <c r="P44" s="11"/>
      <c r="Q44" s="14"/>
      <c r="R44" s="11"/>
      <c r="S44" s="14"/>
      <c r="T44" s="14"/>
      <c r="U44" s="14"/>
      <c r="V44" s="17"/>
      <c r="W44" s="18"/>
      <c r="X44" s="52"/>
    </row>
    <row r="45" spans="1:24" ht="21" customHeight="1">
      <c r="A45" s="39"/>
      <c r="B45" s="40"/>
      <c r="C45" s="40"/>
      <c r="D45" s="40"/>
      <c r="E45" s="41"/>
      <c r="F45" s="40"/>
      <c r="G45" s="40"/>
      <c r="H45" s="40"/>
      <c r="I45" s="40"/>
      <c r="J45" s="40"/>
      <c r="K45" s="40"/>
      <c r="L45" s="40"/>
      <c r="M45" s="40" t="s">
        <v>39</v>
      </c>
      <c r="N45" s="40"/>
      <c r="O45" s="40"/>
      <c r="P45" s="40"/>
      <c r="Q45" s="40"/>
      <c r="R45" s="40"/>
      <c r="S45" s="40"/>
      <c r="T45" s="40"/>
      <c r="U45" s="40"/>
      <c r="V45" s="40"/>
      <c r="W45" s="42"/>
      <c r="X45" s="52"/>
    </row>
    <row r="46" spans="1:24" ht="21" customHeight="1">
      <c r="A46" s="10"/>
      <c r="B46" s="11"/>
      <c r="C46" s="11"/>
      <c r="D46" s="11"/>
      <c r="E46" s="12"/>
      <c r="F46" s="11"/>
      <c r="G46" s="11"/>
      <c r="H46" s="11"/>
      <c r="I46" s="11"/>
      <c r="J46" s="11"/>
      <c r="K46" s="11"/>
      <c r="L46" s="11"/>
      <c r="M46" s="13"/>
      <c r="N46" s="11"/>
      <c r="O46" s="11"/>
      <c r="P46" s="11"/>
      <c r="Q46" s="14"/>
      <c r="R46" s="11"/>
      <c r="S46" s="14"/>
      <c r="T46" s="14"/>
      <c r="U46" s="14"/>
      <c r="V46" s="17"/>
      <c r="W46" s="18"/>
      <c r="X46" s="52"/>
    </row>
    <row r="47" spans="1:24" ht="21" customHeight="1">
      <c r="A47" s="39"/>
      <c r="B47" s="40"/>
      <c r="C47" s="40"/>
      <c r="D47" s="40"/>
      <c r="E47" s="41"/>
      <c r="F47" s="40"/>
      <c r="G47" s="40"/>
      <c r="H47" s="40"/>
      <c r="I47" s="40"/>
      <c r="J47" s="40"/>
      <c r="K47" s="40"/>
      <c r="L47" s="40"/>
      <c r="M47" s="40"/>
      <c r="N47" s="40"/>
      <c r="O47" s="40"/>
      <c r="P47" s="40"/>
      <c r="Q47" s="40"/>
      <c r="R47" s="40"/>
      <c r="S47" s="40"/>
      <c r="T47" s="40"/>
      <c r="U47" s="40"/>
      <c r="V47" s="40"/>
      <c r="W47" s="42"/>
      <c r="X47" s="52"/>
    </row>
    <row r="48" spans="1:24" ht="21" customHeight="1">
      <c r="A48" s="10"/>
      <c r="B48" s="11"/>
      <c r="C48" s="11"/>
      <c r="D48" s="11"/>
      <c r="E48" s="12"/>
      <c r="F48" s="11"/>
      <c r="G48" s="11"/>
      <c r="H48" s="11"/>
      <c r="I48" s="11"/>
      <c r="J48" s="11"/>
      <c r="K48" s="11"/>
      <c r="L48" s="11"/>
      <c r="M48" s="45"/>
      <c r="N48" s="11"/>
      <c r="O48" s="11"/>
      <c r="P48" s="11"/>
      <c r="Q48" s="14"/>
      <c r="R48" s="11"/>
      <c r="S48" s="14"/>
      <c r="T48" s="11"/>
      <c r="U48" s="14"/>
      <c r="V48" s="17"/>
      <c r="W48" s="18"/>
      <c r="X48" s="52"/>
    </row>
    <row r="49" spans="1:24" ht="21" customHeight="1">
      <c r="A49" s="10"/>
      <c r="B49" s="11"/>
      <c r="C49" s="11"/>
      <c r="D49" s="11"/>
      <c r="E49" s="12"/>
      <c r="F49" s="11"/>
      <c r="G49" s="11"/>
      <c r="H49" s="11"/>
      <c r="I49" s="11"/>
      <c r="J49" s="11"/>
      <c r="K49" s="11"/>
      <c r="L49" s="11"/>
      <c r="M49" s="45"/>
      <c r="N49" s="11"/>
      <c r="O49" s="11"/>
      <c r="P49" s="11"/>
      <c r="Q49" s="14"/>
      <c r="R49" s="11"/>
      <c r="S49" s="14"/>
      <c r="T49" s="11"/>
      <c r="U49" s="14"/>
      <c r="V49" s="17"/>
      <c r="W49" s="18"/>
      <c r="X49" s="52"/>
    </row>
    <row r="50" spans="1:24" ht="21" customHeight="1">
      <c r="A50" s="10"/>
      <c r="B50" s="11"/>
      <c r="C50" s="11"/>
      <c r="D50" s="11"/>
      <c r="E50" s="12"/>
      <c r="F50" s="11"/>
      <c r="G50" s="11"/>
      <c r="H50" s="11"/>
      <c r="I50" s="11"/>
      <c r="J50" s="11"/>
      <c r="K50" s="11"/>
      <c r="L50" s="11"/>
      <c r="M50" s="14"/>
      <c r="N50" s="11"/>
      <c r="O50" s="14"/>
      <c r="P50" s="11"/>
      <c r="Q50" s="14"/>
      <c r="R50" s="11"/>
      <c r="S50" s="14"/>
      <c r="T50" s="14"/>
      <c r="U50" s="14"/>
      <c r="V50" s="11"/>
      <c r="W50" s="15"/>
      <c r="X50" s="52"/>
    </row>
    <row r="51" spans="1:24" ht="21" customHeight="1">
      <c r="A51" s="10"/>
      <c r="B51" s="11"/>
      <c r="C51" s="11"/>
      <c r="D51" s="11"/>
      <c r="E51" s="12"/>
      <c r="F51" s="11"/>
      <c r="G51" s="11"/>
      <c r="H51" s="11"/>
      <c r="I51" s="11"/>
      <c r="J51" s="11"/>
      <c r="K51" s="11"/>
      <c r="L51" s="11"/>
      <c r="M51" s="13"/>
      <c r="N51" s="11"/>
      <c r="O51" s="11"/>
      <c r="P51" s="11"/>
      <c r="Q51" s="14"/>
      <c r="R51" s="11"/>
      <c r="S51" s="14"/>
      <c r="T51" s="14"/>
      <c r="U51" s="14"/>
      <c r="V51" s="17"/>
      <c r="W51" s="18"/>
      <c r="X51" s="52"/>
    </row>
    <row r="52" spans="1:24" ht="21" customHeight="1">
      <c r="A52" s="10"/>
      <c r="B52" s="11"/>
      <c r="C52" s="11"/>
      <c r="D52" s="11"/>
      <c r="E52" s="12"/>
      <c r="F52" s="11"/>
      <c r="G52" s="11"/>
      <c r="H52" s="11"/>
      <c r="I52" s="11"/>
      <c r="J52" s="11"/>
      <c r="K52" s="11"/>
      <c r="L52" s="11"/>
      <c r="M52" s="14"/>
      <c r="N52" s="11"/>
      <c r="O52" s="14"/>
      <c r="P52" s="11"/>
      <c r="Q52" s="14"/>
      <c r="R52" s="11"/>
      <c r="S52" s="14"/>
      <c r="T52" s="14"/>
      <c r="U52" s="14"/>
      <c r="V52" s="11"/>
      <c r="W52" s="15"/>
      <c r="X52" s="52"/>
    </row>
    <row r="53" spans="1:24" ht="21" customHeight="1">
      <c r="A53" s="10"/>
      <c r="B53" s="11"/>
      <c r="C53" s="11"/>
      <c r="D53" s="11"/>
      <c r="E53" s="12"/>
      <c r="F53" s="11"/>
      <c r="G53" s="11"/>
      <c r="H53" s="11"/>
      <c r="I53" s="11"/>
      <c r="J53" s="11"/>
      <c r="K53" s="11"/>
      <c r="L53" s="17"/>
      <c r="M53" s="14"/>
      <c r="N53" s="11"/>
      <c r="O53" s="11"/>
      <c r="P53" s="11"/>
      <c r="Q53" s="14"/>
      <c r="R53" s="11"/>
      <c r="S53" s="14"/>
      <c r="T53" s="11"/>
      <c r="U53" s="11"/>
      <c r="V53" s="11"/>
      <c r="W53" s="15"/>
      <c r="X53" s="52"/>
    </row>
    <row r="54" spans="1:24" ht="21" customHeight="1">
      <c r="A54" s="10"/>
      <c r="B54" s="11"/>
      <c r="C54" s="11"/>
      <c r="D54" s="11"/>
      <c r="E54" s="12"/>
      <c r="F54" s="11"/>
      <c r="G54" s="11"/>
      <c r="H54" s="11"/>
      <c r="I54" s="11"/>
      <c r="J54" s="11"/>
      <c r="K54" s="11"/>
      <c r="L54" s="11"/>
      <c r="M54" s="13"/>
      <c r="N54" s="11"/>
      <c r="O54" s="11"/>
      <c r="P54" s="11"/>
      <c r="Q54" s="14"/>
      <c r="R54" s="11"/>
      <c r="S54" s="14"/>
      <c r="T54" s="14"/>
      <c r="U54" s="14"/>
      <c r="V54" s="17"/>
      <c r="W54" s="18"/>
      <c r="X54" s="52"/>
    </row>
    <row r="55" spans="1:24" ht="21" customHeight="1">
      <c r="A55" s="10"/>
      <c r="B55" s="11"/>
      <c r="C55" s="11"/>
      <c r="D55" s="11"/>
      <c r="E55" s="12"/>
      <c r="F55" s="11"/>
      <c r="G55" s="11"/>
      <c r="H55" s="11"/>
      <c r="I55" s="11"/>
      <c r="J55" s="11"/>
      <c r="K55" s="11"/>
      <c r="L55" s="11"/>
      <c r="M55" s="13"/>
      <c r="N55" s="11"/>
      <c r="O55" s="14"/>
      <c r="P55" s="11"/>
      <c r="Q55" s="14"/>
      <c r="R55" s="11"/>
      <c r="S55" s="14"/>
      <c r="T55" s="14"/>
      <c r="U55" s="14"/>
      <c r="V55" s="11"/>
      <c r="W55" s="18"/>
      <c r="X55" s="52"/>
    </row>
    <row r="56" spans="1:24" ht="21" customHeight="1">
      <c r="A56" s="10"/>
      <c r="B56" s="11"/>
      <c r="C56" s="11"/>
      <c r="D56" s="11"/>
      <c r="E56" s="12"/>
      <c r="F56" s="11"/>
      <c r="G56" s="11"/>
      <c r="H56" s="11"/>
      <c r="I56" s="11"/>
      <c r="J56" s="11"/>
      <c r="K56" s="11"/>
      <c r="L56" s="11"/>
      <c r="M56" s="13"/>
      <c r="N56" s="11"/>
      <c r="O56" s="11"/>
      <c r="P56" s="11"/>
      <c r="Q56" s="14"/>
      <c r="R56" s="11"/>
      <c r="S56" s="14"/>
      <c r="T56" s="14"/>
      <c r="U56" s="14"/>
      <c r="V56" s="17"/>
      <c r="W56" s="18"/>
      <c r="X56" s="52"/>
    </row>
    <row r="57" spans="1:24" ht="21" customHeight="1">
      <c r="A57" s="10"/>
      <c r="B57" s="11"/>
      <c r="C57" s="11"/>
      <c r="D57" s="11"/>
      <c r="E57" s="12"/>
      <c r="F57" s="11"/>
      <c r="G57" s="11"/>
      <c r="H57" s="11"/>
      <c r="I57" s="11"/>
      <c r="J57" s="11"/>
      <c r="K57" s="11"/>
      <c r="L57" s="11"/>
      <c r="M57" s="13"/>
      <c r="N57" s="11"/>
      <c r="O57" s="11"/>
      <c r="P57" s="11"/>
      <c r="Q57" s="14"/>
      <c r="R57" s="11"/>
      <c r="S57" s="14"/>
      <c r="T57" s="14"/>
      <c r="U57" s="14"/>
      <c r="V57" s="17"/>
      <c r="W57" s="18"/>
      <c r="X57" s="52"/>
    </row>
    <row r="58" spans="1:24" ht="20.45" customHeight="1">
      <c r="A58" s="1" t="s">
        <v>237</v>
      </c>
      <c r="B58" s="2" t="s">
        <v>1</v>
      </c>
      <c r="C58" s="2" t="s">
        <v>2</v>
      </c>
      <c r="D58" s="2" t="s">
        <v>3</v>
      </c>
      <c r="E58" s="3" t="s">
        <v>4</v>
      </c>
      <c r="F58" s="2" t="s">
        <v>5</v>
      </c>
      <c r="G58" s="2" t="s">
        <v>6</v>
      </c>
      <c r="H58" s="2" t="s">
        <v>7</v>
      </c>
      <c r="I58" s="4" t="s">
        <v>8</v>
      </c>
      <c r="J58" s="2" t="s">
        <v>9</v>
      </c>
      <c r="K58" s="2" t="s">
        <v>10</v>
      </c>
      <c r="L58" s="2" t="s">
        <v>11</v>
      </c>
      <c r="M58" s="6" t="s">
        <v>206</v>
      </c>
      <c r="N58" s="6" t="s">
        <v>207</v>
      </c>
      <c r="O58" s="7" t="s">
        <v>208</v>
      </c>
      <c r="P58" s="8" t="s">
        <v>209</v>
      </c>
      <c r="Q58" s="8" t="s">
        <v>147</v>
      </c>
      <c r="R58" s="7" t="s">
        <v>148</v>
      </c>
      <c r="S58" s="7" t="s">
        <v>149</v>
      </c>
      <c r="T58" s="7" t="s">
        <v>77</v>
      </c>
      <c r="U58" s="7" t="s">
        <v>20</v>
      </c>
      <c r="V58" s="8" t="s">
        <v>21</v>
      </c>
      <c r="W58" s="24" t="s">
        <v>22</v>
      </c>
      <c r="X58" s="52" t="s">
        <v>210</v>
      </c>
    </row>
    <row r="59" spans="1:24" ht="20.45" customHeight="1">
      <c r="A59" s="10" t="s">
        <v>79</v>
      </c>
      <c r="B59" s="11">
        <v>9.8379629629629633E-3</v>
      </c>
      <c r="C59" s="11">
        <v>2.9745370370370373E-3</v>
      </c>
      <c r="D59" s="11">
        <f>B59*E59</f>
        <v>5.7237268518518522E-3</v>
      </c>
      <c r="E59" s="12">
        <v>0.58179999999999998</v>
      </c>
      <c r="F59" s="11">
        <f>C59/4</f>
        <v>7.4363425925925931E-4</v>
      </c>
      <c r="G59" s="11">
        <f>D59/7.5</f>
        <v>7.6316358024691364E-4</v>
      </c>
      <c r="H59" s="11">
        <f>B59/12.5</f>
        <v>7.8703703703703705E-4</v>
      </c>
      <c r="I59" s="11">
        <f>G59/0.93</f>
        <v>8.2060600026549854E-4</v>
      </c>
      <c r="J59" s="11">
        <f>G59/0.92</f>
        <v>8.29525630703167E-4</v>
      </c>
      <c r="K59" s="11">
        <f>G59/0.88</f>
        <v>8.6723134118967459E-4</v>
      </c>
      <c r="L59" s="11">
        <f>G59/0.84</f>
        <v>9.085280717225163E-4</v>
      </c>
      <c r="M59" s="25"/>
      <c r="N59" s="28"/>
      <c r="O59" s="25"/>
      <c r="P59" s="25"/>
      <c r="Q59" s="25"/>
      <c r="R59" s="28"/>
      <c r="S59" s="25"/>
      <c r="T59" s="25"/>
      <c r="U59" s="28"/>
      <c r="V59" s="25"/>
      <c r="W59" s="15" t="s">
        <v>26</v>
      </c>
      <c r="X59" s="52"/>
    </row>
    <row r="60" spans="1:24" ht="20.45" customHeight="1">
      <c r="A60" s="10" t="s">
        <v>84</v>
      </c>
      <c r="B60" s="11">
        <v>1.0069444444444445E-2</v>
      </c>
      <c r="C60" s="11">
        <v>3.0092592592592593E-3</v>
      </c>
      <c r="D60" s="11">
        <f t="shared" ref="D60:D71" si="24">B60*E60</f>
        <v>5.8584027777777783E-3</v>
      </c>
      <c r="E60" s="12">
        <v>0.58179999999999998</v>
      </c>
      <c r="F60" s="11">
        <f t="shared" ref="F60:F71" si="25">C60/4</f>
        <v>7.5231481481481482E-4</v>
      </c>
      <c r="G60" s="11">
        <f t="shared" ref="G60:G71" si="26">D60/7.5</f>
        <v>7.811203703703705E-4</v>
      </c>
      <c r="H60" s="11">
        <f t="shared" ref="H60:H71" si="27">B60/12.5</f>
        <v>8.0555555555555556E-4</v>
      </c>
      <c r="I60" s="11">
        <f t="shared" ref="I60:I71" si="28">G60/0.93</f>
        <v>8.3991437674233382E-4</v>
      </c>
      <c r="J60" s="11">
        <f t="shared" ref="J60:J71" si="29">G60/0.92</f>
        <v>8.4904388083735917E-4</v>
      </c>
      <c r="K60" s="11">
        <f t="shared" ref="K60:K71" si="30">G60/0.88</f>
        <v>8.8763678451178466E-4</v>
      </c>
      <c r="L60" s="11">
        <f t="shared" ref="L60:L71" si="31">G60/0.84</f>
        <v>9.2990520282186973E-4</v>
      </c>
      <c r="M60" s="25"/>
      <c r="N60" s="28"/>
      <c r="O60" s="25"/>
      <c r="P60" s="25"/>
      <c r="Q60" s="25"/>
      <c r="R60" s="28"/>
      <c r="S60" s="25"/>
      <c r="T60" s="25"/>
      <c r="U60" s="28"/>
      <c r="V60" s="25"/>
      <c r="W60" s="15" t="s">
        <v>26</v>
      </c>
      <c r="X60" s="52"/>
    </row>
    <row r="61" spans="1:24" ht="20.45" customHeight="1">
      <c r="A61" s="10" t="s">
        <v>83</v>
      </c>
      <c r="B61" s="11">
        <v>1.0069444444444445E-2</v>
      </c>
      <c r="C61" s="11">
        <v>3.0671296296296297E-3</v>
      </c>
      <c r="D61" s="11">
        <f>B61*E61</f>
        <v>5.8584027777777783E-3</v>
      </c>
      <c r="E61" s="12">
        <v>0.58179999999999998</v>
      </c>
      <c r="F61" s="11">
        <f>C61/4</f>
        <v>7.6678240740740743E-4</v>
      </c>
      <c r="G61" s="11">
        <f>D61/7.5</f>
        <v>7.811203703703705E-4</v>
      </c>
      <c r="H61" s="11">
        <f>B61/12.5</f>
        <v>8.0555555555555556E-4</v>
      </c>
      <c r="I61" s="11">
        <f>G61/0.93</f>
        <v>8.3991437674233382E-4</v>
      </c>
      <c r="J61" s="11">
        <f>G61/0.92</f>
        <v>8.4904388083735917E-4</v>
      </c>
      <c r="K61" s="11">
        <f>G61/0.88</f>
        <v>8.8763678451178466E-4</v>
      </c>
      <c r="L61" s="11">
        <f>G61/0.84</f>
        <v>9.2990520282186973E-4</v>
      </c>
      <c r="M61" s="25"/>
      <c r="N61" s="28"/>
      <c r="O61" s="25"/>
      <c r="P61" s="25"/>
      <c r="Q61" s="25"/>
      <c r="R61" s="28"/>
      <c r="S61" s="25"/>
      <c r="T61" s="25"/>
      <c r="U61" s="28"/>
      <c r="V61" s="28"/>
      <c r="W61" s="15" t="s">
        <v>26</v>
      </c>
      <c r="X61" s="52"/>
    </row>
    <row r="62" spans="1:24" ht="20.45" customHeight="1">
      <c r="A62" s="10" t="s">
        <v>112</v>
      </c>
      <c r="B62" s="11">
        <v>1.0243055555555556E-2</v>
      </c>
      <c r="C62" s="11">
        <v>2.8587962962962963E-3</v>
      </c>
      <c r="D62" s="11">
        <f t="shared" si="24"/>
        <v>5.9594097222222218E-3</v>
      </c>
      <c r="E62" s="12">
        <v>0.58179999999999998</v>
      </c>
      <c r="F62" s="11">
        <f t="shared" si="25"/>
        <v>7.1469907407407409E-4</v>
      </c>
      <c r="G62" s="11">
        <f t="shared" si="26"/>
        <v>7.9458796296296287E-4</v>
      </c>
      <c r="H62" s="11">
        <f t="shared" si="27"/>
        <v>8.1944444444444447E-4</v>
      </c>
      <c r="I62" s="11">
        <f t="shared" si="28"/>
        <v>8.5439565909996003E-4</v>
      </c>
      <c r="J62" s="11">
        <f t="shared" si="29"/>
        <v>8.636825684380031E-4</v>
      </c>
      <c r="K62" s="11">
        <f t="shared" si="30"/>
        <v>9.0294086700336686E-4</v>
      </c>
      <c r="L62" s="11">
        <f t="shared" si="31"/>
        <v>9.4593805114638445E-4</v>
      </c>
      <c r="M62" s="25"/>
      <c r="N62" s="28"/>
      <c r="O62" s="25"/>
      <c r="P62" s="25"/>
      <c r="Q62" s="25"/>
      <c r="R62" s="28"/>
      <c r="S62" s="25"/>
      <c r="T62" s="25"/>
      <c r="U62" s="28"/>
      <c r="V62" s="25"/>
      <c r="W62" s="15" t="s">
        <v>26</v>
      </c>
      <c r="X62" s="52"/>
    </row>
    <row r="63" spans="1:24" ht="20.45" customHeight="1">
      <c r="A63" s="10" t="s">
        <v>92</v>
      </c>
      <c r="B63" s="11">
        <v>1.0300925925925925E-2</v>
      </c>
      <c r="C63" s="11">
        <v>2.9745370370370373E-3</v>
      </c>
      <c r="D63" s="11">
        <f>B63*E63</f>
        <v>5.9930787037037027E-3</v>
      </c>
      <c r="E63" s="12">
        <v>0.58179999999999998</v>
      </c>
      <c r="F63" s="11">
        <f>C63/4</f>
        <v>7.4363425925925931E-4</v>
      </c>
      <c r="G63" s="11">
        <f>D63/7.5</f>
        <v>7.9907716049382703E-4</v>
      </c>
      <c r="H63" s="11">
        <f>B63/12.5</f>
        <v>8.2407407407407397E-4</v>
      </c>
      <c r="I63" s="11">
        <f>G63/0.93</f>
        <v>8.5922275321916877E-4</v>
      </c>
      <c r="J63" s="11">
        <f>G63/0.92</f>
        <v>8.6856213097155112E-4</v>
      </c>
      <c r="K63" s="11">
        <f>G63/0.88</f>
        <v>9.080422278338944E-4</v>
      </c>
      <c r="L63" s="11">
        <f>G63/0.84</f>
        <v>9.5128233392122272E-4</v>
      </c>
      <c r="M63" s="25"/>
      <c r="N63" s="28"/>
      <c r="O63" s="25"/>
      <c r="P63" s="25"/>
      <c r="Q63" s="25"/>
      <c r="R63" s="28"/>
      <c r="S63" s="25"/>
      <c r="T63" s="25"/>
      <c r="U63" s="28"/>
      <c r="V63" s="25"/>
      <c r="W63" s="15" t="s">
        <v>26</v>
      </c>
      <c r="X63" s="52"/>
    </row>
    <row r="64" spans="1:24" ht="20.45" customHeight="1">
      <c r="A64" s="10" t="s">
        <v>86</v>
      </c>
      <c r="B64" s="11">
        <v>1.0300925925925925E-2</v>
      </c>
      <c r="C64" s="11">
        <v>3.0671296296296297E-3</v>
      </c>
      <c r="D64" s="11">
        <f t="shared" si="24"/>
        <v>5.9930787037037027E-3</v>
      </c>
      <c r="E64" s="12">
        <v>0.58179999999999998</v>
      </c>
      <c r="F64" s="11">
        <f t="shared" si="25"/>
        <v>7.6678240740740743E-4</v>
      </c>
      <c r="G64" s="11">
        <f t="shared" si="26"/>
        <v>7.9907716049382703E-4</v>
      </c>
      <c r="H64" s="11">
        <f t="shared" si="27"/>
        <v>8.2407407407407397E-4</v>
      </c>
      <c r="I64" s="11">
        <f t="shared" si="28"/>
        <v>8.5922275321916877E-4</v>
      </c>
      <c r="J64" s="11">
        <f t="shared" si="29"/>
        <v>8.6856213097155112E-4</v>
      </c>
      <c r="K64" s="11">
        <f t="shared" si="30"/>
        <v>9.080422278338944E-4</v>
      </c>
      <c r="L64" s="11">
        <f t="shared" si="31"/>
        <v>9.5128233392122272E-4</v>
      </c>
      <c r="M64" s="25"/>
      <c r="N64" s="28"/>
      <c r="O64" s="25"/>
      <c r="P64" s="25"/>
      <c r="Q64" s="25"/>
      <c r="R64" s="28"/>
      <c r="S64" s="25"/>
      <c r="T64" s="25"/>
      <c r="U64" s="28"/>
      <c r="V64" s="25"/>
      <c r="W64" s="15" t="s">
        <v>26</v>
      </c>
      <c r="X64" s="52"/>
    </row>
    <row r="65" spans="1:24" ht="20.45" customHeight="1">
      <c r="A65" s="10" t="s">
        <v>119</v>
      </c>
      <c r="B65" s="11">
        <v>1.0416666666666666E-2</v>
      </c>
      <c r="C65" s="11"/>
      <c r="D65" s="11">
        <f t="shared" si="24"/>
        <v>6.0604166666666662E-3</v>
      </c>
      <c r="E65" s="12">
        <v>0.58179999999999998</v>
      </c>
      <c r="F65" s="11">
        <f t="shared" si="25"/>
        <v>0</v>
      </c>
      <c r="G65" s="11">
        <f t="shared" si="26"/>
        <v>8.0805555555555546E-4</v>
      </c>
      <c r="H65" s="11">
        <f t="shared" si="27"/>
        <v>8.3333333333333328E-4</v>
      </c>
      <c r="I65" s="11">
        <f t="shared" si="28"/>
        <v>8.6887694145758646E-4</v>
      </c>
      <c r="J65" s="11">
        <f t="shared" si="29"/>
        <v>8.7832125603864715E-4</v>
      </c>
      <c r="K65" s="11">
        <f t="shared" si="30"/>
        <v>9.1824494949494938E-4</v>
      </c>
      <c r="L65" s="11">
        <f t="shared" si="31"/>
        <v>9.6197089947089938E-4</v>
      </c>
      <c r="M65" s="25"/>
      <c r="N65" s="28"/>
      <c r="O65" s="25"/>
      <c r="P65" s="25"/>
      <c r="Q65" s="25"/>
      <c r="R65" s="28"/>
      <c r="S65" s="25"/>
      <c r="T65" s="25"/>
      <c r="U65" s="28"/>
      <c r="V65" s="28"/>
      <c r="W65" s="27" t="s">
        <v>26</v>
      </c>
      <c r="X65" s="52"/>
    </row>
    <row r="66" spans="1:24" ht="20.45" customHeight="1">
      <c r="A66" s="10" t="s">
        <v>87</v>
      </c>
      <c r="B66" s="11">
        <v>1.0532407407407407E-2</v>
      </c>
      <c r="C66" s="11">
        <v>2.9745370370370373E-3</v>
      </c>
      <c r="D66" s="11">
        <f t="shared" si="24"/>
        <v>6.1277546296296288E-3</v>
      </c>
      <c r="E66" s="12">
        <v>0.58179999999999998</v>
      </c>
      <c r="F66" s="11">
        <f t="shared" si="25"/>
        <v>7.4363425925925931E-4</v>
      </c>
      <c r="G66" s="11">
        <f t="shared" si="26"/>
        <v>8.1703395061728389E-4</v>
      </c>
      <c r="H66" s="11">
        <f t="shared" si="27"/>
        <v>8.4259259259259259E-4</v>
      </c>
      <c r="I66" s="11">
        <f t="shared" si="28"/>
        <v>8.7853112969600415E-4</v>
      </c>
      <c r="J66" s="11">
        <f t="shared" si="29"/>
        <v>8.8808038110574329E-4</v>
      </c>
      <c r="K66" s="11">
        <f t="shared" si="30"/>
        <v>9.2844767115600447E-4</v>
      </c>
      <c r="L66" s="11">
        <f t="shared" si="31"/>
        <v>9.7265946502057604E-4</v>
      </c>
      <c r="M66" s="25"/>
      <c r="N66" s="28"/>
      <c r="O66" s="25"/>
      <c r="P66" s="25"/>
      <c r="Q66" s="25"/>
      <c r="R66" s="28"/>
      <c r="S66" s="25"/>
      <c r="T66" s="25"/>
      <c r="U66" s="28"/>
      <c r="V66" s="25"/>
      <c r="W66" s="15" t="s">
        <v>26</v>
      </c>
      <c r="X66" s="52"/>
    </row>
    <row r="67" spans="1:24" ht="20.45" customHeight="1">
      <c r="A67" s="10" t="s">
        <v>88</v>
      </c>
      <c r="B67" s="11">
        <v>1.0532407407407407E-2</v>
      </c>
      <c r="C67" s="11">
        <v>3.0671296296296297E-3</v>
      </c>
      <c r="D67" s="11">
        <f>B67*E67</f>
        <v>6.1277546296296288E-3</v>
      </c>
      <c r="E67" s="12">
        <v>0.58179999999999998</v>
      </c>
      <c r="F67" s="11">
        <f>C67/4</f>
        <v>7.6678240740740743E-4</v>
      </c>
      <c r="G67" s="11">
        <f>D67/7.5</f>
        <v>8.1703395061728389E-4</v>
      </c>
      <c r="H67" s="11">
        <f>B67/12.5</f>
        <v>8.4259259259259259E-4</v>
      </c>
      <c r="I67" s="11">
        <f>G67/0.93</f>
        <v>8.7853112969600415E-4</v>
      </c>
      <c r="J67" s="11">
        <f>G67/0.92</f>
        <v>8.8808038110574329E-4</v>
      </c>
      <c r="K67" s="11">
        <f>G67/0.88</f>
        <v>9.2844767115600447E-4</v>
      </c>
      <c r="L67" s="11">
        <f>G67/0.84</f>
        <v>9.7265946502057604E-4</v>
      </c>
      <c r="M67" s="25"/>
      <c r="N67" s="28"/>
      <c r="O67" s="25"/>
      <c r="P67" s="25"/>
      <c r="Q67" s="25"/>
      <c r="R67" s="28"/>
      <c r="S67" s="25"/>
      <c r="T67" s="25"/>
      <c r="U67" s="28"/>
      <c r="V67" s="44"/>
      <c r="W67" s="28" t="s">
        <v>26</v>
      </c>
      <c r="X67" s="52"/>
    </row>
    <row r="68" spans="1:24" ht="20.45" customHeight="1">
      <c r="A68" s="10" t="s">
        <v>121</v>
      </c>
      <c r="B68" s="11">
        <v>1.0532407407407407E-2</v>
      </c>
      <c r="C68" s="11"/>
      <c r="D68" s="11">
        <f>B68*E68</f>
        <v>6.1277546296296288E-3</v>
      </c>
      <c r="E68" s="12">
        <v>0.58179999999999998</v>
      </c>
      <c r="F68" s="11">
        <f>C68/4</f>
        <v>0</v>
      </c>
      <c r="G68" s="11">
        <f>D68/7.5</f>
        <v>8.1703395061728389E-4</v>
      </c>
      <c r="H68" s="11">
        <f>B68/12.5</f>
        <v>8.4259259259259259E-4</v>
      </c>
      <c r="I68" s="11">
        <f>G68/0.93</f>
        <v>8.7853112969600415E-4</v>
      </c>
      <c r="J68" s="11">
        <f>G68/0.92</f>
        <v>8.8808038110574329E-4</v>
      </c>
      <c r="K68" s="11">
        <f>G68/0.88</f>
        <v>9.2844767115600447E-4</v>
      </c>
      <c r="L68" s="11">
        <f>G68/0.84</f>
        <v>9.7265946502057604E-4</v>
      </c>
      <c r="M68" s="25"/>
      <c r="N68" s="28"/>
      <c r="O68" s="25"/>
      <c r="P68" s="25"/>
      <c r="Q68" s="25"/>
      <c r="R68" s="28"/>
      <c r="S68" s="25"/>
      <c r="T68" s="25"/>
      <c r="U68" s="28"/>
      <c r="V68" s="28"/>
      <c r="W68" s="27" t="s">
        <v>26</v>
      </c>
      <c r="X68" s="52" t="s">
        <v>211</v>
      </c>
    </row>
    <row r="69" spans="1:24" ht="20.45" customHeight="1">
      <c r="A69" s="10" t="s">
        <v>123</v>
      </c>
      <c r="B69" s="11">
        <v>1.0590277777777778E-2</v>
      </c>
      <c r="C69" s="11">
        <v>3.1828703703703702E-3</v>
      </c>
      <c r="D69" s="11">
        <f>B69*E69</f>
        <v>6.1614236111111114E-3</v>
      </c>
      <c r="E69" s="12">
        <v>0.58179999999999998</v>
      </c>
      <c r="F69" s="11">
        <f>C69/4</f>
        <v>7.9571759259259255E-4</v>
      </c>
      <c r="G69" s="11">
        <f>D69/7.5</f>
        <v>8.2152314814814816E-4</v>
      </c>
      <c r="H69" s="11">
        <f>B69/12.5</f>
        <v>8.472222222222223E-4</v>
      </c>
      <c r="I69" s="11">
        <f>G69/0.93</f>
        <v>8.8335822381521299E-4</v>
      </c>
      <c r="J69" s="11">
        <f>G69/0.92</f>
        <v>8.9295994363929141E-4</v>
      </c>
      <c r="K69" s="11">
        <f>G69/0.88</f>
        <v>9.3354903198653201E-4</v>
      </c>
      <c r="L69" s="11">
        <f>G69/0.84</f>
        <v>9.7800374779541442E-4</v>
      </c>
      <c r="M69" s="25"/>
      <c r="N69" s="28"/>
      <c r="O69" s="25"/>
      <c r="P69" s="25"/>
      <c r="Q69" s="25"/>
      <c r="R69" s="28"/>
      <c r="S69" s="25"/>
      <c r="T69" s="25"/>
      <c r="U69" s="28"/>
      <c r="V69" s="28"/>
      <c r="W69" s="15" t="s">
        <v>26</v>
      </c>
      <c r="X69" s="52"/>
    </row>
    <row r="70" spans="1:24" ht="20.45" customHeight="1">
      <c r="A70" s="10" t="s">
        <v>91</v>
      </c>
      <c r="B70" s="11">
        <v>1.0590277777777778E-2</v>
      </c>
      <c r="C70" s="11">
        <v>3.1249999999999997E-3</v>
      </c>
      <c r="D70" s="11">
        <f t="shared" si="24"/>
        <v>6.1614236111111114E-3</v>
      </c>
      <c r="E70" s="12">
        <v>0.58179999999999998</v>
      </c>
      <c r="F70" s="11">
        <f t="shared" si="25"/>
        <v>7.8124999999999993E-4</v>
      </c>
      <c r="G70" s="11">
        <f t="shared" si="26"/>
        <v>8.2152314814814816E-4</v>
      </c>
      <c r="H70" s="11">
        <f t="shared" si="27"/>
        <v>8.472222222222223E-4</v>
      </c>
      <c r="I70" s="11">
        <f t="shared" si="28"/>
        <v>8.8335822381521299E-4</v>
      </c>
      <c r="J70" s="11">
        <f t="shared" si="29"/>
        <v>8.9295994363929141E-4</v>
      </c>
      <c r="K70" s="11">
        <f t="shared" si="30"/>
        <v>9.3354903198653201E-4</v>
      </c>
      <c r="L70" s="11">
        <f t="shared" si="31"/>
        <v>9.7800374779541442E-4</v>
      </c>
      <c r="M70" s="25"/>
      <c r="N70" s="28"/>
      <c r="O70" s="25"/>
      <c r="P70" s="25"/>
      <c r="Q70" s="25"/>
      <c r="R70" s="28"/>
      <c r="S70" s="25"/>
      <c r="T70" s="25"/>
      <c r="U70" s="28"/>
      <c r="V70" s="25"/>
      <c r="W70" s="15" t="s">
        <v>26</v>
      </c>
      <c r="X70" s="52"/>
    </row>
    <row r="71" spans="1:24" ht="20.45" customHeight="1">
      <c r="A71" s="10" t="s">
        <v>125</v>
      </c>
      <c r="B71" s="11">
        <v>1.0648148148148148E-2</v>
      </c>
      <c r="C71" s="11"/>
      <c r="D71" s="11">
        <f t="shared" si="24"/>
        <v>6.1950925925925923E-3</v>
      </c>
      <c r="E71" s="12">
        <v>0.58179999999999998</v>
      </c>
      <c r="F71" s="11">
        <f t="shared" si="25"/>
        <v>0</v>
      </c>
      <c r="G71" s="11">
        <f t="shared" si="26"/>
        <v>8.2601234567901232E-4</v>
      </c>
      <c r="H71" s="11">
        <f t="shared" si="27"/>
        <v>8.5185185185185179E-4</v>
      </c>
      <c r="I71" s="11">
        <f t="shared" si="28"/>
        <v>8.8818531793442184E-4</v>
      </c>
      <c r="J71" s="11">
        <f t="shared" si="29"/>
        <v>8.9783950617283942E-4</v>
      </c>
      <c r="K71" s="11">
        <f t="shared" si="30"/>
        <v>9.3865039281705945E-4</v>
      </c>
      <c r="L71" s="11">
        <f t="shared" si="31"/>
        <v>9.833480305702527E-4</v>
      </c>
      <c r="M71" s="25"/>
      <c r="N71" s="28"/>
      <c r="O71" s="25"/>
      <c r="P71" s="25"/>
      <c r="Q71" s="25"/>
      <c r="R71" s="28"/>
      <c r="S71" s="25"/>
      <c r="T71" s="25"/>
      <c r="U71" s="28"/>
      <c r="V71" s="28"/>
      <c r="W71" s="15" t="s">
        <v>26</v>
      </c>
      <c r="X71" s="52"/>
    </row>
    <row r="72" spans="1:24" ht="20.45" customHeight="1">
      <c r="A72" s="10" t="s">
        <v>124</v>
      </c>
      <c r="B72" s="11">
        <v>1.0648148148148148E-2</v>
      </c>
      <c r="C72" s="11"/>
      <c r="D72" s="11">
        <f t="shared" ref="D72:D89" si="32">B72*E72</f>
        <v>6.1950925925925923E-3</v>
      </c>
      <c r="E72" s="12">
        <v>0.58179999999999998</v>
      </c>
      <c r="F72" s="11">
        <f t="shared" ref="F72:F89" si="33">C72/4</f>
        <v>0</v>
      </c>
      <c r="G72" s="11">
        <f t="shared" ref="G72:G89" si="34">D72/7.5</f>
        <v>8.2601234567901232E-4</v>
      </c>
      <c r="H72" s="11">
        <f t="shared" ref="H72:H89" si="35">B72/12.5</f>
        <v>8.5185185185185179E-4</v>
      </c>
      <c r="I72" s="11">
        <f t="shared" ref="I72:I89" si="36">G72/0.93</f>
        <v>8.8818531793442184E-4</v>
      </c>
      <c r="J72" s="11">
        <f t="shared" ref="J72:J89" si="37">G72/0.92</f>
        <v>8.9783950617283942E-4</v>
      </c>
      <c r="K72" s="11">
        <f t="shared" ref="K72:K89" si="38">G72/0.88</f>
        <v>9.3865039281705945E-4</v>
      </c>
      <c r="L72" s="11">
        <f t="shared" ref="L72:L89" si="39">G72/0.84</f>
        <v>9.833480305702527E-4</v>
      </c>
      <c r="M72" s="25"/>
      <c r="N72" s="28"/>
      <c r="O72" s="25"/>
      <c r="P72" s="25"/>
      <c r="Q72" s="25"/>
      <c r="R72" s="28"/>
      <c r="S72" s="25"/>
      <c r="T72" s="25"/>
      <c r="U72" s="28"/>
      <c r="V72" s="28"/>
      <c r="W72" s="27" t="s">
        <v>26</v>
      </c>
      <c r="X72" s="52"/>
    </row>
    <row r="73" spans="1:24" ht="20.45" customHeight="1">
      <c r="A73" s="10" t="s">
        <v>131</v>
      </c>
      <c r="B73" s="11">
        <v>1.0763888888888891E-2</v>
      </c>
      <c r="C73" s="11">
        <v>3.1828703703703702E-3</v>
      </c>
      <c r="D73" s="11">
        <f t="shared" si="32"/>
        <v>6.2624305555555567E-3</v>
      </c>
      <c r="E73" s="12">
        <v>0.58179999999999998</v>
      </c>
      <c r="F73" s="11">
        <f t="shared" si="33"/>
        <v>7.9571759259259255E-4</v>
      </c>
      <c r="G73" s="11">
        <f t="shared" si="34"/>
        <v>8.3499074074074085E-4</v>
      </c>
      <c r="H73" s="11">
        <f t="shared" si="35"/>
        <v>8.6111111111111121E-4</v>
      </c>
      <c r="I73" s="11">
        <f t="shared" si="36"/>
        <v>8.9783950617283953E-4</v>
      </c>
      <c r="J73" s="11">
        <f t="shared" si="37"/>
        <v>9.0759863123993567E-4</v>
      </c>
      <c r="K73" s="11">
        <f t="shared" si="38"/>
        <v>9.4885311447811464E-4</v>
      </c>
      <c r="L73" s="11">
        <f t="shared" si="39"/>
        <v>9.9403659611992969E-4</v>
      </c>
      <c r="M73" s="25"/>
      <c r="N73" s="28"/>
      <c r="O73" s="25"/>
      <c r="P73" s="25"/>
      <c r="Q73" s="25"/>
      <c r="R73" s="28"/>
      <c r="S73" s="25"/>
      <c r="T73" s="25"/>
      <c r="U73" s="28"/>
      <c r="V73" s="28"/>
      <c r="W73" s="15" t="s">
        <v>26</v>
      </c>
      <c r="X73" s="52"/>
    </row>
    <row r="74" spans="1:24" ht="20.45" customHeight="1">
      <c r="A74" s="10" t="s">
        <v>133</v>
      </c>
      <c r="B74" s="11">
        <v>1.087962962962963E-2</v>
      </c>
      <c r="C74" s="11">
        <v>3.1250000000000002E-3</v>
      </c>
      <c r="D74" s="11">
        <f t="shared" si="32"/>
        <v>6.3297685185185184E-3</v>
      </c>
      <c r="E74" s="12">
        <v>0.58179999999999998</v>
      </c>
      <c r="F74" s="11">
        <f t="shared" si="33"/>
        <v>7.8125000000000004E-4</v>
      </c>
      <c r="G74" s="11">
        <f t="shared" si="34"/>
        <v>8.4396913580246917E-4</v>
      </c>
      <c r="H74" s="11">
        <f t="shared" si="35"/>
        <v>8.7037037037037042E-4</v>
      </c>
      <c r="I74" s="11">
        <f t="shared" si="36"/>
        <v>9.0749369441125711E-4</v>
      </c>
      <c r="J74" s="11">
        <f t="shared" si="37"/>
        <v>9.173577563070317E-4</v>
      </c>
      <c r="K74" s="11">
        <f t="shared" si="38"/>
        <v>9.5905583613916951E-4</v>
      </c>
      <c r="L74" s="11">
        <f t="shared" si="39"/>
        <v>1.0047251616696062E-3</v>
      </c>
      <c r="M74" s="25"/>
      <c r="N74" s="28"/>
      <c r="O74" s="25"/>
      <c r="P74" s="25"/>
      <c r="Q74" s="25"/>
      <c r="R74" s="28"/>
      <c r="S74" s="25"/>
      <c r="T74" s="25"/>
      <c r="U74" s="28"/>
      <c r="V74" s="25"/>
      <c r="W74" s="15" t="s">
        <v>26</v>
      </c>
      <c r="X74" s="52"/>
    </row>
    <row r="75" spans="1:24" ht="20.45" customHeight="1">
      <c r="A75" s="10" t="s">
        <v>118</v>
      </c>
      <c r="B75" s="11">
        <v>1.0300925925925925E-2</v>
      </c>
      <c r="C75" s="11">
        <v>3.0671296296296297E-3</v>
      </c>
      <c r="D75" s="11">
        <f t="shared" si="32"/>
        <v>5.9930787037037027E-3</v>
      </c>
      <c r="E75" s="12">
        <v>0.58179999999999998</v>
      </c>
      <c r="F75" s="11">
        <f t="shared" si="33"/>
        <v>7.6678240740740743E-4</v>
      </c>
      <c r="G75" s="11">
        <f t="shared" si="34"/>
        <v>7.9907716049382703E-4</v>
      </c>
      <c r="H75" s="11">
        <f t="shared" si="35"/>
        <v>8.2407407407407397E-4</v>
      </c>
      <c r="I75" s="11">
        <f t="shared" si="36"/>
        <v>8.5922275321916877E-4</v>
      </c>
      <c r="J75" s="11">
        <f t="shared" si="37"/>
        <v>8.6856213097155112E-4</v>
      </c>
      <c r="K75" s="11">
        <f t="shared" si="38"/>
        <v>9.080422278338944E-4</v>
      </c>
      <c r="L75" s="11">
        <f t="shared" si="39"/>
        <v>9.5128233392122272E-4</v>
      </c>
      <c r="M75" s="25"/>
      <c r="N75" s="28"/>
      <c r="O75" s="25"/>
      <c r="P75" s="25"/>
      <c r="Q75" s="25"/>
      <c r="R75" s="28"/>
      <c r="S75" s="25"/>
      <c r="T75" s="25"/>
      <c r="U75" s="28"/>
      <c r="V75" s="25"/>
      <c r="W75" s="15" t="s">
        <v>26</v>
      </c>
      <c r="X75" s="52"/>
    </row>
    <row r="76" spans="1:24" ht="20.45" customHeight="1">
      <c r="A76" s="10" t="s">
        <v>81</v>
      </c>
      <c r="B76" s="11">
        <v>9.9537037037037042E-3</v>
      </c>
      <c r="C76" s="11">
        <v>2.9745370370370373E-3</v>
      </c>
      <c r="D76" s="11">
        <f t="shared" si="32"/>
        <v>5.7910648148148149E-3</v>
      </c>
      <c r="E76" s="12">
        <v>0.58179999999999998</v>
      </c>
      <c r="F76" s="11">
        <f t="shared" si="33"/>
        <v>7.4363425925925931E-4</v>
      </c>
      <c r="G76" s="11">
        <f t="shared" si="34"/>
        <v>7.7214197530864196E-4</v>
      </c>
      <c r="H76" s="11">
        <f t="shared" si="35"/>
        <v>7.9629629629629636E-4</v>
      </c>
      <c r="I76" s="11">
        <f t="shared" si="36"/>
        <v>8.3026018850391602E-4</v>
      </c>
      <c r="J76" s="11">
        <f t="shared" si="37"/>
        <v>8.3928475577026292E-4</v>
      </c>
      <c r="K76" s="11">
        <f t="shared" si="38"/>
        <v>8.7743406285072947E-4</v>
      </c>
      <c r="L76" s="11">
        <f t="shared" si="39"/>
        <v>9.1921663727219285E-4</v>
      </c>
      <c r="M76" s="25"/>
      <c r="N76" s="28"/>
      <c r="O76" s="25"/>
      <c r="P76" s="25"/>
      <c r="Q76" s="25"/>
      <c r="R76" s="28"/>
      <c r="S76" s="25"/>
      <c r="T76" s="25"/>
      <c r="U76" s="28"/>
      <c r="V76" s="25"/>
      <c r="W76" s="15" t="s">
        <v>26</v>
      </c>
      <c r="X76" s="52"/>
    </row>
    <row r="77" spans="1:24" ht="20.45" customHeight="1">
      <c r="A77" s="10" t="s">
        <v>109</v>
      </c>
      <c r="B77" s="11">
        <v>9.8379629629629633E-3</v>
      </c>
      <c r="C77" s="11">
        <v>2.9745370370370373E-3</v>
      </c>
      <c r="D77" s="11">
        <f t="shared" si="32"/>
        <v>5.7237268518518522E-3</v>
      </c>
      <c r="E77" s="12">
        <v>0.58179999999999998</v>
      </c>
      <c r="F77" s="11">
        <f t="shared" si="33"/>
        <v>7.4363425925925931E-4</v>
      </c>
      <c r="G77" s="11">
        <f t="shared" si="34"/>
        <v>7.6316358024691364E-4</v>
      </c>
      <c r="H77" s="11">
        <f t="shared" si="35"/>
        <v>7.8703703703703705E-4</v>
      </c>
      <c r="I77" s="11">
        <f t="shared" si="36"/>
        <v>8.2060600026549854E-4</v>
      </c>
      <c r="J77" s="11">
        <f t="shared" si="37"/>
        <v>8.29525630703167E-4</v>
      </c>
      <c r="K77" s="11">
        <f t="shared" si="38"/>
        <v>8.6723134118967459E-4</v>
      </c>
      <c r="L77" s="11">
        <f t="shared" si="39"/>
        <v>9.085280717225163E-4</v>
      </c>
      <c r="M77" s="25"/>
      <c r="N77" s="28"/>
      <c r="O77" s="25"/>
      <c r="P77" s="25"/>
      <c r="Q77" s="25"/>
      <c r="R77" s="28"/>
      <c r="S77" s="25"/>
      <c r="T77" s="25"/>
      <c r="U77" s="28"/>
      <c r="V77" s="25"/>
      <c r="W77" s="15" t="s">
        <v>26</v>
      </c>
      <c r="X77" s="52"/>
    </row>
    <row r="78" spans="1:24" ht="20.45" customHeight="1">
      <c r="A78" s="10" t="s">
        <v>82</v>
      </c>
      <c r="B78" s="11">
        <v>9.9537037037037042E-3</v>
      </c>
      <c r="C78" s="11">
        <v>2.8935185185185188E-3</v>
      </c>
      <c r="D78" s="11">
        <f t="shared" si="32"/>
        <v>5.7910648148148149E-3</v>
      </c>
      <c r="E78" s="12">
        <v>0.58179999999999998</v>
      </c>
      <c r="F78" s="11">
        <f t="shared" si="33"/>
        <v>7.233796296296297E-4</v>
      </c>
      <c r="G78" s="11">
        <f t="shared" si="34"/>
        <v>7.7214197530864196E-4</v>
      </c>
      <c r="H78" s="11">
        <f t="shared" si="35"/>
        <v>7.9629629629629636E-4</v>
      </c>
      <c r="I78" s="11">
        <f t="shared" si="36"/>
        <v>8.3026018850391602E-4</v>
      </c>
      <c r="J78" s="11">
        <f t="shared" si="37"/>
        <v>8.3928475577026292E-4</v>
      </c>
      <c r="K78" s="11">
        <f t="shared" si="38"/>
        <v>8.7743406285072947E-4</v>
      </c>
      <c r="L78" s="11">
        <f t="shared" si="39"/>
        <v>9.1921663727219285E-4</v>
      </c>
      <c r="M78" s="25"/>
      <c r="N78" s="28"/>
      <c r="O78" s="25"/>
      <c r="P78" s="25"/>
      <c r="Q78" s="25"/>
      <c r="R78" s="28"/>
      <c r="S78" s="25"/>
      <c r="T78" s="25"/>
      <c r="U78" s="28"/>
      <c r="V78" s="25"/>
      <c r="W78" s="15" t="s">
        <v>26</v>
      </c>
      <c r="X78" s="52" t="s">
        <v>218</v>
      </c>
    </row>
    <row r="79" spans="1:24" ht="20.45" customHeight="1">
      <c r="A79" s="10" t="s">
        <v>90</v>
      </c>
      <c r="B79" s="11">
        <v>1.0648148148148148E-2</v>
      </c>
      <c r="C79" s="11">
        <v>3.0671296296296297E-3</v>
      </c>
      <c r="D79" s="11">
        <f t="shared" si="32"/>
        <v>6.1950925925925923E-3</v>
      </c>
      <c r="E79" s="12">
        <v>0.58179999999999998</v>
      </c>
      <c r="F79" s="11">
        <f t="shared" si="33"/>
        <v>7.6678240740740743E-4</v>
      </c>
      <c r="G79" s="11">
        <f t="shared" si="34"/>
        <v>8.2601234567901232E-4</v>
      </c>
      <c r="H79" s="11">
        <f t="shared" si="35"/>
        <v>8.5185185185185179E-4</v>
      </c>
      <c r="I79" s="11">
        <f t="shared" si="36"/>
        <v>8.8818531793442184E-4</v>
      </c>
      <c r="J79" s="11">
        <f t="shared" si="37"/>
        <v>8.9783950617283942E-4</v>
      </c>
      <c r="K79" s="11">
        <f t="shared" si="38"/>
        <v>9.3865039281705945E-4</v>
      </c>
      <c r="L79" s="17">
        <f t="shared" si="39"/>
        <v>9.833480305702527E-4</v>
      </c>
      <c r="M79" s="25"/>
      <c r="N79" s="28"/>
      <c r="O79" s="25"/>
      <c r="P79" s="25"/>
      <c r="Q79" s="25"/>
      <c r="R79" s="28"/>
      <c r="S79" s="25"/>
      <c r="T79" s="25"/>
      <c r="U79" s="28"/>
      <c r="V79" s="25"/>
      <c r="W79" s="15" t="s">
        <v>26</v>
      </c>
      <c r="X79" s="52"/>
    </row>
    <row r="80" spans="1:24" ht="20.45" customHeight="1">
      <c r="A80" s="10" t="s">
        <v>136</v>
      </c>
      <c r="B80" s="11">
        <v>1.1111111111111112E-2</v>
      </c>
      <c r="C80" s="11">
        <v>3.1828703703703702E-3</v>
      </c>
      <c r="D80" s="11">
        <f t="shared" si="32"/>
        <v>6.4644444444444445E-3</v>
      </c>
      <c r="E80" s="12">
        <v>0.58179999999999998</v>
      </c>
      <c r="F80" s="11">
        <f t="shared" si="33"/>
        <v>7.9571759259259255E-4</v>
      </c>
      <c r="G80" s="11">
        <f t="shared" si="34"/>
        <v>8.6192592592592592E-4</v>
      </c>
      <c r="H80" s="11">
        <f t="shared" si="35"/>
        <v>8.8888888888888893E-4</v>
      </c>
      <c r="I80" s="11">
        <f t="shared" si="36"/>
        <v>9.2680207088809239E-4</v>
      </c>
      <c r="J80" s="11">
        <f t="shared" si="37"/>
        <v>9.3687600644122375E-4</v>
      </c>
      <c r="K80" s="11">
        <f t="shared" si="38"/>
        <v>9.7946127946127947E-4</v>
      </c>
      <c r="L80" s="11">
        <f t="shared" si="39"/>
        <v>1.0261022927689596E-3</v>
      </c>
      <c r="M80" s="25"/>
      <c r="N80" s="28"/>
      <c r="O80" s="25"/>
      <c r="P80" s="25"/>
      <c r="Q80" s="25"/>
      <c r="R80" s="28"/>
      <c r="S80" s="25"/>
      <c r="T80" s="25"/>
      <c r="U80" s="28"/>
      <c r="V80" s="25"/>
      <c r="W80" s="15" t="s">
        <v>26</v>
      </c>
      <c r="X80" s="52"/>
    </row>
    <row r="81" spans="1:24" ht="20.45" customHeight="1">
      <c r="A81" s="10" t="s">
        <v>110</v>
      </c>
      <c r="B81" s="11">
        <v>1.0069444444444445E-2</v>
      </c>
      <c r="C81" s="11">
        <v>2.8935185185185184E-3</v>
      </c>
      <c r="D81" s="11">
        <f t="shared" si="32"/>
        <v>5.8584027777777783E-3</v>
      </c>
      <c r="E81" s="12">
        <v>0.58179999999999998</v>
      </c>
      <c r="F81" s="11">
        <f t="shared" si="33"/>
        <v>7.2337962962962959E-4</v>
      </c>
      <c r="G81" s="11">
        <f t="shared" si="34"/>
        <v>7.811203703703705E-4</v>
      </c>
      <c r="H81" s="11">
        <f t="shared" si="35"/>
        <v>8.0555555555555556E-4</v>
      </c>
      <c r="I81" s="11">
        <f t="shared" si="36"/>
        <v>8.3991437674233382E-4</v>
      </c>
      <c r="J81" s="11">
        <f t="shared" si="37"/>
        <v>8.4904388083735917E-4</v>
      </c>
      <c r="K81" s="11">
        <f t="shared" si="38"/>
        <v>8.8763678451178466E-4</v>
      </c>
      <c r="L81" s="11">
        <f t="shared" si="39"/>
        <v>9.2990520282186973E-4</v>
      </c>
      <c r="M81" s="25"/>
      <c r="N81" s="28"/>
      <c r="O81" s="25"/>
      <c r="P81" s="25"/>
      <c r="Q81" s="25"/>
      <c r="R81" s="28"/>
      <c r="S81" s="25"/>
      <c r="T81" s="25"/>
      <c r="U81" s="28"/>
      <c r="V81" s="25"/>
      <c r="W81" s="15" t="s">
        <v>26</v>
      </c>
      <c r="X81" s="52"/>
    </row>
    <row r="82" spans="1:24" ht="20.45" customHeight="1">
      <c r="A82" s="10" t="s">
        <v>93</v>
      </c>
      <c r="B82" s="11">
        <v>1.0243055555555556E-2</v>
      </c>
      <c r="C82" s="11"/>
      <c r="D82" s="11">
        <f t="shared" si="32"/>
        <v>5.9594097222222218E-3</v>
      </c>
      <c r="E82" s="12">
        <v>0.58179999999999998</v>
      </c>
      <c r="F82" s="11">
        <f t="shared" si="33"/>
        <v>0</v>
      </c>
      <c r="G82" s="11">
        <f t="shared" si="34"/>
        <v>7.9458796296296287E-4</v>
      </c>
      <c r="H82" s="11">
        <f t="shared" si="35"/>
        <v>8.1944444444444447E-4</v>
      </c>
      <c r="I82" s="11">
        <f t="shared" si="36"/>
        <v>8.5439565909996003E-4</v>
      </c>
      <c r="J82" s="11">
        <f t="shared" si="37"/>
        <v>8.636825684380031E-4</v>
      </c>
      <c r="K82" s="11">
        <f t="shared" si="38"/>
        <v>9.0294086700336686E-4</v>
      </c>
      <c r="L82" s="11">
        <f t="shared" si="39"/>
        <v>9.4593805114638445E-4</v>
      </c>
      <c r="M82" s="25"/>
      <c r="N82" s="28"/>
      <c r="O82" s="25"/>
      <c r="P82" s="25"/>
      <c r="Q82" s="25"/>
      <c r="R82" s="28"/>
      <c r="S82" s="25"/>
      <c r="T82" s="25"/>
      <c r="U82" s="28"/>
      <c r="V82" s="28"/>
      <c r="W82" s="27" t="s">
        <v>26</v>
      </c>
      <c r="X82" s="52"/>
    </row>
    <row r="83" spans="1:24" ht="20.45" customHeight="1">
      <c r="A83" s="10" t="s">
        <v>95</v>
      </c>
      <c r="B83" s="11">
        <v>1.0243055555555556E-2</v>
      </c>
      <c r="C83" s="11">
        <v>2.9513888888888888E-3</v>
      </c>
      <c r="D83" s="11">
        <f t="shared" si="32"/>
        <v>5.9594097222222218E-3</v>
      </c>
      <c r="E83" s="12">
        <v>0.58179999999999998</v>
      </c>
      <c r="F83" s="11">
        <f t="shared" si="33"/>
        <v>7.378472222222222E-4</v>
      </c>
      <c r="G83" s="11">
        <f t="shared" si="34"/>
        <v>7.9458796296296287E-4</v>
      </c>
      <c r="H83" s="11">
        <f t="shared" si="35"/>
        <v>8.1944444444444447E-4</v>
      </c>
      <c r="I83" s="11">
        <f t="shared" si="36"/>
        <v>8.5439565909996003E-4</v>
      </c>
      <c r="J83" s="11">
        <f t="shared" si="37"/>
        <v>8.636825684380031E-4</v>
      </c>
      <c r="K83" s="11">
        <f t="shared" si="38"/>
        <v>9.0294086700336686E-4</v>
      </c>
      <c r="L83" s="11">
        <f t="shared" si="39"/>
        <v>9.4593805114638445E-4</v>
      </c>
      <c r="M83" s="25"/>
      <c r="N83" s="28"/>
      <c r="O83" s="25"/>
      <c r="P83" s="25"/>
      <c r="Q83" s="25"/>
      <c r="R83" s="28"/>
      <c r="S83" s="25"/>
      <c r="T83" s="25"/>
      <c r="U83" s="28"/>
      <c r="V83" s="25"/>
      <c r="W83" s="15" t="s">
        <v>26</v>
      </c>
      <c r="X83" s="52"/>
    </row>
    <row r="84" spans="1:24" ht="20.45" customHeight="1">
      <c r="A84" s="10" t="s">
        <v>100</v>
      </c>
      <c r="B84" s="11">
        <v>1.0763888888888889E-2</v>
      </c>
      <c r="C84" s="11">
        <v>3.0671296296296297E-3</v>
      </c>
      <c r="D84" s="11">
        <f t="shared" si="32"/>
        <v>6.2624305555555549E-3</v>
      </c>
      <c r="E84" s="12">
        <v>0.58179999999999998</v>
      </c>
      <c r="F84" s="11">
        <f t="shared" si="33"/>
        <v>7.6678240740740743E-4</v>
      </c>
      <c r="G84" s="11">
        <f t="shared" si="34"/>
        <v>8.3499074074074064E-4</v>
      </c>
      <c r="H84" s="11">
        <f t="shared" si="35"/>
        <v>8.611111111111111E-4</v>
      </c>
      <c r="I84" s="11">
        <f t="shared" si="36"/>
        <v>8.9783950617283931E-4</v>
      </c>
      <c r="J84" s="11">
        <f t="shared" si="37"/>
        <v>9.0759863123993545E-4</v>
      </c>
      <c r="K84" s="11">
        <f t="shared" si="38"/>
        <v>9.4885311447811432E-4</v>
      </c>
      <c r="L84" s="17">
        <f t="shared" si="39"/>
        <v>9.9403659611992947E-4</v>
      </c>
      <c r="M84" s="25"/>
      <c r="N84" s="28"/>
      <c r="O84" s="25"/>
      <c r="P84" s="25"/>
      <c r="Q84" s="25"/>
      <c r="R84" s="28"/>
      <c r="S84" s="25"/>
      <c r="T84" s="25"/>
      <c r="U84" s="28"/>
      <c r="V84" s="25"/>
      <c r="W84" s="15" t="s">
        <v>26</v>
      </c>
      <c r="X84" s="52"/>
    </row>
    <row r="85" spans="1:24" ht="20.45" customHeight="1">
      <c r="A85" s="10" t="s">
        <v>132</v>
      </c>
      <c r="B85" s="11">
        <v>1.087962962962963E-2</v>
      </c>
      <c r="C85" s="11"/>
      <c r="D85" s="11">
        <f t="shared" si="32"/>
        <v>6.3297685185185184E-3</v>
      </c>
      <c r="E85" s="12">
        <v>0.58179999999999998</v>
      </c>
      <c r="F85" s="11">
        <f t="shared" si="33"/>
        <v>0</v>
      </c>
      <c r="G85" s="11">
        <f t="shared" si="34"/>
        <v>8.4396913580246917E-4</v>
      </c>
      <c r="H85" s="11">
        <f t="shared" si="35"/>
        <v>8.7037037037037042E-4</v>
      </c>
      <c r="I85" s="11">
        <f t="shared" si="36"/>
        <v>9.0749369441125711E-4</v>
      </c>
      <c r="J85" s="11">
        <f t="shared" si="37"/>
        <v>9.173577563070317E-4</v>
      </c>
      <c r="K85" s="11">
        <f t="shared" si="38"/>
        <v>9.5905583613916951E-4</v>
      </c>
      <c r="L85" s="11">
        <f t="shared" si="39"/>
        <v>1.0047251616696062E-3</v>
      </c>
      <c r="M85" s="25"/>
      <c r="N85" s="28"/>
      <c r="O85" s="25"/>
      <c r="P85" s="25"/>
      <c r="Q85" s="25"/>
      <c r="R85" s="28"/>
      <c r="S85" s="25"/>
      <c r="T85" s="25"/>
      <c r="U85" s="28"/>
      <c r="V85" s="28"/>
      <c r="W85" s="27" t="s">
        <v>26</v>
      </c>
      <c r="X85" s="52"/>
    </row>
    <row r="86" spans="1:24" ht="20.45" customHeight="1" thickBot="1">
      <c r="A86" s="10" t="s">
        <v>113</v>
      </c>
      <c r="B86" s="11">
        <v>1.087962962962963E-2</v>
      </c>
      <c r="C86" s="11">
        <v>3.2986111111111111E-3</v>
      </c>
      <c r="D86" s="11">
        <f t="shared" si="32"/>
        <v>6.3297685185185184E-3</v>
      </c>
      <c r="E86" s="12">
        <v>0.58179999999999998</v>
      </c>
      <c r="F86" s="11">
        <f t="shared" si="33"/>
        <v>8.2465277777777778E-4</v>
      </c>
      <c r="G86" s="11">
        <f t="shared" si="34"/>
        <v>8.4396913580246917E-4</v>
      </c>
      <c r="H86" s="11">
        <f t="shared" si="35"/>
        <v>8.7037037037037042E-4</v>
      </c>
      <c r="I86" s="11">
        <f t="shared" si="36"/>
        <v>9.0749369441125711E-4</v>
      </c>
      <c r="J86" s="11">
        <f t="shared" si="37"/>
        <v>9.173577563070317E-4</v>
      </c>
      <c r="K86" s="11">
        <f t="shared" si="38"/>
        <v>9.5905583613916951E-4</v>
      </c>
      <c r="L86" s="11">
        <f t="shared" si="39"/>
        <v>1.0047251616696062E-3</v>
      </c>
      <c r="M86" s="25"/>
      <c r="N86" s="28"/>
      <c r="O86" s="25"/>
      <c r="P86" s="25"/>
      <c r="Q86" s="25"/>
      <c r="R86" s="28"/>
      <c r="S86" s="25"/>
      <c r="T86" s="25"/>
      <c r="U86" s="28"/>
      <c r="V86" s="25"/>
      <c r="W86" s="15" t="s">
        <v>26</v>
      </c>
      <c r="X86" s="52"/>
    </row>
    <row r="87" spans="1:24" ht="20.45" customHeight="1">
      <c r="A87" s="1" t="s">
        <v>237</v>
      </c>
      <c r="B87" s="6"/>
      <c r="C87" s="6"/>
      <c r="D87" s="6"/>
      <c r="E87" s="20"/>
      <c r="F87" s="6"/>
      <c r="G87" s="6"/>
      <c r="H87" s="6"/>
      <c r="I87" s="6"/>
      <c r="J87" s="6"/>
      <c r="K87" s="6"/>
      <c r="L87" s="6"/>
      <c r="M87" s="6"/>
      <c r="N87" s="6"/>
      <c r="O87" s="6"/>
      <c r="P87" s="6"/>
      <c r="Q87" s="22"/>
      <c r="R87" s="6"/>
      <c r="S87" s="6"/>
      <c r="T87" s="6"/>
      <c r="U87" s="6"/>
      <c r="V87" s="23"/>
      <c r="W87" s="35"/>
      <c r="X87" s="52"/>
    </row>
    <row r="88" spans="1:24" ht="20.45" customHeight="1">
      <c r="A88" s="10" t="s">
        <v>128</v>
      </c>
      <c r="B88" s="11">
        <v>1.087962962962963E-2</v>
      </c>
      <c r="C88" s="11"/>
      <c r="D88" s="11">
        <f t="shared" si="32"/>
        <v>6.3297685185185184E-3</v>
      </c>
      <c r="E88" s="12">
        <v>0.58179999999999998</v>
      </c>
      <c r="F88" s="11">
        <f t="shared" si="33"/>
        <v>0</v>
      </c>
      <c r="G88" s="11">
        <f t="shared" si="34"/>
        <v>8.4396913580246917E-4</v>
      </c>
      <c r="H88" s="11">
        <f t="shared" si="35"/>
        <v>8.7037037037037042E-4</v>
      </c>
      <c r="I88" s="11">
        <f t="shared" si="36"/>
        <v>9.0749369441125711E-4</v>
      </c>
      <c r="J88" s="11">
        <f t="shared" si="37"/>
        <v>9.173577563070317E-4</v>
      </c>
      <c r="K88" s="11">
        <f t="shared" si="38"/>
        <v>9.5905583613916951E-4</v>
      </c>
      <c r="L88" s="11">
        <f t="shared" si="39"/>
        <v>1.0047251616696062E-3</v>
      </c>
      <c r="M88" s="25"/>
      <c r="N88" s="28"/>
      <c r="O88" s="25"/>
      <c r="P88" s="25"/>
      <c r="Q88" s="25"/>
      <c r="R88" s="28"/>
      <c r="S88" s="25"/>
      <c r="T88" s="25"/>
      <c r="U88" s="28"/>
      <c r="V88" s="28"/>
      <c r="W88" s="27" t="s">
        <v>26</v>
      </c>
      <c r="X88" s="52" t="s">
        <v>239</v>
      </c>
    </row>
    <row r="89" spans="1:24" ht="20.45" customHeight="1">
      <c r="A89" s="10" t="s">
        <v>85</v>
      </c>
      <c r="B89" s="11">
        <v>1.0300925925925925E-2</v>
      </c>
      <c r="C89" s="11">
        <v>3.0671296296296297E-3</v>
      </c>
      <c r="D89" s="11">
        <f t="shared" si="32"/>
        <v>5.9930787037037027E-3</v>
      </c>
      <c r="E89" s="12">
        <v>0.58179999999999998</v>
      </c>
      <c r="F89" s="11">
        <f t="shared" si="33"/>
        <v>7.6678240740740743E-4</v>
      </c>
      <c r="G89" s="11">
        <f t="shared" si="34"/>
        <v>7.9907716049382703E-4</v>
      </c>
      <c r="H89" s="11">
        <f t="shared" si="35"/>
        <v>8.2407407407407397E-4</v>
      </c>
      <c r="I89" s="11">
        <f t="shared" si="36"/>
        <v>8.5922275321916877E-4</v>
      </c>
      <c r="J89" s="11">
        <f t="shared" si="37"/>
        <v>8.6856213097155112E-4</v>
      </c>
      <c r="K89" s="11">
        <f t="shared" si="38"/>
        <v>9.080422278338944E-4</v>
      </c>
      <c r="L89" s="17">
        <f t="shared" si="39"/>
        <v>9.5128233392122272E-4</v>
      </c>
      <c r="M89" s="25"/>
      <c r="N89" s="28"/>
      <c r="O89" s="25"/>
      <c r="P89" s="25"/>
      <c r="Q89" s="25"/>
      <c r="R89" s="28"/>
      <c r="S89" s="25"/>
      <c r="T89" s="25"/>
      <c r="U89" s="28"/>
      <c r="V89" s="25"/>
      <c r="W89" s="15" t="s">
        <v>26</v>
      </c>
      <c r="X89" s="52"/>
    </row>
    <row r="90" spans="1:24" ht="20.45" customHeight="1">
      <c r="A90" s="10"/>
      <c r="B90" s="11"/>
      <c r="C90" s="11"/>
      <c r="D90" s="11"/>
      <c r="E90" s="12"/>
      <c r="F90" s="11"/>
      <c r="G90" s="11"/>
      <c r="H90" s="11"/>
      <c r="I90" s="11"/>
      <c r="J90" s="11"/>
      <c r="K90" s="11"/>
      <c r="L90" s="11"/>
      <c r="M90" s="25"/>
      <c r="N90" s="28"/>
      <c r="O90" s="25"/>
      <c r="P90" s="25"/>
      <c r="Q90" s="25"/>
      <c r="R90" s="28"/>
      <c r="S90" s="25"/>
      <c r="T90" s="25"/>
      <c r="U90" s="28"/>
      <c r="V90" s="25"/>
      <c r="W90" s="15"/>
      <c r="X90" s="52"/>
    </row>
    <row r="91" spans="1:24" ht="20.45" customHeight="1">
      <c r="A91" s="19"/>
      <c r="B91" s="6"/>
      <c r="C91" s="6"/>
      <c r="D91" s="6"/>
      <c r="E91" s="20"/>
      <c r="F91" s="6"/>
      <c r="G91" s="6"/>
      <c r="H91" s="6"/>
      <c r="I91" s="6"/>
      <c r="J91" s="6"/>
      <c r="K91" s="6"/>
      <c r="L91" s="6"/>
      <c r="M91" s="6"/>
      <c r="N91" s="6"/>
      <c r="O91" s="6"/>
      <c r="P91" s="6"/>
      <c r="Q91" s="6"/>
      <c r="R91" s="6"/>
      <c r="S91" s="6"/>
      <c r="T91" s="6"/>
      <c r="U91" s="6"/>
      <c r="V91" s="23"/>
      <c r="W91" s="35"/>
      <c r="X91" s="52"/>
    </row>
    <row r="92" spans="1:24" ht="20.45" customHeight="1">
      <c r="A92" s="10" t="s">
        <v>122</v>
      </c>
      <c r="B92" s="11">
        <v>1.0532407407407407E-2</v>
      </c>
      <c r="C92" s="11">
        <v>3.0671296296296297E-3</v>
      </c>
      <c r="D92" s="11">
        <f>B92*E92</f>
        <v>6.1277546296296288E-3</v>
      </c>
      <c r="E92" s="12">
        <v>0.58179999999999998</v>
      </c>
      <c r="F92" s="11">
        <f>C92/4</f>
        <v>7.6678240740740743E-4</v>
      </c>
      <c r="G92" s="11">
        <f>D92/7.5</f>
        <v>8.1703395061728389E-4</v>
      </c>
      <c r="H92" s="11">
        <f>B92/12.5</f>
        <v>8.4259259259259259E-4</v>
      </c>
      <c r="I92" s="11">
        <f>G92/0.93</f>
        <v>8.7853112969600415E-4</v>
      </c>
      <c r="J92" s="11">
        <f>G92/0.92</f>
        <v>8.8808038110574329E-4</v>
      </c>
      <c r="K92" s="11">
        <f>G92/0.88</f>
        <v>9.2844767115600447E-4</v>
      </c>
      <c r="L92" s="11">
        <f>G92/0.84</f>
        <v>9.7265946502057604E-4</v>
      </c>
      <c r="M92" s="25"/>
      <c r="N92" s="28"/>
      <c r="O92" s="25"/>
      <c r="P92" s="25"/>
      <c r="Q92" s="25"/>
      <c r="R92" s="28"/>
      <c r="S92" s="25"/>
      <c r="T92" s="25"/>
      <c r="U92" s="28"/>
      <c r="V92" s="25"/>
      <c r="W92" s="15" t="s">
        <v>35</v>
      </c>
      <c r="X92" s="52"/>
    </row>
    <row r="93" spans="1:24" ht="20.45" customHeight="1">
      <c r="A93" s="10" t="s">
        <v>127</v>
      </c>
      <c r="B93" s="11">
        <v>1.0648148148148148E-2</v>
      </c>
      <c r="C93" s="11">
        <v>2.9513888888888888E-3</v>
      </c>
      <c r="D93" s="11">
        <f>B93*E93</f>
        <v>6.1950925925925923E-3</v>
      </c>
      <c r="E93" s="12">
        <v>0.58179999999999998</v>
      </c>
      <c r="F93" s="11">
        <f>C93/4</f>
        <v>7.378472222222222E-4</v>
      </c>
      <c r="G93" s="11">
        <f>D93/7.5</f>
        <v>8.2601234567901232E-4</v>
      </c>
      <c r="H93" s="11">
        <f>B93/12.5</f>
        <v>8.5185185185185179E-4</v>
      </c>
      <c r="I93" s="11">
        <f>G93/0.93</f>
        <v>8.8818531793442184E-4</v>
      </c>
      <c r="J93" s="11">
        <f>G93/0.92</f>
        <v>8.9783950617283942E-4</v>
      </c>
      <c r="K93" s="11">
        <f>G93/0.88</f>
        <v>9.3865039281705945E-4</v>
      </c>
      <c r="L93" s="11">
        <f>G93/0.84</f>
        <v>9.833480305702527E-4</v>
      </c>
      <c r="M93" s="25"/>
      <c r="N93" s="28"/>
      <c r="O93" s="25"/>
      <c r="P93" s="25"/>
      <c r="Q93" s="25"/>
      <c r="R93" s="25"/>
      <c r="S93" s="25"/>
      <c r="T93" s="25"/>
      <c r="U93" s="25"/>
      <c r="V93" s="25"/>
      <c r="W93" s="15" t="s">
        <v>35</v>
      </c>
      <c r="X93" s="52"/>
    </row>
    <row r="94" spans="1:24" ht="20.45" customHeight="1">
      <c r="A94" s="10" t="s">
        <v>80</v>
      </c>
      <c r="B94" s="11">
        <v>9.8379629629629633E-3</v>
      </c>
      <c r="C94" s="11">
        <v>2.8587962962962963E-3</v>
      </c>
      <c r="D94" s="11">
        <f>B94*E94</f>
        <v>5.7237268518518522E-3</v>
      </c>
      <c r="E94" s="12">
        <v>0.58179999999999998</v>
      </c>
      <c r="F94" s="11">
        <f>C94/4</f>
        <v>7.1469907407407409E-4</v>
      </c>
      <c r="G94" s="11">
        <f>D94/7.5</f>
        <v>7.6316358024691364E-4</v>
      </c>
      <c r="H94" s="11">
        <f>B94/12.5</f>
        <v>7.8703703703703705E-4</v>
      </c>
      <c r="I94" s="11">
        <f>G94/0.93</f>
        <v>8.2060600026549854E-4</v>
      </c>
      <c r="J94" s="11">
        <f>G94/0.92</f>
        <v>8.29525630703167E-4</v>
      </c>
      <c r="K94" s="11">
        <f>G94/0.88</f>
        <v>8.6723134118967459E-4</v>
      </c>
      <c r="L94" s="11">
        <f>G94/0.84</f>
        <v>9.085280717225163E-4</v>
      </c>
      <c r="M94" s="25"/>
      <c r="N94" s="28"/>
      <c r="O94" s="25"/>
      <c r="P94" s="25"/>
      <c r="Q94" s="25"/>
      <c r="R94" s="28"/>
      <c r="S94" s="25"/>
      <c r="T94" s="25"/>
      <c r="U94" s="28"/>
      <c r="V94" s="25"/>
      <c r="W94" s="15" t="s">
        <v>35</v>
      </c>
      <c r="X94" s="52"/>
    </row>
    <row r="95" spans="1:24" ht="20.45" customHeight="1">
      <c r="A95" s="10" t="s">
        <v>120</v>
      </c>
      <c r="B95" s="11">
        <v>1.0416666666666666E-2</v>
      </c>
      <c r="C95" s="11">
        <v>3.1250000000000002E-3</v>
      </c>
      <c r="D95" s="11">
        <f t="shared" ref="D95:D100" si="40">B95*E95</f>
        <v>6.0604166666666662E-3</v>
      </c>
      <c r="E95" s="12">
        <v>0.58179999999999998</v>
      </c>
      <c r="F95" s="11">
        <f t="shared" ref="F95:F100" si="41">C95/4</f>
        <v>7.8125000000000004E-4</v>
      </c>
      <c r="G95" s="11">
        <f t="shared" ref="G95:G100" si="42">D95/7.5</f>
        <v>8.0805555555555546E-4</v>
      </c>
      <c r="H95" s="11">
        <f t="shared" ref="H95:H100" si="43">B95/12.5</f>
        <v>8.3333333333333328E-4</v>
      </c>
      <c r="I95" s="11">
        <f t="shared" ref="I95:I100" si="44">G95/0.93</f>
        <v>8.6887694145758646E-4</v>
      </c>
      <c r="J95" s="11">
        <f t="shared" ref="J95:J100" si="45">G95/0.92</f>
        <v>8.7832125603864715E-4</v>
      </c>
      <c r="K95" s="11">
        <f t="shared" ref="K95:K100" si="46">G95/0.88</f>
        <v>9.1824494949494938E-4</v>
      </c>
      <c r="L95" s="11">
        <f t="shared" ref="L95:L100" si="47">G95/0.84</f>
        <v>9.6197089947089938E-4</v>
      </c>
      <c r="M95" s="25"/>
      <c r="N95" s="28"/>
      <c r="O95" s="25"/>
      <c r="P95" s="25"/>
      <c r="Q95" s="25"/>
      <c r="R95" s="28"/>
      <c r="S95" s="25"/>
      <c r="T95" s="25"/>
      <c r="U95" s="28"/>
      <c r="V95" s="25"/>
      <c r="W95" s="15" t="s">
        <v>35</v>
      </c>
      <c r="X95" s="52"/>
    </row>
    <row r="96" spans="1:24" ht="20.45" customHeight="1">
      <c r="A96" s="10" t="s">
        <v>116</v>
      </c>
      <c r="B96" s="11">
        <v>1.0243055555555556E-2</v>
      </c>
      <c r="C96" s="11">
        <v>2.9513888888888888E-3</v>
      </c>
      <c r="D96" s="11">
        <f t="shared" si="40"/>
        <v>5.9594097222222218E-3</v>
      </c>
      <c r="E96" s="12">
        <v>0.58179999999999998</v>
      </c>
      <c r="F96" s="11">
        <f t="shared" si="41"/>
        <v>7.378472222222222E-4</v>
      </c>
      <c r="G96" s="11">
        <f t="shared" si="42"/>
        <v>7.9458796296296287E-4</v>
      </c>
      <c r="H96" s="11">
        <f t="shared" si="43"/>
        <v>8.1944444444444447E-4</v>
      </c>
      <c r="I96" s="11">
        <f t="shared" si="44"/>
        <v>8.5439565909996003E-4</v>
      </c>
      <c r="J96" s="11">
        <f t="shared" si="45"/>
        <v>8.636825684380031E-4</v>
      </c>
      <c r="K96" s="11">
        <f t="shared" si="46"/>
        <v>9.0294086700336686E-4</v>
      </c>
      <c r="L96" s="17">
        <f t="shared" si="47"/>
        <v>9.4593805114638445E-4</v>
      </c>
      <c r="M96" s="25"/>
      <c r="N96" s="28"/>
      <c r="O96" s="25"/>
      <c r="P96" s="25"/>
      <c r="Q96" s="25"/>
      <c r="R96" s="28"/>
      <c r="S96" s="25"/>
      <c r="T96" s="25"/>
      <c r="U96" s="28"/>
      <c r="V96" s="25"/>
      <c r="W96" s="15" t="s">
        <v>35</v>
      </c>
      <c r="X96" s="52"/>
    </row>
    <row r="97" spans="1:24" ht="20.45" customHeight="1">
      <c r="A97" s="10" t="s">
        <v>111</v>
      </c>
      <c r="B97" s="11">
        <v>1.0243055555555556E-2</v>
      </c>
      <c r="C97" s="11">
        <v>3.0092592592592588E-3</v>
      </c>
      <c r="D97" s="11">
        <f t="shared" si="40"/>
        <v>5.9594097222222218E-3</v>
      </c>
      <c r="E97" s="12">
        <v>0.58179999999999998</v>
      </c>
      <c r="F97" s="11">
        <f t="shared" si="41"/>
        <v>7.5231481481481471E-4</v>
      </c>
      <c r="G97" s="11">
        <f t="shared" si="42"/>
        <v>7.9458796296296287E-4</v>
      </c>
      <c r="H97" s="11">
        <f t="shared" si="43"/>
        <v>8.1944444444444447E-4</v>
      </c>
      <c r="I97" s="11">
        <f t="shared" si="44"/>
        <v>8.5439565909996003E-4</v>
      </c>
      <c r="J97" s="11">
        <f t="shared" si="45"/>
        <v>8.636825684380031E-4</v>
      </c>
      <c r="K97" s="11">
        <f t="shared" si="46"/>
        <v>9.0294086700336686E-4</v>
      </c>
      <c r="L97" s="11">
        <f t="shared" si="47"/>
        <v>9.4593805114638445E-4</v>
      </c>
      <c r="M97" s="25"/>
      <c r="N97" s="28"/>
      <c r="O97" s="25"/>
      <c r="P97" s="25"/>
      <c r="Q97" s="25"/>
      <c r="R97" s="28"/>
      <c r="S97" s="25"/>
      <c r="T97" s="25"/>
      <c r="U97" s="28"/>
      <c r="V97" s="25"/>
      <c r="W97" s="15" t="s">
        <v>35</v>
      </c>
      <c r="X97" s="52"/>
    </row>
    <row r="98" spans="1:24" ht="20.45" customHeight="1">
      <c r="A98" s="10" t="s">
        <v>134</v>
      </c>
      <c r="B98" s="11">
        <v>1.1631944444444445E-2</v>
      </c>
      <c r="C98" s="11"/>
      <c r="D98" s="11">
        <f>B98*E98</f>
        <v>6.7674652777777776E-3</v>
      </c>
      <c r="E98" s="12">
        <v>0.58179999999999998</v>
      </c>
      <c r="F98" s="11">
        <f>C98/4</f>
        <v>0</v>
      </c>
      <c r="G98" s="11">
        <f>D98/7.5</f>
        <v>9.0232870370370369E-4</v>
      </c>
      <c r="H98" s="11">
        <f>B98/12.5</f>
        <v>9.3055555555555556E-4</v>
      </c>
      <c r="I98" s="11">
        <f>G98/0.93</f>
        <v>9.7024591796097167E-4</v>
      </c>
      <c r="J98" s="11">
        <f>G98/0.92</f>
        <v>9.8079206924315621E-4</v>
      </c>
      <c r="K98" s="11">
        <f>G98/0.88</f>
        <v>1.0253735269360269E-3</v>
      </c>
      <c r="L98" s="11">
        <f>G98/0.84</f>
        <v>1.0742008377425045E-3</v>
      </c>
      <c r="M98" s="25"/>
      <c r="N98" s="28"/>
      <c r="O98" s="25"/>
      <c r="P98" s="25"/>
      <c r="Q98" s="25"/>
      <c r="R98" s="28"/>
      <c r="S98" s="25"/>
      <c r="T98" s="25"/>
      <c r="U98" s="28"/>
      <c r="V98" s="28"/>
      <c r="W98" s="27" t="s">
        <v>35</v>
      </c>
      <c r="X98" s="52"/>
    </row>
    <row r="99" spans="1:24" ht="20.45" customHeight="1">
      <c r="A99" s="10" t="s">
        <v>117</v>
      </c>
      <c r="B99" s="11">
        <v>1.0300925925925925E-2</v>
      </c>
      <c r="C99" s="11">
        <v>3.0671296296296297E-3</v>
      </c>
      <c r="D99" s="11">
        <f t="shared" si="40"/>
        <v>5.9930787037037027E-3</v>
      </c>
      <c r="E99" s="12">
        <v>0.58179999999999998</v>
      </c>
      <c r="F99" s="11">
        <f t="shared" si="41"/>
        <v>7.6678240740740743E-4</v>
      </c>
      <c r="G99" s="11">
        <f t="shared" si="42"/>
        <v>7.9907716049382703E-4</v>
      </c>
      <c r="H99" s="11">
        <f t="shared" si="43"/>
        <v>8.2407407407407397E-4</v>
      </c>
      <c r="I99" s="11">
        <f t="shared" si="44"/>
        <v>8.5922275321916877E-4</v>
      </c>
      <c r="J99" s="11">
        <f t="shared" si="45"/>
        <v>8.6856213097155112E-4</v>
      </c>
      <c r="K99" s="11">
        <f t="shared" si="46"/>
        <v>9.080422278338944E-4</v>
      </c>
      <c r="L99" s="11">
        <f t="shared" si="47"/>
        <v>9.5128233392122272E-4</v>
      </c>
      <c r="M99" s="25"/>
      <c r="N99" s="28"/>
      <c r="O99" s="25"/>
      <c r="P99" s="25"/>
      <c r="Q99" s="25"/>
      <c r="R99" s="28"/>
      <c r="S99" s="25"/>
      <c r="T99" s="25"/>
      <c r="U99" s="28"/>
      <c r="V99" s="25"/>
      <c r="W99" s="15" t="s">
        <v>35</v>
      </c>
      <c r="X99" s="52"/>
    </row>
    <row r="100" spans="1:24" ht="20.45" customHeight="1">
      <c r="A100" s="10" t="s">
        <v>129</v>
      </c>
      <c r="B100" s="11">
        <v>1.0648148148148148E-2</v>
      </c>
      <c r="C100" s="11">
        <v>3.0092592592592593E-3</v>
      </c>
      <c r="D100" s="11">
        <f t="shared" si="40"/>
        <v>6.1950925925925923E-3</v>
      </c>
      <c r="E100" s="12">
        <v>0.58179999999999998</v>
      </c>
      <c r="F100" s="11">
        <f t="shared" si="41"/>
        <v>7.5231481481481482E-4</v>
      </c>
      <c r="G100" s="11">
        <f t="shared" si="42"/>
        <v>8.2601234567901232E-4</v>
      </c>
      <c r="H100" s="11">
        <f t="shared" si="43"/>
        <v>8.5185185185185179E-4</v>
      </c>
      <c r="I100" s="11">
        <f t="shared" si="44"/>
        <v>8.8818531793442184E-4</v>
      </c>
      <c r="J100" s="11">
        <f t="shared" si="45"/>
        <v>8.9783950617283942E-4</v>
      </c>
      <c r="K100" s="11">
        <f t="shared" si="46"/>
        <v>9.3865039281705945E-4</v>
      </c>
      <c r="L100" s="11">
        <f t="shared" si="47"/>
        <v>9.833480305702527E-4</v>
      </c>
      <c r="M100" s="25"/>
      <c r="N100" s="28"/>
      <c r="O100" s="25"/>
      <c r="P100" s="25"/>
      <c r="Q100" s="25"/>
      <c r="R100" s="28"/>
      <c r="S100" s="25"/>
      <c r="T100" s="25"/>
      <c r="U100" s="28"/>
      <c r="V100" s="25"/>
      <c r="W100" s="15" t="s">
        <v>35</v>
      </c>
      <c r="X100" s="52"/>
    </row>
    <row r="101" spans="1:24" ht="20.45" customHeight="1">
      <c r="A101" s="10" t="s">
        <v>126</v>
      </c>
      <c r="B101" s="11">
        <v>1.0648148148148148E-2</v>
      </c>
      <c r="C101" s="11"/>
      <c r="D101" s="11">
        <f t="shared" ref="D101:D106" si="48">B101*E101</f>
        <v>6.1950925925925923E-3</v>
      </c>
      <c r="E101" s="12">
        <v>0.58179999999999998</v>
      </c>
      <c r="F101" s="11">
        <f t="shared" ref="F101:F106" si="49">C101/4</f>
        <v>0</v>
      </c>
      <c r="G101" s="11">
        <f t="shared" ref="G101:G106" si="50">D101/7.5</f>
        <v>8.2601234567901232E-4</v>
      </c>
      <c r="H101" s="11">
        <f t="shared" ref="H101:H106" si="51">B101/12.5</f>
        <v>8.5185185185185179E-4</v>
      </c>
      <c r="I101" s="11">
        <f t="shared" ref="I101:I106" si="52">G101/0.93</f>
        <v>8.8818531793442184E-4</v>
      </c>
      <c r="J101" s="11">
        <f t="shared" ref="J101:J106" si="53">G101/0.92</f>
        <v>8.9783950617283942E-4</v>
      </c>
      <c r="K101" s="11">
        <f t="shared" ref="K101:K106" si="54">G101/0.88</f>
        <v>9.3865039281705945E-4</v>
      </c>
      <c r="L101" s="11">
        <f t="shared" ref="L101:L106" si="55">G101/0.84</f>
        <v>9.833480305702527E-4</v>
      </c>
      <c r="M101" s="25"/>
      <c r="N101" s="28"/>
      <c r="O101" s="25"/>
      <c r="P101" s="25"/>
      <c r="Q101" s="25"/>
      <c r="R101" s="28"/>
      <c r="S101" s="25"/>
      <c r="T101" s="25"/>
      <c r="U101" s="28"/>
      <c r="V101" s="28"/>
      <c r="W101" s="27" t="s">
        <v>35</v>
      </c>
      <c r="X101" s="52"/>
    </row>
    <row r="102" spans="1:24" ht="20.45" customHeight="1">
      <c r="A102" s="10" t="s">
        <v>135</v>
      </c>
      <c r="B102" s="11">
        <v>1.1631944444444445E-2</v>
      </c>
      <c r="C102" s="11">
        <v>3.414351851851852E-3</v>
      </c>
      <c r="D102" s="11">
        <f t="shared" si="48"/>
        <v>6.7674652777777776E-3</v>
      </c>
      <c r="E102" s="12">
        <v>0.58179999999999998</v>
      </c>
      <c r="F102" s="11">
        <f t="shared" si="49"/>
        <v>8.53587962962963E-4</v>
      </c>
      <c r="G102" s="11">
        <f t="shared" si="50"/>
        <v>9.0232870370370369E-4</v>
      </c>
      <c r="H102" s="11">
        <f t="shared" si="51"/>
        <v>9.3055555555555556E-4</v>
      </c>
      <c r="I102" s="11">
        <f t="shared" si="52"/>
        <v>9.7024591796097167E-4</v>
      </c>
      <c r="J102" s="11">
        <f t="shared" si="53"/>
        <v>9.8079206924315621E-4</v>
      </c>
      <c r="K102" s="11">
        <f t="shared" si="54"/>
        <v>1.0253735269360269E-3</v>
      </c>
      <c r="L102" s="17">
        <f t="shared" si="55"/>
        <v>1.0742008377425045E-3</v>
      </c>
      <c r="M102" s="25"/>
      <c r="N102" s="28"/>
      <c r="O102" s="25"/>
      <c r="P102" s="25"/>
      <c r="Q102" s="25"/>
      <c r="R102" s="28"/>
      <c r="S102" s="25"/>
      <c r="T102" s="25"/>
      <c r="U102" s="28"/>
      <c r="V102" s="44"/>
      <c r="W102" s="28" t="s">
        <v>35</v>
      </c>
      <c r="X102" s="52"/>
    </row>
    <row r="103" spans="1:24" ht="20.45" customHeight="1">
      <c r="A103" s="10" t="s">
        <v>115</v>
      </c>
      <c r="B103" s="11">
        <v>1.0416666666666666E-2</v>
      </c>
      <c r="C103" s="11">
        <v>2.9513888888888888E-3</v>
      </c>
      <c r="D103" s="11">
        <f t="shared" si="48"/>
        <v>6.0604166666666662E-3</v>
      </c>
      <c r="E103" s="12">
        <v>0.58179999999999998</v>
      </c>
      <c r="F103" s="11">
        <f t="shared" si="49"/>
        <v>7.378472222222222E-4</v>
      </c>
      <c r="G103" s="11">
        <f t="shared" si="50"/>
        <v>8.0805555555555546E-4</v>
      </c>
      <c r="H103" s="11">
        <f t="shared" si="51"/>
        <v>8.3333333333333328E-4</v>
      </c>
      <c r="I103" s="11">
        <f t="shared" si="52"/>
        <v>8.6887694145758646E-4</v>
      </c>
      <c r="J103" s="11">
        <f t="shared" si="53"/>
        <v>8.7832125603864715E-4</v>
      </c>
      <c r="K103" s="11">
        <f t="shared" si="54"/>
        <v>9.1824494949494938E-4</v>
      </c>
      <c r="L103" s="11">
        <f t="shared" si="55"/>
        <v>9.6197089947089938E-4</v>
      </c>
      <c r="M103" s="25"/>
      <c r="N103" s="28"/>
      <c r="O103" s="25"/>
      <c r="P103" s="25"/>
      <c r="Q103" s="25"/>
      <c r="R103" s="28"/>
      <c r="S103" s="25"/>
      <c r="T103" s="25"/>
      <c r="U103" s="28"/>
      <c r="V103" s="25"/>
      <c r="W103" s="27" t="s">
        <v>35</v>
      </c>
      <c r="X103" s="52"/>
    </row>
    <row r="104" spans="1:24" ht="20.45" customHeight="1">
      <c r="A104" s="10" t="s">
        <v>130</v>
      </c>
      <c r="B104" s="11">
        <v>1.0763888888888891E-2</v>
      </c>
      <c r="C104" s="11">
        <v>3.1828703703703702E-3</v>
      </c>
      <c r="D104" s="11">
        <f t="shared" si="48"/>
        <v>6.2624305555555567E-3</v>
      </c>
      <c r="E104" s="12">
        <v>0.58179999999999998</v>
      </c>
      <c r="F104" s="11">
        <f t="shared" si="49"/>
        <v>7.9571759259259255E-4</v>
      </c>
      <c r="G104" s="11">
        <f t="shared" si="50"/>
        <v>8.3499074074074085E-4</v>
      </c>
      <c r="H104" s="11">
        <f t="shared" si="51"/>
        <v>8.6111111111111121E-4</v>
      </c>
      <c r="I104" s="11">
        <f t="shared" si="52"/>
        <v>8.9783950617283953E-4</v>
      </c>
      <c r="J104" s="11">
        <f t="shared" si="53"/>
        <v>9.0759863123993567E-4</v>
      </c>
      <c r="K104" s="11">
        <f t="shared" si="54"/>
        <v>9.4885311447811464E-4</v>
      </c>
      <c r="L104" s="11">
        <f t="shared" si="55"/>
        <v>9.9403659611992969E-4</v>
      </c>
      <c r="M104" s="25"/>
      <c r="N104" s="28"/>
      <c r="O104" s="25"/>
      <c r="P104" s="25"/>
      <c r="Q104" s="25"/>
      <c r="R104" s="28"/>
      <c r="S104" s="25"/>
      <c r="T104" s="25"/>
      <c r="U104" s="28"/>
      <c r="V104" s="48"/>
      <c r="W104" s="27" t="s">
        <v>35</v>
      </c>
      <c r="X104" s="52"/>
    </row>
    <row r="105" spans="1:24" ht="20.45" customHeight="1">
      <c r="A105" s="10" t="s">
        <v>137</v>
      </c>
      <c r="B105" s="11">
        <v>1.0763888888888891E-2</v>
      </c>
      <c r="C105" s="11">
        <v>3.0092592592592593E-3</v>
      </c>
      <c r="D105" s="11">
        <f t="shared" si="48"/>
        <v>6.2624305555555567E-3</v>
      </c>
      <c r="E105" s="12">
        <v>0.58179999999999998</v>
      </c>
      <c r="F105" s="11">
        <f t="shared" si="49"/>
        <v>7.5231481481481482E-4</v>
      </c>
      <c r="G105" s="11">
        <f t="shared" si="50"/>
        <v>8.3499074074074085E-4</v>
      </c>
      <c r="H105" s="11">
        <f t="shared" si="51"/>
        <v>8.6111111111111121E-4</v>
      </c>
      <c r="I105" s="11">
        <f t="shared" si="52"/>
        <v>8.9783950617283953E-4</v>
      </c>
      <c r="J105" s="11">
        <f t="shared" si="53"/>
        <v>9.0759863123993567E-4</v>
      </c>
      <c r="K105" s="11">
        <f t="shared" si="54"/>
        <v>9.4885311447811464E-4</v>
      </c>
      <c r="L105" s="11">
        <f t="shared" si="55"/>
        <v>9.9403659611992969E-4</v>
      </c>
      <c r="M105" s="25"/>
      <c r="N105" s="28"/>
      <c r="O105" s="25"/>
      <c r="P105" s="25"/>
      <c r="Q105" s="25"/>
      <c r="R105" s="25"/>
      <c r="S105" s="25"/>
      <c r="T105" s="25"/>
      <c r="U105" s="25"/>
      <c r="V105" s="25"/>
      <c r="W105" s="15" t="s">
        <v>35</v>
      </c>
      <c r="X105" s="52"/>
    </row>
    <row r="106" spans="1:24" ht="20.45" customHeight="1">
      <c r="A106" s="10" t="s">
        <v>114</v>
      </c>
      <c r="B106" s="11">
        <v>1.087962962962963E-2</v>
      </c>
      <c r="C106" s="11">
        <v>3.0671296296296297E-3</v>
      </c>
      <c r="D106" s="11">
        <f t="shared" si="48"/>
        <v>6.3297685185185184E-3</v>
      </c>
      <c r="E106" s="12">
        <v>0.58179999999999998</v>
      </c>
      <c r="F106" s="11">
        <f t="shared" si="49"/>
        <v>7.6678240740740743E-4</v>
      </c>
      <c r="G106" s="11">
        <f t="shared" si="50"/>
        <v>8.4396913580246917E-4</v>
      </c>
      <c r="H106" s="11">
        <f t="shared" si="51"/>
        <v>8.7037037037037042E-4</v>
      </c>
      <c r="I106" s="11">
        <f t="shared" si="52"/>
        <v>9.0749369441125711E-4</v>
      </c>
      <c r="J106" s="11">
        <f t="shared" si="53"/>
        <v>9.173577563070317E-4</v>
      </c>
      <c r="K106" s="11">
        <f t="shared" si="54"/>
        <v>9.5905583613916951E-4</v>
      </c>
      <c r="L106" s="11">
        <f t="shared" si="55"/>
        <v>1.0047251616696062E-3</v>
      </c>
      <c r="M106" s="25"/>
      <c r="N106" s="28"/>
      <c r="O106" s="25"/>
      <c r="P106" s="25"/>
      <c r="Q106" s="25"/>
      <c r="R106" s="25"/>
      <c r="S106" s="25"/>
      <c r="T106" s="25"/>
      <c r="U106" s="25"/>
      <c r="V106" s="25"/>
      <c r="W106" s="15" t="s">
        <v>35</v>
      </c>
      <c r="X106" s="52"/>
    </row>
    <row r="107" spans="1:24" ht="20.45" customHeight="1">
      <c r="A107" s="10"/>
      <c r="B107" s="11"/>
      <c r="C107" s="11"/>
      <c r="D107" s="11"/>
      <c r="E107" s="12"/>
      <c r="F107" s="11"/>
      <c r="G107" s="11"/>
      <c r="H107" s="11"/>
      <c r="I107" s="11"/>
      <c r="J107" s="11"/>
      <c r="K107" s="11"/>
      <c r="L107" s="11"/>
      <c r="M107" s="25"/>
      <c r="N107" s="28"/>
      <c r="O107" s="25"/>
      <c r="P107" s="25"/>
      <c r="Q107" s="28"/>
      <c r="R107" s="28"/>
      <c r="S107" s="25"/>
      <c r="T107" s="25"/>
      <c r="U107" s="28"/>
      <c r="V107" s="28"/>
      <c r="W107" s="15"/>
      <c r="X107" s="52"/>
    </row>
    <row r="108" spans="1:24" ht="20.45" customHeight="1">
      <c r="A108" s="10"/>
      <c r="B108" s="11"/>
      <c r="C108" s="11"/>
      <c r="D108" s="11"/>
      <c r="E108" s="12"/>
      <c r="F108" s="11"/>
      <c r="G108" s="11"/>
      <c r="H108" s="11"/>
      <c r="I108" s="11"/>
      <c r="J108" s="11"/>
      <c r="K108" s="11"/>
      <c r="L108" s="17"/>
      <c r="M108" s="25"/>
      <c r="N108" s="28"/>
      <c r="O108" s="25"/>
      <c r="P108" s="25"/>
      <c r="Q108" s="25"/>
      <c r="R108" s="25"/>
      <c r="S108" s="25"/>
      <c r="T108" s="25"/>
      <c r="U108" s="28"/>
      <c r="V108" s="25"/>
      <c r="W108" s="15"/>
      <c r="X108" s="52"/>
    </row>
    <row r="109" spans="1:24" ht="20.45" customHeight="1">
      <c r="A109" s="10"/>
      <c r="B109" s="11"/>
      <c r="C109" s="11"/>
      <c r="D109" s="11"/>
      <c r="E109" s="12"/>
      <c r="F109" s="11"/>
      <c r="G109" s="11"/>
      <c r="H109" s="11"/>
      <c r="I109" s="11"/>
      <c r="J109" s="11"/>
      <c r="K109" s="11"/>
      <c r="L109" s="11"/>
      <c r="M109" s="25"/>
      <c r="N109" s="28"/>
      <c r="O109" s="25"/>
      <c r="P109" s="25"/>
      <c r="Q109" s="25"/>
      <c r="R109" s="28"/>
      <c r="S109" s="25"/>
      <c r="T109" s="25"/>
      <c r="U109" s="28"/>
      <c r="V109" s="25"/>
      <c r="W109" s="15"/>
      <c r="X109" s="52"/>
    </row>
    <row r="110" spans="1:24" ht="20.45" customHeight="1">
      <c r="A110" s="10"/>
      <c r="B110" s="11"/>
      <c r="C110" s="11"/>
      <c r="D110" s="11"/>
      <c r="E110" s="12"/>
      <c r="F110" s="11"/>
      <c r="G110" s="11"/>
      <c r="H110" s="11"/>
      <c r="I110" s="11"/>
      <c r="J110" s="11"/>
      <c r="K110" s="11"/>
      <c r="L110" s="11"/>
      <c r="M110" s="25"/>
      <c r="N110" s="28"/>
      <c r="O110" s="25"/>
      <c r="P110" s="25"/>
      <c r="Q110" s="25"/>
      <c r="R110" s="25"/>
      <c r="S110" s="25"/>
      <c r="T110" s="25"/>
      <c r="U110" s="28"/>
      <c r="V110" s="25"/>
      <c r="W110" s="15"/>
      <c r="X110" s="52"/>
    </row>
    <row r="111" spans="1:24" ht="20.45" customHeight="1">
      <c r="A111" s="10"/>
      <c r="B111" s="11"/>
      <c r="C111" s="11"/>
      <c r="D111" s="11"/>
      <c r="E111" s="12"/>
      <c r="F111" s="11"/>
      <c r="G111" s="11"/>
      <c r="H111" s="11"/>
      <c r="I111" s="11"/>
      <c r="J111" s="11"/>
      <c r="K111" s="11"/>
      <c r="L111" s="17"/>
      <c r="M111" s="11"/>
      <c r="N111" s="26"/>
      <c r="P111" s="26"/>
      <c r="Q111" s="26"/>
      <c r="R111" s="26"/>
      <c r="S111" s="14"/>
      <c r="T111" s="14"/>
      <c r="U111" s="26"/>
      <c r="V111" s="38"/>
      <c r="W111" s="31"/>
      <c r="X111" s="52"/>
    </row>
    <row r="112" spans="1:24" ht="20.45" customHeight="1">
      <c r="A112" s="10"/>
      <c r="B112" s="11"/>
      <c r="C112" s="11"/>
      <c r="D112" s="11"/>
      <c r="E112" s="12"/>
      <c r="F112" s="11"/>
      <c r="G112" s="11"/>
      <c r="H112" s="11"/>
      <c r="I112" s="11"/>
      <c r="J112" s="11"/>
      <c r="K112" s="11"/>
      <c r="L112" s="11"/>
      <c r="M112" s="25"/>
      <c r="N112" s="28"/>
      <c r="O112" s="25"/>
      <c r="P112" s="28"/>
      <c r="Q112" s="25"/>
      <c r="R112" s="28"/>
      <c r="S112" s="25"/>
      <c r="T112" s="28"/>
      <c r="U112" s="28"/>
      <c r="V112" s="25"/>
      <c r="W112" s="15"/>
      <c r="X112" s="52"/>
    </row>
    <row r="113" spans="1:24" ht="20.45" customHeight="1">
      <c r="A113" s="10"/>
      <c r="B113" s="11">
        <v>1.0648148148148148E-2</v>
      </c>
      <c r="C113" s="11">
        <v>3.0092592592592593E-3</v>
      </c>
      <c r="D113" s="11">
        <f>B113*E113</f>
        <v>6.1950925925925923E-3</v>
      </c>
      <c r="E113" s="12">
        <v>0.58179999999999998</v>
      </c>
      <c r="F113" s="11">
        <f>C113/4</f>
        <v>7.5231481481481482E-4</v>
      </c>
      <c r="G113" s="11">
        <f>D113/7.5</f>
        <v>8.2601234567901232E-4</v>
      </c>
      <c r="H113" s="11">
        <f>B113/12.5</f>
        <v>8.5185185185185179E-4</v>
      </c>
      <c r="I113" s="11">
        <f>G113/0.93</f>
        <v>8.8818531793442184E-4</v>
      </c>
      <c r="J113" s="11">
        <f>G113/0.92</f>
        <v>8.9783950617283942E-4</v>
      </c>
      <c r="K113" s="11">
        <f>G113/0.88</f>
        <v>9.3865039281705945E-4</v>
      </c>
      <c r="L113" s="11">
        <f>G113/0.84</f>
        <v>9.833480305702527E-4</v>
      </c>
      <c r="M113" s="25"/>
      <c r="N113" s="28"/>
      <c r="O113" s="25"/>
      <c r="P113" s="25"/>
      <c r="Q113" s="25"/>
      <c r="R113" s="25"/>
      <c r="S113" s="25"/>
      <c r="T113" s="25"/>
      <c r="U113" s="25"/>
      <c r="V113" s="25"/>
      <c r="W113" s="27"/>
      <c r="X113" s="52"/>
    </row>
    <row r="114" spans="1:24" ht="20.45" customHeight="1">
      <c r="A114" s="10"/>
      <c r="B114" s="11"/>
      <c r="C114" s="11"/>
      <c r="D114" s="11"/>
      <c r="E114" s="12"/>
      <c r="F114" s="11"/>
      <c r="G114" s="11"/>
      <c r="H114" s="11"/>
      <c r="I114" s="11"/>
      <c r="J114" s="11"/>
      <c r="K114" s="11"/>
      <c r="L114" s="11"/>
      <c r="M114" s="25"/>
      <c r="N114" s="28"/>
      <c r="O114" s="25"/>
      <c r="P114" s="28"/>
      <c r="Q114" s="25"/>
      <c r="R114" s="28"/>
      <c r="S114" s="25"/>
      <c r="T114" s="28"/>
      <c r="U114" s="28"/>
      <c r="V114" s="25"/>
      <c r="W114" s="15"/>
      <c r="X114" s="52"/>
    </row>
    <row r="115" spans="1:24" ht="20.45" customHeight="1" thickBot="1">
      <c r="A115" s="10"/>
      <c r="B115" s="11"/>
      <c r="C115" s="11"/>
      <c r="D115" s="11"/>
      <c r="E115" s="12"/>
      <c r="F115" s="11"/>
      <c r="G115" s="11"/>
      <c r="H115" s="11"/>
      <c r="I115" s="11"/>
      <c r="J115" s="11"/>
      <c r="K115" s="11"/>
      <c r="L115" s="11"/>
      <c r="M115" s="25"/>
      <c r="N115" s="28"/>
      <c r="O115" s="25"/>
      <c r="P115" s="28"/>
      <c r="Q115" s="25"/>
      <c r="R115" s="28"/>
      <c r="S115" s="25"/>
      <c r="T115" s="25"/>
      <c r="U115" s="28"/>
      <c r="V115" s="28"/>
      <c r="W115" s="27"/>
      <c r="X115" s="52"/>
    </row>
    <row r="116" spans="1:24" ht="20.45" customHeight="1">
      <c r="A116" s="1" t="s">
        <v>237</v>
      </c>
      <c r="B116" s="6"/>
      <c r="C116" s="6"/>
      <c r="D116" s="6"/>
      <c r="E116" s="20"/>
      <c r="F116" s="6"/>
      <c r="G116" s="6"/>
      <c r="H116" s="6"/>
      <c r="I116" s="6"/>
      <c r="J116" s="6"/>
      <c r="K116" s="6"/>
      <c r="L116" s="6"/>
      <c r="M116" s="6"/>
      <c r="N116" s="6"/>
      <c r="O116" s="6"/>
      <c r="P116" s="6"/>
      <c r="Q116" s="22"/>
      <c r="R116" s="6"/>
      <c r="S116" s="6"/>
      <c r="T116" s="6"/>
      <c r="U116" s="6"/>
      <c r="V116" s="23"/>
      <c r="W116" s="35"/>
      <c r="X116" s="52"/>
    </row>
    <row r="117" spans="1:24" ht="20.45" customHeight="1">
      <c r="A117" s="10" t="s">
        <v>96</v>
      </c>
      <c r="B117" s="11">
        <v>1.0648148148148148E-2</v>
      </c>
      <c r="C117" s="11">
        <v>2.9513888888888888E-3</v>
      </c>
      <c r="D117" s="11">
        <f t="shared" ref="D117:D122" si="56">B117*E117</f>
        <v>6.1950925925925923E-3</v>
      </c>
      <c r="E117" s="12">
        <v>0.58179999999999998</v>
      </c>
      <c r="F117" s="11">
        <f t="shared" ref="F117:F122" si="57">C117/4</f>
        <v>7.378472222222222E-4</v>
      </c>
      <c r="G117" s="11">
        <f t="shared" ref="G117:G122" si="58">D117/7.5</f>
        <v>8.2601234567901232E-4</v>
      </c>
      <c r="H117" s="11">
        <f t="shared" ref="H117:H122" si="59">B117/12.5</f>
        <v>8.5185185185185179E-4</v>
      </c>
      <c r="I117" s="11">
        <f t="shared" ref="I117:I122" si="60">G117/0.93</f>
        <v>8.8818531793442184E-4</v>
      </c>
      <c r="J117" s="11">
        <f t="shared" ref="J117:J122" si="61">G117/0.92</f>
        <v>8.9783950617283942E-4</v>
      </c>
      <c r="K117" s="11">
        <f t="shared" ref="K117:K122" si="62">G117/0.88</f>
        <v>9.3865039281705945E-4</v>
      </c>
      <c r="L117" s="17">
        <f t="shared" ref="L117:L122" si="63">G117/0.84</f>
        <v>9.833480305702527E-4</v>
      </c>
      <c r="M117" s="25"/>
      <c r="N117" s="28"/>
      <c r="O117" s="25"/>
      <c r="P117" s="25"/>
      <c r="Q117" s="25"/>
      <c r="R117" s="25"/>
      <c r="S117" s="25"/>
      <c r="T117" s="25"/>
      <c r="U117" s="25"/>
      <c r="V117" s="25"/>
      <c r="W117" s="15" t="s">
        <v>48</v>
      </c>
      <c r="X117" s="52"/>
    </row>
    <row r="118" spans="1:24" ht="20.45" customHeight="1">
      <c r="A118" s="10" t="s">
        <v>97</v>
      </c>
      <c r="B118" s="11">
        <v>1.0763888888888889E-2</v>
      </c>
      <c r="C118" s="11">
        <v>2.9513888888888888E-3</v>
      </c>
      <c r="D118" s="11">
        <f>B118*E118</f>
        <v>6.2624305555555549E-3</v>
      </c>
      <c r="E118" s="12">
        <v>0.58179999999999998</v>
      </c>
      <c r="F118" s="11">
        <f>C118/4</f>
        <v>7.378472222222222E-4</v>
      </c>
      <c r="G118" s="11">
        <f>D118/7.5</f>
        <v>8.3499074074074064E-4</v>
      </c>
      <c r="H118" s="11">
        <f>B118/12.5</f>
        <v>8.611111111111111E-4</v>
      </c>
      <c r="I118" s="11">
        <f>G118/0.93</f>
        <v>8.9783950617283931E-4</v>
      </c>
      <c r="J118" s="11">
        <f>G118/0.92</f>
        <v>9.0759863123993545E-4</v>
      </c>
      <c r="K118" s="11">
        <f>G118/0.88</f>
        <v>9.4885311447811432E-4</v>
      </c>
      <c r="L118" s="11">
        <f>G118/0.84</f>
        <v>9.9403659611992947E-4</v>
      </c>
      <c r="M118" s="25"/>
      <c r="N118" s="28"/>
      <c r="O118" s="25"/>
      <c r="P118" s="25"/>
      <c r="Q118" s="25"/>
      <c r="R118" s="25"/>
      <c r="S118" s="25"/>
      <c r="T118" s="25"/>
      <c r="U118" s="25"/>
      <c r="V118" s="25"/>
      <c r="W118" s="15" t="s">
        <v>48</v>
      </c>
      <c r="X118" s="50"/>
    </row>
    <row r="119" spans="1:24" ht="20.45" customHeight="1">
      <c r="A119" s="10" t="s">
        <v>101</v>
      </c>
      <c r="B119" s="11">
        <v>1.1111111111111112E-2</v>
      </c>
      <c r="C119" s="11">
        <v>3.0671296296296297E-3</v>
      </c>
      <c r="D119" s="11">
        <f>B119*E119</f>
        <v>6.4644444444444445E-3</v>
      </c>
      <c r="E119" s="12">
        <v>0.58179999999999998</v>
      </c>
      <c r="F119" s="11">
        <f>C119/4</f>
        <v>7.6678240740740743E-4</v>
      </c>
      <c r="G119" s="11">
        <f>D119/7.5</f>
        <v>8.6192592592592592E-4</v>
      </c>
      <c r="H119" s="11">
        <f>B119/12.5</f>
        <v>8.8888888888888893E-4</v>
      </c>
      <c r="I119" s="11">
        <f>G119/0.93</f>
        <v>9.2680207088809239E-4</v>
      </c>
      <c r="J119" s="11">
        <f>G119/0.92</f>
        <v>9.3687600644122375E-4</v>
      </c>
      <c r="K119" s="11">
        <f>G119/0.88</f>
        <v>9.7946127946127947E-4</v>
      </c>
      <c r="L119" s="11">
        <f>G119/0.84</f>
        <v>1.0261022927689596E-3</v>
      </c>
      <c r="M119" s="25"/>
      <c r="N119" s="28"/>
      <c r="O119" s="25"/>
      <c r="P119" s="25"/>
      <c r="Q119" s="25"/>
      <c r="R119" s="25"/>
      <c r="S119" s="25"/>
      <c r="T119" s="25"/>
      <c r="U119" s="25"/>
      <c r="V119" s="25"/>
      <c r="W119" s="15" t="s">
        <v>48</v>
      </c>
      <c r="X119" s="50"/>
    </row>
    <row r="120" spans="1:24" ht="20.45" customHeight="1">
      <c r="A120" s="10" t="s">
        <v>98</v>
      </c>
      <c r="B120" s="11">
        <v>1.1111111111111112E-2</v>
      </c>
      <c r="C120" s="11">
        <v>3.0671296296296297E-3</v>
      </c>
      <c r="D120" s="11">
        <f>B120*E120</f>
        <v>6.4644444444444445E-3</v>
      </c>
      <c r="E120" s="12">
        <v>0.58179999999999998</v>
      </c>
      <c r="F120" s="11">
        <f>C120/4</f>
        <v>7.6678240740740743E-4</v>
      </c>
      <c r="G120" s="11">
        <f>D120/7.5</f>
        <v>8.6192592592592592E-4</v>
      </c>
      <c r="H120" s="11">
        <f>B120/12.5</f>
        <v>8.8888888888888893E-4</v>
      </c>
      <c r="I120" s="11">
        <f>G120/0.93</f>
        <v>9.2680207088809239E-4</v>
      </c>
      <c r="J120" s="11">
        <f>G120/0.92</f>
        <v>9.3687600644122375E-4</v>
      </c>
      <c r="K120" s="11">
        <f>G120/0.88</f>
        <v>9.7946127946127947E-4</v>
      </c>
      <c r="L120" s="11">
        <f>G120/0.84</f>
        <v>1.0261022927689596E-3</v>
      </c>
      <c r="M120" s="25"/>
      <c r="N120" s="28"/>
      <c r="O120" s="25"/>
      <c r="P120" s="25"/>
      <c r="Q120" s="25"/>
      <c r="R120" s="25"/>
      <c r="S120" s="25"/>
      <c r="T120" s="25"/>
      <c r="U120" s="25"/>
      <c r="V120" s="25"/>
      <c r="W120" s="27" t="s">
        <v>48</v>
      </c>
      <c r="X120" s="50"/>
    </row>
    <row r="121" spans="1:24" ht="20.45" customHeight="1">
      <c r="A121" s="10" t="s">
        <v>103</v>
      </c>
      <c r="B121" s="11">
        <v>1.1111111111111112E-2</v>
      </c>
      <c r="C121" s="11">
        <v>3.0671296296296297E-3</v>
      </c>
      <c r="D121" s="11">
        <f t="shared" si="56"/>
        <v>6.4644444444444445E-3</v>
      </c>
      <c r="E121" s="12">
        <v>0.58179999999999998</v>
      </c>
      <c r="F121" s="11">
        <f t="shared" si="57"/>
        <v>7.6678240740740743E-4</v>
      </c>
      <c r="G121" s="11">
        <f t="shared" si="58"/>
        <v>8.6192592592592592E-4</v>
      </c>
      <c r="H121" s="11">
        <f t="shared" si="59"/>
        <v>8.8888888888888893E-4</v>
      </c>
      <c r="I121" s="11">
        <f t="shared" si="60"/>
        <v>9.2680207088809239E-4</v>
      </c>
      <c r="J121" s="11">
        <f t="shared" si="61"/>
        <v>9.3687600644122375E-4</v>
      </c>
      <c r="K121" s="11">
        <f t="shared" si="62"/>
        <v>9.7946127946127947E-4</v>
      </c>
      <c r="L121" s="17">
        <f t="shared" si="63"/>
        <v>1.0261022927689596E-3</v>
      </c>
      <c r="M121" s="25"/>
      <c r="N121" s="28"/>
      <c r="O121" s="25"/>
      <c r="P121" s="25"/>
      <c r="Q121" s="25"/>
      <c r="R121" s="25"/>
      <c r="S121" s="25"/>
      <c r="T121" s="25"/>
      <c r="U121" s="25"/>
      <c r="V121" s="25"/>
      <c r="W121" s="15" t="s">
        <v>48</v>
      </c>
      <c r="X121" s="50"/>
    </row>
    <row r="122" spans="1:24" ht="20.45" customHeight="1">
      <c r="A122" s="10" t="s">
        <v>104</v>
      </c>
      <c r="B122" s="11">
        <v>1.1458333333333333E-2</v>
      </c>
      <c r="C122" s="11">
        <v>3.2986111111111111E-3</v>
      </c>
      <c r="D122" s="11">
        <f t="shared" si="56"/>
        <v>6.6664583333333324E-3</v>
      </c>
      <c r="E122" s="12">
        <v>0.58179999999999998</v>
      </c>
      <c r="F122" s="11">
        <f t="shared" si="57"/>
        <v>8.2465277777777778E-4</v>
      </c>
      <c r="G122" s="11">
        <f t="shared" si="58"/>
        <v>8.8886111111111099E-4</v>
      </c>
      <c r="H122" s="11">
        <f t="shared" si="59"/>
        <v>9.1666666666666665E-4</v>
      </c>
      <c r="I122" s="11">
        <f t="shared" si="60"/>
        <v>9.5576463560334514E-4</v>
      </c>
      <c r="J122" s="11">
        <f t="shared" si="61"/>
        <v>9.6615338164251195E-4</v>
      </c>
      <c r="K122" s="11">
        <f t="shared" si="62"/>
        <v>1.0100694444444443E-3</v>
      </c>
      <c r="L122" s="11">
        <f t="shared" si="63"/>
        <v>1.0581679894179892E-3</v>
      </c>
      <c r="M122" s="25"/>
      <c r="N122" s="28"/>
      <c r="O122" s="25"/>
      <c r="P122" s="25"/>
      <c r="Q122" s="25"/>
      <c r="R122" s="25"/>
      <c r="S122" s="25"/>
      <c r="T122" s="25"/>
      <c r="U122" s="25"/>
      <c r="V122" s="25"/>
      <c r="W122" s="15" t="s">
        <v>48</v>
      </c>
      <c r="X122" s="50"/>
    </row>
    <row r="123" spans="1:24" ht="20.45" customHeight="1">
      <c r="A123" s="10" t="s">
        <v>94</v>
      </c>
      <c r="B123" s="11">
        <v>1.0416666666666666E-2</v>
      </c>
      <c r="C123" s="11">
        <v>2.8935185185185188E-3</v>
      </c>
      <c r="D123" s="11">
        <f>B123*E123</f>
        <v>6.0604166666666662E-3</v>
      </c>
      <c r="E123" s="12">
        <v>0.58179999999999998</v>
      </c>
      <c r="F123" s="11">
        <f>C123/4</f>
        <v>7.233796296296297E-4</v>
      </c>
      <c r="G123" s="11">
        <f>D123/7.5</f>
        <v>8.0805555555555546E-4</v>
      </c>
      <c r="H123" s="11">
        <f>B123/12.5</f>
        <v>8.3333333333333328E-4</v>
      </c>
      <c r="I123" s="11">
        <f>G123/0.93</f>
        <v>8.6887694145758646E-4</v>
      </c>
      <c r="J123" s="11">
        <f>G123/0.92</f>
        <v>8.7832125603864715E-4</v>
      </c>
      <c r="K123" s="11">
        <f>G123/0.88</f>
        <v>9.1824494949494938E-4</v>
      </c>
      <c r="L123" s="17">
        <f>G123/0.84</f>
        <v>9.6197089947089938E-4</v>
      </c>
      <c r="M123" s="25"/>
      <c r="N123" s="28"/>
      <c r="O123" s="25"/>
      <c r="P123" s="25"/>
      <c r="Q123" s="25"/>
      <c r="R123" s="28"/>
      <c r="S123" s="25"/>
      <c r="T123" s="25"/>
      <c r="U123" s="28"/>
      <c r="V123" s="25"/>
      <c r="W123" s="15" t="s">
        <v>48</v>
      </c>
      <c r="X123" s="50"/>
    </row>
    <row r="124" spans="1:24" ht="20.45" customHeight="1">
      <c r="A124" s="10" t="s">
        <v>99</v>
      </c>
      <c r="B124" s="11">
        <v>1.1458333333333333E-2</v>
      </c>
      <c r="C124" s="11">
        <v>3.0092592592592593E-3</v>
      </c>
      <c r="D124" s="11">
        <f>B124*E124</f>
        <v>6.6664583333333324E-3</v>
      </c>
      <c r="E124" s="12">
        <v>0.58179999999999998</v>
      </c>
      <c r="F124" s="11">
        <f>C124/4</f>
        <v>7.5231481481481482E-4</v>
      </c>
      <c r="G124" s="11">
        <f>D124/7.5</f>
        <v>8.8886111111111099E-4</v>
      </c>
      <c r="H124" s="11">
        <f>B124/12.5</f>
        <v>9.1666666666666665E-4</v>
      </c>
      <c r="I124" s="11">
        <f>G124/0.93</f>
        <v>9.5576463560334514E-4</v>
      </c>
      <c r="J124" s="11">
        <f>G124/0.92</f>
        <v>9.6615338164251195E-4</v>
      </c>
      <c r="K124" s="11">
        <f>G124/0.88</f>
        <v>1.0100694444444443E-3</v>
      </c>
      <c r="L124" s="11">
        <f>G124/0.84</f>
        <v>1.0581679894179892E-3</v>
      </c>
      <c r="M124" s="25"/>
      <c r="N124" s="28"/>
      <c r="O124" s="25"/>
      <c r="P124" s="25"/>
      <c r="Q124" s="25"/>
      <c r="R124" s="25"/>
      <c r="S124" s="25"/>
      <c r="T124" s="25"/>
      <c r="U124" s="25"/>
      <c r="V124" s="25"/>
      <c r="W124" s="27" t="s">
        <v>48</v>
      </c>
      <c r="X124" s="50"/>
    </row>
    <row r="125" spans="1:24" ht="20.45" customHeight="1">
      <c r="A125" s="10" t="s">
        <v>102</v>
      </c>
      <c r="B125" s="11">
        <v>1.1458333333333333E-2</v>
      </c>
      <c r="C125" s="11">
        <v>3.0671296296296297E-3</v>
      </c>
      <c r="D125" s="11">
        <f>B125*E125</f>
        <v>6.6664583333333324E-3</v>
      </c>
      <c r="E125" s="12">
        <v>0.58179999999999998</v>
      </c>
      <c r="F125" s="11">
        <f>C125/4</f>
        <v>7.6678240740740743E-4</v>
      </c>
      <c r="G125" s="11">
        <f>D125/7.5</f>
        <v>8.8886111111111099E-4</v>
      </c>
      <c r="H125" s="11">
        <f>B125/12.5</f>
        <v>9.1666666666666665E-4</v>
      </c>
      <c r="I125" s="11">
        <f>G125/0.93</f>
        <v>9.5576463560334514E-4</v>
      </c>
      <c r="J125" s="11">
        <f>G125/0.92</f>
        <v>9.6615338164251195E-4</v>
      </c>
      <c r="K125" s="11">
        <f>G125/0.88</f>
        <v>1.0100694444444443E-3</v>
      </c>
      <c r="L125" s="11">
        <f>G125/0.84</f>
        <v>1.0581679894179892E-3</v>
      </c>
      <c r="M125" s="25"/>
      <c r="N125" s="28"/>
      <c r="O125" s="25"/>
      <c r="P125" s="25"/>
      <c r="Q125" s="25"/>
      <c r="R125" s="25"/>
      <c r="S125" s="25"/>
      <c r="T125" s="25"/>
      <c r="U125" s="25"/>
      <c r="V125" s="25"/>
      <c r="W125" s="27" t="s">
        <v>48</v>
      </c>
      <c r="X125" s="50"/>
    </row>
    <row r="126" spans="1:24" ht="20.45" customHeight="1">
      <c r="A126" s="10" t="s">
        <v>106</v>
      </c>
      <c r="B126" s="11">
        <v>1.0532407407407407E-2</v>
      </c>
      <c r="C126" s="11">
        <v>2.9745370370370373E-3</v>
      </c>
      <c r="D126" s="11">
        <f>B126*E126</f>
        <v>6.1277546296296288E-3</v>
      </c>
      <c r="E126" s="12">
        <v>0.58179999999999998</v>
      </c>
      <c r="F126" s="11">
        <f>C126/4</f>
        <v>7.4363425925925931E-4</v>
      </c>
      <c r="G126" s="11">
        <f>D126/7.5</f>
        <v>8.1703395061728389E-4</v>
      </c>
      <c r="H126" s="11">
        <f>B126/12.5</f>
        <v>8.4259259259259259E-4</v>
      </c>
      <c r="I126" s="11">
        <f>G126/0.93</f>
        <v>8.7853112969600415E-4</v>
      </c>
      <c r="J126" s="11">
        <f>G126/0.92</f>
        <v>8.8808038110574329E-4</v>
      </c>
      <c r="K126" s="11">
        <f>G126/0.88</f>
        <v>9.2844767115600447E-4</v>
      </c>
      <c r="L126" s="11">
        <f>G126/0.84</f>
        <v>9.7265946502057604E-4</v>
      </c>
      <c r="M126" s="25"/>
      <c r="N126" s="28"/>
      <c r="O126" s="25"/>
      <c r="P126" s="25"/>
      <c r="Q126" s="25"/>
      <c r="R126" s="25"/>
      <c r="S126" s="25"/>
      <c r="T126" s="25"/>
      <c r="U126" s="28"/>
      <c r="V126" s="25"/>
      <c r="W126" s="15" t="s">
        <v>48</v>
      </c>
      <c r="X126" s="50"/>
    </row>
    <row r="127" spans="1:24" ht="20.45" customHeight="1">
      <c r="A127" s="10"/>
      <c r="B127" s="11"/>
      <c r="C127" s="11"/>
      <c r="D127" s="11"/>
      <c r="E127" s="12"/>
      <c r="F127" s="11"/>
      <c r="G127" s="11"/>
      <c r="H127" s="11"/>
      <c r="I127" s="11"/>
      <c r="J127" s="11"/>
      <c r="K127" s="11"/>
      <c r="L127" s="11"/>
      <c r="M127" s="25"/>
      <c r="N127" s="28"/>
      <c r="O127" s="25"/>
      <c r="P127" s="25"/>
      <c r="Q127" s="25"/>
      <c r="R127" s="25"/>
      <c r="S127" s="25"/>
      <c r="T127" s="25"/>
      <c r="U127" s="28"/>
      <c r="V127" s="25"/>
      <c r="W127" s="15"/>
      <c r="X127" s="50"/>
    </row>
    <row r="128" spans="1:24" ht="20.45" customHeight="1">
      <c r="A128" s="19"/>
      <c r="B128" s="6"/>
      <c r="C128" s="6"/>
      <c r="D128" s="6"/>
      <c r="E128" s="20"/>
      <c r="F128" s="6"/>
      <c r="G128" s="6"/>
      <c r="H128" s="6"/>
      <c r="I128" s="6"/>
      <c r="J128" s="6"/>
      <c r="K128" s="6"/>
      <c r="L128" s="6"/>
      <c r="M128" s="6"/>
      <c r="N128" s="6"/>
      <c r="O128" s="6"/>
      <c r="P128" s="6"/>
      <c r="Q128" s="6"/>
      <c r="R128" s="6"/>
      <c r="S128" s="6"/>
      <c r="T128" s="6"/>
      <c r="U128" s="6"/>
      <c r="V128" s="23"/>
      <c r="W128" s="35"/>
      <c r="X128" s="50"/>
    </row>
    <row r="129" spans="1:24" ht="20.45" customHeight="1">
      <c r="A129" s="10" t="s">
        <v>107</v>
      </c>
      <c r="B129" s="11">
        <v>1.1111111111111112E-2</v>
      </c>
      <c r="C129" s="11">
        <v>3.2407407407407406E-3</v>
      </c>
      <c r="D129" s="11">
        <f t="shared" ref="D129:D132" si="64">B129*E129</f>
        <v>6.4644444444444445E-3</v>
      </c>
      <c r="E129" s="12">
        <v>0.58179999999999998</v>
      </c>
      <c r="F129" s="11">
        <f t="shared" ref="F129:F132" si="65">C129/4</f>
        <v>8.1018518518518516E-4</v>
      </c>
      <c r="G129" s="11">
        <f t="shared" ref="G129:G132" si="66">D129/7.5</f>
        <v>8.6192592592592592E-4</v>
      </c>
      <c r="H129" s="11">
        <f t="shared" ref="H129:H132" si="67">B129/12.5</f>
        <v>8.8888888888888893E-4</v>
      </c>
      <c r="I129" s="11">
        <f t="shared" ref="I129:I132" si="68">G129/0.93</f>
        <v>9.2680207088809239E-4</v>
      </c>
      <c r="J129" s="11">
        <f t="shared" ref="J129:J132" si="69">G129/0.92</f>
        <v>9.3687600644122375E-4</v>
      </c>
      <c r="K129" s="11">
        <f t="shared" ref="K129:K132" si="70">G129/0.88</f>
        <v>9.7946127946127947E-4</v>
      </c>
      <c r="L129" s="11">
        <f t="shared" ref="L129:L132" si="71">G129/0.84</f>
        <v>1.0261022927689596E-3</v>
      </c>
      <c r="M129" s="25"/>
      <c r="N129" s="28"/>
      <c r="O129" s="25"/>
      <c r="P129" s="25"/>
      <c r="Q129" s="25"/>
      <c r="R129" s="28"/>
      <c r="S129" s="25"/>
      <c r="T129" s="25"/>
      <c r="U129" s="28"/>
      <c r="V129" s="28"/>
      <c r="W129" s="15" t="s">
        <v>52</v>
      </c>
      <c r="X129" s="50"/>
    </row>
    <row r="130" spans="1:24" ht="20.45" customHeight="1">
      <c r="A130" s="10" t="s">
        <v>164</v>
      </c>
      <c r="B130" s="11">
        <v>1.1342592592592593E-2</v>
      </c>
      <c r="C130" s="11">
        <v>3.2407407407407406E-3</v>
      </c>
      <c r="D130" s="11">
        <f t="shared" si="64"/>
        <v>6.5991203703703706E-3</v>
      </c>
      <c r="E130" s="12">
        <v>0.58179999999999998</v>
      </c>
      <c r="F130" s="11">
        <f t="shared" si="65"/>
        <v>8.1018518518518516E-4</v>
      </c>
      <c r="G130" s="11">
        <f t="shared" si="66"/>
        <v>8.7988271604938278E-4</v>
      </c>
      <c r="H130" s="11">
        <f t="shared" si="67"/>
        <v>9.0740740740740745E-4</v>
      </c>
      <c r="I130" s="11">
        <f t="shared" si="68"/>
        <v>9.4611044736492766E-4</v>
      </c>
      <c r="J130" s="11">
        <f t="shared" si="69"/>
        <v>9.5639425657541603E-4</v>
      </c>
      <c r="K130" s="11">
        <f t="shared" si="70"/>
        <v>9.9986672278338943E-4</v>
      </c>
      <c r="L130" s="11">
        <f t="shared" si="71"/>
        <v>1.0474794238683129E-3</v>
      </c>
      <c r="M130" s="25"/>
      <c r="N130" s="28"/>
      <c r="O130" s="25"/>
      <c r="P130" s="28"/>
      <c r="Q130" s="28"/>
      <c r="R130" s="11"/>
      <c r="S130" s="14"/>
      <c r="T130" s="14"/>
      <c r="U130" s="26"/>
      <c r="V130" s="28"/>
      <c r="W130" s="27" t="s">
        <v>52</v>
      </c>
      <c r="X130" s="50"/>
    </row>
    <row r="131" spans="1:24" ht="20.45" customHeight="1">
      <c r="A131" s="10" t="s">
        <v>108</v>
      </c>
      <c r="B131" s="11">
        <v>1.0763888888888891E-2</v>
      </c>
      <c r="C131" s="11">
        <v>3.0671296296296297E-3</v>
      </c>
      <c r="D131" s="11">
        <f t="shared" si="64"/>
        <v>6.2624305555555567E-3</v>
      </c>
      <c r="E131" s="12">
        <v>0.58179999999999998</v>
      </c>
      <c r="F131" s="11">
        <f t="shared" si="65"/>
        <v>7.6678240740740743E-4</v>
      </c>
      <c r="G131" s="11">
        <f t="shared" si="66"/>
        <v>8.3499074074074085E-4</v>
      </c>
      <c r="H131" s="11">
        <f t="shared" si="67"/>
        <v>8.6111111111111121E-4</v>
      </c>
      <c r="I131" s="11">
        <f t="shared" si="68"/>
        <v>8.9783950617283953E-4</v>
      </c>
      <c r="J131" s="11">
        <f t="shared" si="69"/>
        <v>9.0759863123993567E-4</v>
      </c>
      <c r="K131" s="11">
        <f t="shared" si="70"/>
        <v>9.4885311447811464E-4</v>
      </c>
      <c r="L131" s="11">
        <f t="shared" si="71"/>
        <v>9.9403659611992969E-4</v>
      </c>
      <c r="M131" s="25"/>
      <c r="N131" s="28"/>
      <c r="O131" s="25"/>
      <c r="P131" s="28"/>
      <c r="Q131" s="25"/>
      <c r="R131" s="28"/>
      <c r="S131" s="25"/>
      <c r="T131" s="25"/>
      <c r="U131" s="28"/>
      <c r="V131" s="28"/>
      <c r="W131" s="15" t="s">
        <v>52</v>
      </c>
      <c r="X131" s="50"/>
    </row>
    <row r="132" spans="1:24" ht="20.45" customHeight="1">
      <c r="A132" s="10" t="s">
        <v>105</v>
      </c>
      <c r="B132" s="11">
        <v>1.0648148148148148E-2</v>
      </c>
      <c r="C132" s="11">
        <v>2.9745370370370373E-3</v>
      </c>
      <c r="D132" s="11">
        <f t="shared" si="64"/>
        <v>6.1950925925925923E-3</v>
      </c>
      <c r="E132" s="12">
        <v>0.58179999999999998</v>
      </c>
      <c r="F132" s="11">
        <f t="shared" si="65"/>
        <v>7.4363425925925931E-4</v>
      </c>
      <c r="G132" s="11">
        <f t="shared" si="66"/>
        <v>8.2601234567901232E-4</v>
      </c>
      <c r="H132" s="11">
        <f t="shared" si="67"/>
        <v>8.5185185185185179E-4</v>
      </c>
      <c r="I132" s="11">
        <f t="shared" si="68"/>
        <v>8.8818531793442184E-4</v>
      </c>
      <c r="J132" s="11">
        <f t="shared" si="69"/>
        <v>8.9783950617283942E-4</v>
      </c>
      <c r="K132" s="11">
        <f t="shared" si="70"/>
        <v>9.3865039281705945E-4</v>
      </c>
      <c r="L132" s="11">
        <f t="shared" si="71"/>
        <v>9.833480305702527E-4</v>
      </c>
      <c r="M132" s="37"/>
      <c r="N132" s="28"/>
      <c r="O132" s="25"/>
      <c r="P132" s="25"/>
      <c r="Q132" s="25"/>
      <c r="R132" s="25"/>
      <c r="S132" s="25"/>
      <c r="T132" s="25"/>
      <c r="U132" s="28"/>
      <c r="V132" s="25"/>
      <c r="W132" s="15" t="s">
        <v>52</v>
      </c>
      <c r="X132" s="50"/>
    </row>
    <row r="133" spans="1:24" ht="20.45" customHeight="1">
      <c r="A133" s="10"/>
      <c r="B133" s="11"/>
      <c r="C133" s="11"/>
      <c r="D133" s="11"/>
      <c r="E133" s="12"/>
      <c r="F133" s="11"/>
      <c r="G133" s="11"/>
      <c r="H133" s="11"/>
      <c r="I133" s="11"/>
      <c r="J133" s="11"/>
      <c r="K133" s="11"/>
      <c r="L133" s="11"/>
      <c r="M133" s="25"/>
      <c r="N133" s="28"/>
      <c r="O133" s="25"/>
      <c r="P133" s="25"/>
      <c r="Q133" s="25"/>
      <c r="R133" s="25"/>
      <c r="S133" s="25"/>
      <c r="T133" s="25"/>
      <c r="U133" s="28"/>
      <c r="V133" s="25"/>
      <c r="W133" s="15"/>
      <c r="X133" s="50"/>
    </row>
    <row r="134" spans="1:24" ht="20.45" customHeight="1">
      <c r="A134" s="10"/>
      <c r="B134" s="11"/>
      <c r="C134" s="11"/>
      <c r="D134" s="11"/>
      <c r="E134" s="12"/>
      <c r="F134" s="11"/>
      <c r="G134" s="11"/>
      <c r="H134" s="11"/>
      <c r="I134" s="11"/>
      <c r="J134" s="11"/>
      <c r="K134" s="11"/>
      <c r="L134" s="17"/>
      <c r="M134" s="25"/>
      <c r="N134" s="28"/>
      <c r="O134" s="25"/>
      <c r="P134" s="25"/>
      <c r="Q134" s="25"/>
      <c r="R134" s="25"/>
      <c r="S134" s="25"/>
      <c r="T134" s="25"/>
      <c r="U134" s="28"/>
      <c r="V134" s="25"/>
      <c r="W134" s="15"/>
      <c r="X134" s="50"/>
    </row>
    <row r="135" spans="1:24" ht="20.45" customHeight="1">
      <c r="A135" s="10"/>
      <c r="B135" s="11"/>
      <c r="C135" s="11"/>
      <c r="D135" s="11"/>
      <c r="E135" s="12"/>
      <c r="F135" s="11"/>
      <c r="G135" s="11"/>
      <c r="H135" s="11"/>
      <c r="I135" s="11"/>
      <c r="J135" s="11"/>
      <c r="K135" s="11"/>
      <c r="L135" s="17"/>
      <c r="M135" s="25"/>
      <c r="N135" s="28"/>
      <c r="O135" s="25"/>
      <c r="P135" s="25"/>
      <c r="Q135" s="25"/>
      <c r="R135" s="28"/>
      <c r="S135" s="25"/>
      <c r="T135" s="25"/>
      <c r="U135" s="28"/>
      <c r="V135" s="25"/>
      <c r="W135" s="15"/>
      <c r="X135" s="50"/>
    </row>
    <row r="136" spans="1:24" ht="20.45" customHeight="1">
      <c r="A136" s="10"/>
      <c r="B136" s="11"/>
      <c r="C136" s="11"/>
      <c r="D136" s="11"/>
      <c r="E136" s="12"/>
      <c r="F136" s="11"/>
      <c r="G136" s="11"/>
      <c r="H136" s="11"/>
      <c r="I136" s="11"/>
      <c r="J136" s="11"/>
      <c r="K136" s="11"/>
      <c r="L136" s="11"/>
      <c r="M136" s="25"/>
      <c r="N136" s="28"/>
      <c r="O136" s="25"/>
      <c r="P136" s="25"/>
      <c r="Q136" s="28"/>
      <c r="R136" s="28"/>
      <c r="S136" s="25"/>
      <c r="T136" s="25"/>
      <c r="U136" s="28"/>
      <c r="V136" s="25"/>
      <c r="W136" s="15"/>
      <c r="X136" s="50"/>
    </row>
    <row r="137" spans="1:24" ht="20.45" customHeight="1">
      <c r="A137" s="10"/>
      <c r="B137" s="11"/>
      <c r="C137" s="11"/>
      <c r="D137" s="11"/>
      <c r="E137" s="12"/>
      <c r="F137" s="11"/>
      <c r="G137" s="11"/>
      <c r="H137" s="11"/>
      <c r="I137" s="11"/>
      <c r="J137" s="11"/>
      <c r="K137" s="11"/>
      <c r="L137" s="17"/>
      <c r="M137" s="11"/>
      <c r="N137" s="26"/>
      <c r="P137" s="26"/>
      <c r="Q137" s="26"/>
      <c r="R137" s="26"/>
      <c r="S137" s="14"/>
      <c r="T137" s="14"/>
      <c r="U137" s="26"/>
      <c r="V137" s="38"/>
      <c r="W137" s="31"/>
      <c r="X137" s="50"/>
    </row>
    <row r="138" spans="1:24" ht="20.45" customHeight="1">
      <c r="A138" s="10"/>
      <c r="B138" s="11"/>
      <c r="C138" s="11"/>
      <c r="D138" s="11"/>
      <c r="E138" s="12"/>
      <c r="F138" s="11"/>
      <c r="G138" s="11"/>
      <c r="H138" s="11"/>
      <c r="I138" s="11"/>
      <c r="J138" s="11"/>
      <c r="K138" s="11"/>
      <c r="L138" s="11"/>
      <c r="M138" s="25"/>
      <c r="N138" s="28"/>
      <c r="O138" s="25"/>
      <c r="P138" s="25"/>
      <c r="Q138" s="28"/>
      <c r="R138" s="28"/>
      <c r="S138" s="25"/>
      <c r="T138" s="25"/>
      <c r="U138" s="28"/>
      <c r="V138" s="25"/>
      <c r="W138" s="15"/>
      <c r="X138" s="51"/>
    </row>
    <row r="139" spans="1:24" ht="20.45" customHeight="1">
      <c r="A139" s="10"/>
      <c r="B139" s="11"/>
      <c r="C139" s="11"/>
      <c r="D139" s="11"/>
      <c r="E139" s="12"/>
      <c r="F139" s="11"/>
      <c r="G139" s="11"/>
      <c r="H139" s="11"/>
      <c r="I139" s="11"/>
      <c r="J139" s="11"/>
      <c r="K139" s="11"/>
      <c r="L139" s="11"/>
      <c r="M139" s="25"/>
      <c r="N139" s="28"/>
      <c r="O139" s="25"/>
      <c r="P139" s="25"/>
      <c r="Q139" s="25"/>
      <c r="R139" s="25"/>
      <c r="S139" s="25"/>
      <c r="T139" s="25"/>
      <c r="U139" s="28"/>
      <c r="V139" s="25"/>
      <c r="W139" s="15"/>
      <c r="X139" s="51"/>
    </row>
    <row r="140" spans="1:24" ht="20.45" customHeight="1">
      <c r="A140" s="10"/>
      <c r="B140" s="11"/>
      <c r="C140" s="11"/>
      <c r="D140" s="11"/>
      <c r="E140" s="12"/>
      <c r="F140" s="11"/>
      <c r="G140" s="11"/>
      <c r="H140" s="11"/>
      <c r="I140" s="11"/>
      <c r="J140" s="11"/>
      <c r="K140" s="11"/>
      <c r="L140" s="17"/>
      <c r="M140" s="25"/>
      <c r="N140" s="28"/>
      <c r="O140" s="25"/>
      <c r="P140" s="28"/>
      <c r="Q140" s="25"/>
      <c r="R140" s="28"/>
      <c r="S140" s="25"/>
      <c r="T140" s="25"/>
      <c r="U140" s="28"/>
      <c r="V140" s="28"/>
      <c r="W140" s="27"/>
      <c r="X140" s="51"/>
    </row>
    <row r="141" spans="1:24" ht="20.45" customHeight="1">
      <c r="A141" s="10"/>
      <c r="B141" s="11"/>
      <c r="C141" s="11"/>
      <c r="D141" s="11"/>
      <c r="E141" s="12"/>
      <c r="F141" s="11"/>
      <c r="G141" s="11"/>
      <c r="H141" s="11"/>
      <c r="I141" s="11"/>
      <c r="J141" s="11"/>
      <c r="K141" s="11"/>
      <c r="L141" s="11"/>
      <c r="M141" s="11"/>
      <c r="N141" s="26"/>
      <c r="P141" s="26"/>
      <c r="Q141" s="26"/>
      <c r="R141" s="26"/>
      <c r="S141" s="14"/>
      <c r="T141" s="14"/>
      <c r="U141" s="26"/>
      <c r="V141" s="28"/>
      <c r="W141" s="27"/>
      <c r="X141" s="51"/>
    </row>
    <row r="142" spans="1:24" ht="20.100000000000001" customHeight="1">
      <c r="A142" s="10"/>
      <c r="B142" s="11"/>
      <c r="C142" s="11"/>
      <c r="D142" s="11">
        <f>B142*E142</f>
        <v>0</v>
      </c>
      <c r="E142" s="12"/>
      <c r="F142" s="11">
        <f>C142/4</f>
        <v>0</v>
      </c>
      <c r="G142" s="11">
        <f>D142/7.5</f>
        <v>0</v>
      </c>
      <c r="H142" s="11">
        <f>B142/12.5</f>
        <v>0</v>
      </c>
      <c r="I142" s="11">
        <f>G142/0.93</f>
        <v>0</v>
      </c>
      <c r="J142" s="11">
        <f>G142/0.92</f>
        <v>0</v>
      </c>
      <c r="K142" s="11">
        <f>G142/0.88</f>
        <v>0</v>
      </c>
      <c r="L142" s="17">
        <f>G142/0.84</f>
        <v>0</v>
      </c>
      <c r="M142" s="11"/>
      <c r="N142" s="26"/>
      <c r="P142" s="26"/>
      <c r="Q142" s="26"/>
      <c r="R142" s="26"/>
      <c r="S142" s="14"/>
      <c r="T142" s="14"/>
      <c r="U142" s="26"/>
      <c r="V142" s="38"/>
      <c r="W142" s="31"/>
      <c r="X142" s="51"/>
    </row>
    <row r="143" spans="1:24" ht="20.100000000000001" customHeight="1">
      <c r="A143" s="10"/>
      <c r="B143" s="11"/>
      <c r="C143" s="11"/>
      <c r="D143" s="11">
        <f>B143*E143</f>
        <v>0</v>
      </c>
      <c r="E143" s="12"/>
      <c r="F143" s="11">
        <f>C143/4</f>
        <v>0</v>
      </c>
      <c r="G143" s="11">
        <f>D143/7.5</f>
        <v>0</v>
      </c>
      <c r="H143" s="11">
        <f>B143/12.5</f>
        <v>0</v>
      </c>
      <c r="I143" s="11">
        <f>G143/0.93</f>
        <v>0</v>
      </c>
      <c r="J143" s="11">
        <f>G143/0.92</f>
        <v>0</v>
      </c>
      <c r="K143" s="11">
        <f>G143/0.88</f>
        <v>0</v>
      </c>
      <c r="L143" s="17">
        <f>G143/0.84</f>
        <v>0</v>
      </c>
      <c r="M143" s="11"/>
      <c r="N143" s="26"/>
      <c r="P143" s="26"/>
      <c r="Q143" s="26"/>
      <c r="R143" s="26"/>
      <c r="S143" s="14"/>
      <c r="T143" s="14"/>
      <c r="U143" s="26"/>
      <c r="V143" s="38"/>
      <c r="W143" s="31"/>
      <c r="X143" s="51"/>
    </row>
    <row r="144" spans="1:24" ht="20.100000000000001" customHeight="1">
      <c r="A144" s="10"/>
      <c r="B144" s="11"/>
      <c r="C144" s="11"/>
      <c r="D144" s="11">
        <f>B144*E144</f>
        <v>0</v>
      </c>
      <c r="E144" s="12"/>
      <c r="F144" s="11">
        <f>C144/4</f>
        <v>0</v>
      </c>
      <c r="G144" s="11">
        <f>D144/7.5</f>
        <v>0</v>
      </c>
      <c r="H144" s="11">
        <f>B144/12.5</f>
        <v>0</v>
      </c>
      <c r="I144" s="11">
        <f>G144/0.93</f>
        <v>0</v>
      </c>
      <c r="J144" s="11">
        <f>G144/0.92</f>
        <v>0</v>
      </c>
      <c r="K144" s="11">
        <f>G144/0.88</f>
        <v>0</v>
      </c>
      <c r="L144" s="17">
        <f>G144/0.84</f>
        <v>0</v>
      </c>
      <c r="M144" s="11"/>
      <c r="N144" s="26"/>
      <c r="P144" s="26"/>
      <c r="Q144" s="26"/>
      <c r="R144" s="26"/>
      <c r="S144" s="14"/>
      <c r="T144" s="14"/>
      <c r="U144" s="26"/>
      <c r="V144" s="38"/>
      <c r="W144" s="31"/>
      <c r="X144" s="51"/>
    </row>
  </sheetData>
  <mergeCells count="15">
    <mergeCell ref="X51:X57"/>
    <mergeCell ref="X1:X10"/>
    <mergeCell ref="X11:X20"/>
    <mergeCell ref="X21:X30"/>
    <mergeCell ref="X31:X40"/>
    <mergeCell ref="X41:X50"/>
    <mergeCell ref="X118:X127"/>
    <mergeCell ref="X128:X137"/>
    <mergeCell ref="X138:X144"/>
    <mergeCell ref="X58:X67"/>
    <mergeCell ref="X68:X77"/>
    <mergeCell ref="X78:X87"/>
    <mergeCell ref="X88:X97"/>
    <mergeCell ref="X98:X107"/>
    <mergeCell ref="X108:X117"/>
  </mergeCells>
  <pageMargins left="0.25" right="0.25" top="0.25" bottom="0.25" header="0" footer="0"/>
  <pageSetup scale="95" fitToHeight="0" orientation="landscape"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533DF-14D2-48EF-8D4D-16CA859BE501}">
  <sheetPr>
    <pageSetUpPr fitToPage="1"/>
  </sheetPr>
  <dimension ref="A1:Z144"/>
  <sheetViews>
    <sheetView topLeftCell="A33" zoomScale="70" zoomScaleNormal="70" workbookViewId="0">
      <selection activeCell="Q122" sqref="Q122"/>
    </sheetView>
  </sheetViews>
  <sheetFormatPr defaultColWidth="8.7109375" defaultRowHeight="14.45"/>
  <cols>
    <col min="1" max="1" width="19.5703125" customWidth="1"/>
    <col min="2" max="2" width="8.7109375" style="29" hidden="1" customWidth="1"/>
    <col min="3" max="3" width="10.140625" hidden="1" customWidth="1"/>
    <col min="4" max="4" width="8.7109375" style="29" hidden="1" customWidth="1"/>
    <col min="5" max="5" width="9.28515625" hidden="1" customWidth="1"/>
    <col min="6" max="6" width="8.7109375" hidden="1" customWidth="1"/>
    <col min="7" max="7" width="9.28515625" hidden="1" customWidth="1"/>
    <col min="8" max="9" width="8.7109375" hidden="1" customWidth="1"/>
    <col min="10" max="10" width="10.7109375" hidden="1" customWidth="1"/>
    <col min="11" max="11" width="11.42578125" hidden="1" customWidth="1"/>
    <col min="12" max="12" width="6.140625" hidden="1" customWidth="1"/>
    <col min="13" max="13" width="8.7109375" customWidth="1"/>
    <col min="14" max="19" width="10.140625" customWidth="1"/>
    <col min="20" max="22" width="8.7109375" customWidth="1"/>
    <col min="23" max="23" width="3.42578125" customWidth="1"/>
    <col min="24" max="24" width="20.42578125" customWidth="1"/>
    <col min="25" max="25" width="12.28515625" bestFit="1" customWidth="1"/>
    <col min="26" max="27" width="12.85546875" bestFit="1" customWidth="1"/>
  </cols>
  <sheetData>
    <row r="1" spans="1:26" ht="14.45" customHeight="1">
      <c r="A1" s="1" t="s">
        <v>240</v>
      </c>
      <c r="B1" s="2" t="s">
        <v>1</v>
      </c>
      <c r="C1" s="2" t="s">
        <v>2</v>
      </c>
      <c r="D1" s="2" t="s">
        <v>3</v>
      </c>
      <c r="E1" s="3" t="s">
        <v>4</v>
      </c>
      <c r="F1" s="2" t="s">
        <v>5</v>
      </c>
      <c r="G1" s="2" t="s">
        <v>6</v>
      </c>
      <c r="H1" s="2" t="s">
        <v>7</v>
      </c>
      <c r="I1" s="4" t="s">
        <v>8</v>
      </c>
      <c r="J1" s="2" t="s">
        <v>9</v>
      </c>
      <c r="K1" s="2" t="s">
        <v>10</v>
      </c>
      <c r="L1" s="2" t="s">
        <v>11</v>
      </c>
      <c r="M1" s="6" t="s">
        <v>12</v>
      </c>
      <c r="N1" s="6" t="s">
        <v>174</v>
      </c>
      <c r="O1" s="7" t="s">
        <v>14</v>
      </c>
      <c r="P1" s="8" t="s">
        <v>15</v>
      </c>
      <c r="Q1" s="8" t="s">
        <v>17</v>
      </c>
      <c r="R1" s="7" t="s">
        <v>241</v>
      </c>
      <c r="S1" s="7" t="s">
        <v>145</v>
      </c>
      <c r="T1" s="7" t="s">
        <v>19</v>
      </c>
      <c r="U1" s="7" t="s">
        <v>20</v>
      </c>
      <c r="V1" s="7" t="s">
        <v>21</v>
      </c>
      <c r="W1" s="9" t="s">
        <v>22</v>
      </c>
      <c r="X1" s="52" t="s">
        <v>242</v>
      </c>
    </row>
    <row r="2" spans="1:26" ht="21" customHeight="1">
      <c r="A2" s="10" t="s">
        <v>34</v>
      </c>
      <c r="B2" s="11">
        <v>1.1979166666666667E-2</v>
      </c>
      <c r="C2" s="11">
        <v>3.472222222222222E-3</v>
      </c>
      <c r="D2" s="11">
        <f t="shared" ref="D2:D11" si="0">B2*E2</f>
        <v>6.9694791666666672E-3</v>
      </c>
      <c r="E2" s="12">
        <v>0.58179999999999998</v>
      </c>
      <c r="F2" s="11">
        <f t="shared" ref="F2:F11" si="1">C2/4</f>
        <v>8.6805555555555551E-4</v>
      </c>
      <c r="G2" s="11">
        <f t="shared" ref="G2:G11" si="2">D2/7.5</f>
        <v>9.2926388888888898E-4</v>
      </c>
      <c r="H2" s="11">
        <f t="shared" ref="H2:H11" si="3">B2/12.5</f>
        <v>9.5833333333333339E-4</v>
      </c>
      <c r="I2" s="11">
        <f t="shared" ref="I2:I11" si="4">G2/0.93</f>
        <v>9.9920848267622464E-4</v>
      </c>
      <c r="J2" s="11">
        <f t="shared" ref="J2:J11" si="5">G2/0.92</f>
        <v>1.0100694444444445E-3</v>
      </c>
      <c r="K2" s="11">
        <f t="shared" ref="K2:K11" si="6">G2/0.88</f>
        <v>1.055981691919192E-3</v>
      </c>
      <c r="L2" s="11">
        <f t="shared" ref="L2:L11" si="7">G2/0.84</f>
        <v>1.1062665343915346E-3</v>
      </c>
      <c r="M2" s="25">
        <f>WO2025Jan710814161822242830323438404244464854565862646668707274766812161820222628[[#This Row],[Thresh]]</f>
        <v>1.055981691919192E-3</v>
      </c>
      <c r="N2" s="28">
        <f>WO2025Jan710814161822242830323438404244464854565862646668707274766812161820222628[[#This Row],[Thresh]]*3</f>
        <v>3.1679450757575757E-3</v>
      </c>
      <c r="O2" s="25">
        <f>WO2025Jan710814161822242830323438404244464854565862646668707274766812161820222628[[#This Row],[CV]]</f>
        <v>1.0100694444444445E-3</v>
      </c>
      <c r="P2" s="28">
        <f>WO2025Jan710814161822242830323438404244464854565862646668707274766812161820222628[[#This Row],[CV]]*1.5</f>
        <v>1.5151041666666668E-3</v>
      </c>
      <c r="Q2" s="25">
        <f>WO2025Jan710814161822242830323438404244464854565862646668707274766812161820222628[[#This Row],[I]]</f>
        <v>9.5833333333333339E-4</v>
      </c>
      <c r="R2" s="25">
        <f>WO2025Jan710814161822242830323438404244464854565862646668707274766812161820222628[[#This Row],[I]]*4</f>
        <v>3.8333333333333336E-3</v>
      </c>
      <c r="S2" s="25">
        <f>WO2025Jan710814161822242830323438404244464854565862646668707274766812161820222628[[#This Row],[Thresh]]*1.5</f>
        <v>1.5839725378787878E-3</v>
      </c>
      <c r="T2" s="28" t="s">
        <v>25</v>
      </c>
      <c r="U2" s="11"/>
      <c r="V2" s="36"/>
      <c r="W2" s="15" t="s">
        <v>26</v>
      </c>
      <c r="X2" s="52"/>
    </row>
    <row r="3" spans="1:26" ht="21" customHeight="1">
      <c r="A3" s="10" t="s">
        <v>24</v>
      </c>
      <c r="B3" s="11">
        <v>1.1979166666666667E-2</v>
      </c>
      <c r="C3" s="11">
        <v>3.5300925925925925E-3</v>
      </c>
      <c r="D3" s="11">
        <f t="shared" si="0"/>
        <v>6.9694791666666672E-3</v>
      </c>
      <c r="E3" s="12">
        <v>0.58179999999999998</v>
      </c>
      <c r="F3" s="11">
        <f t="shared" si="1"/>
        <v>8.8252314814814812E-4</v>
      </c>
      <c r="G3" s="11">
        <f t="shared" si="2"/>
        <v>9.2926388888888898E-4</v>
      </c>
      <c r="H3" s="11">
        <f t="shared" si="3"/>
        <v>9.5833333333333339E-4</v>
      </c>
      <c r="I3" s="11">
        <f t="shared" si="4"/>
        <v>9.9920848267622464E-4</v>
      </c>
      <c r="J3" s="11">
        <f t="shared" si="5"/>
        <v>1.0100694444444445E-3</v>
      </c>
      <c r="K3" s="11">
        <f t="shared" si="6"/>
        <v>1.055981691919192E-3</v>
      </c>
      <c r="L3" s="11">
        <f t="shared" si="7"/>
        <v>1.1062665343915346E-3</v>
      </c>
      <c r="M3" s="25">
        <f>WO2025Jan710814161822242830323438404244464854565862646668707274766812161820222628[[#This Row],[Thresh]]</f>
        <v>1.055981691919192E-3</v>
      </c>
      <c r="N3" s="28">
        <f>WO2025Jan710814161822242830323438404244464854565862646668707274766812161820222628[[#This Row],[Thresh]]*3</f>
        <v>3.1679450757575757E-3</v>
      </c>
      <c r="O3" s="25">
        <f>WO2025Jan710814161822242830323438404244464854565862646668707274766812161820222628[[#This Row],[CV]]</f>
        <v>1.0100694444444445E-3</v>
      </c>
      <c r="P3" s="28">
        <f>WO2025Jan710814161822242830323438404244464854565862646668707274766812161820222628[[#This Row],[CV]]*1.5</f>
        <v>1.5151041666666668E-3</v>
      </c>
      <c r="Q3" s="25">
        <f>WO2025Jan710814161822242830323438404244464854565862646668707274766812161820222628[[#This Row],[I]]</f>
        <v>9.5833333333333339E-4</v>
      </c>
      <c r="R3" s="25">
        <f>WO2025Jan710814161822242830323438404244464854565862646668707274766812161820222628[[#This Row],[I]]*4</f>
        <v>3.8333333333333336E-3</v>
      </c>
      <c r="S3" s="25">
        <f>WO2025Jan710814161822242830323438404244464854565862646668707274766812161820222628[[#This Row],[Thresh]]*1.5</f>
        <v>1.5839725378787878E-3</v>
      </c>
      <c r="T3" s="28" t="s">
        <v>25</v>
      </c>
      <c r="U3" s="11"/>
      <c r="V3" s="28"/>
      <c r="W3" s="15" t="s">
        <v>26</v>
      </c>
      <c r="X3" s="52"/>
      <c r="Z3" s="16"/>
    </row>
    <row r="4" spans="1:26" ht="21" customHeight="1">
      <c r="A4" s="10" t="s">
        <v>60</v>
      </c>
      <c r="B4" s="11">
        <v>1.2268518518518519E-2</v>
      </c>
      <c r="C4" s="11">
        <v>3.6458333333333334E-3</v>
      </c>
      <c r="D4" s="11">
        <f t="shared" si="0"/>
        <v>7.1378240740740742E-3</v>
      </c>
      <c r="E4" s="12">
        <v>0.58179999999999998</v>
      </c>
      <c r="F4" s="11">
        <f t="shared" si="1"/>
        <v>9.1145833333333335E-4</v>
      </c>
      <c r="G4" s="11">
        <f t="shared" si="2"/>
        <v>9.5170987654320989E-4</v>
      </c>
      <c r="H4" s="11">
        <f t="shared" si="3"/>
        <v>9.8148148148148161E-4</v>
      </c>
      <c r="I4" s="11">
        <f t="shared" si="4"/>
        <v>1.0233439532722685E-3</v>
      </c>
      <c r="J4" s="11">
        <f t="shared" si="5"/>
        <v>1.0344672571121847E-3</v>
      </c>
      <c r="K4" s="11">
        <f t="shared" si="6"/>
        <v>1.0814884960718295E-3</v>
      </c>
      <c r="L4" s="11">
        <f t="shared" si="7"/>
        <v>1.1329879482657262E-3</v>
      </c>
      <c r="M4" s="25">
        <f>WO2025Jan710814161822242830323438404244464854565862646668707274766812161820222628[[#This Row],[Thresh]]</f>
        <v>1.0814884960718295E-3</v>
      </c>
      <c r="N4" s="28">
        <f>WO2025Jan710814161822242830323438404244464854565862646668707274766812161820222628[[#This Row],[Thresh]]*3</f>
        <v>3.2444654882154882E-3</v>
      </c>
      <c r="O4" s="25">
        <f>WO2025Jan710814161822242830323438404244464854565862646668707274766812161820222628[[#This Row],[CV]]</f>
        <v>1.0344672571121847E-3</v>
      </c>
      <c r="P4" s="28">
        <f>WO2025Jan710814161822242830323438404244464854565862646668707274766812161820222628[[#This Row],[CV]]*1.5</f>
        <v>1.551700885668277E-3</v>
      </c>
      <c r="Q4" s="25">
        <f>WO2025Jan710814161822242830323438404244464854565862646668707274766812161820222628[[#This Row],[I]]</f>
        <v>9.8148148148148161E-4</v>
      </c>
      <c r="R4" s="25">
        <f>WO2025Jan710814161822242830323438404244464854565862646668707274766812161820222628[[#This Row],[I]]*4</f>
        <v>3.9259259259259265E-3</v>
      </c>
      <c r="S4" s="25">
        <f>WO2025Jan710814161822242830323438404244464854565862646668707274766812161820222628[[#This Row],[Thresh]]*1.5</f>
        <v>1.6222327441077441E-3</v>
      </c>
      <c r="T4" s="28" t="s">
        <v>25</v>
      </c>
      <c r="U4" s="11"/>
      <c r="V4" s="28"/>
      <c r="W4" s="15" t="s">
        <v>26</v>
      </c>
      <c r="X4" s="52"/>
    </row>
    <row r="5" spans="1:26" ht="21" customHeight="1">
      <c r="A5" s="10" t="s">
        <v>27</v>
      </c>
      <c r="B5" s="11">
        <v>1.2268518518518519E-2</v>
      </c>
      <c r="C5" s="11">
        <v>3.6458333333333334E-3</v>
      </c>
      <c r="D5" s="11">
        <f>B5*E5</f>
        <v>7.1378240740740742E-3</v>
      </c>
      <c r="E5" s="12">
        <v>0.58179999999999998</v>
      </c>
      <c r="F5" s="11">
        <f>C5/4</f>
        <v>9.1145833333333335E-4</v>
      </c>
      <c r="G5" s="11">
        <f>D5/7.5</f>
        <v>9.5170987654320989E-4</v>
      </c>
      <c r="H5" s="11">
        <f>B5/12.5</f>
        <v>9.8148148148148161E-4</v>
      </c>
      <c r="I5" s="11">
        <f>G5/0.93</f>
        <v>1.0233439532722685E-3</v>
      </c>
      <c r="J5" s="11">
        <f>G5/0.92</f>
        <v>1.0344672571121847E-3</v>
      </c>
      <c r="K5" s="11">
        <f>G5/0.88</f>
        <v>1.0814884960718295E-3</v>
      </c>
      <c r="L5" s="11">
        <f>G5/0.84</f>
        <v>1.1329879482657262E-3</v>
      </c>
      <c r="M5" s="25">
        <f>WO2025Jan710814161822242830323438404244464854565862646668707274766812161820222628[[#This Row],[Thresh]]</f>
        <v>1.0814884960718295E-3</v>
      </c>
      <c r="N5" s="28">
        <f>WO2025Jan710814161822242830323438404244464854565862646668707274766812161820222628[[#This Row],[Thresh]]*3</f>
        <v>3.2444654882154882E-3</v>
      </c>
      <c r="O5" s="25">
        <f>WO2025Jan710814161822242830323438404244464854565862646668707274766812161820222628[[#This Row],[CV]]</f>
        <v>1.0344672571121847E-3</v>
      </c>
      <c r="P5" s="28">
        <f>WO2025Jan710814161822242830323438404244464854565862646668707274766812161820222628[[#This Row],[CV]]*1.5</f>
        <v>1.551700885668277E-3</v>
      </c>
      <c r="Q5" s="25">
        <f>WO2025Jan710814161822242830323438404244464854565862646668707274766812161820222628[[#This Row],[I]]</f>
        <v>9.8148148148148161E-4</v>
      </c>
      <c r="R5" s="25">
        <f>WO2025Jan710814161822242830323438404244464854565862646668707274766812161820222628[[#This Row],[I]]*4</f>
        <v>3.9259259259259265E-3</v>
      </c>
      <c r="S5" s="25">
        <f>WO2025Jan710814161822242830323438404244464854565862646668707274766812161820222628[[#This Row],[Thresh]]*1.5</f>
        <v>1.6222327441077441E-3</v>
      </c>
      <c r="T5" s="28" t="s">
        <v>25</v>
      </c>
      <c r="U5" s="11"/>
      <c r="V5" s="28"/>
      <c r="W5" s="15" t="s">
        <v>35</v>
      </c>
      <c r="X5" s="52"/>
    </row>
    <row r="6" spans="1:26" ht="21" customHeight="1">
      <c r="A6" s="10" t="s">
        <v>38</v>
      </c>
      <c r="B6" s="11">
        <v>1.238425925925926E-2</v>
      </c>
      <c r="C6" s="11">
        <v>3.5300925925925925E-3</v>
      </c>
      <c r="D6" s="11">
        <f t="shared" si="0"/>
        <v>7.2051620370370368E-3</v>
      </c>
      <c r="E6" s="12">
        <v>0.58179999999999998</v>
      </c>
      <c r="F6" s="11">
        <f t="shared" si="1"/>
        <v>8.8252314814814812E-4</v>
      </c>
      <c r="G6" s="11">
        <f t="shared" si="2"/>
        <v>9.6068827160493821E-4</v>
      </c>
      <c r="H6" s="11">
        <f t="shared" si="3"/>
        <v>9.9074074074074082E-4</v>
      </c>
      <c r="I6" s="11">
        <f t="shared" si="4"/>
        <v>1.0329981415106862E-3</v>
      </c>
      <c r="J6" s="11">
        <f t="shared" si="5"/>
        <v>1.0442263821792807E-3</v>
      </c>
      <c r="K6" s="11">
        <f t="shared" si="6"/>
        <v>1.0916912177328843E-3</v>
      </c>
      <c r="L6" s="11">
        <f t="shared" si="7"/>
        <v>1.1436765138154027E-3</v>
      </c>
      <c r="M6" s="25">
        <f>WO2025Jan710814161822242830323438404244464854565862646668707274766812161820222628[[#This Row],[Thresh]]</f>
        <v>1.0916912177328843E-3</v>
      </c>
      <c r="N6" s="28">
        <f>WO2025Jan710814161822242830323438404244464854565862646668707274766812161820222628[[#This Row],[Thresh]]*3</f>
        <v>3.275073653198653E-3</v>
      </c>
      <c r="O6" s="25">
        <f>WO2025Jan710814161822242830323438404244464854565862646668707274766812161820222628[[#This Row],[CV]]</f>
        <v>1.0442263821792807E-3</v>
      </c>
      <c r="P6" s="28">
        <f>WO2025Jan710814161822242830323438404244464854565862646668707274766812161820222628[[#This Row],[CV]]*1.5</f>
        <v>1.566339573268921E-3</v>
      </c>
      <c r="Q6" s="25">
        <f>WO2025Jan710814161822242830323438404244464854565862646668707274766812161820222628[[#This Row],[I]]</f>
        <v>9.9074074074074082E-4</v>
      </c>
      <c r="R6" s="25">
        <f>WO2025Jan710814161822242830323438404244464854565862646668707274766812161820222628[[#This Row],[I]]*4</f>
        <v>3.9629629629629633E-3</v>
      </c>
      <c r="S6" s="25">
        <f>WO2025Jan710814161822242830323438404244464854565862646668707274766812161820222628[[#This Row],[Thresh]]*1.5</f>
        <v>1.6375368265993265E-3</v>
      </c>
      <c r="T6" s="28" t="s">
        <v>25</v>
      </c>
      <c r="U6" s="11"/>
      <c r="V6" s="28"/>
      <c r="W6" s="15" t="s">
        <v>26</v>
      </c>
      <c r="X6" s="52"/>
    </row>
    <row r="7" spans="1:26" ht="21" customHeight="1">
      <c r="A7" s="10" t="s">
        <v>31</v>
      </c>
      <c r="B7" s="11">
        <v>1.238425925925926E-2</v>
      </c>
      <c r="C7" s="11">
        <v>3.7037037037037038E-3</v>
      </c>
      <c r="D7" s="11">
        <f t="shared" si="0"/>
        <v>7.2051620370370368E-3</v>
      </c>
      <c r="E7" s="12">
        <v>0.58179999999999998</v>
      </c>
      <c r="F7" s="11">
        <f t="shared" si="1"/>
        <v>9.2592592592592596E-4</v>
      </c>
      <c r="G7" s="11">
        <f t="shared" si="2"/>
        <v>9.6068827160493821E-4</v>
      </c>
      <c r="H7" s="11">
        <f t="shared" si="3"/>
        <v>9.9074074074074082E-4</v>
      </c>
      <c r="I7" s="11">
        <f t="shared" si="4"/>
        <v>1.0329981415106862E-3</v>
      </c>
      <c r="J7" s="11">
        <f t="shared" si="5"/>
        <v>1.0442263821792807E-3</v>
      </c>
      <c r="K7" s="11">
        <f t="shared" si="6"/>
        <v>1.0916912177328843E-3</v>
      </c>
      <c r="L7" s="11">
        <f t="shared" si="7"/>
        <v>1.1436765138154027E-3</v>
      </c>
      <c r="M7" s="25">
        <f>WO2025Jan710814161822242830323438404244464854565862646668707274766812161820222628[[#This Row],[Thresh]]</f>
        <v>1.0916912177328843E-3</v>
      </c>
      <c r="N7" s="28">
        <f>WO2025Jan710814161822242830323438404244464854565862646668707274766812161820222628[[#This Row],[Thresh]]*3</f>
        <v>3.275073653198653E-3</v>
      </c>
      <c r="O7" s="25">
        <f>WO2025Jan710814161822242830323438404244464854565862646668707274766812161820222628[[#This Row],[CV]]</f>
        <v>1.0442263821792807E-3</v>
      </c>
      <c r="P7" s="28">
        <f>WO2025Jan710814161822242830323438404244464854565862646668707274766812161820222628[[#This Row],[CV]]*1.5</f>
        <v>1.566339573268921E-3</v>
      </c>
      <c r="Q7" s="25">
        <f>WO2025Jan710814161822242830323438404244464854565862646668707274766812161820222628[[#This Row],[I]]</f>
        <v>9.9074074074074082E-4</v>
      </c>
      <c r="R7" s="25">
        <f>WO2025Jan710814161822242830323438404244464854565862646668707274766812161820222628[[#This Row],[I]]*4</f>
        <v>3.9629629629629633E-3</v>
      </c>
      <c r="S7" s="25">
        <f>WO2025Jan710814161822242830323438404244464854565862646668707274766812161820222628[[#This Row],[Thresh]]*1.5</f>
        <v>1.6375368265993265E-3</v>
      </c>
      <c r="T7" s="28" t="s">
        <v>25</v>
      </c>
      <c r="U7" s="11"/>
      <c r="V7" s="28"/>
      <c r="W7" s="15" t="s">
        <v>26</v>
      </c>
      <c r="X7" s="52"/>
    </row>
    <row r="8" spans="1:26" ht="21" customHeight="1">
      <c r="A8" s="10" t="s">
        <v>28</v>
      </c>
      <c r="B8" s="11">
        <v>1.238425925925926E-2</v>
      </c>
      <c r="C8" s="11">
        <v>3.7037037037037038E-3</v>
      </c>
      <c r="D8" s="11">
        <f>B8*E8</f>
        <v>7.2051620370370368E-3</v>
      </c>
      <c r="E8" s="12">
        <v>0.58179999999999998</v>
      </c>
      <c r="F8" s="11">
        <f>C8/4</f>
        <v>9.2592592592592596E-4</v>
      </c>
      <c r="G8" s="11">
        <f>D8/7.5</f>
        <v>9.6068827160493821E-4</v>
      </c>
      <c r="H8" s="11">
        <f>B8/12.5</f>
        <v>9.9074074074074082E-4</v>
      </c>
      <c r="I8" s="11">
        <f>G8/0.93</f>
        <v>1.0329981415106862E-3</v>
      </c>
      <c r="J8" s="11">
        <f>G8/0.92</f>
        <v>1.0442263821792807E-3</v>
      </c>
      <c r="K8" s="11">
        <f>G8/0.88</f>
        <v>1.0916912177328843E-3</v>
      </c>
      <c r="L8" s="11">
        <f>G8/0.84</f>
        <v>1.1436765138154027E-3</v>
      </c>
      <c r="M8" s="25">
        <f>WO2025Jan710814161822242830323438404244464854565862646668707274766812161820222628[[#This Row],[Thresh]]</f>
        <v>1.0916912177328843E-3</v>
      </c>
      <c r="N8" s="28">
        <f>WO2025Jan710814161822242830323438404244464854565862646668707274766812161820222628[[#This Row],[Thresh]]*3</f>
        <v>3.275073653198653E-3</v>
      </c>
      <c r="O8" s="25">
        <f>WO2025Jan710814161822242830323438404244464854565862646668707274766812161820222628[[#This Row],[CV]]</f>
        <v>1.0442263821792807E-3</v>
      </c>
      <c r="P8" s="28">
        <f>WO2025Jan710814161822242830323438404244464854565862646668707274766812161820222628[[#This Row],[CV]]*1.5</f>
        <v>1.566339573268921E-3</v>
      </c>
      <c r="Q8" s="25">
        <f>WO2025Jan710814161822242830323438404244464854565862646668707274766812161820222628[[#This Row],[I]]</f>
        <v>9.9074074074074082E-4</v>
      </c>
      <c r="R8" s="25">
        <f>WO2025Jan710814161822242830323438404244464854565862646668707274766812161820222628[[#This Row],[I]]*4</f>
        <v>3.9629629629629633E-3</v>
      </c>
      <c r="S8" s="25">
        <f>WO2025Jan710814161822242830323438404244464854565862646668707274766812161820222628[[#This Row],[Thresh]]*1.5</f>
        <v>1.6375368265993265E-3</v>
      </c>
      <c r="T8" s="28" t="s">
        <v>25</v>
      </c>
      <c r="U8" s="11"/>
      <c r="V8" s="28"/>
      <c r="W8" s="15" t="s">
        <v>26</v>
      </c>
      <c r="X8" s="52"/>
    </row>
    <row r="9" spans="1:26" ht="21" customHeight="1">
      <c r="A9" s="10" t="s">
        <v>62</v>
      </c>
      <c r="B9" s="11">
        <v>1.238425925925926E-2</v>
      </c>
      <c r="C9" s="11">
        <v>3.6458333333333334E-3</v>
      </c>
      <c r="D9" s="11">
        <f>B9*E9</f>
        <v>7.2051620370370368E-3</v>
      </c>
      <c r="E9" s="12">
        <v>0.58179999999999998</v>
      </c>
      <c r="F9" s="11">
        <f>C9/4</f>
        <v>9.1145833333333335E-4</v>
      </c>
      <c r="G9" s="11">
        <f>D9/7.5</f>
        <v>9.6068827160493821E-4</v>
      </c>
      <c r="H9" s="11">
        <f>B9/12.5</f>
        <v>9.9074074074074082E-4</v>
      </c>
      <c r="I9" s="11">
        <f>G9/0.93</f>
        <v>1.0329981415106862E-3</v>
      </c>
      <c r="J9" s="11">
        <f>G9/0.92</f>
        <v>1.0442263821792807E-3</v>
      </c>
      <c r="K9" s="11">
        <f>G9/0.88</f>
        <v>1.0916912177328843E-3</v>
      </c>
      <c r="L9" s="11">
        <f>G9/0.84</f>
        <v>1.1436765138154027E-3</v>
      </c>
      <c r="M9" s="25">
        <f>WO2025Jan710814161822242830323438404244464854565862646668707274766812161820222628[[#This Row],[Thresh]]</f>
        <v>1.0916912177328843E-3</v>
      </c>
      <c r="N9" s="28">
        <f>WO2025Jan710814161822242830323438404244464854565862646668707274766812161820222628[[#This Row],[Thresh]]*3</f>
        <v>3.275073653198653E-3</v>
      </c>
      <c r="O9" s="25">
        <f>WO2025Jan710814161822242830323438404244464854565862646668707274766812161820222628[[#This Row],[CV]]</f>
        <v>1.0442263821792807E-3</v>
      </c>
      <c r="P9" s="28">
        <f>WO2025Jan710814161822242830323438404244464854565862646668707274766812161820222628[[#This Row],[CV]]*1.5</f>
        <v>1.566339573268921E-3</v>
      </c>
      <c r="Q9" s="25">
        <f>WO2025Jan710814161822242830323438404244464854565862646668707274766812161820222628[[#This Row],[I]]</f>
        <v>9.9074074074074082E-4</v>
      </c>
      <c r="R9" s="25">
        <f>WO2025Jan710814161822242830323438404244464854565862646668707274766812161820222628[[#This Row],[I]]*4</f>
        <v>3.9629629629629633E-3</v>
      </c>
      <c r="S9" s="25">
        <f>WO2025Jan710814161822242830323438404244464854565862646668707274766812161820222628[[#This Row],[Thresh]]*1.5</f>
        <v>1.6375368265993265E-3</v>
      </c>
      <c r="T9" s="28" t="s">
        <v>25</v>
      </c>
      <c r="U9" s="11"/>
      <c r="V9" s="17"/>
      <c r="W9" s="18" t="s">
        <v>26</v>
      </c>
      <c r="X9" s="52"/>
    </row>
    <row r="10" spans="1:26" ht="21" customHeight="1">
      <c r="A10" s="10" t="s">
        <v>59</v>
      </c>
      <c r="B10" s="11">
        <v>1.2500000000000001E-2</v>
      </c>
      <c r="C10" s="11">
        <v>3.7037037037037038E-3</v>
      </c>
      <c r="D10" s="11">
        <f t="shared" si="0"/>
        <v>7.2725000000000003E-3</v>
      </c>
      <c r="E10" s="12">
        <v>0.58179999999999998</v>
      </c>
      <c r="F10" s="11">
        <f t="shared" si="1"/>
        <v>9.2592592592592596E-4</v>
      </c>
      <c r="G10" s="11">
        <f t="shared" si="2"/>
        <v>9.6966666666666675E-4</v>
      </c>
      <c r="H10" s="11">
        <f t="shared" si="3"/>
        <v>1E-3</v>
      </c>
      <c r="I10" s="11">
        <f t="shared" si="4"/>
        <v>1.0426523297491039E-3</v>
      </c>
      <c r="J10" s="11">
        <f t="shared" si="5"/>
        <v>1.0539855072463768E-3</v>
      </c>
      <c r="K10" s="11">
        <f t="shared" si="6"/>
        <v>1.1018939393939394E-3</v>
      </c>
      <c r="L10" s="17">
        <f t="shared" si="7"/>
        <v>1.1543650793650795E-3</v>
      </c>
      <c r="M10" s="25">
        <f>WO2025Jan710814161822242830323438404244464854565862646668707274766812161820222628[[#This Row],[Thresh]]</f>
        <v>1.1018939393939394E-3</v>
      </c>
      <c r="N10" s="28">
        <f>WO2025Jan710814161822242830323438404244464854565862646668707274766812161820222628[[#This Row],[Thresh]]*3</f>
        <v>3.3056818181818183E-3</v>
      </c>
      <c r="O10" s="25">
        <f>WO2025Jan710814161822242830323438404244464854565862646668707274766812161820222628[[#This Row],[CV]]</f>
        <v>1.0539855072463768E-3</v>
      </c>
      <c r="P10" s="28">
        <f>WO2025Jan710814161822242830323438404244464854565862646668707274766812161820222628[[#This Row],[CV]]*1.5</f>
        <v>1.5809782608695651E-3</v>
      </c>
      <c r="Q10" s="25">
        <f>WO2025Jan710814161822242830323438404244464854565862646668707274766812161820222628[[#This Row],[I]]</f>
        <v>1E-3</v>
      </c>
      <c r="R10" s="25">
        <f>WO2025Jan710814161822242830323438404244464854565862646668707274766812161820222628[[#This Row],[I]]*4</f>
        <v>4.0000000000000001E-3</v>
      </c>
      <c r="S10" s="25">
        <f>WO2025Jan710814161822242830323438404244464854565862646668707274766812161820222628[[#This Row],[Thresh]]*1.5</f>
        <v>1.6528409090909091E-3</v>
      </c>
      <c r="T10" s="28" t="s">
        <v>25</v>
      </c>
      <c r="U10" s="11"/>
      <c r="V10" s="38"/>
      <c r="W10" s="15" t="s">
        <v>26</v>
      </c>
      <c r="X10" s="52"/>
    </row>
    <row r="11" spans="1:26" ht="21" customHeight="1">
      <c r="A11" s="10" t="s">
        <v>55</v>
      </c>
      <c r="B11" s="11">
        <v>1.2500000000000001E-2</v>
      </c>
      <c r="C11" s="11">
        <v>3.5879629629629629E-3</v>
      </c>
      <c r="D11" s="11">
        <f t="shared" si="0"/>
        <v>7.2725000000000003E-3</v>
      </c>
      <c r="E11" s="12">
        <v>0.58179999999999998</v>
      </c>
      <c r="F11" s="11">
        <f t="shared" si="1"/>
        <v>8.9699074074074073E-4</v>
      </c>
      <c r="G11" s="11">
        <f t="shared" si="2"/>
        <v>9.6966666666666675E-4</v>
      </c>
      <c r="H11" s="11">
        <f t="shared" si="3"/>
        <v>1E-3</v>
      </c>
      <c r="I11" s="11">
        <f t="shared" si="4"/>
        <v>1.0426523297491039E-3</v>
      </c>
      <c r="J11" s="11">
        <f t="shared" si="5"/>
        <v>1.0539855072463768E-3</v>
      </c>
      <c r="K11" s="11">
        <f t="shared" si="6"/>
        <v>1.1018939393939394E-3</v>
      </c>
      <c r="L11" s="11">
        <f t="shared" si="7"/>
        <v>1.1543650793650795E-3</v>
      </c>
      <c r="M11" s="25">
        <f>WO2025Jan710814161822242830323438404244464854565862646668707274766812161820222628[[#This Row],[Thresh]]</f>
        <v>1.1018939393939394E-3</v>
      </c>
      <c r="N11" s="28">
        <f>WO2025Jan710814161822242830323438404244464854565862646668707274766812161820222628[[#This Row],[Thresh]]*3</f>
        <v>3.3056818181818183E-3</v>
      </c>
      <c r="O11" s="25">
        <f>WO2025Jan710814161822242830323438404244464854565862646668707274766812161820222628[[#This Row],[CV]]</f>
        <v>1.0539855072463768E-3</v>
      </c>
      <c r="P11" s="28">
        <f>WO2025Jan710814161822242830323438404244464854565862646668707274766812161820222628[[#This Row],[CV]]*1.5</f>
        <v>1.5809782608695651E-3</v>
      </c>
      <c r="Q11" s="25">
        <f>WO2025Jan710814161822242830323438404244464854565862646668707274766812161820222628[[#This Row],[I]]</f>
        <v>1E-3</v>
      </c>
      <c r="R11" s="25">
        <f>WO2025Jan710814161822242830323438404244464854565862646668707274766812161820222628[[#This Row],[I]]*4</f>
        <v>4.0000000000000001E-3</v>
      </c>
      <c r="S11" s="25">
        <f>WO2025Jan710814161822242830323438404244464854565862646668707274766812161820222628[[#This Row],[Thresh]]*1.5</f>
        <v>1.6528409090909091E-3</v>
      </c>
      <c r="T11" s="28" t="s">
        <v>25</v>
      </c>
      <c r="U11" s="11"/>
      <c r="V11" s="17"/>
      <c r="W11" s="18" t="s">
        <v>26</v>
      </c>
      <c r="X11" s="52" t="s">
        <v>243</v>
      </c>
    </row>
    <row r="12" spans="1:26" ht="21" customHeight="1">
      <c r="A12" s="10" t="s">
        <v>29</v>
      </c>
      <c r="B12" s="11">
        <v>1.2500000000000001E-2</v>
      </c>
      <c r="C12" s="11">
        <v>3.8194444444444443E-3</v>
      </c>
      <c r="D12" s="11">
        <f>B12*E12</f>
        <v>7.2725000000000003E-3</v>
      </c>
      <c r="E12" s="12">
        <v>0.58179999999999998</v>
      </c>
      <c r="F12" s="11">
        <f>C12/4</f>
        <v>9.5486111111111108E-4</v>
      </c>
      <c r="G12" s="11">
        <f>D12/7.5</f>
        <v>9.6966666666666675E-4</v>
      </c>
      <c r="H12" s="11">
        <f>B12/12.5</f>
        <v>1E-3</v>
      </c>
      <c r="I12" s="11">
        <f>G12/0.93</f>
        <v>1.0426523297491039E-3</v>
      </c>
      <c r="J12" s="11">
        <f>G12/0.92</f>
        <v>1.0539855072463768E-3</v>
      </c>
      <c r="K12" s="11">
        <f>G12/0.88</f>
        <v>1.1018939393939394E-3</v>
      </c>
      <c r="L12" s="11">
        <f>G12/0.84</f>
        <v>1.1543650793650795E-3</v>
      </c>
      <c r="M12" s="25">
        <f>WO2025Jan710814161822242830323438404244464854565862646668707274766812161820222628[[#This Row],[Thresh]]</f>
        <v>1.1018939393939394E-3</v>
      </c>
      <c r="N12" s="28">
        <f>WO2025Jan710814161822242830323438404244464854565862646668707274766812161820222628[[#This Row],[Thresh]]*3</f>
        <v>3.3056818181818183E-3</v>
      </c>
      <c r="O12" s="25">
        <f>WO2025Jan710814161822242830323438404244464854565862646668707274766812161820222628[[#This Row],[CV]]</f>
        <v>1.0539855072463768E-3</v>
      </c>
      <c r="P12" s="28">
        <f>WO2025Jan710814161822242830323438404244464854565862646668707274766812161820222628[[#This Row],[CV]]*1.5</f>
        <v>1.5809782608695651E-3</v>
      </c>
      <c r="Q12" s="25">
        <f>WO2025Jan710814161822242830323438404244464854565862646668707274766812161820222628[[#This Row],[I]]</f>
        <v>1E-3</v>
      </c>
      <c r="R12" s="25">
        <f>WO2025Jan710814161822242830323438404244464854565862646668707274766812161820222628[[#This Row],[I]]*4</f>
        <v>4.0000000000000001E-3</v>
      </c>
      <c r="S12" s="25">
        <f>WO2025Jan710814161822242830323438404244464854565862646668707274766812161820222628[[#This Row],[Thresh]]*1.5</f>
        <v>1.6528409090909091E-3</v>
      </c>
      <c r="T12" s="28" t="s">
        <v>25</v>
      </c>
      <c r="U12" s="11"/>
      <c r="V12" s="38"/>
      <c r="W12" s="18" t="s">
        <v>26</v>
      </c>
      <c r="X12" s="52"/>
    </row>
    <row r="13" spans="1:26" ht="21" customHeight="1">
      <c r="A13" s="10" t="s">
        <v>30</v>
      </c>
      <c r="B13" s="11">
        <v>1.2500000000000001E-2</v>
      </c>
      <c r="C13" s="11">
        <v>3.6458333333333334E-3</v>
      </c>
      <c r="D13" s="11">
        <f>B13*E13</f>
        <v>7.2725000000000003E-3</v>
      </c>
      <c r="E13" s="12">
        <v>0.58179999999999998</v>
      </c>
      <c r="F13" s="11">
        <f>C13/4</f>
        <v>9.1145833333333335E-4</v>
      </c>
      <c r="G13" s="11">
        <f>D13/7.5</f>
        <v>9.6966666666666675E-4</v>
      </c>
      <c r="H13" s="11">
        <f>B13/12.5</f>
        <v>1E-3</v>
      </c>
      <c r="I13" s="11">
        <f>G13/0.93</f>
        <v>1.0426523297491039E-3</v>
      </c>
      <c r="J13" s="11">
        <f>G13/0.92</f>
        <v>1.0539855072463768E-3</v>
      </c>
      <c r="K13" s="11">
        <f>G13/0.88</f>
        <v>1.1018939393939394E-3</v>
      </c>
      <c r="L13" s="11">
        <f>G13/0.84</f>
        <v>1.1543650793650795E-3</v>
      </c>
      <c r="M13" s="25">
        <f>WO2025Jan710814161822242830323438404244464854565862646668707274766812161820222628[[#This Row],[Thresh]]</f>
        <v>1.1018939393939394E-3</v>
      </c>
      <c r="N13" s="28">
        <f>WO2025Jan710814161822242830323438404244464854565862646668707274766812161820222628[[#This Row],[Thresh]]*3</f>
        <v>3.3056818181818183E-3</v>
      </c>
      <c r="O13" s="25">
        <f>WO2025Jan710814161822242830323438404244464854565862646668707274766812161820222628[[#This Row],[CV]]</f>
        <v>1.0539855072463768E-3</v>
      </c>
      <c r="P13" s="28">
        <f>WO2025Jan710814161822242830323438404244464854565862646668707274766812161820222628[[#This Row],[CV]]*1.5</f>
        <v>1.5809782608695651E-3</v>
      </c>
      <c r="Q13" s="25">
        <f>WO2025Jan710814161822242830323438404244464854565862646668707274766812161820222628[[#This Row],[I]]</f>
        <v>1E-3</v>
      </c>
      <c r="R13" s="25">
        <f>WO2025Jan710814161822242830323438404244464854565862646668707274766812161820222628[[#This Row],[I]]*4</f>
        <v>4.0000000000000001E-3</v>
      </c>
      <c r="S13" s="25">
        <f>WO2025Jan710814161822242830323438404244464854565862646668707274766812161820222628[[#This Row],[Thresh]]*1.5</f>
        <v>1.6528409090909091E-3</v>
      </c>
      <c r="T13" s="28" t="s">
        <v>25</v>
      </c>
      <c r="U13" s="11"/>
      <c r="V13" s="28"/>
      <c r="W13" s="15" t="s">
        <v>35</v>
      </c>
      <c r="X13" s="52"/>
    </row>
    <row r="14" spans="1:26" ht="21" customHeight="1">
      <c r="A14" s="10" t="s">
        <v>63</v>
      </c>
      <c r="B14" s="11">
        <v>1.2615740740740742E-2</v>
      </c>
      <c r="C14" s="11">
        <v>3.7037037037037038E-3</v>
      </c>
      <c r="D14" s="11">
        <f>B14*E14</f>
        <v>7.3398379629629629E-3</v>
      </c>
      <c r="E14" s="12">
        <v>0.58179999999999998</v>
      </c>
      <c r="F14" s="11">
        <f>C14/4</f>
        <v>9.2592592592592596E-4</v>
      </c>
      <c r="G14" s="11">
        <f>D14/7.5</f>
        <v>9.7864506172839496E-4</v>
      </c>
      <c r="H14" s="11">
        <f>B14/12.5</f>
        <v>1.0092592592592592E-3</v>
      </c>
      <c r="I14" s="11">
        <f>G14/0.93</f>
        <v>1.0523065179875214E-3</v>
      </c>
      <c r="J14" s="11">
        <f>G14/0.92</f>
        <v>1.0637446323134728E-3</v>
      </c>
      <c r="K14" s="11">
        <f>G14/0.88</f>
        <v>1.1120966610549943E-3</v>
      </c>
      <c r="L14" s="11">
        <f>G14/0.84</f>
        <v>1.165053644914756E-3</v>
      </c>
      <c r="M14" s="25">
        <f>WO2025Jan710814161822242830323438404244464854565862646668707274766812161820222628[[#This Row],[Thresh]]</f>
        <v>1.1120966610549943E-3</v>
      </c>
      <c r="N14" s="28">
        <f>WO2025Jan710814161822242830323438404244464854565862646668707274766812161820222628[[#This Row],[Thresh]]*3</f>
        <v>3.3362899831649827E-3</v>
      </c>
      <c r="O14" s="25">
        <f>WO2025Jan710814161822242830323438404244464854565862646668707274766812161820222628[[#This Row],[CV]]</f>
        <v>1.0637446323134728E-3</v>
      </c>
      <c r="P14" s="28">
        <f>WO2025Jan710814161822242830323438404244464854565862646668707274766812161820222628[[#This Row],[CV]]*1.5</f>
        <v>1.5956169484702093E-3</v>
      </c>
      <c r="Q14" s="25">
        <f>WO2025Jan710814161822242830323438404244464854565862646668707274766812161820222628[[#This Row],[I]]</f>
        <v>1.0092592592592592E-3</v>
      </c>
      <c r="R14" s="25">
        <f>WO2025Jan710814161822242830323438404244464854565862646668707274766812161820222628[[#This Row],[I]]*4</f>
        <v>4.0370370370370369E-3</v>
      </c>
      <c r="S14" s="25">
        <f>WO2025Jan710814161822242830323438404244464854565862646668707274766812161820222628[[#This Row],[Thresh]]*1.5</f>
        <v>1.6681449915824913E-3</v>
      </c>
      <c r="T14" s="28" t="s">
        <v>25</v>
      </c>
      <c r="U14" s="11"/>
      <c r="V14" s="36"/>
      <c r="W14" s="15" t="s">
        <v>35</v>
      </c>
      <c r="X14" s="52"/>
    </row>
    <row r="15" spans="1:26" ht="21" customHeight="1">
      <c r="A15" s="10" t="s">
        <v>51</v>
      </c>
      <c r="B15" s="11">
        <v>1.2615740740740742E-2</v>
      </c>
      <c r="C15" s="11">
        <v>3.5879629629629629E-3</v>
      </c>
      <c r="D15" s="11">
        <f t="shared" ref="D15:D29" si="8">B15*E15</f>
        <v>7.3398379629629629E-3</v>
      </c>
      <c r="E15" s="12">
        <v>0.58179999999999998</v>
      </c>
      <c r="F15" s="11">
        <f t="shared" ref="F15:F29" si="9">C15/4</f>
        <v>8.9699074074074073E-4</v>
      </c>
      <c r="G15" s="11">
        <f t="shared" ref="G15:G29" si="10">D15/7.5</f>
        <v>9.7864506172839496E-4</v>
      </c>
      <c r="H15" s="11">
        <f t="shared" ref="H15:H29" si="11">B15/12.5</f>
        <v>1.0092592592592592E-3</v>
      </c>
      <c r="I15" s="11">
        <f t="shared" ref="I15:I29" si="12">G15/0.93</f>
        <v>1.0523065179875214E-3</v>
      </c>
      <c r="J15" s="11">
        <f t="shared" ref="J15:J29" si="13">G15/0.92</f>
        <v>1.0637446323134728E-3</v>
      </c>
      <c r="K15" s="11">
        <f t="shared" ref="K15:K29" si="14">G15/0.88</f>
        <v>1.1120966610549943E-3</v>
      </c>
      <c r="L15" s="11">
        <f t="shared" ref="L15:L29" si="15">G15/0.84</f>
        <v>1.165053644914756E-3</v>
      </c>
      <c r="M15" s="25">
        <f>WO2025Jan710814161822242830323438404244464854565862646668707274766812161820222628[[#This Row],[Thresh]]</f>
        <v>1.1120966610549943E-3</v>
      </c>
      <c r="N15" s="28">
        <f>WO2025Jan710814161822242830323438404244464854565862646668707274766812161820222628[[#This Row],[Thresh]]*3</f>
        <v>3.3362899831649827E-3</v>
      </c>
      <c r="O15" s="25">
        <f>WO2025Jan710814161822242830323438404244464854565862646668707274766812161820222628[[#This Row],[CV]]</f>
        <v>1.0637446323134728E-3</v>
      </c>
      <c r="P15" s="28">
        <f>WO2025Jan710814161822242830323438404244464854565862646668707274766812161820222628[[#This Row],[CV]]*1.5</f>
        <v>1.5956169484702093E-3</v>
      </c>
      <c r="Q15" s="25">
        <f>WO2025Jan710814161822242830323438404244464854565862646668707274766812161820222628[[#This Row],[I]]</f>
        <v>1.0092592592592592E-3</v>
      </c>
      <c r="R15" s="25">
        <f>WO2025Jan710814161822242830323438404244464854565862646668707274766812161820222628[[#This Row],[I]]*4</f>
        <v>4.0370370370370369E-3</v>
      </c>
      <c r="S15" s="25">
        <f>WO2025Jan710814161822242830323438404244464854565862646668707274766812161820222628[[#This Row],[Thresh]]*1.5</f>
        <v>1.6681449915824913E-3</v>
      </c>
      <c r="T15" s="28" t="s">
        <v>25</v>
      </c>
      <c r="U15" s="11"/>
      <c r="V15" s="36"/>
      <c r="W15" s="15" t="s">
        <v>35</v>
      </c>
      <c r="X15" s="52"/>
    </row>
    <row r="16" spans="1:26" ht="21" customHeight="1">
      <c r="A16" s="10" t="s">
        <v>64</v>
      </c>
      <c r="B16" s="11">
        <v>1.2615740740740742E-2</v>
      </c>
      <c r="C16" s="11">
        <v>3.5879629629629629E-3</v>
      </c>
      <c r="D16" s="11">
        <f>B16*E16</f>
        <v>7.3398379629629629E-3</v>
      </c>
      <c r="E16" s="12">
        <v>0.58179999999999998</v>
      </c>
      <c r="F16" s="11">
        <f>C16/4</f>
        <v>8.9699074074074073E-4</v>
      </c>
      <c r="G16" s="11">
        <f>D16/7.5</f>
        <v>9.7864506172839496E-4</v>
      </c>
      <c r="H16" s="11">
        <f>B16/12.5</f>
        <v>1.0092592592592592E-3</v>
      </c>
      <c r="I16" s="11">
        <f>G16/0.93</f>
        <v>1.0523065179875214E-3</v>
      </c>
      <c r="J16" s="11">
        <f>G16/0.92</f>
        <v>1.0637446323134728E-3</v>
      </c>
      <c r="K16" s="11">
        <f>G16/0.88</f>
        <v>1.1120966610549943E-3</v>
      </c>
      <c r="L16" s="11">
        <f>G16/0.84</f>
        <v>1.165053644914756E-3</v>
      </c>
      <c r="M16" s="25">
        <f>WO2025Jan710814161822242830323438404244464854565862646668707274766812161820222628[[#This Row],[Thresh]]</f>
        <v>1.1120966610549943E-3</v>
      </c>
      <c r="N16" s="28">
        <f>WO2025Jan710814161822242830323438404244464854565862646668707274766812161820222628[[#This Row],[Thresh]]*3</f>
        <v>3.3362899831649827E-3</v>
      </c>
      <c r="O16" s="25">
        <f>WO2025Jan710814161822242830323438404244464854565862646668707274766812161820222628[[#This Row],[CV]]</f>
        <v>1.0637446323134728E-3</v>
      </c>
      <c r="P16" s="28">
        <f>WO2025Jan710814161822242830323438404244464854565862646668707274766812161820222628[[#This Row],[CV]]*1.5</f>
        <v>1.5956169484702093E-3</v>
      </c>
      <c r="Q16" s="25">
        <f>WO2025Jan710814161822242830323438404244464854565862646668707274766812161820222628[[#This Row],[I]]</f>
        <v>1.0092592592592592E-3</v>
      </c>
      <c r="R16" s="25">
        <f>WO2025Jan710814161822242830323438404244464854565862646668707274766812161820222628[[#This Row],[I]]*4</f>
        <v>4.0370370370370369E-3</v>
      </c>
      <c r="S16" s="25">
        <f>WO2025Jan710814161822242830323438404244464854565862646668707274766812161820222628[[#This Row],[Thresh]]*1.5</f>
        <v>1.6681449915824913E-3</v>
      </c>
      <c r="T16" s="28" t="s">
        <v>25</v>
      </c>
      <c r="U16" s="11"/>
      <c r="V16" s="48"/>
      <c r="W16" s="15" t="s">
        <v>35</v>
      </c>
      <c r="X16" s="52"/>
    </row>
    <row r="17" spans="1:24" ht="21" customHeight="1">
      <c r="A17" s="10" t="s">
        <v>49</v>
      </c>
      <c r="B17" s="11">
        <v>1.2731481481481481E-2</v>
      </c>
      <c r="C17" s="11">
        <v>3.5879629629629629E-3</v>
      </c>
      <c r="D17" s="11">
        <f t="shared" si="8"/>
        <v>7.4071759259259256E-3</v>
      </c>
      <c r="E17" s="12">
        <v>0.58179999999999998</v>
      </c>
      <c r="F17" s="11">
        <f t="shared" si="9"/>
        <v>8.9699074074074073E-4</v>
      </c>
      <c r="G17" s="11">
        <f t="shared" si="10"/>
        <v>9.8762345679012349E-4</v>
      </c>
      <c r="H17" s="11">
        <f t="shared" si="11"/>
        <v>1.0185185185185184E-3</v>
      </c>
      <c r="I17" s="11">
        <f t="shared" si="12"/>
        <v>1.0619607062259391E-3</v>
      </c>
      <c r="J17" s="11">
        <f t="shared" si="13"/>
        <v>1.073503757380569E-3</v>
      </c>
      <c r="K17" s="11">
        <f t="shared" si="14"/>
        <v>1.1222993827160494E-3</v>
      </c>
      <c r="L17" s="11">
        <f t="shared" si="15"/>
        <v>1.1757422104644328E-3</v>
      </c>
      <c r="M17" s="25">
        <f>WO2025Jan710814161822242830323438404244464854565862646668707274766812161820222628[[#This Row],[Thresh]]</f>
        <v>1.1222993827160494E-3</v>
      </c>
      <c r="N17" s="28">
        <f>WO2025Jan710814161822242830323438404244464854565862646668707274766812161820222628[[#This Row],[Thresh]]*3</f>
        <v>3.3668981481481484E-3</v>
      </c>
      <c r="O17" s="25">
        <f>WO2025Jan710814161822242830323438404244464854565862646668707274766812161820222628[[#This Row],[CV]]</f>
        <v>1.073503757380569E-3</v>
      </c>
      <c r="P17" s="28">
        <f>WO2025Jan710814161822242830323438404244464854565862646668707274766812161820222628[[#This Row],[CV]]*1.5</f>
        <v>1.6102556360708536E-3</v>
      </c>
      <c r="Q17" s="25">
        <f>WO2025Jan710814161822242830323438404244464854565862646668707274766812161820222628[[#This Row],[I]]</f>
        <v>1.0185185185185184E-3</v>
      </c>
      <c r="R17" s="25">
        <f>WO2025Jan710814161822242830323438404244464854565862646668707274766812161820222628[[#This Row],[I]]*4</f>
        <v>4.0740740740740737E-3</v>
      </c>
      <c r="S17" s="25">
        <f>WO2025Jan710814161822242830323438404244464854565862646668707274766812161820222628[[#This Row],[Thresh]]*1.5</f>
        <v>1.6834490740740742E-3</v>
      </c>
      <c r="T17" s="28" t="s">
        <v>25</v>
      </c>
      <c r="U17" s="11"/>
      <c r="V17" s="11"/>
      <c r="W17" s="15" t="s">
        <v>35</v>
      </c>
      <c r="X17" s="52"/>
    </row>
    <row r="18" spans="1:24" ht="21" customHeight="1">
      <c r="A18" s="10" t="s">
        <v>65</v>
      </c>
      <c r="B18" s="11">
        <v>1.2731481481481481E-2</v>
      </c>
      <c r="C18" s="11">
        <v>3.8194444444444443E-3</v>
      </c>
      <c r="D18" s="11">
        <f t="shared" si="8"/>
        <v>7.4071759259259256E-3</v>
      </c>
      <c r="E18" s="12">
        <v>0.58179999999999998</v>
      </c>
      <c r="F18" s="11">
        <f t="shared" si="9"/>
        <v>9.5486111111111108E-4</v>
      </c>
      <c r="G18" s="11">
        <f t="shared" si="10"/>
        <v>9.8762345679012349E-4</v>
      </c>
      <c r="H18" s="11">
        <f t="shared" si="11"/>
        <v>1.0185185185185184E-3</v>
      </c>
      <c r="I18" s="11">
        <f t="shared" si="12"/>
        <v>1.0619607062259391E-3</v>
      </c>
      <c r="J18" s="11">
        <f t="shared" si="13"/>
        <v>1.073503757380569E-3</v>
      </c>
      <c r="K18" s="11">
        <f t="shared" si="14"/>
        <v>1.1222993827160494E-3</v>
      </c>
      <c r="L18" s="11">
        <f t="shared" si="15"/>
        <v>1.1757422104644328E-3</v>
      </c>
      <c r="M18" s="25">
        <f>WO2025Jan710814161822242830323438404244464854565862646668707274766812161820222628[[#This Row],[Thresh]]</f>
        <v>1.1222993827160494E-3</v>
      </c>
      <c r="N18" s="28">
        <f>WO2025Jan710814161822242830323438404244464854565862646668707274766812161820222628[[#This Row],[Thresh]]*3</f>
        <v>3.3668981481481484E-3</v>
      </c>
      <c r="O18" s="25">
        <f>WO2025Jan710814161822242830323438404244464854565862646668707274766812161820222628[[#This Row],[CV]]</f>
        <v>1.073503757380569E-3</v>
      </c>
      <c r="P18" s="28">
        <f>WO2025Jan710814161822242830323438404244464854565862646668707274766812161820222628[[#This Row],[CV]]*1.5</f>
        <v>1.6102556360708536E-3</v>
      </c>
      <c r="Q18" s="25">
        <f>WO2025Jan710814161822242830323438404244464854565862646668707274766812161820222628[[#This Row],[I]]</f>
        <v>1.0185185185185184E-3</v>
      </c>
      <c r="R18" s="25">
        <f>WO2025Jan710814161822242830323438404244464854565862646668707274766812161820222628[[#This Row],[I]]*4</f>
        <v>4.0740740740740737E-3</v>
      </c>
      <c r="S18" s="25">
        <f>WO2025Jan710814161822242830323438404244464854565862646668707274766812161820222628[[#This Row],[Thresh]]*1.5</f>
        <v>1.6834490740740742E-3</v>
      </c>
      <c r="T18" s="28" t="s">
        <v>25</v>
      </c>
      <c r="U18" s="11"/>
      <c r="V18" s="28"/>
      <c r="W18" s="15" t="s">
        <v>35</v>
      </c>
      <c r="X18" s="52"/>
    </row>
    <row r="19" spans="1:24" ht="21" customHeight="1">
      <c r="A19" s="10" t="s">
        <v>66</v>
      </c>
      <c r="B19" s="11">
        <v>1.2731481481481481E-2</v>
      </c>
      <c r="C19" s="11">
        <v>3.6458333333333334E-3</v>
      </c>
      <c r="D19" s="11">
        <f>B19*E19</f>
        <v>7.4071759259259256E-3</v>
      </c>
      <c r="E19" s="12">
        <v>0.58179999999999998</v>
      </c>
      <c r="F19" s="11">
        <f>C19/4</f>
        <v>9.1145833333333335E-4</v>
      </c>
      <c r="G19" s="11">
        <f>D19/7.5</f>
        <v>9.8762345679012349E-4</v>
      </c>
      <c r="H19" s="11">
        <f>B19/12.5</f>
        <v>1.0185185185185184E-3</v>
      </c>
      <c r="I19" s="11">
        <f>G19/0.93</f>
        <v>1.0619607062259391E-3</v>
      </c>
      <c r="J19" s="11">
        <f>G19/0.92</f>
        <v>1.073503757380569E-3</v>
      </c>
      <c r="K19" s="11">
        <f>G19/0.88</f>
        <v>1.1222993827160494E-3</v>
      </c>
      <c r="L19" s="17">
        <f>G19/0.84</f>
        <v>1.1757422104644328E-3</v>
      </c>
      <c r="M19" s="25">
        <f>WO2025Jan710814161822242830323438404244464854565862646668707274766812161820222628[[#This Row],[Thresh]]</f>
        <v>1.1222993827160494E-3</v>
      </c>
      <c r="N19" s="28">
        <f>WO2025Jan710814161822242830323438404244464854565862646668707274766812161820222628[[#This Row],[Thresh]]*3</f>
        <v>3.3668981481481484E-3</v>
      </c>
      <c r="O19" s="25">
        <f>WO2025Jan710814161822242830323438404244464854565862646668707274766812161820222628[[#This Row],[CV]]</f>
        <v>1.073503757380569E-3</v>
      </c>
      <c r="P19" s="28">
        <f>WO2025Jan710814161822242830323438404244464854565862646668707274766812161820222628[[#This Row],[CV]]*1.5</f>
        <v>1.6102556360708536E-3</v>
      </c>
      <c r="Q19" s="25">
        <f>WO2025Jan710814161822242830323438404244464854565862646668707274766812161820222628[[#This Row],[I]]</f>
        <v>1.0185185185185184E-3</v>
      </c>
      <c r="R19" s="25">
        <f>WO2025Jan710814161822242830323438404244464854565862646668707274766812161820222628[[#This Row],[I]]*4</f>
        <v>4.0740740740740737E-3</v>
      </c>
      <c r="S19" s="25">
        <f>WO2025Jan710814161822242830323438404244464854565862646668707274766812161820222628[[#This Row],[Thresh]]*1.5</f>
        <v>1.6834490740740742E-3</v>
      </c>
      <c r="T19" s="28" t="s">
        <v>25</v>
      </c>
      <c r="U19" s="25"/>
      <c r="V19" s="25"/>
      <c r="W19" s="15" t="s">
        <v>35</v>
      </c>
      <c r="X19" s="52"/>
    </row>
    <row r="20" spans="1:24" ht="21" customHeight="1">
      <c r="A20" s="10" t="s">
        <v>53</v>
      </c>
      <c r="B20" s="11">
        <v>1.2731481481481481E-2</v>
      </c>
      <c r="C20" s="11">
        <v>3.7615740740740739E-3</v>
      </c>
      <c r="D20" s="11">
        <f>B20*E20</f>
        <v>7.4071759259259256E-3</v>
      </c>
      <c r="E20" s="12">
        <v>0.58179999999999998</v>
      </c>
      <c r="F20" s="11">
        <f>C20/4</f>
        <v>9.4039351851851847E-4</v>
      </c>
      <c r="G20" s="11">
        <f>D20/7.5</f>
        <v>9.8762345679012349E-4</v>
      </c>
      <c r="H20" s="11">
        <f>B20/12.5</f>
        <v>1.0185185185185184E-3</v>
      </c>
      <c r="I20" s="11">
        <f>G20/0.93</f>
        <v>1.0619607062259391E-3</v>
      </c>
      <c r="J20" s="11">
        <f>G20/0.92</f>
        <v>1.073503757380569E-3</v>
      </c>
      <c r="K20" s="11">
        <f>G20/0.88</f>
        <v>1.1222993827160494E-3</v>
      </c>
      <c r="L20" s="11">
        <f>G20/0.84</f>
        <v>1.1757422104644328E-3</v>
      </c>
      <c r="M20" s="25">
        <f>WO2025Jan710814161822242830323438404244464854565862646668707274766812161820222628[[#This Row],[Thresh]]</f>
        <v>1.1222993827160494E-3</v>
      </c>
      <c r="N20" s="28">
        <f>WO2025Jan710814161822242830323438404244464854565862646668707274766812161820222628[[#This Row],[Thresh]]*3</f>
        <v>3.3668981481481484E-3</v>
      </c>
      <c r="O20" s="25">
        <f>WO2025Jan710814161822242830323438404244464854565862646668707274766812161820222628[[#This Row],[CV]]</f>
        <v>1.073503757380569E-3</v>
      </c>
      <c r="P20" s="28">
        <f>WO2025Jan710814161822242830323438404244464854565862646668707274766812161820222628[[#This Row],[CV]]*1.5</f>
        <v>1.6102556360708536E-3</v>
      </c>
      <c r="Q20" s="25">
        <f>WO2025Jan710814161822242830323438404244464854565862646668707274766812161820222628[[#This Row],[I]]</f>
        <v>1.0185185185185184E-3</v>
      </c>
      <c r="R20" s="25">
        <f>WO2025Jan710814161822242830323438404244464854565862646668707274766812161820222628[[#This Row],[I]]*4</f>
        <v>4.0740740740740737E-3</v>
      </c>
      <c r="S20" s="25">
        <f>WO2025Jan710814161822242830323438404244464854565862646668707274766812161820222628[[#This Row],[Thresh]]*1.5</f>
        <v>1.6834490740740742E-3</v>
      </c>
      <c r="T20" s="28" t="s">
        <v>25</v>
      </c>
      <c r="U20" s="25"/>
      <c r="V20" s="25"/>
      <c r="W20" s="18" t="s">
        <v>35</v>
      </c>
      <c r="X20" s="52"/>
    </row>
    <row r="21" spans="1:24" ht="21" customHeight="1">
      <c r="A21" s="10" t="s">
        <v>67</v>
      </c>
      <c r="B21" s="11">
        <v>1.3020833333333334E-2</v>
      </c>
      <c r="C21" s="11">
        <v>3.8194444444444443E-3</v>
      </c>
      <c r="D21" s="11">
        <f>B21*E21</f>
        <v>7.5755208333333334E-3</v>
      </c>
      <c r="E21" s="12">
        <v>0.58179999999999998</v>
      </c>
      <c r="F21" s="11">
        <f>C21/4</f>
        <v>9.5486111111111108E-4</v>
      </c>
      <c r="G21" s="11">
        <f>D21/7.5</f>
        <v>1.0100694444444445E-3</v>
      </c>
      <c r="H21" s="11">
        <f>B21/12.5</f>
        <v>1.0416666666666667E-3</v>
      </c>
      <c r="I21" s="11">
        <f>G21/0.93</f>
        <v>1.0860961768219832E-3</v>
      </c>
      <c r="J21" s="11">
        <f>G21/0.92</f>
        <v>1.0979015700483092E-3</v>
      </c>
      <c r="K21" s="11">
        <f>G21/0.88</f>
        <v>1.1478061868686869E-3</v>
      </c>
      <c r="L21" s="11">
        <f>G21/0.84</f>
        <v>1.2024636243386244E-3</v>
      </c>
      <c r="M21" s="25">
        <f>WO2025Jan710814161822242830323438404244464854565862646668707274766812161820222628[[#This Row],[Thresh]]</f>
        <v>1.1478061868686869E-3</v>
      </c>
      <c r="N21" s="28">
        <f>WO2025Jan710814161822242830323438404244464854565862646668707274766812161820222628[[#This Row],[Thresh]]*3</f>
        <v>3.4434185606060609E-3</v>
      </c>
      <c r="O21" s="25">
        <f>WO2025Jan710814161822242830323438404244464854565862646668707274766812161820222628[[#This Row],[CV]]</f>
        <v>1.0979015700483092E-3</v>
      </c>
      <c r="P21" s="28">
        <f>WO2025Jan710814161822242830323438404244464854565862646668707274766812161820222628[[#This Row],[CV]]*1.5</f>
        <v>1.6468523550724639E-3</v>
      </c>
      <c r="Q21" s="25">
        <f>WO2025Jan710814161822242830323438404244464854565862646668707274766812161820222628[[#This Row],[I]]</f>
        <v>1.0416666666666667E-3</v>
      </c>
      <c r="R21" s="25">
        <f>WO2025Jan710814161822242830323438404244464854565862646668707274766812161820222628[[#This Row],[I]]*4</f>
        <v>4.1666666666666666E-3</v>
      </c>
      <c r="S21" s="25">
        <f>WO2025Jan710814161822242830323438404244464854565862646668707274766812161820222628[[#This Row],[Thresh]]*1.5</f>
        <v>1.7217092803030304E-3</v>
      </c>
      <c r="T21" s="28" t="s">
        <v>25</v>
      </c>
      <c r="U21" s="11"/>
      <c r="V21" s="28"/>
      <c r="W21" s="18" t="s">
        <v>35</v>
      </c>
      <c r="X21" s="52" t="s">
        <v>244</v>
      </c>
    </row>
    <row r="22" spans="1:24" ht="21" customHeight="1">
      <c r="A22" s="10" t="s">
        <v>58</v>
      </c>
      <c r="B22" s="11">
        <v>1.3020833333333334E-2</v>
      </c>
      <c r="C22" s="11">
        <v>4.1087962962962962E-3</v>
      </c>
      <c r="D22" s="11">
        <f>B22*E22</f>
        <v>7.5755208333333334E-3</v>
      </c>
      <c r="E22" s="12">
        <v>0.58179999999999998</v>
      </c>
      <c r="F22" s="11">
        <f>C22/4</f>
        <v>1.027199074074074E-3</v>
      </c>
      <c r="G22" s="11">
        <f>D22/7.5</f>
        <v>1.0100694444444445E-3</v>
      </c>
      <c r="H22" s="11">
        <f>B22/12.5</f>
        <v>1.0416666666666667E-3</v>
      </c>
      <c r="I22" s="11">
        <f>G22/0.93</f>
        <v>1.0860961768219832E-3</v>
      </c>
      <c r="J22" s="11">
        <f>G22/0.92</f>
        <v>1.0979015700483092E-3</v>
      </c>
      <c r="K22" s="11">
        <f>G22/0.88</f>
        <v>1.1478061868686869E-3</v>
      </c>
      <c r="L22" s="11">
        <f>G22/0.84</f>
        <v>1.2024636243386244E-3</v>
      </c>
      <c r="M22" s="25">
        <f>WO2025Jan710814161822242830323438404244464854565862646668707274766812161820222628[[#This Row],[Thresh]]</f>
        <v>1.1478061868686869E-3</v>
      </c>
      <c r="N22" s="28">
        <f>WO2025Jan710814161822242830323438404244464854565862646668707274766812161820222628[[#This Row],[Thresh]]*3</f>
        <v>3.4434185606060609E-3</v>
      </c>
      <c r="O22" s="25">
        <f>WO2025Jan710814161822242830323438404244464854565862646668707274766812161820222628[[#This Row],[CV]]</f>
        <v>1.0979015700483092E-3</v>
      </c>
      <c r="P22" s="28">
        <f>WO2025Jan710814161822242830323438404244464854565862646668707274766812161820222628[[#This Row],[CV]]*1.5</f>
        <v>1.6468523550724639E-3</v>
      </c>
      <c r="Q22" s="25">
        <f>WO2025Jan710814161822242830323438404244464854565862646668707274766812161820222628[[#This Row],[I]]</f>
        <v>1.0416666666666667E-3</v>
      </c>
      <c r="R22" s="25">
        <f>WO2025Jan710814161822242830323438404244464854565862646668707274766812161820222628[[#This Row],[I]]*4</f>
        <v>4.1666666666666666E-3</v>
      </c>
      <c r="S22" s="25">
        <f>WO2025Jan710814161822242830323438404244464854565862646668707274766812161820222628[[#This Row],[Thresh]]*1.5</f>
        <v>1.7217092803030304E-3</v>
      </c>
      <c r="T22" s="28" t="s">
        <v>25</v>
      </c>
      <c r="U22" s="11"/>
      <c r="V22" s="38"/>
      <c r="W22" s="15" t="s">
        <v>35</v>
      </c>
      <c r="X22" s="52"/>
    </row>
    <row r="23" spans="1:24" ht="21" customHeight="1">
      <c r="A23" s="10" t="s">
        <v>69</v>
      </c>
      <c r="B23" s="11">
        <v>1.3368055555555555E-2</v>
      </c>
      <c r="C23" s="11"/>
      <c r="D23" s="11">
        <f t="shared" si="8"/>
        <v>7.7775347222222213E-3</v>
      </c>
      <c r="E23" s="12">
        <v>0.58179999999999998</v>
      </c>
      <c r="F23" s="11">
        <f t="shared" si="9"/>
        <v>0</v>
      </c>
      <c r="G23" s="11">
        <f t="shared" si="10"/>
        <v>1.0370046296296295E-3</v>
      </c>
      <c r="H23" s="11">
        <f t="shared" si="11"/>
        <v>1.0694444444444445E-3</v>
      </c>
      <c r="I23" s="11">
        <f t="shared" si="12"/>
        <v>1.1150587415372358E-3</v>
      </c>
      <c r="J23" s="11">
        <f t="shared" si="13"/>
        <v>1.1271789452495973E-3</v>
      </c>
      <c r="K23" s="11">
        <f t="shared" si="14"/>
        <v>1.1784143518518517E-3</v>
      </c>
      <c r="L23" s="11">
        <f t="shared" si="15"/>
        <v>1.2345293209876543E-3</v>
      </c>
      <c r="M23" s="25">
        <f>WO2025Jan710814161822242830323438404244464854565862646668707274766812161820222628[[#This Row],[Thresh]]</f>
        <v>1.1784143518518517E-3</v>
      </c>
      <c r="N23" s="28">
        <f>WO2025Jan710814161822242830323438404244464854565862646668707274766812161820222628[[#This Row],[Thresh]]*3</f>
        <v>3.5352430555555554E-3</v>
      </c>
      <c r="O23" s="25">
        <f>WO2025Jan710814161822242830323438404244464854565862646668707274766812161820222628[[#This Row],[CV]]</f>
        <v>1.1271789452495973E-3</v>
      </c>
      <c r="P23" s="28">
        <f>WO2025Jan710814161822242830323438404244464854565862646668707274766812161820222628[[#This Row],[CV]]*1.5</f>
        <v>1.6907684178743959E-3</v>
      </c>
      <c r="Q23" s="25">
        <f>WO2025Jan710814161822242830323438404244464854565862646668707274766812161820222628[[#This Row],[I]]</f>
        <v>1.0694444444444445E-3</v>
      </c>
      <c r="R23" s="25">
        <f>WO2025Jan710814161822242830323438404244464854565862646668707274766812161820222628[[#This Row],[I]]*4</f>
        <v>4.2777777777777779E-3</v>
      </c>
      <c r="S23" s="25">
        <f>WO2025Jan710814161822242830323438404244464854565862646668707274766812161820222628[[#This Row],[Thresh]]*1.5</f>
        <v>1.7676215277777777E-3</v>
      </c>
      <c r="T23" s="28" t="s">
        <v>25</v>
      </c>
      <c r="U23" s="11"/>
      <c r="V23" s="36"/>
      <c r="W23" s="15" t="s">
        <v>35</v>
      </c>
      <c r="X23" s="52"/>
    </row>
    <row r="24" spans="1:24" ht="21" customHeight="1">
      <c r="A24" s="10" t="s">
        <v>70</v>
      </c>
      <c r="B24" s="11">
        <v>1.3368055555555555E-2</v>
      </c>
      <c r="C24" s="11">
        <v>4.0509259259259257E-3</v>
      </c>
      <c r="D24" s="11">
        <f t="shared" si="8"/>
        <v>7.7775347222222213E-3</v>
      </c>
      <c r="E24" s="12">
        <v>0.58179999999999998</v>
      </c>
      <c r="F24" s="11">
        <f t="shared" si="9"/>
        <v>1.0127314814814814E-3</v>
      </c>
      <c r="G24" s="11">
        <f t="shared" si="10"/>
        <v>1.0370046296296295E-3</v>
      </c>
      <c r="H24" s="11">
        <f t="shared" si="11"/>
        <v>1.0694444444444445E-3</v>
      </c>
      <c r="I24" s="11">
        <f t="shared" si="12"/>
        <v>1.1150587415372358E-3</v>
      </c>
      <c r="J24" s="11">
        <f t="shared" si="13"/>
        <v>1.1271789452495973E-3</v>
      </c>
      <c r="K24" s="11">
        <f t="shared" si="14"/>
        <v>1.1784143518518517E-3</v>
      </c>
      <c r="L24" s="11">
        <f t="shared" si="15"/>
        <v>1.2345293209876543E-3</v>
      </c>
      <c r="M24" s="25">
        <f>WO2025Jan710814161822242830323438404244464854565862646668707274766812161820222628[[#This Row],[Thresh]]</f>
        <v>1.1784143518518517E-3</v>
      </c>
      <c r="N24" s="28">
        <f>WO2025Jan710814161822242830323438404244464854565862646668707274766812161820222628[[#This Row],[Thresh]]*3</f>
        <v>3.5352430555555554E-3</v>
      </c>
      <c r="O24" s="25">
        <f>WO2025Jan710814161822242830323438404244464854565862646668707274766812161820222628[[#This Row],[CV]]</f>
        <v>1.1271789452495973E-3</v>
      </c>
      <c r="P24" s="28">
        <f>WO2025Jan710814161822242830323438404244464854565862646668707274766812161820222628[[#This Row],[CV]]*1.5</f>
        <v>1.6907684178743959E-3</v>
      </c>
      <c r="Q24" s="25">
        <f>WO2025Jan710814161822242830323438404244464854565862646668707274766812161820222628[[#This Row],[I]]</f>
        <v>1.0694444444444445E-3</v>
      </c>
      <c r="R24" s="25">
        <f>WO2025Jan710814161822242830323438404244464854565862646668707274766812161820222628[[#This Row],[I]]*4</f>
        <v>4.2777777777777779E-3</v>
      </c>
      <c r="S24" s="25">
        <f>WO2025Jan710814161822242830323438404244464854565862646668707274766812161820222628[[#This Row],[Thresh]]*1.5</f>
        <v>1.7676215277777777E-3</v>
      </c>
      <c r="T24" s="28" t="s">
        <v>25</v>
      </c>
      <c r="U24" s="11"/>
      <c r="V24" s="38"/>
      <c r="W24" s="15" t="s">
        <v>35</v>
      </c>
      <c r="X24" s="52"/>
    </row>
    <row r="25" spans="1:24" ht="21" customHeight="1">
      <c r="A25" s="10" t="s">
        <v>68</v>
      </c>
      <c r="B25" s="11">
        <v>1.3368055555555555E-2</v>
      </c>
      <c r="C25" s="11"/>
      <c r="D25" s="11">
        <f>B25*E25</f>
        <v>7.7775347222222213E-3</v>
      </c>
      <c r="E25" s="12">
        <v>0.58179999999999998</v>
      </c>
      <c r="F25" s="11">
        <f>C25/4</f>
        <v>0</v>
      </c>
      <c r="G25" s="11">
        <f>D25/7.5</f>
        <v>1.0370046296296295E-3</v>
      </c>
      <c r="H25" s="11">
        <f>B25/12.5</f>
        <v>1.0694444444444445E-3</v>
      </c>
      <c r="I25" s="11">
        <f>G25/0.93</f>
        <v>1.1150587415372358E-3</v>
      </c>
      <c r="J25" s="11">
        <f>G25/0.92</f>
        <v>1.1271789452495973E-3</v>
      </c>
      <c r="K25" s="11">
        <f>G25/0.88</f>
        <v>1.1784143518518517E-3</v>
      </c>
      <c r="L25" s="11">
        <f>G25/0.84</f>
        <v>1.2345293209876543E-3</v>
      </c>
      <c r="M25" s="25">
        <f>WO2025Jan710814161822242830323438404244464854565862646668707274766812161820222628[[#This Row],[Thresh]]</f>
        <v>1.1784143518518517E-3</v>
      </c>
      <c r="N25" s="28">
        <f>WO2025Jan710814161822242830323438404244464854565862646668707274766812161820222628[[#This Row],[Thresh]]*3</f>
        <v>3.5352430555555554E-3</v>
      </c>
      <c r="O25" s="25">
        <f>WO2025Jan710814161822242830323438404244464854565862646668707274766812161820222628[[#This Row],[CV]]</f>
        <v>1.1271789452495973E-3</v>
      </c>
      <c r="P25" s="28">
        <f>WO2025Jan710814161822242830323438404244464854565862646668707274766812161820222628[[#This Row],[CV]]*1.5</f>
        <v>1.6907684178743959E-3</v>
      </c>
      <c r="Q25" s="25">
        <f>WO2025Jan710814161822242830323438404244464854565862646668707274766812161820222628[[#This Row],[I]]</f>
        <v>1.0694444444444445E-3</v>
      </c>
      <c r="R25" s="25">
        <f>WO2025Jan710814161822242830323438404244464854565862646668707274766812161820222628[[#This Row],[I]]*4</f>
        <v>4.2777777777777779E-3</v>
      </c>
      <c r="S25" s="25">
        <f>WO2025Jan710814161822242830323438404244464854565862646668707274766812161820222628[[#This Row],[Thresh]]*1.5</f>
        <v>1.7676215277777777E-3</v>
      </c>
      <c r="T25" s="28" t="s">
        <v>25</v>
      </c>
      <c r="U25" s="11"/>
      <c r="V25" s="11"/>
      <c r="W25" s="15" t="s">
        <v>35</v>
      </c>
      <c r="X25" s="52"/>
    </row>
    <row r="26" spans="1:24" ht="21" customHeight="1">
      <c r="A26" s="10" t="s">
        <v>71</v>
      </c>
      <c r="B26" s="11">
        <v>1.3541666666666667E-2</v>
      </c>
      <c r="C26" s="11">
        <v>4.0509259259259257E-3</v>
      </c>
      <c r="D26" s="11">
        <f>B26*E26</f>
        <v>7.8785416666666674E-3</v>
      </c>
      <c r="E26" s="12">
        <v>0.58179999999999998</v>
      </c>
      <c r="F26" s="11">
        <f>C26/4</f>
        <v>1.0127314814814814E-3</v>
      </c>
      <c r="G26" s="11">
        <f>D26/7.5</f>
        <v>1.0504722222222224E-3</v>
      </c>
      <c r="H26" s="11">
        <f>B26/12.5</f>
        <v>1.0833333333333333E-3</v>
      </c>
      <c r="I26" s="11">
        <f>G26/0.93</f>
        <v>1.1295400238948627E-3</v>
      </c>
      <c r="J26" s="11">
        <f>G26/0.92</f>
        <v>1.1418176328502417E-3</v>
      </c>
      <c r="K26" s="11">
        <f>G26/0.88</f>
        <v>1.1937184343434346E-3</v>
      </c>
      <c r="L26" s="11">
        <f>G26/0.84</f>
        <v>1.2505621693121695E-3</v>
      </c>
      <c r="M26" s="25">
        <f>WO2025Jan710814161822242830323438404244464854565862646668707274766812161820222628[[#This Row],[Thresh]]</f>
        <v>1.1937184343434346E-3</v>
      </c>
      <c r="N26" s="28">
        <f>WO2025Jan710814161822242830323438404244464854565862646668707274766812161820222628[[#This Row],[Thresh]]*3</f>
        <v>3.5811553030303039E-3</v>
      </c>
      <c r="O26" s="25">
        <f>WO2025Jan710814161822242830323438404244464854565862646668707274766812161820222628[[#This Row],[CV]]</f>
        <v>1.1418176328502417E-3</v>
      </c>
      <c r="P26" s="28">
        <f>WO2025Jan710814161822242830323438404244464854565862646668707274766812161820222628[[#This Row],[CV]]*1.5</f>
        <v>1.7127264492753625E-3</v>
      </c>
      <c r="Q26" s="25">
        <f>WO2025Jan710814161822242830323438404244464854565862646668707274766812161820222628[[#This Row],[I]]</f>
        <v>1.0833333333333333E-3</v>
      </c>
      <c r="R26" s="25">
        <f>WO2025Jan710814161822242830323438404244464854565862646668707274766812161820222628[[#This Row],[I]]*4</f>
        <v>4.3333333333333331E-3</v>
      </c>
      <c r="S26" s="25">
        <f>WO2025Jan710814161822242830323438404244464854565862646668707274766812161820222628[[#This Row],[Thresh]]*1.5</f>
        <v>1.790577651515152E-3</v>
      </c>
      <c r="T26" s="28" t="s">
        <v>25</v>
      </c>
      <c r="U26" s="11"/>
      <c r="V26" s="38"/>
      <c r="W26" s="18" t="s">
        <v>35</v>
      </c>
      <c r="X26" s="52"/>
    </row>
    <row r="27" spans="1:24" ht="21" customHeight="1">
      <c r="A27" s="10" t="s">
        <v>72</v>
      </c>
      <c r="B27" s="11">
        <v>1.3541666666666667E-2</v>
      </c>
      <c r="C27" s="11">
        <v>4.0509259259259257E-3</v>
      </c>
      <c r="D27" s="11">
        <f t="shared" si="8"/>
        <v>7.8785416666666674E-3</v>
      </c>
      <c r="E27" s="12">
        <v>0.58179999999999998</v>
      </c>
      <c r="F27" s="11">
        <f t="shared" si="9"/>
        <v>1.0127314814814814E-3</v>
      </c>
      <c r="G27" s="11">
        <f t="shared" si="10"/>
        <v>1.0504722222222224E-3</v>
      </c>
      <c r="H27" s="11">
        <f t="shared" si="11"/>
        <v>1.0833333333333333E-3</v>
      </c>
      <c r="I27" s="11">
        <f t="shared" si="12"/>
        <v>1.1295400238948627E-3</v>
      </c>
      <c r="J27" s="11">
        <f t="shared" si="13"/>
        <v>1.1418176328502417E-3</v>
      </c>
      <c r="K27" s="11">
        <f t="shared" si="14"/>
        <v>1.1937184343434346E-3</v>
      </c>
      <c r="L27" s="11">
        <f t="shared" si="15"/>
        <v>1.2505621693121695E-3</v>
      </c>
      <c r="M27" s="25">
        <f>WO2025Jan710814161822242830323438404244464854565862646668707274766812161820222628[[#This Row],[Thresh]]</f>
        <v>1.1937184343434346E-3</v>
      </c>
      <c r="N27" s="28">
        <f>WO2025Jan710814161822242830323438404244464854565862646668707274766812161820222628[[#This Row],[Thresh]]*3</f>
        <v>3.5811553030303039E-3</v>
      </c>
      <c r="O27" s="25">
        <f>WO2025Jan710814161822242830323438404244464854565862646668707274766812161820222628[[#This Row],[CV]]</f>
        <v>1.1418176328502417E-3</v>
      </c>
      <c r="P27" s="28">
        <f>WO2025Jan710814161822242830323438404244464854565862646668707274766812161820222628[[#This Row],[CV]]*1.5</f>
        <v>1.7127264492753625E-3</v>
      </c>
      <c r="Q27" s="25">
        <f>WO2025Jan710814161822242830323438404244464854565862646668707274766812161820222628[[#This Row],[I]]</f>
        <v>1.0833333333333333E-3</v>
      </c>
      <c r="R27" s="25">
        <f>WO2025Jan710814161822242830323438404244464854565862646668707274766812161820222628[[#This Row],[I]]*4</f>
        <v>4.3333333333333331E-3</v>
      </c>
      <c r="S27" s="25">
        <f>WO2025Jan710814161822242830323438404244464854565862646668707274766812161820222628[[#This Row],[Thresh]]*1.5</f>
        <v>1.790577651515152E-3</v>
      </c>
      <c r="T27" s="28" t="s">
        <v>25</v>
      </c>
      <c r="U27" s="11"/>
      <c r="V27" s="28"/>
      <c r="W27" s="15" t="s">
        <v>35</v>
      </c>
      <c r="X27" s="52"/>
    </row>
    <row r="28" spans="1:24" ht="21" customHeight="1">
      <c r="A28" s="10" t="s">
        <v>76</v>
      </c>
      <c r="B28" s="11">
        <v>1.3541666666666667E-2</v>
      </c>
      <c r="C28" s="11"/>
      <c r="D28" s="11">
        <f>B28*E28</f>
        <v>7.8785416666666674E-3</v>
      </c>
      <c r="E28" s="12">
        <v>0.58179999999999998</v>
      </c>
      <c r="F28" s="11">
        <f>C28/4</f>
        <v>0</v>
      </c>
      <c r="G28" s="11">
        <f>D28/7.5</f>
        <v>1.0504722222222224E-3</v>
      </c>
      <c r="H28" s="11">
        <f>B28/12.5</f>
        <v>1.0833333333333333E-3</v>
      </c>
      <c r="I28" s="11">
        <f>G28/0.93</f>
        <v>1.1295400238948627E-3</v>
      </c>
      <c r="J28" s="11">
        <f>G28/0.92</f>
        <v>1.1418176328502417E-3</v>
      </c>
      <c r="K28" s="11">
        <f>G28/0.88</f>
        <v>1.1937184343434346E-3</v>
      </c>
      <c r="L28" s="11">
        <f>G28/0.84</f>
        <v>1.2505621693121695E-3</v>
      </c>
      <c r="M28" s="25">
        <f>WO2025Jan710814161822242830323438404244464854565862646668707274766812161820222628[[#This Row],[Thresh]]</f>
        <v>1.1937184343434346E-3</v>
      </c>
      <c r="N28" s="28">
        <f>WO2025Jan710814161822242830323438404244464854565862646668707274766812161820222628[[#This Row],[Thresh]]*3</f>
        <v>3.5811553030303039E-3</v>
      </c>
      <c r="O28" s="25">
        <f>WO2025Jan710814161822242830323438404244464854565862646668707274766812161820222628[[#This Row],[CV]]</f>
        <v>1.1418176328502417E-3</v>
      </c>
      <c r="P28" s="28">
        <f>WO2025Jan710814161822242830323438404244464854565862646668707274766812161820222628[[#This Row],[CV]]*1.5</f>
        <v>1.7127264492753625E-3</v>
      </c>
      <c r="Q28" s="25">
        <f>WO2025Jan710814161822242830323438404244464854565862646668707274766812161820222628[[#This Row],[I]]</f>
        <v>1.0833333333333333E-3</v>
      </c>
      <c r="R28" s="25">
        <f>WO2025Jan710814161822242830323438404244464854565862646668707274766812161820222628[[#This Row],[I]]*4</f>
        <v>4.3333333333333331E-3</v>
      </c>
      <c r="S28" s="25">
        <f>WO2025Jan710814161822242830323438404244464854565862646668707274766812161820222628[[#This Row],[Thresh]]*1.5</f>
        <v>1.790577651515152E-3</v>
      </c>
      <c r="T28" s="28" t="s">
        <v>25</v>
      </c>
      <c r="U28" s="11"/>
      <c r="V28" s="28"/>
      <c r="W28" s="15" t="s">
        <v>35</v>
      </c>
      <c r="X28" s="52"/>
    </row>
    <row r="29" spans="1:24" ht="21" customHeight="1" thickBot="1">
      <c r="A29" s="10" t="s">
        <v>73</v>
      </c>
      <c r="B29" s="11">
        <v>1.40625E-2</v>
      </c>
      <c r="C29" s="11">
        <v>4.3981481481481484E-3</v>
      </c>
      <c r="D29" s="11">
        <f t="shared" si="8"/>
        <v>8.1815624999999996E-3</v>
      </c>
      <c r="E29" s="12">
        <v>0.58179999999999998</v>
      </c>
      <c r="F29" s="11">
        <f t="shared" si="9"/>
        <v>1.0995370370370371E-3</v>
      </c>
      <c r="G29" s="11">
        <f t="shared" si="10"/>
        <v>1.090875E-3</v>
      </c>
      <c r="H29" s="11">
        <f t="shared" si="11"/>
        <v>1.1250000000000001E-3</v>
      </c>
      <c r="I29" s="11">
        <f t="shared" si="12"/>
        <v>1.172983870967742E-3</v>
      </c>
      <c r="J29" s="11">
        <f t="shared" si="13"/>
        <v>1.1857336956521739E-3</v>
      </c>
      <c r="K29" s="11">
        <f t="shared" si="14"/>
        <v>1.2396306818181818E-3</v>
      </c>
      <c r="L29" s="11">
        <f t="shared" si="15"/>
        <v>1.2986607142857144E-3</v>
      </c>
      <c r="M29" s="25">
        <f>WO2025Jan710814161822242830323438404244464854565862646668707274766812161820222628[[#This Row],[Thresh]]</f>
        <v>1.2396306818181818E-3</v>
      </c>
      <c r="N29" s="28">
        <f>WO2025Jan710814161822242830323438404244464854565862646668707274766812161820222628[[#This Row],[Thresh]]*3</f>
        <v>3.7188920454545452E-3</v>
      </c>
      <c r="O29" s="25">
        <f>WO2025Jan710814161822242830323438404244464854565862646668707274766812161820222628[[#This Row],[CV]]</f>
        <v>1.1857336956521739E-3</v>
      </c>
      <c r="P29" s="28">
        <f>WO2025Jan710814161822242830323438404244464854565862646668707274766812161820222628[[#This Row],[CV]]*1.5</f>
        <v>1.7786005434782608E-3</v>
      </c>
      <c r="Q29" s="25">
        <f>WO2025Jan710814161822242830323438404244464854565862646668707274766812161820222628[[#This Row],[I]]</f>
        <v>1.1250000000000001E-3</v>
      </c>
      <c r="R29" s="25">
        <f>WO2025Jan710814161822242830323438404244464854565862646668707274766812161820222628[[#This Row],[I]]*4</f>
        <v>4.5000000000000005E-3</v>
      </c>
      <c r="S29" s="25">
        <f>WO2025Jan710814161822242830323438404244464854565862646668707274766812161820222628[[#This Row],[Thresh]]*1.5</f>
        <v>1.8594460227272726E-3</v>
      </c>
      <c r="T29" s="28" t="s">
        <v>25</v>
      </c>
      <c r="U29" s="11"/>
      <c r="V29" s="28"/>
      <c r="W29" s="15" t="s">
        <v>35</v>
      </c>
      <c r="X29" s="52"/>
    </row>
    <row r="30" spans="1:24" ht="21" customHeight="1">
      <c r="A30" s="1" t="s">
        <v>240</v>
      </c>
      <c r="B30" s="6"/>
      <c r="C30" s="6"/>
      <c r="D30" s="6"/>
      <c r="E30" s="20"/>
      <c r="F30" s="6"/>
      <c r="G30" s="6"/>
      <c r="H30" s="6"/>
      <c r="I30" s="6"/>
      <c r="J30" s="6"/>
      <c r="K30" s="6"/>
      <c r="L30" s="6"/>
      <c r="M30" s="6" t="s">
        <v>12</v>
      </c>
      <c r="N30" s="6" t="s">
        <v>174</v>
      </c>
      <c r="O30" s="6" t="s">
        <v>14</v>
      </c>
      <c r="P30" s="6" t="s">
        <v>15</v>
      </c>
      <c r="Q30" s="6" t="s">
        <v>46</v>
      </c>
      <c r="R30" s="6"/>
      <c r="S30" s="6"/>
      <c r="T30" s="6"/>
      <c r="U30" s="6"/>
      <c r="V30" s="21"/>
      <c r="W30" s="35"/>
      <c r="X30" s="52"/>
    </row>
    <row r="31" spans="1:24" ht="21" customHeight="1">
      <c r="A31" s="10" t="s">
        <v>36</v>
      </c>
      <c r="B31" s="11">
        <v>1.2731481481481481E-2</v>
      </c>
      <c r="C31" s="11">
        <v>3.6458333333333334E-3</v>
      </c>
      <c r="D31" s="11">
        <f t="shared" ref="D31:D36" si="16">B31*E31</f>
        <v>7.4071759259259256E-3</v>
      </c>
      <c r="E31" s="12">
        <v>0.58179999999999998</v>
      </c>
      <c r="F31" s="11">
        <f t="shared" ref="F31:F36" si="17">C31/4</f>
        <v>9.1145833333333335E-4</v>
      </c>
      <c r="G31" s="11">
        <f t="shared" ref="G31:G36" si="18">D31/7.5</f>
        <v>9.8762345679012349E-4</v>
      </c>
      <c r="H31" s="11">
        <f t="shared" ref="H31:H36" si="19">B31/12.5</f>
        <v>1.0185185185185184E-3</v>
      </c>
      <c r="I31" s="11">
        <f t="shared" ref="I31:I36" si="20">G31/0.93</f>
        <v>1.0619607062259391E-3</v>
      </c>
      <c r="J31" s="11">
        <f t="shared" ref="J31:J36" si="21">G31/0.92</f>
        <v>1.073503757380569E-3</v>
      </c>
      <c r="K31" s="11">
        <f t="shared" ref="K31:K36" si="22">G31/0.88</f>
        <v>1.1222993827160494E-3</v>
      </c>
      <c r="L31" s="11">
        <f t="shared" ref="L31:L36" si="23">G31/0.84</f>
        <v>1.1757422104644328E-3</v>
      </c>
      <c r="M31" s="25">
        <f>WO2025Jan710814161822242830323438404244464854565862646668707274766812161820222628[[#This Row],[Thresh]]</f>
        <v>1.1222993827160494E-3</v>
      </c>
      <c r="N31" s="28">
        <f>WO2025Jan710814161822242830323438404244464854565862646668707274766812161820222628[[#This Row],[Thresh]]*3</f>
        <v>3.3668981481481484E-3</v>
      </c>
      <c r="O31" s="25">
        <f>WO2025Jan710814161822242830323438404244464854565862646668707274766812161820222628[[#This Row],[CV]]</f>
        <v>1.073503757380569E-3</v>
      </c>
      <c r="P31" s="28">
        <f>WO2025Jan710814161822242830323438404244464854565862646668707274766812161820222628[[#This Row],[CV]]*1.5</f>
        <v>1.6102556360708536E-3</v>
      </c>
      <c r="Q31" s="25" t="s">
        <v>25</v>
      </c>
      <c r="R31" s="25"/>
      <c r="S31" s="25"/>
      <c r="T31" s="25"/>
      <c r="U31" s="25"/>
      <c r="V31" s="25"/>
      <c r="W31" s="15" t="s">
        <v>48</v>
      </c>
      <c r="X31" s="52" t="s">
        <v>143</v>
      </c>
    </row>
    <row r="32" spans="1:24" ht="21" customHeight="1">
      <c r="A32" s="10" t="s">
        <v>74</v>
      </c>
      <c r="B32" s="11">
        <v>1.3020833333333334E-2</v>
      </c>
      <c r="C32" s="11">
        <v>3.7037037037037038E-3</v>
      </c>
      <c r="D32" s="11">
        <f>B32*E32</f>
        <v>7.5755208333333334E-3</v>
      </c>
      <c r="E32" s="12">
        <v>0.58179999999999998</v>
      </c>
      <c r="F32" s="11">
        <f>C32/4</f>
        <v>9.2592592592592596E-4</v>
      </c>
      <c r="G32" s="11">
        <f>D32/7.5</f>
        <v>1.0100694444444445E-3</v>
      </c>
      <c r="H32" s="11">
        <f>B32/12.5</f>
        <v>1.0416666666666667E-3</v>
      </c>
      <c r="I32" s="11">
        <f>G32/0.93</f>
        <v>1.0860961768219832E-3</v>
      </c>
      <c r="J32" s="11">
        <f>G32/0.92</f>
        <v>1.0979015700483092E-3</v>
      </c>
      <c r="K32" s="11">
        <f>G32/0.88</f>
        <v>1.1478061868686869E-3</v>
      </c>
      <c r="L32" s="11">
        <f>G32/0.84</f>
        <v>1.2024636243386244E-3</v>
      </c>
      <c r="M32" s="25">
        <f>WO2025Jan710814161822242830323438404244464854565862646668707274766812161820222628[[#This Row],[Thresh]]</f>
        <v>1.1478061868686869E-3</v>
      </c>
      <c r="N32" s="28">
        <f>WO2025Jan710814161822242830323438404244464854565862646668707274766812161820222628[[#This Row],[Thresh]]*3</f>
        <v>3.4434185606060609E-3</v>
      </c>
      <c r="O32" s="25">
        <f>WO2025Jan710814161822242830323438404244464854565862646668707274766812161820222628[[#This Row],[CV]]</f>
        <v>1.0979015700483092E-3</v>
      </c>
      <c r="P32" s="28">
        <f>WO2025Jan710814161822242830323438404244464854565862646668707274766812161820222628[[#This Row],[CV]]*1.5</f>
        <v>1.6468523550724639E-3</v>
      </c>
      <c r="Q32" s="25" t="s">
        <v>25</v>
      </c>
      <c r="R32" s="25"/>
      <c r="S32" s="25"/>
      <c r="T32" s="25"/>
      <c r="U32" s="25"/>
      <c r="V32" s="25"/>
      <c r="W32" s="15" t="s">
        <v>48</v>
      </c>
      <c r="X32" s="52"/>
    </row>
    <row r="33" spans="1:24" ht="21" customHeight="1">
      <c r="A33" s="10" t="s">
        <v>50</v>
      </c>
      <c r="B33" s="11">
        <v>1.3020833333333334E-2</v>
      </c>
      <c r="C33" s="11">
        <v>3.7037037037037038E-3</v>
      </c>
      <c r="D33" s="11">
        <f t="shared" si="16"/>
        <v>7.5755208333333334E-3</v>
      </c>
      <c r="E33" s="12">
        <v>0.58179999999999998</v>
      </c>
      <c r="F33" s="11">
        <f t="shared" si="17"/>
        <v>9.2592592592592596E-4</v>
      </c>
      <c r="G33" s="11">
        <f t="shared" si="18"/>
        <v>1.0100694444444445E-3</v>
      </c>
      <c r="H33" s="11">
        <f t="shared" si="19"/>
        <v>1.0416666666666667E-3</v>
      </c>
      <c r="I33" s="11">
        <f t="shared" si="20"/>
        <v>1.0860961768219832E-3</v>
      </c>
      <c r="J33" s="11">
        <f t="shared" si="21"/>
        <v>1.0979015700483092E-3</v>
      </c>
      <c r="K33" s="11">
        <f t="shared" si="22"/>
        <v>1.1478061868686869E-3</v>
      </c>
      <c r="L33" s="11">
        <f t="shared" si="23"/>
        <v>1.2024636243386244E-3</v>
      </c>
      <c r="M33" s="25">
        <f>WO2025Jan710814161822242830323438404244464854565862646668707274766812161820222628[[#This Row],[Thresh]]</f>
        <v>1.1478061868686869E-3</v>
      </c>
      <c r="N33" s="28">
        <f>WO2025Jan710814161822242830323438404244464854565862646668707274766812161820222628[[#This Row],[Thresh]]*3</f>
        <v>3.4434185606060609E-3</v>
      </c>
      <c r="O33" s="25">
        <f>WO2025Jan710814161822242830323438404244464854565862646668707274766812161820222628[[#This Row],[CV]]</f>
        <v>1.0979015700483092E-3</v>
      </c>
      <c r="P33" s="28">
        <f>WO2025Jan710814161822242830323438404244464854565862646668707274766812161820222628[[#This Row],[CV]]*1.5</f>
        <v>1.6468523550724639E-3</v>
      </c>
      <c r="Q33" s="25" t="s">
        <v>25</v>
      </c>
      <c r="R33" s="25"/>
      <c r="S33" s="25"/>
      <c r="T33" s="25"/>
      <c r="U33" s="25"/>
      <c r="V33" s="25"/>
      <c r="W33" s="15" t="s">
        <v>48</v>
      </c>
      <c r="X33" s="52"/>
    </row>
    <row r="34" spans="1:24" ht="21" customHeight="1">
      <c r="A34" s="10" t="s">
        <v>47</v>
      </c>
      <c r="B34" s="11">
        <v>1.3020833333333334E-2</v>
      </c>
      <c r="C34" s="11">
        <v>3.7037037037037038E-3</v>
      </c>
      <c r="D34" s="11">
        <f t="shared" si="16"/>
        <v>7.5755208333333334E-3</v>
      </c>
      <c r="E34" s="12">
        <v>0.58179999999999998</v>
      </c>
      <c r="F34" s="11">
        <f t="shared" si="17"/>
        <v>9.2592592592592596E-4</v>
      </c>
      <c r="G34" s="11">
        <f t="shared" si="18"/>
        <v>1.0100694444444445E-3</v>
      </c>
      <c r="H34" s="11">
        <f t="shared" si="19"/>
        <v>1.0416666666666667E-3</v>
      </c>
      <c r="I34" s="11">
        <f t="shared" si="20"/>
        <v>1.0860961768219832E-3</v>
      </c>
      <c r="J34" s="11">
        <f t="shared" si="21"/>
        <v>1.0979015700483092E-3</v>
      </c>
      <c r="K34" s="11">
        <f t="shared" si="22"/>
        <v>1.1478061868686869E-3</v>
      </c>
      <c r="L34" s="11">
        <f t="shared" si="23"/>
        <v>1.2024636243386244E-3</v>
      </c>
      <c r="M34" s="25">
        <f>WO2025Jan710814161822242830323438404244464854565862646668707274766812161820222628[[#This Row],[Thresh]]</f>
        <v>1.1478061868686869E-3</v>
      </c>
      <c r="N34" s="28">
        <f>WO2025Jan710814161822242830323438404244464854565862646668707274766812161820222628[[#This Row],[Thresh]]*3</f>
        <v>3.4434185606060609E-3</v>
      </c>
      <c r="O34" s="25">
        <f>WO2025Jan710814161822242830323438404244464854565862646668707274766812161820222628[[#This Row],[CV]]</f>
        <v>1.0979015700483092E-3</v>
      </c>
      <c r="P34" s="28">
        <f>WO2025Jan710814161822242830323438404244464854565862646668707274766812161820222628[[#This Row],[CV]]*1.5</f>
        <v>1.6468523550724639E-3</v>
      </c>
      <c r="Q34" s="25" t="s">
        <v>25</v>
      </c>
      <c r="R34" s="25"/>
      <c r="S34" s="25"/>
      <c r="T34" s="25"/>
      <c r="U34" s="25"/>
      <c r="V34" s="25"/>
      <c r="W34" s="15" t="s">
        <v>48</v>
      </c>
      <c r="X34" s="52"/>
    </row>
    <row r="35" spans="1:24" ht="21" customHeight="1">
      <c r="A35" s="10" t="s">
        <v>75</v>
      </c>
      <c r="B35" s="11">
        <v>1.3541666666666667E-2</v>
      </c>
      <c r="C35" s="11">
        <v>3.8194444444444443E-3</v>
      </c>
      <c r="D35" s="11">
        <f>B35*E35</f>
        <v>7.8785416666666674E-3</v>
      </c>
      <c r="E35" s="12">
        <v>0.58179999999999998</v>
      </c>
      <c r="F35" s="11">
        <f>C35/4</f>
        <v>9.5486111111111108E-4</v>
      </c>
      <c r="G35" s="11">
        <f>D35/7.5</f>
        <v>1.0504722222222224E-3</v>
      </c>
      <c r="H35" s="11">
        <f>B35/12.5</f>
        <v>1.0833333333333333E-3</v>
      </c>
      <c r="I35" s="11">
        <f>G35/0.93</f>
        <v>1.1295400238948627E-3</v>
      </c>
      <c r="J35" s="11">
        <f>G35/0.92</f>
        <v>1.1418176328502417E-3</v>
      </c>
      <c r="K35" s="11">
        <f>G35/0.88</f>
        <v>1.1937184343434346E-3</v>
      </c>
      <c r="L35" s="11">
        <f>G35/0.84</f>
        <v>1.2505621693121695E-3</v>
      </c>
      <c r="M35" s="25">
        <f>WO2025Jan710814161822242830323438404244464854565862646668707274766812161820222628[[#This Row],[Thresh]]</f>
        <v>1.1937184343434346E-3</v>
      </c>
      <c r="N35" s="28">
        <f>WO2025Jan710814161822242830323438404244464854565862646668707274766812161820222628[[#This Row],[Thresh]]*3</f>
        <v>3.5811553030303039E-3</v>
      </c>
      <c r="O35" s="25">
        <f>WO2025Jan710814161822242830323438404244464854565862646668707274766812161820222628[[#This Row],[CV]]</f>
        <v>1.1418176328502417E-3</v>
      </c>
      <c r="P35" s="28">
        <f>WO2025Jan710814161822242830323438404244464854565862646668707274766812161820222628[[#This Row],[CV]]*1.5</f>
        <v>1.7127264492753625E-3</v>
      </c>
      <c r="Q35" s="25" t="s">
        <v>25</v>
      </c>
      <c r="R35" s="25"/>
      <c r="S35" s="25"/>
      <c r="T35" s="25"/>
      <c r="U35" s="25"/>
      <c r="V35" s="25"/>
      <c r="W35" s="15" t="s">
        <v>48</v>
      </c>
      <c r="X35" s="52"/>
    </row>
    <row r="36" spans="1:24" ht="21" customHeight="1">
      <c r="A36" s="10" t="s">
        <v>198</v>
      </c>
      <c r="B36" s="11">
        <v>1.4583333333333334E-2</v>
      </c>
      <c r="C36" s="11">
        <v>4.1666666666666666E-3</v>
      </c>
      <c r="D36" s="11">
        <f t="shared" si="16"/>
        <v>8.4845833333333336E-3</v>
      </c>
      <c r="E36" s="12">
        <v>0.58179999999999998</v>
      </c>
      <c r="F36" s="11">
        <f t="shared" si="17"/>
        <v>1.0416666666666667E-3</v>
      </c>
      <c r="G36" s="11">
        <f t="shared" si="18"/>
        <v>1.1312777777777777E-3</v>
      </c>
      <c r="H36" s="11">
        <f t="shared" si="19"/>
        <v>1.1666666666666668E-3</v>
      </c>
      <c r="I36" s="11">
        <f t="shared" si="20"/>
        <v>1.2164277180406211E-3</v>
      </c>
      <c r="J36" s="11">
        <f t="shared" si="21"/>
        <v>1.2296497584541061E-3</v>
      </c>
      <c r="K36" s="11">
        <f t="shared" si="22"/>
        <v>1.2855429292929293E-3</v>
      </c>
      <c r="L36" s="11">
        <f t="shared" si="23"/>
        <v>1.3467592592592591E-3</v>
      </c>
      <c r="M36" s="25">
        <v>1.2396306818181818E-3</v>
      </c>
      <c r="N36" s="28">
        <v>3.7188920454545452E-3</v>
      </c>
      <c r="O36" s="25">
        <v>1.1857336956521739E-3</v>
      </c>
      <c r="P36" s="28">
        <v>1.7786005434782608E-3</v>
      </c>
      <c r="Q36" s="25" t="s">
        <v>25</v>
      </c>
      <c r="R36" s="25"/>
      <c r="S36" s="25"/>
      <c r="T36" s="25"/>
      <c r="U36" s="25"/>
      <c r="V36" s="25"/>
      <c r="W36" s="15" t="s">
        <v>48</v>
      </c>
      <c r="X36" s="52"/>
    </row>
    <row r="37" spans="1:24" ht="21" customHeight="1">
      <c r="A37" s="10"/>
      <c r="B37" s="11"/>
      <c r="C37" s="11"/>
      <c r="D37" s="11"/>
      <c r="E37" s="12"/>
      <c r="F37" s="11"/>
      <c r="G37" s="11"/>
      <c r="H37" s="11"/>
      <c r="I37" s="11"/>
      <c r="J37" s="11"/>
      <c r="K37" s="11"/>
      <c r="L37" s="11"/>
      <c r="M37" s="13"/>
      <c r="N37" s="11"/>
      <c r="O37" s="11"/>
      <c r="P37" s="11"/>
      <c r="Q37" s="14"/>
      <c r="R37" s="11"/>
      <c r="S37" s="14"/>
      <c r="T37" s="14"/>
      <c r="U37" s="14"/>
      <c r="V37" s="17"/>
      <c r="W37" s="18"/>
      <c r="X37" s="52"/>
    </row>
    <row r="38" spans="1:24" ht="21" customHeight="1">
      <c r="A38" s="19"/>
      <c r="B38" s="6"/>
      <c r="C38" s="6"/>
      <c r="D38" s="6"/>
      <c r="E38" s="20"/>
      <c r="F38" s="6"/>
      <c r="G38" s="6"/>
      <c r="H38" s="6"/>
      <c r="I38" s="6"/>
      <c r="J38" s="6"/>
      <c r="K38" s="6"/>
      <c r="L38" s="6"/>
      <c r="M38" s="6"/>
      <c r="N38" s="6"/>
      <c r="O38" s="6"/>
      <c r="P38" s="6"/>
      <c r="Q38" s="6"/>
      <c r="R38" s="6"/>
      <c r="S38" s="6"/>
      <c r="T38" s="6"/>
      <c r="U38" s="6"/>
      <c r="V38" s="6"/>
      <c r="W38" s="35"/>
      <c r="X38" s="52"/>
    </row>
    <row r="39" spans="1:24" ht="21" customHeight="1">
      <c r="A39" s="10" t="s">
        <v>57</v>
      </c>
      <c r="B39" s="11"/>
      <c r="C39" s="11"/>
      <c r="D39" s="11"/>
      <c r="E39" s="12"/>
      <c r="F39" s="11"/>
      <c r="G39" s="11"/>
      <c r="H39" s="11"/>
      <c r="I39" s="11"/>
      <c r="J39" s="11"/>
      <c r="K39" s="11"/>
      <c r="L39" s="11"/>
      <c r="M39" s="25"/>
      <c r="N39" s="28"/>
      <c r="O39" s="25"/>
      <c r="P39" s="28"/>
      <c r="Q39" s="25"/>
      <c r="R39" s="28"/>
      <c r="S39" s="28"/>
      <c r="T39" s="11"/>
      <c r="U39" s="11"/>
      <c r="V39" s="11"/>
      <c r="W39" s="15" t="s">
        <v>52</v>
      </c>
      <c r="X39" s="52"/>
    </row>
    <row r="40" spans="1:24" ht="21" customHeight="1">
      <c r="A40" s="10" t="s">
        <v>61</v>
      </c>
      <c r="B40" s="11">
        <v>1.4583333333333334E-2</v>
      </c>
      <c r="C40" s="11">
        <v>4.3981481481481484E-3</v>
      </c>
      <c r="D40" s="11">
        <f>B40*E40</f>
        <v>8.4845833333333336E-3</v>
      </c>
      <c r="E40" s="12">
        <v>0.58179999999999998</v>
      </c>
      <c r="F40" s="11">
        <f>C40/4</f>
        <v>1.0995370370370371E-3</v>
      </c>
      <c r="G40" s="11">
        <f>D40/7.5</f>
        <v>1.1312777777777777E-3</v>
      </c>
      <c r="H40" s="11">
        <f>B40/12.5</f>
        <v>1.1666666666666668E-3</v>
      </c>
      <c r="I40" s="11">
        <f>G40/0.93</f>
        <v>1.2164277180406211E-3</v>
      </c>
      <c r="J40" s="11">
        <f>G40/0.92</f>
        <v>1.2296497584541061E-3</v>
      </c>
      <c r="K40" s="11">
        <f>G40/0.88</f>
        <v>1.2855429292929293E-3</v>
      </c>
      <c r="L40" s="11">
        <f>G40/0.84</f>
        <v>1.3467592592592591E-3</v>
      </c>
      <c r="M40" s="25"/>
      <c r="N40" s="28"/>
      <c r="O40" s="25"/>
      <c r="P40" s="25"/>
      <c r="Q40" s="25"/>
      <c r="R40" s="25"/>
      <c r="S40" s="28"/>
      <c r="T40" s="28"/>
      <c r="U40" s="28"/>
      <c r="V40" s="28"/>
      <c r="W40" s="15"/>
      <c r="X40" s="52"/>
    </row>
    <row r="41" spans="1:24" ht="21" customHeight="1">
      <c r="A41" s="39"/>
      <c r="B41" s="40"/>
      <c r="C41" s="40"/>
      <c r="D41" s="40"/>
      <c r="E41" s="41"/>
      <c r="F41" s="40"/>
      <c r="G41" s="40"/>
      <c r="H41" s="40"/>
      <c r="I41" s="40"/>
      <c r="J41" s="40"/>
      <c r="K41" s="40"/>
      <c r="L41" s="40"/>
      <c r="M41" s="40" t="s">
        <v>39</v>
      </c>
      <c r="N41" s="40"/>
      <c r="O41" s="40"/>
      <c r="P41" s="40"/>
      <c r="Q41" s="40"/>
      <c r="R41" s="40"/>
      <c r="S41" s="40"/>
      <c r="T41" s="40"/>
      <c r="U41" s="40"/>
      <c r="V41" s="40"/>
      <c r="W41" s="42"/>
      <c r="X41" s="52"/>
    </row>
    <row r="42" spans="1:24" ht="21" customHeight="1">
      <c r="A42" s="39"/>
      <c r="B42" s="40"/>
      <c r="C42" s="40"/>
      <c r="D42" s="40"/>
      <c r="E42" s="41"/>
      <c r="F42" s="40"/>
      <c r="G42" s="40"/>
      <c r="H42" s="40"/>
      <c r="I42" s="40"/>
      <c r="J42" s="40"/>
      <c r="K42" s="40"/>
      <c r="L42" s="40"/>
      <c r="M42" s="40"/>
      <c r="N42" s="40"/>
      <c r="O42" s="40"/>
      <c r="P42" s="40"/>
      <c r="Q42" s="40"/>
      <c r="R42" s="40"/>
      <c r="S42" s="40"/>
      <c r="T42" s="40"/>
      <c r="U42" s="40"/>
      <c r="V42" s="40"/>
      <c r="W42" s="42"/>
      <c r="X42" s="52"/>
    </row>
    <row r="43" spans="1:24" ht="21" customHeight="1">
      <c r="A43" s="39"/>
      <c r="B43" s="40"/>
      <c r="C43" s="40"/>
      <c r="D43" s="40"/>
      <c r="E43" s="41"/>
      <c r="F43" s="40"/>
      <c r="G43" s="40"/>
      <c r="H43" s="40"/>
      <c r="I43" s="40"/>
      <c r="J43" s="40"/>
      <c r="K43" s="40"/>
      <c r="L43" s="40"/>
      <c r="M43" s="40"/>
      <c r="N43" s="40"/>
      <c r="O43" s="40"/>
      <c r="P43" s="40"/>
      <c r="Q43" s="40"/>
      <c r="R43" s="40"/>
      <c r="S43" s="40"/>
      <c r="T43" s="40"/>
      <c r="U43" s="40"/>
      <c r="V43" s="40"/>
      <c r="W43" s="42"/>
      <c r="X43" s="52"/>
    </row>
    <row r="44" spans="1:24" ht="21" customHeight="1">
      <c r="A44" s="10"/>
      <c r="B44" s="11"/>
      <c r="C44" s="11"/>
      <c r="D44" s="11"/>
      <c r="E44" s="12"/>
      <c r="F44" s="11"/>
      <c r="G44" s="11"/>
      <c r="H44" s="11"/>
      <c r="I44" s="11"/>
      <c r="J44" s="11"/>
      <c r="K44" s="11"/>
      <c r="L44" s="11"/>
      <c r="M44" s="25"/>
      <c r="N44" s="28"/>
      <c r="O44" s="25"/>
      <c r="P44" s="28"/>
      <c r="Q44" s="25"/>
      <c r="R44" s="11"/>
      <c r="S44" s="14"/>
      <c r="T44" s="11"/>
      <c r="U44" s="11"/>
      <c r="V44" s="17"/>
      <c r="W44" s="18"/>
      <c r="X44" s="52"/>
    </row>
    <row r="45" spans="1:24" ht="21" customHeight="1">
      <c r="A45" s="10"/>
      <c r="B45" s="11"/>
      <c r="C45" s="11"/>
      <c r="D45" s="11"/>
      <c r="E45" s="12"/>
      <c r="F45" s="11"/>
      <c r="G45" s="11"/>
      <c r="H45" s="11"/>
      <c r="I45" s="11"/>
      <c r="J45" s="11"/>
      <c r="K45" s="11"/>
      <c r="L45" s="11"/>
      <c r="M45" s="25"/>
      <c r="N45" s="28"/>
      <c r="O45" s="25"/>
      <c r="P45" s="11"/>
      <c r="Q45" s="14"/>
      <c r="R45" s="11"/>
      <c r="S45" s="14"/>
      <c r="T45" s="14"/>
      <c r="U45" s="14"/>
      <c r="V45" s="17"/>
      <c r="W45" s="18"/>
      <c r="X45" s="52"/>
    </row>
    <row r="46" spans="1:24" ht="21" customHeight="1">
      <c r="A46" s="10"/>
      <c r="B46" s="11"/>
      <c r="C46" s="11"/>
      <c r="D46" s="11"/>
      <c r="E46" s="12"/>
      <c r="F46" s="11"/>
      <c r="G46" s="11"/>
      <c r="H46" s="11"/>
      <c r="I46" s="11"/>
      <c r="J46" s="11"/>
      <c r="K46" s="11"/>
      <c r="L46" s="11"/>
      <c r="M46" s="45"/>
      <c r="N46" s="11"/>
      <c r="O46" s="11"/>
      <c r="P46" s="11"/>
      <c r="Q46" s="14"/>
      <c r="R46" s="11"/>
      <c r="S46" s="14"/>
      <c r="T46" s="11"/>
      <c r="U46" s="14"/>
      <c r="V46" s="17"/>
      <c r="W46" s="18"/>
      <c r="X46" s="52"/>
    </row>
    <row r="47" spans="1:24" ht="21" customHeight="1">
      <c r="A47" s="10"/>
      <c r="B47" s="11"/>
      <c r="C47" s="11"/>
      <c r="D47" s="11"/>
      <c r="E47" s="12"/>
      <c r="F47" s="11"/>
      <c r="G47" s="11"/>
      <c r="H47" s="11"/>
      <c r="I47" s="11"/>
      <c r="J47" s="11"/>
      <c r="K47" s="11"/>
      <c r="L47" s="11"/>
      <c r="M47" s="45"/>
      <c r="N47" s="11"/>
      <c r="O47" s="11"/>
      <c r="P47" s="11"/>
      <c r="Q47" s="14"/>
      <c r="R47" s="11"/>
      <c r="S47" s="14"/>
      <c r="T47" s="11"/>
      <c r="U47" s="14"/>
      <c r="V47" s="17"/>
      <c r="W47" s="18"/>
      <c r="X47" s="52"/>
    </row>
    <row r="48" spans="1:24" ht="21" customHeight="1">
      <c r="A48" s="10"/>
      <c r="B48" s="11"/>
      <c r="C48" s="11"/>
      <c r="D48" s="11"/>
      <c r="E48" s="12"/>
      <c r="F48" s="11"/>
      <c r="G48" s="11"/>
      <c r="H48" s="11"/>
      <c r="I48" s="11"/>
      <c r="J48" s="11"/>
      <c r="K48" s="11"/>
      <c r="L48" s="11"/>
      <c r="M48" s="14"/>
      <c r="N48" s="11"/>
      <c r="O48" s="14"/>
      <c r="P48" s="11"/>
      <c r="Q48" s="14"/>
      <c r="R48" s="11"/>
      <c r="S48" s="14"/>
      <c r="T48" s="14"/>
      <c r="U48" s="14"/>
      <c r="V48" s="11"/>
      <c r="W48" s="15"/>
      <c r="X48" s="52"/>
    </row>
    <row r="49" spans="1:24" ht="21" customHeight="1">
      <c r="A49" s="10"/>
      <c r="B49" s="11"/>
      <c r="C49" s="11"/>
      <c r="D49" s="11"/>
      <c r="E49" s="12"/>
      <c r="F49" s="11"/>
      <c r="G49" s="11"/>
      <c r="H49" s="11"/>
      <c r="I49" s="11"/>
      <c r="J49" s="11"/>
      <c r="K49" s="11"/>
      <c r="L49" s="11"/>
      <c r="M49" s="14"/>
      <c r="O49" s="14"/>
      <c r="P49" s="11"/>
      <c r="Q49" s="14"/>
      <c r="R49" s="11"/>
      <c r="S49" s="14"/>
      <c r="T49" s="14"/>
      <c r="U49" s="14"/>
      <c r="V49" s="11"/>
      <c r="W49" s="15"/>
      <c r="X49" s="52"/>
    </row>
    <row r="50" spans="1:24" ht="21" customHeight="1">
      <c r="A50" s="10"/>
      <c r="B50" s="11"/>
      <c r="C50" s="11"/>
      <c r="D50" s="11"/>
      <c r="E50" s="12"/>
      <c r="F50" s="11"/>
      <c r="G50" s="11"/>
      <c r="H50" s="11"/>
      <c r="I50" s="11"/>
      <c r="J50" s="11"/>
      <c r="K50" s="11"/>
      <c r="L50" s="11"/>
      <c r="M50" s="13"/>
      <c r="N50" s="11"/>
      <c r="O50" s="11"/>
      <c r="P50" s="11"/>
      <c r="Q50" s="14"/>
      <c r="R50" s="11"/>
      <c r="S50" s="14"/>
      <c r="T50" s="14"/>
      <c r="U50" s="14"/>
      <c r="V50" s="17"/>
      <c r="W50" s="18"/>
      <c r="X50" s="52"/>
    </row>
    <row r="51" spans="1:24" ht="21" customHeight="1">
      <c r="A51" s="10"/>
      <c r="B51" s="11"/>
      <c r="C51" s="11"/>
      <c r="D51" s="11"/>
      <c r="E51" s="12"/>
      <c r="F51" s="11"/>
      <c r="G51" s="11"/>
      <c r="H51" s="11"/>
      <c r="I51" s="11"/>
      <c r="J51" s="11"/>
      <c r="K51" s="11"/>
      <c r="L51" s="11"/>
      <c r="M51" s="13"/>
      <c r="N51" s="11"/>
      <c r="O51" s="11"/>
      <c r="P51" s="11"/>
      <c r="Q51" s="14"/>
      <c r="R51" s="11"/>
      <c r="S51" s="14"/>
      <c r="T51" s="14"/>
      <c r="U51" s="14"/>
      <c r="V51" s="17"/>
      <c r="W51" s="18"/>
      <c r="X51" s="52"/>
    </row>
    <row r="52" spans="1:24" ht="21" customHeight="1">
      <c r="A52" s="10"/>
      <c r="B52" s="11"/>
      <c r="C52" s="11"/>
      <c r="D52" s="11"/>
      <c r="E52" s="12"/>
      <c r="F52" s="11"/>
      <c r="G52" s="11"/>
      <c r="H52" s="11"/>
      <c r="I52" s="11"/>
      <c r="J52" s="11"/>
      <c r="K52" s="11"/>
      <c r="L52" s="11"/>
      <c r="M52" s="14"/>
      <c r="N52" s="11"/>
      <c r="O52" s="14"/>
      <c r="P52" s="11"/>
      <c r="Q52" s="14"/>
      <c r="R52" s="11"/>
      <c r="S52" s="14"/>
      <c r="T52" s="14"/>
      <c r="U52" s="14"/>
      <c r="V52" s="11"/>
      <c r="W52" s="15"/>
      <c r="X52" s="52"/>
    </row>
    <row r="53" spans="1:24" ht="21" customHeight="1">
      <c r="A53" s="10"/>
      <c r="B53" s="11"/>
      <c r="C53" s="11"/>
      <c r="D53" s="11"/>
      <c r="E53" s="12"/>
      <c r="F53" s="11"/>
      <c r="G53" s="11"/>
      <c r="H53" s="11"/>
      <c r="I53" s="11"/>
      <c r="J53" s="11"/>
      <c r="K53" s="11"/>
      <c r="L53" s="17"/>
      <c r="M53" s="14"/>
      <c r="N53" s="11"/>
      <c r="O53" s="11"/>
      <c r="P53" s="11"/>
      <c r="Q53" s="14"/>
      <c r="R53" s="11"/>
      <c r="S53" s="14"/>
      <c r="T53" s="11"/>
      <c r="U53" s="11"/>
      <c r="V53" s="11"/>
      <c r="W53" s="15"/>
      <c r="X53" s="52"/>
    </row>
    <row r="54" spans="1:24" ht="21" customHeight="1">
      <c r="A54" s="10"/>
      <c r="B54" s="11"/>
      <c r="C54" s="11"/>
      <c r="D54" s="11"/>
      <c r="E54" s="12"/>
      <c r="F54" s="11"/>
      <c r="G54" s="11"/>
      <c r="H54" s="11"/>
      <c r="I54" s="11"/>
      <c r="J54" s="11"/>
      <c r="K54" s="11"/>
      <c r="L54" s="11"/>
      <c r="M54" s="13"/>
      <c r="N54" s="11"/>
      <c r="O54" s="11"/>
      <c r="P54" s="11"/>
      <c r="Q54" s="14"/>
      <c r="R54" s="11"/>
      <c r="S54" s="14"/>
      <c r="T54" s="14"/>
      <c r="U54" s="14"/>
      <c r="V54" s="17"/>
      <c r="W54" s="18"/>
      <c r="X54" s="52"/>
    </row>
    <row r="55" spans="1:24" ht="21" customHeight="1">
      <c r="A55" s="10"/>
      <c r="B55" s="11"/>
      <c r="C55" s="11"/>
      <c r="D55" s="11"/>
      <c r="E55" s="12"/>
      <c r="F55" s="11"/>
      <c r="G55" s="11"/>
      <c r="H55" s="11"/>
      <c r="I55" s="11"/>
      <c r="J55" s="11"/>
      <c r="K55" s="11"/>
      <c r="L55" s="11"/>
      <c r="M55" s="13"/>
      <c r="N55" s="11"/>
      <c r="O55" s="14"/>
      <c r="P55" s="11"/>
      <c r="Q55" s="14"/>
      <c r="R55" s="11"/>
      <c r="S55" s="14"/>
      <c r="T55" s="14"/>
      <c r="U55" s="14"/>
      <c r="V55" s="11"/>
      <c r="W55" s="18"/>
      <c r="X55" s="52"/>
    </row>
    <row r="56" spans="1:24" ht="21" customHeight="1">
      <c r="A56" s="10"/>
      <c r="B56" s="11"/>
      <c r="C56" s="11"/>
      <c r="D56" s="11"/>
      <c r="E56" s="12"/>
      <c r="F56" s="11"/>
      <c r="G56" s="11"/>
      <c r="H56" s="11"/>
      <c r="I56" s="11"/>
      <c r="J56" s="11"/>
      <c r="K56" s="11"/>
      <c r="L56" s="11"/>
      <c r="M56" s="13"/>
      <c r="N56" s="11"/>
      <c r="O56" s="11"/>
      <c r="P56" s="11"/>
      <c r="Q56" s="14"/>
      <c r="R56" s="11"/>
      <c r="S56" s="14"/>
      <c r="T56" s="14"/>
      <c r="U56" s="14"/>
      <c r="V56" s="17"/>
      <c r="W56" s="18"/>
      <c r="X56" s="52"/>
    </row>
    <row r="57" spans="1:24" ht="21" customHeight="1" thickBot="1">
      <c r="A57" s="10"/>
      <c r="B57" s="11"/>
      <c r="C57" s="11"/>
      <c r="D57" s="11"/>
      <c r="E57" s="12"/>
      <c r="F57" s="11"/>
      <c r="G57" s="11"/>
      <c r="H57" s="11"/>
      <c r="I57" s="11"/>
      <c r="J57" s="11"/>
      <c r="K57" s="11"/>
      <c r="L57" s="11"/>
      <c r="M57" s="13"/>
      <c r="N57" s="11"/>
      <c r="O57" s="11"/>
      <c r="P57" s="11"/>
      <c r="Q57" s="14"/>
      <c r="R57" s="11"/>
      <c r="S57" s="14"/>
      <c r="T57" s="14"/>
      <c r="U57" s="14"/>
      <c r="V57" s="17"/>
      <c r="W57" s="18"/>
      <c r="X57" s="52"/>
    </row>
    <row r="58" spans="1:24" ht="20.45" customHeight="1">
      <c r="A58" s="1" t="s">
        <v>240</v>
      </c>
      <c r="B58" s="2" t="s">
        <v>1</v>
      </c>
      <c r="C58" s="2" t="s">
        <v>2</v>
      </c>
      <c r="D58" s="2" t="s">
        <v>3</v>
      </c>
      <c r="E58" s="3" t="s">
        <v>4</v>
      </c>
      <c r="F58" s="2" t="s">
        <v>5</v>
      </c>
      <c r="G58" s="2" t="s">
        <v>6</v>
      </c>
      <c r="H58" s="2" t="s">
        <v>7</v>
      </c>
      <c r="I58" s="4" t="s">
        <v>8</v>
      </c>
      <c r="J58" s="2" t="s">
        <v>9</v>
      </c>
      <c r="K58" s="2" t="s">
        <v>10</v>
      </c>
      <c r="L58" s="2" t="s">
        <v>11</v>
      </c>
      <c r="M58" s="6" t="s">
        <v>12</v>
      </c>
      <c r="N58" s="6" t="s">
        <v>174</v>
      </c>
      <c r="O58" s="7" t="s">
        <v>146</v>
      </c>
      <c r="P58" s="8" t="s">
        <v>17</v>
      </c>
      <c r="Q58" s="8" t="s">
        <v>245</v>
      </c>
      <c r="R58" s="7" t="s">
        <v>155</v>
      </c>
      <c r="S58" s="7" t="s">
        <v>149</v>
      </c>
      <c r="T58" s="7" t="s">
        <v>77</v>
      </c>
      <c r="U58" s="7" t="s">
        <v>20</v>
      </c>
      <c r="V58" s="8" t="s">
        <v>21</v>
      </c>
      <c r="W58" s="24" t="s">
        <v>22</v>
      </c>
      <c r="X58" s="52" t="s">
        <v>246</v>
      </c>
    </row>
    <row r="59" spans="1:24" ht="20.45" customHeight="1">
      <c r="A59" s="10" t="s">
        <v>79</v>
      </c>
      <c r="B59" s="11">
        <v>9.8379629629629633E-3</v>
      </c>
      <c r="C59" s="11">
        <v>2.9745370370370373E-3</v>
      </c>
      <c r="D59" s="11">
        <f>B59*E59</f>
        <v>5.7237268518518522E-3</v>
      </c>
      <c r="E59" s="12">
        <v>0.58179999999999998</v>
      </c>
      <c r="F59" s="11">
        <f>C59/4</f>
        <v>7.4363425925925931E-4</v>
      </c>
      <c r="G59" s="11">
        <f>D59/7.5</f>
        <v>7.6316358024691364E-4</v>
      </c>
      <c r="H59" s="11">
        <f>B59/12.5</f>
        <v>7.8703703703703705E-4</v>
      </c>
      <c r="I59" s="11">
        <f>G59/0.93</f>
        <v>8.2060600026549854E-4</v>
      </c>
      <c r="J59" s="11">
        <f>G59/0.92</f>
        <v>8.29525630703167E-4</v>
      </c>
      <c r="K59" s="11">
        <f>G59/0.88</f>
        <v>8.6723134118967459E-4</v>
      </c>
      <c r="L59" s="11">
        <f>G59/0.84</f>
        <v>9.085280717225163E-4</v>
      </c>
      <c r="M59" s="25">
        <f>WO2025Jan7men11915171923252931333539414345474955575963656769717375777913171921232729[[#This Row],[Thresh]]</f>
        <v>8.6723134118967459E-4</v>
      </c>
      <c r="N59" s="28">
        <f>WO2025Jan7men11915171923252931333539414345474955575963656769717375777913171921232729[[#This Row],[Thresh]]*3</f>
        <v>2.6016940235690238E-3</v>
      </c>
      <c r="O59" s="25">
        <f>WO2025Jan7men11915171923252931333539414345474955575963656769717375777913171921232729[[#This Row],[CV]]</f>
        <v>8.29525630703167E-4</v>
      </c>
      <c r="P59" s="28">
        <f>WO2025Jan7men11915171923252931333539414345474955575963656769717375777913171921232729[[#This Row],[I]]</f>
        <v>7.8703703703703705E-4</v>
      </c>
      <c r="Q59" s="25">
        <f>WO2025Jan7men11915171923252931333539414345474955575963656769717375777913171921232729[[#This Row],[I]]*5</f>
        <v>3.9351851851851857E-3</v>
      </c>
      <c r="R59" s="28">
        <f>WO2025Jan7men11915171923252931333539414345474955575963656769717375777913171921232729[[#This Row],[Thresh]]*2</f>
        <v>1.7344626823793492E-3</v>
      </c>
      <c r="S59" s="25"/>
      <c r="T59" s="25"/>
      <c r="U59" s="28"/>
      <c r="V59" s="25"/>
      <c r="W59" s="15" t="s">
        <v>26</v>
      </c>
      <c r="X59" s="52"/>
    </row>
    <row r="60" spans="1:24" ht="20.45" customHeight="1">
      <c r="A60" s="10" t="s">
        <v>109</v>
      </c>
      <c r="B60" s="11">
        <v>9.8379629629629633E-3</v>
      </c>
      <c r="C60" s="11">
        <v>2.9745370370370373E-3</v>
      </c>
      <c r="D60" s="11">
        <f>B60*E60</f>
        <v>5.7237268518518522E-3</v>
      </c>
      <c r="E60" s="12">
        <v>0.58179999999999998</v>
      </c>
      <c r="F60" s="11">
        <f>C60/4</f>
        <v>7.4363425925925931E-4</v>
      </c>
      <c r="G60" s="11">
        <f>D60/7.5</f>
        <v>7.6316358024691364E-4</v>
      </c>
      <c r="H60" s="11">
        <f>B60/12.5</f>
        <v>7.8703703703703705E-4</v>
      </c>
      <c r="I60" s="11">
        <f>G60/0.93</f>
        <v>8.2060600026549854E-4</v>
      </c>
      <c r="J60" s="11">
        <f>G60/0.92</f>
        <v>8.29525630703167E-4</v>
      </c>
      <c r="K60" s="11">
        <f>G60/0.88</f>
        <v>8.6723134118967459E-4</v>
      </c>
      <c r="L60" s="11">
        <f>G60/0.84</f>
        <v>9.085280717225163E-4</v>
      </c>
      <c r="M60" s="25">
        <f>WO2025Jan7men11915171923252931333539414345474955575963656769717375777913171921232729[[#This Row],[Thresh]]</f>
        <v>8.6723134118967459E-4</v>
      </c>
      <c r="N60" s="28">
        <f>WO2025Jan7men11915171923252931333539414345474955575963656769717375777913171921232729[[#This Row],[Thresh]]*3</f>
        <v>2.6016940235690238E-3</v>
      </c>
      <c r="O60" s="25">
        <f>WO2025Jan7men11915171923252931333539414345474955575963656769717375777913171921232729[[#This Row],[CV]]</f>
        <v>8.29525630703167E-4</v>
      </c>
      <c r="P60" s="28">
        <f>WO2025Jan7men11915171923252931333539414345474955575963656769717375777913171921232729[[#This Row],[I]]</f>
        <v>7.8703703703703705E-4</v>
      </c>
      <c r="Q60" s="25">
        <f>WO2025Jan7men11915171923252931333539414345474955575963656769717375777913171921232729[[#This Row],[I]]*5</f>
        <v>3.9351851851851857E-3</v>
      </c>
      <c r="R60" s="28">
        <f>WO2025Jan7men11915171923252931333539414345474955575963656769717375777913171921232729[[#This Row],[Thresh]]*2</f>
        <v>1.7344626823793492E-3</v>
      </c>
      <c r="S60" s="25"/>
      <c r="T60" s="25"/>
      <c r="U60" s="28"/>
      <c r="V60" s="25"/>
      <c r="W60" s="15" t="s">
        <v>26</v>
      </c>
      <c r="X60" s="52"/>
    </row>
    <row r="61" spans="1:24" ht="20.45" customHeight="1">
      <c r="A61" s="10" t="s">
        <v>81</v>
      </c>
      <c r="B61" s="11">
        <v>9.9537037037037042E-3</v>
      </c>
      <c r="C61" s="11">
        <v>2.9745370370370373E-3</v>
      </c>
      <c r="D61" s="11">
        <f>B61*E61</f>
        <v>5.7910648148148149E-3</v>
      </c>
      <c r="E61" s="12">
        <v>0.58179999999999998</v>
      </c>
      <c r="F61" s="11">
        <f>C61/4</f>
        <v>7.4363425925925931E-4</v>
      </c>
      <c r="G61" s="11">
        <f>D61/7.5</f>
        <v>7.7214197530864196E-4</v>
      </c>
      <c r="H61" s="11">
        <f>B61/12.5</f>
        <v>7.9629629629629636E-4</v>
      </c>
      <c r="I61" s="11">
        <f>G61/0.93</f>
        <v>8.3026018850391602E-4</v>
      </c>
      <c r="J61" s="11">
        <f>G61/0.92</f>
        <v>8.3928475577026292E-4</v>
      </c>
      <c r="K61" s="11">
        <f>G61/0.88</f>
        <v>8.7743406285072947E-4</v>
      </c>
      <c r="L61" s="11">
        <f>G61/0.84</f>
        <v>9.1921663727219285E-4</v>
      </c>
      <c r="M61" s="25">
        <f>WO2025Jan7men11915171923252931333539414345474955575963656769717375777913171921232729[[#This Row],[Thresh]]</f>
        <v>8.7743406285072947E-4</v>
      </c>
      <c r="N61" s="28">
        <f>WO2025Jan7men11915171923252931333539414345474955575963656769717375777913171921232729[[#This Row],[Thresh]]*3</f>
        <v>2.6323021885521882E-3</v>
      </c>
      <c r="O61" s="25">
        <f>WO2025Jan7men11915171923252931333539414345474955575963656769717375777913171921232729[[#This Row],[CV]]</f>
        <v>8.3928475577026292E-4</v>
      </c>
      <c r="P61" s="28">
        <f>WO2025Jan7men11915171923252931333539414345474955575963656769717375777913171921232729[[#This Row],[I]]</f>
        <v>7.9629629629629636E-4</v>
      </c>
      <c r="Q61" s="25">
        <f>WO2025Jan7men11915171923252931333539414345474955575963656769717375777913171921232729[[#This Row],[I]]*5</f>
        <v>3.9814814814814817E-3</v>
      </c>
      <c r="R61" s="28">
        <f>WO2025Jan7men11915171923252931333539414345474955575963656769717375777913171921232729[[#This Row],[Thresh]]*2</f>
        <v>1.7548681257014589E-3</v>
      </c>
      <c r="S61" s="25"/>
      <c r="T61" s="25"/>
      <c r="U61" s="28"/>
      <c r="V61" s="25"/>
      <c r="W61" s="15" t="s">
        <v>26</v>
      </c>
      <c r="X61" s="52"/>
    </row>
    <row r="62" spans="1:24" ht="20.45" customHeight="1">
      <c r="A62" s="10" t="s">
        <v>82</v>
      </c>
      <c r="B62" s="11">
        <v>9.9537037037037042E-3</v>
      </c>
      <c r="C62" s="11">
        <v>2.8935185185185188E-3</v>
      </c>
      <c r="D62" s="11">
        <f>B62*E62</f>
        <v>5.7910648148148149E-3</v>
      </c>
      <c r="E62" s="12">
        <v>0.58179999999999998</v>
      </c>
      <c r="F62" s="11">
        <f>C62/4</f>
        <v>7.233796296296297E-4</v>
      </c>
      <c r="G62" s="11">
        <f>D62/7.5</f>
        <v>7.7214197530864196E-4</v>
      </c>
      <c r="H62" s="11">
        <f>B62/12.5</f>
        <v>7.9629629629629636E-4</v>
      </c>
      <c r="I62" s="11">
        <f>G62/0.93</f>
        <v>8.3026018850391602E-4</v>
      </c>
      <c r="J62" s="11">
        <f>G62/0.92</f>
        <v>8.3928475577026292E-4</v>
      </c>
      <c r="K62" s="11">
        <f>G62/0.88</f>
        <v>8.7743406285072947E-4</v>
      </c>
      <c r="L62" s="11">
        <f>G62/0.84</f>
        <v>9.1921663727219285E-4</v>
      </c>
      <c r="M62" s="25">
        <f>WO2025Jan7men11915171923252931333539414345474955575963656769717375777913171921232729[[#This Row],[Thresh]]</f>
        <v>8.7743406285072947E-4</v>
      </c>
      <c r="N62" s="28">
        <f>WO2025Jan7men11915171923252931333539414345474955575963656769717375777913171921232729[[#This Row],[Thresh]]*3</f>
        <v>2.6323021885521882E-3</v>
      </c>
      <c r="O62" s="25">
        <f>WO2025Jan7men11915171923252931333539414345474955575963656769717375777913171921232729[[#This Row],[CV]]</f>
        <v>8.3928475577026292E-4</v>
      </c>
      <c r="P62" s="28">
        <f>WO2025Jan7men11915171923252931333539414345474955575963656769717375777913171921232729[[#This Row],[I]]</f>
        <v>7.9629629629629636E-4</v>
      </c>
      <c r="Q62" s="25">
        <f>WO2025Jan7men11915171923252931333539414345474955575963656769717375777913171921232729[[#This Row],[I]]*5</f>
        <v>3.9814814814814817E-3</v>
      </c>
      <c r="R62" s="28">
        <f>WO2025Jan7men11915171923252931333539414345474955575963656769717375777913171921232729[[#This Row],[Thresh]]*2</f>
        <v>1.7548681257014589E-3</v>
      </c>
      <c r="S62" s="25"/>
      <c r="T62" s="25"/>
      <c r="U62" s="28"/>
      <c r="V62" s="25"/>
      <c r="W62" s="15" t="s">
        <v>35</v>
      </c>
      <c r="X62" s="52"/>
    </row>
    <row r="63" spans="1:24" ht="20.45" customHeight="1">
      <c r="A63" s="10" t="s">
        <v>84</v>
      </c>
      <c r="B63" s="11">
        <v>1.0069444444444445E-2</v>
      </c>
      <c r="C63" s="11">
        <v>3.0092592592592593E-3</v>
      </c>
      <c r="D63" s="11">
        <f t="shared" ref="D63:D100" si="24">B63*E63</f>
        <v>5.8584027777777783E-3</v>
      </c>
      <c r="E63" s="12">
        <v>0.58179999999999998</v>
      </c>
      <c r="F63" s="11">
        <f t="shared" ref="F63:F100" si="25">C63/4</f>
        <v>7.5231481481481482E-4</v>
      </c>
      <c r="G63" s="11">
        <f t="shared" ref="G63:G100" si="26">D63/7.5</f>
        <v>7.811203703703705E-4</v>
      </c>
      <c r="H63" s="11">
        <f t="shared" ref="H63:H100" si="27">B63/12.5</f>
        <v>8.0555555555555556E-4</v>
      </c>
      <c r="I63" s="11">
        <f t="shared" ref="I63:I100" si="28">G63/0.93</f>
        <v>8.3991437674233382E-4</v>
      </c>
      <c r="J63" s="11">
        <f t="shared" ref="J63:J100" si="29">G63/0.92</f>
        <v>8.4904388083735917E-4</v>
      </c>
      <c r="K63" s="11">
        <f t="shared" ref="K63:K100" si="30">G63/0.88</f>
        <v>8.8763678451178466E-4</v>
      </c>
      <c r="L63" s="11">
        <f t="shared" ref="L63:L100" si="31">G63/0.84</f>
        <v>9.2990520282186973E-4</v>
      </c>
      <c r="M63" s="25">
        <f>WO2025Jan7men11915171923252931333539414345474955575963656769717375777913171921232729[[#This Row],[Thresh]]</f>
        <v>8.8763678451178466E-4</v>
      </c>
      <c r="N63" s="28">
        <f>WO2025Jan7men11915171923252931333539414345474955575963656769717375777913171921232729[[#This Row],[Thresh]]*3</f>
        <v>2.6629103535353539E-3</v>
      </c>
      <c r="O63" s="25">
        <f>WO2025Jan7men11915171923252931333539414345474955575963656769717375777913171921232729[[#This Row],[CV]]</f>
        <v>8.4904388083735917E-4</v>
      </c>
      <c r="P63" s="28">
        <f>WO2025Jan7men11915171923252931333539414345474955575963656769717375777913171921232729[[#This Row],[I]]</f>
        <v>8.0555555555555556E-4</v>
      </c>
      <c r="Q63" s="25">
        <f>WO2025Jan7men11915171923252931333539414345474955575963656769717375777913171921232729[[#This Row],[I]]*5</f>
        <v>4.0277777777777777E-3</v>
      </c>
      <c r="R63" s="28">
        <f>WO2025Jan7men11915171923252931333539414345474955575963656769717375777913171921232729[[#This Row],[Thresh]]*2</f>
        <v>1.7752735690235693E-3</v>
      </c>
      <c r="S63" s="25"/>
      <c r="T63" s="25"/>
      <c r="U63" s="28"/>
      <c r="V63" s="25"/>
      <c r="W63" s="15" t="s">
        <v>26</v>
      </c>
      <c r="X63" s="52"/>
    </row>
    <row r="64" spans="1:24" ht="20.45" customHeight="1">
      <c r="A64" s="10" t="s">
        <v>110</v>
      </c>
      <c r="B64" s="11">
        <v>1.0069444444444445E-2</v>
      </c>
      <c r="C64" s="11">
        <v>2.8935185185185184E-3</v>
      </c>
      <c r="D64" s="11">
        <f>B64*E64</f>
        <v>5.8584027777777783E-3</v>
      </c>
      <c r="E64" s="12">
        <v>0.58179999999999998</v>
      </c>
      <c r="F64" s="11">
        <f>C64/4</f>
        <v>7.2337962962962959E-4</v>
      </c>
      <c r="G64" s="11">
        <f>D64/7.5</f>
        <v>7.811203703703705E-4</v>
      </c>
      <c r="H64" s="11">
        <f>B64/12.5</f>
        <v>8.0555555555555556E-4</v>
      </c>
      <c r="I64" s="11">
        <f>G64/0.93</f>
        <v>8.3991437674233382E-4</v>
      </c>
      <c r="J64" s="11">
        <f>G64/0.92</f>
        <v>8.4904388083735917E-4</v>
      </c>
      <c r="K64" s="11">
        <f>G64/0.88</f>
        <v>8.8763678451178466E-4</v>
      </c>
      <c r="L64" s="11">
        <f>G64/0.84</f>
        <v>9.2990520282186973E-4</v>
      </c>
      <c r="M64" s="25">
        <f>WO2025Jan7men11915171923252931333539414345474955575963656769717375777913171921232729[[#This Row],[Thresh]]</f>
        <v>8.8763678451178466E-4</v>
      </c>
      <c r="N64" s="28">
        <f>WO2025Jan7men11915171923252931333539414345474955575963656769717375777913171921232729[[#This Row],[Thresh]]*3</f>
        <v>2.6629103535353539E-3</v>
      </c>
      <c r="O64" s="25">
        <f>WO2025Jan7men11915171923252931333539414345474955575963656769717375777913171921232729[[#This Row],[CV]]</f>
        <v>8.4904388083735917E-4</v>
      </c>
      <c r="P64" s="28">
        <f>WO2025Jan7men11915171923252931333539414345474955575963656769717375777913171921232729[[#This Row],[I]]</f>
        <v>8.0555555555555556E-4</v>
      </c>
      <c r="Q64" s="25">
        <f>WO2025Jan7men11915171923252931333539414345474955575963656769717375777913171921232729[[#This Row],[I]]*5</f>
        <v>4.0277777777777777E-3</v>
      </c>
      <c r="R64" s="28">
        <f>WO2025Jan7men11915171923252931333539414345474955575963656769717375777913171921232729[[#This Row],[Thresh]]*2</f>
        <v>1.7752735690235693E-3</v>
      </c>
      <c r="S64" s="25"/>
      <c r="T64" s="25"/>
      <c r="U64" s="28"/>
      <c r="V64" s="25"/>
      <c r="W64" s="15" t="s">
        <v>26</v>
      </c>
      <c r="X64" s="52"/>
    </row>
    <row r="65" spans="1:24" ht="20.45" customHeight="1">
      <c r="A65" s="10" t="s">
        <v>83</v>
      </c>
      <c r="B65" s="11">
        <v>1.0069444444444445E-2</v>
      </c>
      <c r="C65" s="11">
        <v>3.0671296296296297E-3</v>
      </c>
      <c r="D65" s="11">
        <f>B65*E65</f>
        <v>5.8584027777777783E-3</v>
      </c>
      <c r="E65" s="12">
        <v>0.58179999999999998</v>
      </c>
      <c r="F65" s="11">
        <f>C65/4</f>
        <v>7.6678240740740743E-4</v>
      </c>
      <c r="G65" s="11">
        <f>D65/7.5</f>
        <v>7.811203703703705E-4</v>
      </c>
      <c r="H65" s="11">
        <f>B65/12.5</f>
        <v>8.0555555555555556E-4</v>
      </c>
      <c r="I65" s="11">
        <f>G65/0.93</f>
        <v>8.3991437674233382E-4</v>
      </c>
      <c r="J65" s="11">
        <f>G65/0.92</f>
        <v>8.4904388083735917E-4</v>
      </c>
      <c r="K65" s="11">
        <f>G65/0.88</f>
        <v>8.8763678451178466E-4</v>
      </c>
      <c r="L65" s="11">
        <f>G65/0.84</f>
        <v>9.2990520282186973E-4</v>
      </c>
      <c r="M65" s="25">
        <f>WO2025Jan7men11915171923252931333539414345474955575963656769717375777913171921232729[[#This Row],[Thresh]]</f>
        <v>8.8763678451178466E-4</v>
      </c>
      <c r="N65" s="28">
        <f>WO2025Jan7men11915171923252931333539414345474955575963656769717375777913171921232729[[#This Row],[Thresh]]*3</f>
        <v>2.6629103535353539E-3</v>
      </c>
      <c r="O65" s="25">
        <f>WO2025Jan7men11915171923252931333539414345474955575963656769717375777913171921232729[[#This Row],[CV]]</f>
        <v>8.4904388083735917E-4</v>
      </c>
      <c r="P65" s="28">
        <f>WO2025Jan7men11915171923252931333539414345474955575963656769717375777913171921232729[[#This Row],[I]]</f>
        <v>8.0555555555555556E-4</v>
      </c>
      <c r="Q65" s="25">
        <f>WO2025Jan7men11915171923252931333539414345474955575963656769717375777913171921232729[[#This Row],[I]]*5</f>
        <v>4.0277777777777777E-3</v>
      </c>
      <c r="R65" s="28">
        <f>WO2025Jan7men11915171923252931333539414345474955575963656769717375777913171921232729[[#This Row],[Thresh]]*2</f>
        <v>1.7752735690235693E-3</v>
      </c>
      <c r="S65" s="25"/>
      <c r="T65" s="25"/>
      <c r="U65" s="28"/>
      <c r="V65" s="28"/>
      <c r="W65" s="15" t="s">
        <v>26</v>
      </c>
      <c r="X65" s="52"/>
    </row>
    <row r="66" spans="1:24" ht="20.45" customHeight="1">
      <c r="A66" s="10" t="s">
        <v>111</v>
      </c>
      <c r="B66" s="11">
        <v>1.0069444444444445E-2</v>
      </c>
      <c r="C66" s="11">
        <v>3.0092592592592588E-3</v>
      </c>
      <c r="D66" s="11">
        <f>B66*E66</f>
        <v>5.8584027777777783E-3</v>
      </c>
      <c r="E66" s="12">
        <v>0.58179999999999998</v>
      </c>
      <c r="F66" s="11">
        <f>C66/4</f>
        <v>7.5231481481481471E-4</v>
      </c>
      <c r="G66" s="11">
        <f>D66/7.5</f>
        <v>7.811203703703705E-4</v>
      </c>
      <c r="H66" s="11">
        <f>B66/12.5</f>
        <v>8.0555555555555556E-4</v>
      </c>
      <c r="I66" s="11">
        <f>G66/0.93</f>
        <v>8.3991437674233382E-4</v>
      </c>
      <c r="J66" s="11">
        <f>G66/0.92</f>
        <v>8.4904388083735917E-4</v>
      </c>
      <c r="K66" s="11">
        <f>G66/0.88</f>
        <v>8.8763678451178466E-4</v>
      </c>
      <c r="L66" s="11">
        <f>G66/0.84</f>
        <v>9.2990520282186973E-4</v>
      </c>
      <c r="M66" s="25">
        <f>WO2025Jan7men11915171923252931333539414345474955575963656769717375777913171921232729[[#This Row],[Thresh]]</f>
        <v>8.8763678451178466E-4</v>
      </c>
      <c r="N66" s="28">
        <f>WO2025Jan7men11915171923252931333539414345474955575963656769717375777913171921232729[[#This Row],[Thresh]]*3</f>
        <v>2.6629103535353539E-3</v>
      </c>
      <c r="O66" s="25">
        <f>WO2025Jan7men11915171923252931333539414345474955575963656769717375777913171921232729[[#This Row],[CV]]</f>
        <v>8.4904388083735917E-4</v>
      </c>
      <c r="P66" s="28">
        <f>WO2025Jan7men11915171923252931333539414345474955575963656769717375777913171921232729[[#This Row],[I]]</f>
        <v>8.0555555555555556E-4</v>
      </c>
      <c r="Q66" s="25">
        <f>WO2025Jan7men11915171923252931333539414345474955575963656769717375777913171921232729[[#This Row],[I]]*5</f>
        <v>4.0277777777777777E-3</v>
      </c>
      <c r="R66" s="28">
        <f>WO2025Jan7men11915171923252931333539414345474955575963656769717375777913171921232729[[#This Row],[Thresh]]*2</f>
        <v>1.7752735690235693E-3</v>
      </c>
      <c r="S66" s="25"/>
      <c r="T66" s="25"/>
      <c r="U66" s="28"/>
      <c r="V66" s="25"/>
      <c r="W66" s="15" t="s">
        <v>35</v>
      </c>
      <c r="X66" s="52"/>
    </row>
    <row r="67" spans="1:24" ht="20.45" customHeight="1">
      <c r="A67" s="10" t="s">
        <v>112</v>
      </c>
      <c r="B67" s="11">
        <v>1.0243055555555556E-2</v>
      </c>
      <c r="C67" s="11">
        <v>2.8587962962962963E-3</v>
      </c>
      <c r="D67" s="11">
        <f t="shared" si="24"/>
        <v>5.9594097222222218E-3</v>
      </c>
      <c r="E67" s="12">
        <v>0.58179999999999998</v>
      </c>
      <c r="F67" s="11">
        <f t="shared" si="25"/>
        <v>7.1469907407407409E-4</v>
      </c>
      <c r="G67" s="11">
        <f t="shared" si="26"/>
        <v>7.9458796296296287E-4</v>
      </c>
      <c r="H67" s="11">
        <f t="shared" si="27"/>
        <v>8.1944444444444447E-4</v>
      </c>
      <c r="I67" s="11">
        <f t="shared" si="28"/>
        <v>8.5439565909996003E-4</v>
      </c>
      <c r="J67" s="11">
        <f t="shared" si="29"/>
        <v>8.636825684380031E-4</v>
      </c>
      <c r="K67" s="11">
        <f t="shared" si="30"/>
        <v>9.0294086700336686E-4</v>
      </c>
      <c r="L67" s="11">
        <f t="shared" si="31"/>
        <v>9.4593805114638445E-4</v>
      </c>
      <c r="M67" s="25">
        <f>WO2025Jan7men11915171923252931333539414345474955575963656769717375777913171921232729[[#This Row],[Thresh]]</f>
        <v>9.0294086700336686E-4</v>
      </c>
      <c r="N67" s="28">
        <f>WO2025Jan7men11915171923252931333539414345474955575963656769717375777913171921232729[[#This Row],[Thresh]]*3</f>
        <v>2.7088226010101007E-3</v>
      </c>
      <c r="O67" s="25">
        <f>WO2025Jan7men11915171923252931333539414345474955575963656769717375777913171921232729[[#This Row],[CV]]</f>
        <v>8.636825684380031E-4</v>
      </c>
      <c r="P67" s="28">
        <f>WO2025Jan7men11915171923252931333539414345474955575963656769717375777913171921232729[[#This Row],[I]]</f>
        <v>8.1944444444444447E-4</v>
      </c>
      <c r="Q67" s="25">
        <f>WO2025Jan7men11915171923252931333539414345474955575963656769717375777913171921232729[[#This Row],[I]]*5</f>
        <v>4.0972222222222226E-3</v>
      </c>
      <c r="R67" s="28">
        <f>WO2025Jan7men11915171923252931333539414345474955575963656769717375777913171921232729[[#This Row],[Thresh]]*2</f>
        <v>1.8058817340067337E-3</v>
      </c>
      <c r="S67" s="25"/>
      <c r="T67" s="25"/>
      <c r="U67" s="28"/>
      <c r="V67" s="25"/>
      <c r="W67" s="15" t="s">
        <v>26</v>
      </c>
      <c r="X67" s="52"/>
    </row>
    <row r="68" spans="1:24" ht="20.45" customHeight="1">
      <c r="A68" s="10" t="s">
        <v>93</v>
      </c>
      <c r="B68" s="11">
        <v>1.0243055555555556E-2</v>
      </c>
      <c r="C68" s="11"/>
      <c r="D68" s="11">
        <f t="shared" si="24"/>
        <v>5.9594097222222218E-3</v>
      </c>
      <c r="E68" s="12">
        <v>0.58179999999999998</v>
      </c>
      <c r="F68" s="11">
        <f t="shared" si="25"/>
        <v>0</v>
      </c>
      <c r="G68" s="11">
        <f t="shared" si="26"/>
        <v>7.9458796296296287E-4</v>
      </c>
      <c r="H68" s="11">
        <f t="shared" si="27"/>
        <v>8.1944444444444447E-4</v>
      </c>
      <c r="I68" s="11">
        <f t="shared" si="28"/>
        <v>8.5439565909996003E-4</v>
      </c>
      <c r="J68" s="11">
        <f t="shared" si="29"/>
        <v>8.636825684380031E-4</v>
      </c>
      <c r="K68" s="11">
        <f t="shared" si="30"/>
        <v>9.0294086700336686E-4</v>
      </c>
      <c r="L68" s="11">
        <f t="shared" si="31"/>
        <v>9.4593805114638445E-4</v>
      </c>
      <c r="M68" s="25">
        <f>WO2025Jan7men11915171923252931333539414345474955575963656769717375777913171921232729[[#This Row],[Thresh]]</f>
        <v>9.0294086700336686E-4</v>
      </c>
      <c r="N68" s="28">
        <f>WO2025Jan7men11915171923252931333539414345474955575963656769717375777913171921232729[[#This Row],[Thresh]]*3</f>
        <v>2.7088226010101007E-3</v>
      </c>
      <c r="O68" s="25">
        <f>WO2025Jan7men11915171923252931333539414345474955575963656769717375777913171921232729[[#This Row],[CV]]</f>
        <v>8.636825684380031E-4</v>
      </c>
      <c r="P68" s="28">
        <f>WO2025Jan7men11915171923252931333539414345474955575963656769717375777913171921232729[[#This Row],[I]]</f>
        <v>8.1944444444444447E-4</v>
      </c>
      <c r="Q68" s="25">
        <f>WO2025Jan7men11915171923252931333539414345474955575963656769717375777913171921232729[[#This Row],[I]]*5</f>
        <v>4.0972222222222226E-3</v>
      </c>
      <c r="R68" s="28">
        <f>WO2025Jan7men11915171923252931333539414345474955575963656769717375777913171921232729[[#This Row],[Thresh]]*2</f>
        <v>1.8058817340067337E-3</v>
      </c>
      <c r="S68" s="25"/>
      <c r="T68" s="25"/>
      <c r="U68" s="28"/>
      <c r="V68" s="28"/>
      <c r="W68" s="27" t="s">
        <v>35</v>
      </c>
      <c r="X68" s="52" t="s">
        <v>247</v>
      </c>
    </row>
    <row r="69" spans="1:24" ht="20.45" customHeight="1">
      <c r="A69" s="10" t="s">
        <v>95</v>
      </c>
      <c r="B69" s="11">
        <v>1.0243055555555556E-2</v>
      </c>
      <c r="C69" s="11">
        <v>2.9513888888888888E-3</v>
      </c>
      <c r="D69" s="11">
        <f>B69*E69</f>
        <v>5.9594097222222218E-3</v>
      </c>
      <c r="E69" s="12">
        <v>0.58179999999999998</v>
      </c>
      <c r="F69" s="11">
        <f>C69/4</f>
        <v>7.378472222222222E-4</v>
      </c>
      <c r="G69" s="11">
        <f>D69/7.5</f>
        <v>7.9458796296296287E-4</v>
      </c>
      <c r="H69" s="11">
        <f>B69/12.5</f>
        <v>8.1944444444444447E-4</v>
      </c>
      <c r="I69" s="11">
        <f>G69/0.93</f>
        <v>8.5439565909996003E-4</v>
      </c>
      <c r="J69" s="11">
        <f>G69/0.92</f>
        <v>8.636825684380031E-4</v>
      </c>
      <c r="K69" s="11">
        <f>G69/0.88</f>
        <v>9.0294086700336686E-4</v>
      </c>
      <c r="L69" s="11">
        <f>G69/0.84</f>
        <v>9.4593805114638445E-4</v>
      </c>
      <c r="M69" s="25">
        <f>WO2025Jan7men11915171923252931333539414345474955575963656769717375777913171921232729[[#This Row],[Thresh]]</f>
        <v>9.0294086700336686E-4</v>
      </c>
      <c r="N69" s="28">
        <f>WO2025Jan7men11915171923252931333539414345474955575963656769717375777913171921232729[[#This Row],[Thresh]]*3</f>
        <v>2.7088226010101007E-3</v>
      </c>
      <c r="O69" s="25">
        <f>WO2025Jan7men11915171923252931333539414345474955575963656769717375777913171921232729[[#This Row],[CV]]</f>
        <v>8.636825684380031E-4</v>
      </c>
      <c r="P69" s="28">
        <f>WO2025Jan7men11915171923252931333539414345474955575963656769717375777913171921232729[[#This Row],[I]]</f>
        <v>8.1944444444444447E-4</v>
      </c>
      <c r="Q69" s="25">
        <f>WO2025Jan7men11915171923252931333539414345474955575963656769717375777913171921232729[[#This Row],[I]]*5</f>
        <v>4.0972222222222226E-3</v>
      </c>
      <c r="R69" s="28">
        <f>WO2025Jan7men11915171923252931333539414345474955575963656769717375777913171921232729[[#This Row],[Thresh]]*2</f>
        <v>1.8058817340067337E-3</v>
      </c>
      <c r="S69" s="25"/>
      <c r="T69" s="25"/>
      <c r="U69" s="28"/>
      <c r="V69" s="25"/>
      <c r="W69" s="15" t="s">
        <v>35</v>
      </c>
      <c r="X69" s="52"/>
    </row>
    <row r="70" spans="1:24" ht="20.45" customHeight="1">
      <c r="A70" s="10" t="s">
        <v>116</v>
      </c>
      <c r="B70" s="11">
        <v>1.0243055555555556E-2</v>
      </c>
      <c r="C70" s="11">
        <v>2.9513888888888888E-3</v>
      </c>
      <c r="D70" s="11">
        <f>B70*E70</f>
        <v>5.9594097222222218E-3</v>
      </c>
      <c r="E70" s="12">
        <v>0.58179999999999998</v>
      </c>
      <c r="F70" s="11">
        <f>C70/4</f>
        <v>7.378472222222222E-4</v>
      </c>
      <c r="G70" s="11">
        <f>D70/7.5</f>
        <v>7.9458796296296287E-4</v>
      </c>
      <c r="H70" s="11">
        <f>B70/12.5</f>
        <v>8.1944444444444447E-4</v>
      </c>
      <c r="I70" s="11">
        <f>G70/0.93</f>
        <v>8.5439565909996003E-4</v>
      </c>
      <c r="J70" s="11">
        <f>G70/0.92</f>
        <v>8.636825684380031E-4</v>
      </c>
      <c r="K70" s="11">
        <f>G70/0.88</f>
        <v>9.0294086700336686E-4</v>
      </c>
      <c r="L70" s="17">
        <f>G70/0.84</f>
        <v>9.4593805114638445E-4</v>
      </c>
      <c r="M70" s="25">
        <f>WO2025Jan7men11915171923252931333539414345474955575963656769717375777913171921232729[[#This Row],[Thresh]]</f>
        <v>9.0294086700336686E-4</v>
      </c>
      <c r="N70" s="28">
        <f>WO2025Jan7men11915171923252931333539414345474955575963656769717375777913171921232729[[#This Row],[Thresh]]*3</f>
        <v>2.7088226010101007E-3</v>
      </c>
      <c r="O70" s="25">
        <f>WO2025Jan7men11915171923252931333539414345474955575963656769717375777913171921232729[[#This Row],[CV]]</f>
        <v>8.636825684380031E-4</v>
      </c>
      <c r="P70" s="28">
        <f>WO2025Jan7men11915171923252931333539414345474955575963656769717375777913171921232729[[#This Row],[I]]</f>
        <v>8.1944444444444447E-4</v>
      </c>
      <c r="Q70" s="25">
        <f>WO2025Jan7men11915171923252931333539414345474955575963656769717375777913171921232729[[#This Row],[I]]*5</f>
        <v>4.0972222222222226E-3</v>
      </c>
      <c r="R70" s="28">
        <f>WO2025Jan7men11915171923252931333539414345474955575963656769717375777913171921232729[[#This Row],[Thresh]]*2</f>
        <v>1.8058817340067337E-3</v>
      </c>
      <c r="S70" s="25"/>
      <c r="T70" s="25"/>
      <c r="U70" s="28"/>
      <c r="V70" s="25"/>
      <c r="W70" s="15" t="s">
        <v>35</v>
      </c>
      <c r="X70" s="52"/>
    </row>
    <row r="71" spans="1:24" ht="20.45" customHeight="1">
      <c r="A71" s="10" t="s">
        <v>92</v>
      </c>
      <c r="B71" s="11">
        <v>1.0300925925925925E-2</v>
      </c>
      <c r="C71" s="11">
        <v>2.9745370370370373E-3</v>
      </c>
      <c r="D71" s="11">
        <f>B71*E71</f>
        <v>5.9930787037037027E-3</v>
      </c>
      <c r="E71" s="12">
        <v>0.58179999999999998</v>
      </c>
      <c r="F71" s="11">
        <f>C71/4</f>
        <v>7.4363425925925931E-4</v>
      </c>
      <c r="G71" s="11">
        <f>D71/7.5</f>
        <v>7.9907716049382703E-4</v>
      </c>
      <c r="H71" s="11">
        <f>B71/12.5</f>
        <v>8.2407407407407397E-4</v>
      </c>
      <c r="I71" s="11">
        <f>G71/0.93</f>
        <v>8.5922275321916877E-4</v>
      </c>
      <c r="J71" s="11">
        <f>G71/0.92</f>
        <v>8.6856213097155112E-4</v>
      </c>
      <c r="K71" s="11">
        <f>G71/0.88</f>
        <v>9.080422278338944E-4</v>
      </c>
      <c r="L71" s="11">
        <f>G71/0.84</f>
        <v>9.5128233392122272E-4</v>
      </c>
      <c r="M71" s="25">
        <f>WO2025Jan7men11915171923252931333539414345474955575963656769717375777913171921232729[[#This Row],[Thresh]]</f>
        <v>9.080422278338944E-4</v>
      </c>
      <c r="N71" s="28">
        <f>WO2025Jan7men11915171923252931333539414345474955575963656769717375777913171921232729[[#This Row],[Thresh]]*3</f>
        <v>2.7241266835016831E-3</v>
      </c>
      <c r="O71" s="25">
        <f>WO2025Jan7men11915171923252931333539414345474955575963656769717375777913171921232729[[#This Row],[CV]]</f>
        <v>8.6856213097155112E-4</v>
      </c>
      <c r="P71" s="28">
        <f>WO2025Jan7men11915171923252931333539414345474955575963656769717375777913171921232729[[#This Row],[I]]</f>
        <v>8.2407407407407397E-4</v>
      </c>
      <c r="Q71" s="25">
        <f>WO2025Jan7men11915171923252931333539414345474955575963656769717375777913171921232729[[#This Row],[I]]*5</f>
        <v>4.1203703703703697E-3</v>
      </c>
      <c r="R71" s="28">
        <f>WO2025Jan7men11915171923252931333539414345474955575963656769717375777913171921232729[[#This Row],[Thresh]]*2</f>
        <v>1.8160844556677888E-3</v>
      </c>
      <c r="S71" s="25"/>
      <c r="T71" s="25"/>
      <c r="U71" s="28"/>
      <c r="V71" s="25"/>
      <c r="W71" s="15" t="s">
        <v>26</v>
      </c>
      <c r="X71" s="52"/>
    </row>
    <row r="72" spans="1:24" ht="20.45" customHeight="1">
      <c r="A72" s="10" t="s">
        <v>85</v>
      </c>
      <c r="B72" s="11">
        <v>1.0300925925925925E-2</v>
      </c>
      <c r="C72" s="11">
        <v>3.0671296296296297E-3</v>
      </c>
      <c r="D72" s="11">
        <f>B72*E72</f>
        <v>5.9930787037037027E-3</v>
      </c>
      <c r="E72" s="12">
        <v>0.58179999999999998</v>
      </c>
      <c r="F72" s="11">
        <f>C72/4</f>
        <v>7.6678240740740743E-4</v>
      </c>
      <c r="G72" s="11">
        <f>D72/7.5</f>
        <v>7.9907716049382703E-4</v>
      </c>
      <c r="H72" s="11">
        <f>B72/12.5</f>
        <v>8.2407407407407397E-4</v>
      </c>
      <c r="I72" s="11">
        <f>G72/0.93</f>
        <v>8.5922275321916877E-4</v>
      </c>
      <c r="J72" s="11">
        <f>G72/0.92</f>
        <v>8.6856213097155112E-4</v>
      </c>
      <c r="K72" s="11">
        <f>G72/0.88</f>
        <v>9.080422278338944E-4</v>
      </c>
      <c r="L72" s="17">
        <f>G72/0.84</f>
        <v>9.5128233392122272E-4</v>
      </c>
      <c r="M72" s="25">
        <f>WO2025Jan7men11915171923252931333539414345474955575963656769717375777913171921232729[[#This Row],[Thresh]]</f>
        <v>9.080422278338944E-4</v>
      </c>
      <c r="N72" s="28">
        <f>WO2025Jan7men11915171923252931333539414345474955575963656769717375777913171921232729[[#This Row],[Thresh]]*3</f>
        <v>2.7241266835016831E-3</v>
      </c>
      <c r="O72" s="25">
        <f>WO2025Jan7men11915171923252931333539414345474955575963656769717375777913171921232729[[#This Row],[CV]]</f>
        <v>8.6856213097155112E-4</v>
      </c>
      <c r="P72" s="28">
        <f>WO2025Jan7men11915171923252931333539414345474955575963656769717375777913171921232729[[#This Row],[I]]</f>
        <v>8.2407407407407397E-4</v>
      </c>
      <c r="Q72" s="25">
        <f>WO2025Jan7men11915171923252931333539414345474955575963656769717375777913171921232729[[#This Row],[I]]*5</f>
        <v>4.1203703703703697E-3</v>
      </c>
      <c r="R72" s="28">
        <f>WO2025Jan7men11915171923252931333539414345474955575963656769717375777913171921232729[[#This Row],[Thresh]]*2</f>
        <v>1.8160844556677888E-3</v>
      </c>
      <c r="S72" s="25"/>
      <c r="T72" s="25"/>
      <c r="U72" s="28"/>
      <c r="V72" s="25"/>
      <c r="W72" s="15" t="s">
        <v>26</v>
      </c>
      <c r="X72" s="52"/>
    </row>
    <row r="73" spans="1:24" ht="20.45" customHeight="1">
      <c r="A73" s="10" t="s">
        <v>86</v>
      </c>
      <c r="B73" s="11">
        <v>1.0300925925925925E-2</v>
      </c>
      <c r="C73" s="11">
        <v>3.0671296296296297E-3</v>
      </c>
      <c r="D73" s="11">
        <f t="shared" si="24"/>
        <v>5.9930787037037027E-3</v>
      </c>
      <c r="E73" s="12">
        <v>0.58179999999999998</v>
      </c>
      <c r="F73" s="11">
        <f t="shared" si="25"/>
        <v>7.6678240740740743E-4</v>
      </c>
      <c r="G73" s="11">
        <f t="shared" si="26"/>
        <v>7.9907716049382703E-4</v>
      </c>
      <c r="H73" s="11">
        <f t="shared" si="27"/>
        <v>8.2407407407407397E-4</v>
      </c>
      <c r="I73" s="11">
        <f t="shared" si="28"/>
        <v>8.5922275321916877E-4</v>
      </c>
      <c r="J73" s="11">
        <f t="shared" si="29"/>
        <v>8.6856213097155112E-4</v>
      </c>
      <c r="K73" s="11">
        <f t="shared" si="30"/>
        <v>9.080422278338944E-4</v>
      </c>
      <c r="L73" s="11">
        <f t="shared" si="31"/>
        <v>9.5128233392122272E-4</v>
      </c>
      <c r="M73" s="25">
        <f>WO2025Jan7men11915171923252931333539414345474955575963656769717375777913171921232729[[#This Row],[Thresh]]</f>
        <v>9.080422278338944E-4</v>
      </c>
      <c r="N73" s="28">
        <f>WO2025Jan7men11915171923252931333539414345474955575963656769717375777913171921232729[[#This Row],[Thresh]]*3</f>
        <v>2.7241266835016831E-3</v>
      </c>
      <c r="O73" s="25">
        <f>WO2025Jan7men11915171923252931333539414345474955575963656769717375777913171921232729[[#This Row],[CV]]</f>
        <v>8.6856213097155112E-4</v>
      </c>
      <c r="P73" s="28">
        <f>WO2025Jan7men11915171923252931333539414345474955575963656769717375777913171921232729[[#This Row],[I]]</f>
        <v>8.2407407407407397E-4</v>
      </c>
      <c r="Q73" s="25">
        <f>WO2025Jan7men11915171923252931333539414345474955575963656769717375777913171921232729[[#This Row],[I]]*5</f>
        <v>4.1203703703703697E-3</v>
      </c>
      <c r="R73" s="28">
        <f>WO2025Jan7men11915171923252931333539414345474955575963656769717375777913171921232729[[#This Row],[Thresh]]*2</f>
        <v>1.8160844556677888E-3</v>
      </c>
      <c r="S73" s="25"/>
      <c r="T73" s="25"/>
      <c r="U73" s="28"/>
      <c r="V73" s="25"/>
      <c r="W73" s="15" t="s">
        <v>35</v>
      </c>
      <c r="X73" s="52"/>
    </row>
    <row r="74" spans="1:24" ht="20.45" customHeight="1">
      <c r="A74" s="10" t="s">
        <v>117</v>
      </c>
      <c r="B74" s="11">
        <v>1.0300925925925925E-2</v>
      </c>
      <c r="C74" s="11">
        <v>3.0671296296296297E-3</v>
      </c>
      <c r="D74" s="11">
        <f t="shared" si="24"/>
        <v>5.9930787037037027E-3</v>
      </c>
      <c r="E74" s="12">
        <v>0.58179999999999998</v>
      </c>
      <c r="F74" s="11">
        <f t="shared" si="25"/>
        <v>7.6678240740740743E-4</v>
      </c>
      <c r="G74" s="11">
        <f t="shared" si="26"/>
        <v>7.9907716049382703E-4</v>
      </c>
      <c r="H74" s="11">
        <f t="shared" si="27"/>
        <v>8.2407407407407397E-4</v>
      </c>
      <c r="I74" s="11">
        <f t="shared" si="28"/>
        <v>8.5922275321916877E-4</v>
      </c>
      <c r="J74" s="11">
        <f t="shared" si="29"/>
        <v>8.6856213097155112E-4</v>
      </c>
      <c r="K74" s="11">
        <f t="shared" si="30"/>
        <v>9.080422278338944E-4</v>
      </c>
      <c r="L74" s="11">
        <f t="shared" si="31"/>
        <v>9.5128233392122272E-4</v>
      </c>
      <c r="M74" s="25">
        <f>WO2025Jan7men11915171923252931333539414345474955575963656769717375777913171921232729[[#This Row],[Thresh]]</f>
        <v>9.080422278338944E-4</v>
      </c>
      <c r="N74" s="28">
        <f>WO2025Jan7men11915171923252931333539414345474955575963656769717375777913171921232729[[#This Row],[Thresh]]*3</f>
        <v>2.7241266835016831E-3</v>
      </c>
      <c r="O74" s="25">
        <f>WO2025Jan7men11915171923252931333539414345474955575963656769717375777913171921232729[[#This Row],[CV]]</f>
        <v>8.6856213097155112E-4</v>
      </c>
      <c r="P74" s="28">
        <f>WO2025Jan7men11915171923252931333539414345474955575963656769717375777913171921232729[[#This Row],[I]]</f>
        <v>8.2407407407407397E-4</v>
      </c>
      <c r="Q74" s="25">
        <f>WO2025Jan7men11915171923252931333539414345474955575963656769717375777913171921232729[[#This Row],[I]]*5</f>
        <v>4.1203703703703697E-3</v>
      </c>
      <c r="R74" s="28">
        <f>WO2025Jan7men11915171923252931333539414345474955575963656769717375777913171921232729[[#This Row],[Thresh]]*2</f>
        <v>1.8160844556677888E-3</v>
      </c>
      <c r="S74" s="25"/>
      <c r="T74" s="25"/>
      <c r="U74" s="28"/>
      <c r="V74" s="25"/>
      <c r="W74" s="15" t="s">
        <v>35</v>
      </c>
      <c r="X74" s="52"/>
    </row>
    <row r="75" spans="1:24" ht="20.45" customHeight="1">
      <c r="A75" s="10" t="s">
        <v>118</v>
      </c>
      <c r="B75" s="11">
        <v>1.0300925925925925E-2</v>
      </c>
      <c r="C75" s="11">
        <v>3.0671296296296297E-3</v>
      </c>
      <c r="D75" s="11">
        <f>B75*E75</f>
        <v>5.9930787037037027E-3</v>
      </c>
      <c r="E75" s="12">
        <v>0.58179999999999998</v>
      </c>
      <c r="F75" s="11">
        <f>C75/4</f>
        <v>7.6678240740740743E-4</v>
      </c>
      <c r="G75" s="11">
        <f>D75/7.5</f>
        <v>7.9907716049382703E-4</v>
      </c>
      <c r="H75" s="11">
        <f>B75/12.5</f>
        <v>8.2407407407407397E-4</v>
      </c>
      <c r="I75" s="11">
        <f>G75/0.93</f>
        <v>8.5922275321916877E-4</v>
      </c>
      <c r="J75" s="11">
        <f>G75/0.92</f>
        <v>8.6856213097155112E-4</v>
      </c>
      <c r="K75" s="11">
        <f>G75/0.88</f>
        <v>9.080422278338944E-4</v>
      </c>
      <c r="L75" s="11">
        <f>G75/0.84</f>
        <v>9.5128233392122272E-4</v>
      </c>
      <c r="M75" s="25">
        <f>WO2025Jan7men11915171923252931333539414345474955575963656769717375777913171921232729[[#This Row],[Thresh]]</f>
        <v>9.080422278338944E-4</v>
      </c>
      <c r="N75" s="28">
        <f>WO2025Jan7men11915171923252931333539414345474955575963656769717375777913171921232729[[#This Row],[Thresh]]*3</f>
        <v>2.7241266835016831E-3</v>
      </c>
      <c r="O75" s="25">
        <f>WO2025Jan7men11915171923252931333539414345474955575963656769717375777913171921232729[[#This Row],[CV]]</f>
        <v>8.6856213097155112E-4</v>
      </c>
      <c r="P75" s="28">
        <f>WO2025Jan7men11915171923252931333539414345474955575963656769717375777913171921232729[[#This Row],[I]]</f>
        <v>8.2407407407407397E-4</v>
      </c>
      <c r="Q75" s="25">
        <f>WO2025Jan7men11915171923252931333539414345474955575963656769717375777913171921232729[[#This Row],[I]]*5</f>
        <v>4.1203703703703697E-3</v>
      </c>
      <c r="R75" s="28">
        <f>WO2025Jan7men11915171923252931333539414345474955575963656769717375777913171921232729[[#This Row],[Thresh]]*2</f>
        <v>1.8160844556677888E-3</v>
      </c>
      <c r="S75" s="25"/>
      <c r="T75" s="25"/>
      <c r="U75" s="28"/>
      <c r="V75" s="25"/>
      <c r="W75" s="15" t="s">
        <v>26</v>
      </c>
      <c r="X75" s="52"/>
    </row>
    <row r="76" spans="1:24" ht="20.45" customHeight="1">
      <c r="A76" s="10" t="s">
        <v>94</v>
      </c>
      <c r="B76" s="11">
        <v>1.0416666666666666E-2</v>
      </c>
      <c r="C76" s="11">
        <v>2.8935185185185188E-3</v>
      </c>
      <c r="D76" s="11">
        <f t="shared" si="24"/>
        <v>6.0604166666666662E-3</v>
      </c>
      <c r="E76" s="12">
        <v>0.58179999999999998</v>
      </c>
      <c r="F76" s="11">
        <f t="shared" si="25"/>
        <v>7.233796296296297E-4</v>
      </c>
      <c r="G76" s="11">
        <f t="shared" si="26"/>
        <v>8.0805555555555546E-4</v>
      </c>
      <c r="H76" s="11">
        <f t="shared" si="27"/>
        <v>8.3333333333333328E-4</v>
      </c>
      <c r="I76" s="11">
        <f t="shared" si="28"/>
        <v>8.6887694145758646E-4</v>
      </c>
      <c r="J76" s="11">
        <f t="shared" si="29"/>
        <v>8.7832125603864715E-4</v>
      </c>
      <c r="K76" s="11">
        <f t="shared" si="30"/>
        <v>9.1824494949494938E-4</v>
      </c>
      <c r="L76" s="17">
        <f t="shared" si="31"/>
        <v>9.6197089947089938E-4</v>
      </c>
      <c r="M76" s="25">
        <f>WO2025Jan7men11915171923252931333539414345474955575963656769717375777913171921232729[[#This Row],[Thresh]]</f>
        <v>9.1824494949494938E-4</v>
      </c>
      <c r="N76" s="28">
        <f>WO2025Jan7men11915171923252931333539414345474955575963656769717375777913171921232729[[#This Row],[Thresh]]*3</f>
        <v>2.7547348484848484E-3</v>
      </c>
      <c r="O76" s="25">
        <f>WO2025Jan7men11915171923252931333539414345474955575963656769717375777913171921232729[[#This Row],[CV]]</f>
        <v>8.7832125603864715E-4</v>
      </c>
      <c r="P76" s="28">
        <f>WO2025Jan7men11915171923252931333539414345474955575963656769717375777913171921232729[[#This Row],[I]]</f>
        <v>8.3333333333333328E-4</v>
      </c>
      <c r="Q76" s="25">
        <f>WO2025Jan7men11915171923252931333539414345474955575963656769717375777913171921232729[[#This Row],[I]]*5</f>
        <v>4.1666666666666666E-3</v>
      </c>
      <c r="R76" s="28">
        <f>WO2025Jan7men11915171923252931333539414345474955575963656769717375777913171921232729[[#This Row],[Thresh]]*2</f>
        <v>1.8364898989898988E-3</v>
      </c>
      <c r="S76" s="25"/>
      <c r="T76" s="25"/>
      <c r="U76" s="28"/>
      <c r="V76" s="25"/>
      <c r="W76" s="15" t="s">
        <v>35</v>
      </c>
      <c r="X76" s="52"/>
    </row>
    <row r="77" spans="1:24" ht="20.45" customHeight="1">
      <c r="A77" s="10" t="s">
        <v>119</v>
      </c>
      <c r="B77" s="11">
        <v>1.0416666666666666E-2</v>
      </c>
      <c r="C77" s="11"/>
      <c r="D77" s="11">
        <f t="shared" si="24"/>
        <v>6.0604166666666662E-3</v>
      </c>
      <c r="E77" s="12">
        <v>0.58179999999999998</v>
      </c>
      <c r="F77" s="11">
        <f t="shared" si="25"/>
        <v>0</v>
      </c>
      <c r="G77" s="11">
        <f t="shared" si="26"/>
        <v>8.0805555555555546E-4</v>
      </c>
      <c r="H77" s="11">
        <f t="shared" si="27"/>
        <v>8.3333333333333328E-4</v>
      </c>
      <c r="I77" s="11">
        <f t="shared" si="28"/>
        <v>8.6887694145758646E-4</v>
      </c>
      <c r="J77" s="11">
        <f t="shared" si="29"/>
        <v>8.7832125603864715E-4</v>
      </c>
      <c r="K77" s="11">
        <f t="shared" si="30"/>
        <v>9.1824494949494938E-4</v>
      </c>
      <c r="L77" s="11">
        <f t="shared" si="31"/>
        <v>9.6197089947089938E-4</v>
      </c>
      <c r="M77" s="25">
        <f>WO2025Jan7men11915171923252931333539414345474955575963656769717375777913171921232729[[#This Row],[Thresh]]</f>
        <v>9.1824494949494938E-4</v>
      </c>
      <c r="N77" s="28">
        <f>WO2025Jan7men11915171923252931333539414345474955575963656769717375777913171921232729[[#This Row],[Thresh]]*3</f>
        <v>2.7547348484848484E-3</v>
      </c>
      <c r="O77" s="25">
        <f>WO2025Jan7men11915171923252931333539414345474955575963656769717375777913171921232729[[#This Row],[CV]]</f>
        <v>8.7832125603864715E-4</v>
      </c>
      <c r="P77" s="28">
        <f>WO2025Jan7men11915171923252931333539414345474955575963656769717375777913171921232729[[#This Row],[I]]</f>
        <v>8.3333333333333328E-4</v>
      </c>
      <c r="Q77" s="25">
        <f>WO2025Jan7men11915171923252931333539414345474955575963656769717375777913171921232729[[#This Row],[I]]*5</f>
        <v>4.1666666666666666E-3</v>
      </c>
      <c r="R77" s="28">
        <f>WO2025Jan7men11915171923252931333539414345474955575963656769717375777913171921232729[[#This Row],[Thresh]]*2</f>
        <v>1.8364898989898988E-3</v>
      </c>
      <c r="S77" s="25"/>
      <c r="T77" s="25"/>
      <c r="U77" s="28"/>
      <c r="V77" s="28"/>
      <c r="W77" s="27" t="s">
        <v>35</v>
      </c>
      <c r="X77" s="52"/>
    </row>
    <row r="78" spans="1:24" ht="20.45" customHeight="1">
      <c r="A78" s="10" t="s">
        <v>120</v>
      </c>
      <c r="B78" s="11">
        <v>1.0416666666666666E-2</v>
      </c>
      <c r="C78" s="11">
        <v>3.1250000000000002E-3</v>
      </c>
      <c r="D78" s="11">
        <f t="shared" si="24"/>
        <v>6.0604166666666662E-3</v>
      </c>
      <c r="E78" s="12">
        <v>0.58179999999999998</v>
      </c>
      <c r="F78" s="11">
        <f t="shared" si="25"/>
        <v>7.8125000000000004E-4</v>
      </c>
      <c r="G78" s="11">
        <f t="shared" si="26"/>
        <v>8.0805555555555546E-4</v>
      </c>
      <c r="H78" s="11">
        <f t="shared" si="27"/>
        <v>8.3333333333333328E-4</v>
      </c>
      <c r="I78" s="11">
        <f t="shared" si="28"/>
        <v>8.6887694145758646E-4</v>
      </c>
      <c r="J78" s="11">
        <f t="shared" si="29"/>
        <v>8.7832125603864715E-4</v>
      </c>
      <c r="K78" s="11">
        <f t="shared" si="30"/>
        <v>9.1824494949494938E-4</v>
      </c>
      <c r="L78" s="11">
        <f t="shared" si="31"/>
        <v>9.6197089947089938E-4</v>
      </c>
      <c r="M78" s="25">
        <f>WO2025Jan7men11915171923252931333539414345474955575963656769717375777913171921232729[[#This Row],[Thresh]]</f>
        <v>9.1824494949494938E-4</v>
      </c>
      <c r="N78" s="28">
        <f>WO2025Jan7men11915171923252931333539414345474955575963656769717375777913171921232729[[#This Row],[Thresh]]*3</f>
        <v>2.7547348484848484E-3</v>
      </c>
      <c r="O78" s="25">
        <f>WO2025Jan7men11915171923252931333539414345474955575963656769717375777913171921232729[[#This Row],[CV]]</f>
        <v>8.7832125603864715E-4</v>
      </c>
      <c r="P78" s="28">
        <f>WO2025Jan7men11915171923252931333539414345474955575963656769717375777913171921232729[[#This Row],[I]]</f>
        <v>8.3333333333333328E-4</v>
      </c>
      <c r="Q78" s="25">
        <f>WO2025Jan7men11915171923252931333539414345474955575963656769717375777913171921232729[[#This Row],[I]]*5</f>
        <v>4.1666666666666666E-3</v>
      </c>
      <c r="R78" s="28">
        <f>WO2025Jan7men11915171923252931333539414345474955575963656769717375777913171921232729[[#This Row],[Thresh]]*2</f>
        <v>1.8364898989898988E-3</v>
      </c>
      <c r="S78" s="25"/>
      <c r="T78" s="25"/>
      <c r="U78" s="28"/>
      <c r="V78" s="25"/>
      <c r="W78" s="15" t="s">
        <v>35</v>
      </c>
      <c r="X78" s="52" t="s">
        <v>248</v>
      </c>
    </row>
    <row r="79" spans="1:24" ht="20.45" customHeight="1">
      <c r="A79" s="10" t="s">
        <v>115</v>
      </c>
      <c r="B79" s="11">
        <v>1.0416666666666666E-2</v>
      </c>
      <c r="C79" s="11">
        <v>2.9513888888888888E-3</v>
      </c>
      <c r="D79" s="11">
        <f>B79*E79</f>
        <v>6.0604166666666662E-3</v>
      </c>
      <c r="E79" s="12">
        <v>0.58179999999999998</v>
      </c>
      <c r="F79" s="11">
        <f>C79/4</f>
        <v>7.378472222222222E-4</v>
      </c>
      <c r="G79" s="11">
        <f>D79/7.5</f>
        <v>8.0805555555555546E-4</v>
      </c>
      <c r="H79" s="11">
        <f>B79/12.5</f>
        <v>8.3333333333333328E-4</v>
      </c>
      <c r="I79" s="11">
        <f>G79/0.93</f>
        <v>8.6887694145758646E-4</v>
      </c>
      <c r="J79" s="11">
        <f>G79/0.92</f>
        <v>8.7832125603864715E-4</v>
      </c>
      <c r="K79" s="11">
        <f>G79/0.88</f>
        <v>9.1824494949494938E-4</v>
      </c>
      <c r="L79" s="11">
        <f>G79/0.84</f>
        <v>9.6197089947089938E-4</v>
      </c>
      <c r="M79" s="25">
        <f>WO2025Jan7men11915171923252931333539414345474955575963656769717375777913171921232729[[#This Row],[Thresh]]</f>
        <v>9.1824494949494938E-4</v>
      </c>
      <c r="N79" s="28">
        <f>WO2025Jan7men11915171923252931333539414345474955575963656769717375777913171921232729[[#This Row],[Thresh]]*3</f>
        <v>2.7547348484848484E-3</v>
      </c>
      <c r="O79" s="25">
        <f>WO2025Jan7men11915171923252931333539414345474955575963656769717375777913171921232729[[#This Row],[CV]]</f>
        <v>8.7832125603864715E-4</v>
      </c>
      <c r="P79" s="28">
        <f>WO2025Jan7men11915171923252931333539414345474955575963656769717375777913171921232729[[#This Row],[I]]</f>
        <v>8.3333333333333328E-4</v>
      </c>
      <c r="Q79" s="25">
        <f>WO2025Jan7men11915171923252931333539414345474955575963656769717375777913171921232729[[#This Row],[I]]*5</f>
        <v>4.1666666666666666E-3</v>
      </c>
      <c r="R79" s="28">
        <f>WO2025Jan7men11915171923252931333539414345474955575963656769717375777913171921232729[[#This Row],[Thresh]]*2</f>
        <v>1.8364898989898988E-3</v>
      </c>
      <c r="S79" s="25"/>
      <c r="T79" s="25"/>
      <c r="U79" s="28"/>
      <c r="V79" s="28"/>
      <c r="W79" s="27" t="s">
        <v>35</v>
      </c>
      <c r="X79" s="52"/>
    </row>
    <row r="80" spans="1:24" ht="20.45" customHeight="1">
      <c r="A80" s="10" t="s">
        <v>87</v>
      </c>
      <c r="B80" s="11">
        <v>1.0532407407407407E-2</v>
      </c>
      <c r="C80" s="11">
        <v>2.9745370370370373E-3</v>
      </c>
      <c r="D80" s="11">
        <f t="shared" si="24"/>
        <v>6.1277546296296288E-3</v>
      </c>
      <c r="E80" s="12">
        <v>0.58179999999999998</v>
      </c>
      <c r="F80" s="11">
        <f t="shared" si="25"/>
        <v>7.4363425925925931E-4</v>
      </c>
      <c r="G80" s="11">
        <f t="shared" si="26"/>
        <v>8.1703395061728389E-4</v>
      </c>
      <c r="H80" s="11">
        <f t="shared" si="27"/>
        <v>8.4259259259259259E-4</v>
      </c>
      <c r="I80" s="11">
        <f t="shared" si="28"/>
        <v>8.7853112969600415E-4</v>
      </c>
      <c r="J80" s="11">
        <f t="shared" si="29"/>
        <v>8.8808038110574329E-4</v>
      </c>
      <c r="K80" s="11">
        <f t="shared" si="30"/>
        <v>9.2844767115600447E-4</v>
      </c>
      <c r="L80" s="11">
        <f t="shared" si="31"/>
        <v>9.7265946502057604E-4</v>
      </c>
      <c r="M80" s="25">
        <f>WO2025Jan7men11915171923252931333539414345474955575963656769717375777913171921232729[[#This Row],[Thresh]]</f>
        <v>9.2844767115600447E-4</v>
      </c>
      <c r="N80" s="28">
        <f>WO2025Jan7men11915171923252931333539414345474955575963656769717375777913171921232729[[#This Row],[Thresh]]*3</f>
        <v>2.7853430134680132E-3</v>
      </c>
      <c r="O80" s="25">
        <f>WO2025Jan7men11915171923252931333539414345474955575963656769717375777913171921232729[[#This Row],[CV]]</f>
        <v>8.8808038110574329E-4</v>
      </c>
      <c r="P80" s="28">
        <f>WO2025Jan7men11915171923252931333539414345474955575963656769717375777913171921232729[[#This Row],[I]]</f>
        <v>8.4259259259259259E-4</v>
      </c>
      <c r="Q80" s="25">
        <f>WO2025Jan7men11915171923252931333539414345474955575963656769717375777913171921232729[[#This Row],[I]]*5</f>
        <v>4.2129629629629626E-3</v>
      </c>
      <c r="R80" s="28">
        <f>WO2025Jan7men11915171923252931333539414345474955575963656769717375777913171921232729[[#This Row],[Thresh]]*2</f>
        <v>1.8568953423120089E-3</v>
      </c>
      <c r="S80" s="25"/>
      <c r="T80" s="25"/>
      <c r="U80" s="28"/>
      <c r="V80" s="25"/>
      <c r="W80" s="15" t="s">
        <v>26</v>
      </c>
      <c r="X80" s="52"/>
    </row>
    <row r="81" spans="1:24" ht="20.45" customHeight="1">
      <c r="A81" s="10" t="s">
        <v>88</v>
      </c>
      <c r="B81" s="11">
        <v>1.0532407407407407E-2</v>
      </c>
      <c r="C81" s="11">
        <v>3.0671296296296297E-3</v>
      </c>
      <c r="D81" s="11">
        <f>B81*E81</f>
        <v>6.1277546296296288E-3</v>
      </c>
      <c r="E81" s="12">
        <v>0.58179999999999998</v>
      </c>
      <c r="F81" s="11">
        <f>C81/4</f>
        <v>7.6678240740740743E-4</v>
      </c>
      <c r="G81" s="11">
        <f>D81/7.5</f>
        <v>8.1703395061728389E-4</v>
      </c>
      <c r="H81" s="11">
        <f>B81/12.5</f>
        <v>8.4259259259259259E-4</v>
      </c>
      <c r="I81" s="11">
        <f>G81/0.93</f>
        <v>8.7853112969600415E-4</v>
      </c>
      <c r="J81" s="11">
        <f>G81/0.92</f>
        <v>8.8808038110574329E-4</v>
      </c>
      <c r="K81" s="11">
        <f>G81/0.88</f>
        <v>9.2844767115600447E-4</v>
      </c>
      <c r="L81" s="11">
        <f>G81/0.84</f>
        <v>9.7265946502057604E-4</v>
      </c>
      <c r="M81" s="25">
        <f>WO2025Jan7men11915171923252931333539414345474955575963656769717375777913171921232729[[#This Row],[Thresh]]</f>
        <v>9.2844767115600447E-4</v>
      </c>
      <c r="N81" s="28">
        <f>WO2025Jan7men11915171923252931333539414345474955575963656769717375777913171921232729[[#This Row],[Thresh]]*3</f>
        <v>2.7853430134680132E-3</v>
      </c>
      <c r="O81" s="25">
        <f>WO2025Jan7men11915171923252931333539414345474955575963656769717375777913171921232729[[#This Row],[CV]]</f>
        <v>8.8808038110574329E-4</v>
      </c>
      <c r="P81" s="28">
        <f>WO2025Jan7men11915171923252931333539414345474955575963656769717375777913171921232729[[#This Row],[I]]</f>
        <v>8.4259259259259259E-4</v>
      </c>
      <c r="Q81" s="25">
        <f>WO2025Jan7men11915171923252931333539414345474955575963656769717375777913171921232729[[#This Row],[I]]*5</f>
        <v>4.2129629629629626E-3</v>
      </c>
      <c r="R81" s="28">
        <f>WO2025Jan7men11915171923252931333539414345474955575963656769717375777913171921232729[[#This Row],[Thresh]]*2</f>
        <v>1.8568953423120089E-3</v>
      </c>
      <c r="S81" s="25"/>
      <c r="T81" s="25"/>
      <c r="U81" s="28"/>
      <c r="V81" s="44"/>
      <c r="W81" s="28" t="s">
        <v>26</v>
      </c>
      <c r="X81" s="52"/>
    </row>
    <row r="82" spans="1:24" ht="20.45" customHeight="1">
      <c r="A82" s="10" t="s">
        <v>121</v>
      </c>
      <c r="B82" s="11">
        <v>1.0532407407407407E-2</v>
      </c>
      <c r="C82" s="11"/>
      <c r="D82" s="11">
        <f>B82*E82</f>
        <v>6.1277546296296288E-3</v>
      </c>
      <c r="E82" s="12">
        <v>0.58179999999999998</v>
      </c>
      <c r="F82" s="11">
        <f>C82/4</f>
        <v>0</v>
      </c>
      <c r="G82" s="11">
        <f>D82/7.5</f>
        <v>8.1703395061728389E-4</v>
      </c>
      <c r="H82" s="11">
        <f>B82/12.5</f>
        <v>8.4259259259259259E-4</v>
      </c>
      <c r="I82" s="11">
        <f>G82/0.93</f>
        <v>8.7853112969600415E-4</v>
      </c>
      <c r="J82" s="11">
        <f>G82/0.92</f>
        <v>8.8808038110574329E-4</v>
      </c>
      <c r="K82" s="11">
        <f>G82/0.88</f>
        <v>9.2844767115600447E-4</v>
      </c>
      <c r="L82" s="11">
        <f>G82/0.84</f>
        <v>9.7265946502057604E-4</v>
      </c>
      <c r="M82" s="25">
        <f>WO2025Jan7men11915171923252931333539414345474955575963656769717375777913171921232729[[#This Row],[Thresh]]</f>
        <v>9.2844767115600447E-4</v>
      </c>
      <c r="N82" s="28">
        <f>WO2025Jan7men11915171923252931333539414345474955575963656769717375777913171921232729[[#This Row],[Thresh]]*3</f>
        <v>2.7853430134680132E-3</v>
      </c>
      <c r="O82" s="25">
        <f>WO2025Jan7men11915171923252931333539414345474955575963656769717375777913171921232729[[#This Row],[CV]]</f>
        <v>8.8808038110574329E-4</v>
      </c>
      <c r="P82" s="28">
        <f>WO2025Jan7men11915171923252931333539414345474955575963656769717375777913171921232729[[#This Row],[I]]</f>
        <v>8.4259259259259259E-4</v>
      </c>
      <c r="Q82" s="25">
        <f>WO2025Jan7men11915171923252931333539414345474955575963656769717375777913171921232729[[#This Row],[I]]*5</f>
        <v>4.2129629629629626E-3</v>
      </c>
      <c r="R82" s="28">
        <f>WO2025Jan7men11915171923252931333539414345474955575963656769717375777913171921232729[[#This Row],[Thresh]]*2</f>
        <v>1.8568953423120089E-3</v>
      </c>
      <c r="S82" s="25"/>
      <c r="T82" s="25"/>
      <c r="U82" s="28"/>
      <c r="V82" s="28"/>
      <c r="W82" s="27" t="s">
        <v>35</v>
      </c>
      <c r="X82" s="52"/>
    </row>
    <row r="83" spans="1:24" ht="20.45" customHeight="1">
      <c r="A83" s="10" t="s">
        <v>122</v>
      </c>
      <c r="B83" s="11">
        <v>1.0532407407407407E-2</v>
      </c>
      <c r="C83" s="11">
        <v>3.0671296296296297E-3</v>
      </c>
      <c r="D83" s="11">
        <f>B83*E83</f>
        <v>6.1277546296296288E-3</v>
      </c>
      <c r="E83" s="12">
        <v>0.58179999999999998</v>
      </c>
      <c r="F83" s="11">
        <f>C83/4</f>
        <v>7.6678240740740743E-4</v>
      </c>
      <c r="G83" s="11">
        <f>D83/7.5</f>
        <v>8.1703395061728389E-4</v>
      </c>
      <c r="H83" s="11">
        <f>B83/12.5</f>
        <v>8.4259259259259259E-4</v>
      </c>
      <c r="I83" s="11">
        <f>G83/0.93</f>
        <v>8.7853112969600415E-4</v>
      </c>
      <c r="J83" s="11">
        <f>G83/0.92</f>
        <v>8.8808038110574329E-4</v>
      </c>
      <c r="K83" s="11">
        <f>G83/0.88</f>
        <v>9.2844767115600447E-4</v>
      </c>
      <c r="L83" s="11">
        <f>G83/0.84</f>
        <v>9.7265946502057604E-4</v>
      </c>
      <c r="M83" s="25">
        <f>WO2025Jan7men11915171923252931333539414345474955575963656769717375777913171921232729[[#This Row],[Thresh]]</f>
        <v>9.2844767115600447E-4</v>
      </c>
      <c r="N83" s="28">
        <f>WO2025Jan7men11915171923252931333539414345474955575963656769717375777913171921232729[[#This Row],[Thresh]]*3</f>
        <v>2.7853430134680132E-3</v>
      </c>
      <c r="O83" s="25">
        <f>WO2025Jan7men11915171923252931333539414345474955575963656769717375777913171921232729[[#This Row],[CV]]</f>
        <v>8.8808038110574329E-4</v>
      </c>
      <c r="P83" s="28">
        <f>WO2025Jan7men11915171923252931333539414345474955575963656769717375777913171921232729[[#This Row],[I]]</f>
        <v>8.4259259259259259E-4</v>
      </c>
      <c r="Q83" s="25">
        <f>WO2025Jan7men11915171923252931333539414345474955575963656769717375777913171921232729[[#This Row],[I]]*5</f>
        <v>4.2129629629629626E-3</v>
      </c>
      <c r="R83" s="28">
        <f>WO2025Jan7men11915171923252931333539414345474955575963656769717375777913171921232729[[#This Row],[Thresh]]*2</f>
        <v>1.8568953423120089E-3</v>
      </c>
      <c r="S83" s="25"/>
      <c r="T83" s="25"/>
      <c r="U83" s="28"/>
      <c r="V83" s="28"/>
      <c r="W83" s="15" t="s">
        <v>35</v>
      </c>
      <c r="X83" s="52"/>
    </row>
    <row r="84" spans="1:24" ht="20.45" customHeight="1">
      <c r="A84" s="10" t="s">
        <v>106</v>
      </c>
      <c r="B84" s="11">
        <v>1.0532407407407407E-2</v>
      </c>
      <c r="C84" s="11">
        <v>2.9745370370370373E-3</v>
      </c>
      <c r="D84" s="11">
        <f>B84*E84</f>
        <v>6.1277546296296288E-3</v>
      </c>
      <c r="E84" s="12">
        <v>0.58179999999999998</v>
      </c>
      <c r="F84" s="11">
        <f>C84/4</f>
        <v>7.4363425925925931E-4</v>
      </c>
      <c r="G84" s="11">
        <f>D84/7.5</f>
        <v>8.1703395061728389E-4</v>
      </c>
      <c r="H84" s="11">
        <f>B84/12.5</f>
        <v>8.4259259259259259E-4</v>
      </c>
      <c r="I84" s="11">
        <f>G84/0.93</f>
        <v>8.7853112969600415E-4</v>
      </c>
      <c r="J84" s="11">
        <f>G84/0.92</f>
        <v>8.8808038110574329E-4</v>
      </c>
      <c r="K84" s="11">
        <f>G84/0.88</f>
        <v>9.2844767115600447E-4</v>
      </c>
      <c r="L84" s="11">
        <f>G84/0.84</f>
        <v>9.7265946502057604E-4</v>
      </c>
      <c r="M84" s="25">
        <f>WO2025Jan7men11915171923252931333539414345474955575963656769717375777913171921232729[[#This Row],[Thresh]]</f>
        <v>9.2844767115600447E-4</v>
      </c>
      <c r="N84" s="28">
        <f>WO2025Jan7men11915171923252931333539414345474955575963656769717375777913171921232729[[#This Row],[Thresh]]*3</f>
        <v>2.7853430134680132E-3</v>
      </c>
      <c r="O84" s="25">
        <f>WO2025Jan7men11915171923252931333539414345474955575963656769717375777913171921232729[[#This Row],[CV]]</f>
        <v>8.8808038110574329E-4</v>
      </c>
      <c r="P84" s="28">
        <f>WO2025Jan7men11915171923252931333539414345474955575963656769717375777913171921232729[[#This Row],[I]]</f>
        <v>8.4259259259259259E-4</v>
      </c>
      <c r="Q84" s="25">
        <f>WO2025Jan7men11915171923252931333539414345474955575963656769717375777913171921232729[[#This Row],[I]]*5</f>
        <v>4.2129629629629626E-3</v>
      </c>
      <c r="R84" s="28">
        <f>WO2025Jan7men11915171923252931333539414345474955575963656769717375777913171921232729[[#This Row],[Thresh]]*2</f>
        <v>1.8568953423120089E-3</v>
      </c>
      <c r="S84" s="25"/>
      <c r="T84" s="25"/>
      <c r="U84" s="28"/>
      <c r="V84" s="25"/>
      <c r="W84" s="15" t="s">
        <v>35</v>
      </c>
      <c r="X84" s="52"/>
    </row>
    <row r="85" spans="1:24" ht="20.45" customHeight="1">
      <c r="A85" s="10" t="s">
        <v>123</v>
      </c>
      <c r="B85" s="11">
        <v>1.0590277777777778E-2</v>
      </c>
      <c r="C85" s="11">
        <v>3.1828703703703702E-3</v>
      </c>
      <c r="D85" s="11">
        <f>B85*E85</f>
        <v>6.1614236111111114E-3</v>
      </c>
      <c r="E85" s="12">
        <v>0.58179999999999998</v>
      </c>
      <c r="F85" s="11">
        <f>C85/4</f>
        <v>7.9571759259259255E-4</v>
      </c>
      <c r="G85" s="11">
        <f>D85/7.5</f>
        <v>8.2152314814814816E-4</v>
      </c>
      <c r="H85" s="11">
        <f>B85/12.5</f>
        <v>8.472222222222223E-4</v>
      </c>
      <c r="I85" s="11">
        <f>G85/0.93</f>
        <v>8.8335822381521299E-4</v>
      </c>
      <c r="J85" s="11">
        <f>G85/0.92</f>
        <v>8.9295994363929141E-4</v>
      </c>
      <c r="K85" s="11">
        <f>G85/0.88</f>
        <v>9.3354903198653201E-4</v>
      </c>
      <c r="L85" s="11">
        <f>G85/0.84</f>
        <v>9.7800374779541442E-4</v>
      </c>
      <c r="M85" s="25">
        <f>WO2025Jan7men11915171923252931333539414345474955575963656769717375777913171921232729[[#This Row],[Thresh]]</f>
        <v>9.3354903198653201E-4</v>
      </c>
      <c r="N85" s="28">
        <f>WO2025Jan7men11915171923252931333539414345474955575963656769717375777913171921232729[[#This Row],[Thresh]]*3</f>
        <v>2.800647095959596E-3</v>
      </c>
      <c r="O85" s="25">
        <f>WO2025Jan7men11915171923252931333539414345474955575963656769717375777913171921232729[[#This Row],[CV]]</f>
        <v>8.9295994363929141E-4</v>
      </c>
      <c r="P85" s="28">
        <f>WO2025Jan7men11915171923252931333539414345474955575963656769717375777913171921232729[[#This Row],[I]]</f>
        <v>8.472222222222223E-4</v>
      </c>
      <c r="Q85" s="25">
        <f>WO2025Jan7men11915171923252931333539414345474955575963656769717375777913171921232729[[#This Row],[I]]*5</f>
        <v>4.2361111111111115E-3</v>
      </c>
      <c r="R85" s="28">
        <f>WO2025Jan7men11915171923252931333539414345474955575963656769717375777913171921232729[[#This Row],[Thresh]]*2</f>
        <v>1.867098063973064E-3</v>
      </c>
      <c r="S85" s="25"/>
      <c r="T85" s="25"/>
      <c r="U85" s="28"/>
      <c r="V85" s="28"/>
      <c r="W85" s="15" t="s">
        <v>26</v>
      </c>
      <c r="X85" s="52"/>
    </row>
    <row r="86" spans="1:24" ht="20.45" customHeight="1" thickBot="1">
      <c r="A86" s="10" t="s">
        <v>91</v>
      </c>
      <c r="B86" s="11">
        <v>1.0590277777777778E-2</v>
      </c>
      <c r="C86" s="11">
        <v>3.1249999999999997E-3</v>
      </c>
      <c r="D86" s="11">
        <f t="shared" si="24"/>
        <v>6.1614236111111114E-3</v>
      </c>
      <c r="E86" s="12">
        <v>0.58179999999999998</v>
      </c>
      <c r="F86" s="11">
        <f t="shared" si="25"/>
        <v>7.8124999999999993E-4</v>
      </c>
      <c r="G86" s="11">
        <f t="shared" si="26"/>
        <v>8.2152314814814816E-4</v>
      </c>
      <c r="H86" s="11">
        <f t="shared" si="27"/>
        <v>8.472222222222223E-4</v>
      </c>
      <c r="I86" s="11">
        <f t="shared" si="28"/>
        <v>8.8335822381521299E-4</v>
      </c>
      <c r="J86" s="11">
        <f t="shared" si="29"/>
        <v>8.9295994363929141E-4</v>
      </c>
      <c r="K86" s="11">
        <f t="shared" si="30"/>
        <v>9.3354903198653201E-4</v>
      </c>
      <c r="L86" s="11">
        <f t="shared" si="31"/>
        <v>9.7800374779541442E-4</v>
      </c>
      <c r="M86" s="25">
        <f>WO2025Jan7men11915171923252931333539414345474955575963656769717375777913171921232729[[#This Row],[Thresh]]</f>
        <v>9.3354903198653201E-4</v>
      </c>
      <c r="N86" s="28">
        <f>WO2025Jan7men11915171923252931333539414345474955575963656769717375777913171921232729[[#This Row],[Thresh]]*3</f>
        <v>2.800647095959596E-3</v>
      </c>
      <c r="O86" s="25">
        <f>WO2025Jan7men11915171923252931333539414345474955575963656769717375777913171921232729[[#This Row],[CV]]</f>
        <v>8.9295994363929141E-4</v>
      </c>
      <c r="P86" s="28">
        <f>WO2025Jan7men11915171923252931333539414345474955575963656769717375777913171921232729[[#This Row],[I]]</f>
        <v>8.472222222222223E-4</v>
      </c>
      <c r="Q86" s="25">
        <f>WO2025Jan7men11915171923252931333539414345474955575963656769717375777913171921232729[[#This Row],[I]]*5</f>
        <v>4.2361111111111115E-3</v>
      </c>
      <c r="R86" s="28">
        <f>WO2025Jan7men11915171923252931333539414345474955575963656769717375777913171921232729[[#This Row],[Thresh]]*2</f>
        <v>1.867098063973064E-3</v>
      </c>
      <c r="S86" s="25"/>
      <c r="T86" s="25"/>
      <c r="U86" s="28"/>
      <c r="V86" s="25"/>
      <c r="W86" s="15" t="s">
        <v>26</v>
      </c>
      <c r="X86" s="52"/>
    </row>
    <row r="87" spans="1:24" ht="20.45" customHeight="1">
      <c r="A87" s="1" t="s">
        <v>240</v>
      </c>
      <c r="B87" s="6"/>
      <c r="C87" s="6"/>
      <c r="D87" s="6"/>
      <c r="E87" s="20"/>
      <c r="F87" s="6"/>
      <c r="G87" s="6"/>
      <c r="H87" s="6"/>
      <c r="I87" s="6"/>
      <c r="J87" s="6"/>
      <c r="K87" s="6"/>
      <c r="L87" s="6"/>
      <c r="M87" s="6" t="s">
        <v>12</v>
      </c>
      <c r="N87" s="6" t="s">
        <v>174</v>
      </c>
      <c r="O87" s="6" t="s">
        <v>146</v>
      </c>
      <c r="P87" s="6" t="s">
        <v>17</v>
      </c>
      <c r="Q87" s="6" t="s">
        <v>245</v>
      </c>
      <c r="R87" s="6" t="s">
        <v>155</v>
      </c>
      <c r="S87" s="6"/>
      <c r="T87" s="6"/>
      <c r="U87" s="6"/>
      <c r="V87" s="23"/>
      <c r="W87" s="35"/>
      <c r="X87" s="52"/>
    </row>
    <row r="88" spans="1:24" ht="20.45" customHeight="1">
      <c r="A88" s="10" t="s">
        <v>90</v>
      </c>
      <c r="B88" s="11">
        <v>1.0590277777777778E-2</v>
      </c>
      <c r="C88" s="11">
        <v>3.0671296296296297E-3</v>
      </c>
      <c r="D88" s="11">
        <f>B88*E88</f>
        <v>6.1614236111111114E-3</v>
      </c>
      <c r="E88" s="12">
        <v>0.58179999999999998</v>
      </c>
      <c r="F88" s="11">
        <f>C88/4</f>
        <v>7.6678240740740743E-4</v>
      </c>
      <c r="G88" s="11">
        <f>D88/7.5</f>
        <v>8.2152314814814816E-4</v>
      </c>
      <c r="H88" s="11">
        <f>B88/12.5</f>
        <v>8.472222222222223E-4</v>
      </c>
      <c r="I88" s="11">
        <f>G88/0.93</f>
        <v>8.8335822381521299E-4</v>
      </c>
      <c r="J88" s="11">
        <f>G88/0.92</f>
        <v>8.9295994363929141E-4</v>
      </c>
      <c r="K88" s="11">
        <f>G88/0.88</f>
        <v>9.3354903198653201E-4</v>
      </c>
      <c r="L88" s="17">
        <f>G88/0.84</f>
        <v>9.7800374779541442E-4</v>
      </c>
      <c r="M88" s="25">
        <f>WO2025Jan7men11915171923252931333539414345474955575963656769717375777913171921232729[[#This Row],[Thresh]]</f>
        <v>9.3354903198653201E-4</v>
      </c>
      <c r="N88" s="28">
        <f>WO2025Jan7men11915171923252931333539414345474955575963656769717375777913171921232729[[#This Row],[Thresh]]*3</f>
        <v>2.800647095959596E-3</v>
      </c>
      <c r="O88" s="25">
        <f>WO2025Jan7men11915171923252931333539414345474955575963656769717375777913171921232729[[#This Row],[CV]]</f>
        <v>8.9295994363929141E-4</v>
      </c>
      <c r="P88" s="28">
        <f>WO2025Jan7men11915171923252931333539414345474955575963656769717375777913171921232729[[#This Row],[I]]</f>
        <v>8.472222222222223E-4</v>
      </c>
      <c r="Q88" s="25">
        <f>WO2025Jan7men11915171923252931333539414345474955575963656769717375777913171921232729[[#This Row],[I]]*5</f>
        <v>4.2361111111111115E-3</v>
      </c>
      <c r="R88" s="28">
        <f>WO2025Jan7men11915171923252931333539414345474955575963656769717375777913171921232729[[#This Row],[Thresh]]*2</f>
        <v>1.867098063973064E-3</v>
      </c>
      <c r="S88" s="25"/>
      <c r="T88" s="25"/>
      <c r="U88" s="28"/>
      <c r="V88" s="25"/>
      <c r="W88" s="15" t="s">
        <v>26</v>
      </c>
      <c r="X88" s="52" t="s">
        <v>143</v>
      </c>
    </row>
    <row r="89" spans="1:24" ht="20.45" customHeight="1">
      <c r="A89" s="10" t="s">
        <v>124</v>
      </c>
      <c r="B89" s="11">
        <v>1.0590277777777778E-2</v>
      </c>
      <c r="C89" s="11"/>
      <c r="D89" s="11">
        <f>B89*E89</f>
        <v>6.1614236111111114E-3</v>
      </c>
      <c r="E89" s="12">
        <v>0.58179999999999998</v>
      </c>
      <c r="F89" s="11">
        <f>C89/4</f>
        <v>0</v>
      </c>
      <c r="G89" s="11">
        <f>D89/7.5</f>
        <v>8.2152314814814816E-4</v>
      </c>
      <c r="H89" s="11">
        <f>B89/12.5</f>
        <v>8.472222222222223E-4</v>
      </c>
      <c r="I89" s="11">
        <f>G89/0.93</f>
        <v>8.8335822381521299E-4</v>
      </c>
      <c r="J89" s="11">
        <f>G89/0.92</f>
        <v>8.9295994363929141E-4</v>
      </c>
      <c r="K89" s="11">
        <f>G89/0.88</f>
        <v>9.3354903198653201E-4</v>
      </c>
      <c r="L89" s="11">
        <f>G89/0.84</f>
        <v>9.7800374779541442E-4</v>
      </c>
      <c r="M89" s="25">
        <f>WO2025Jan7men11915171923252931333539414345474955575963656769717375777913171921232729[[#This Row],[Thresh]]</f>
        <v>9.3354903198653201E-4</v>
      </c>
      <c r="N89" s="28">
        <f>WO2025Jan7men11915171923252931333539414345474955575963656769717375777913171921232729[[#This Row],[Thresh]]*3</f>
        <v>2.800647095959596E-3</v>
      </c>
      <c r="O89" s="25">
        <f>WO2025Jan7men11915171923252931333539414345474955575963656769717375777913171921232729[[#This Row],[CV]]</f>
        <v>8.9295994363929141E-4</v>
      </c>
      <c r="P89" s="28">
        <f>WO2025Jan7men11915171923252931333539414345474955575963656769717375777913171921232729[[#This Row],[I]]</f>
        <v>8.472222222222223E-4</v>
      </c>
      <c r="Q89" s="25">
        <f>WO2025Jan7men11915171923252931333539414345474955575963656769717375777913171921232729[[#This Row],[I]]*5</f>
        <v>4.2361111111111115E-3</v>
      </c>
      <c r="R89" s="28">
        <f>WO2025Jan7men11915171923252931333539414345474955575963656769717375777913171921232729[[#This Row],[Thresh]]*2</f>
        <v>1.867098063973064E-3</v>
      </c>
      <c r="S89" s="25"/>
      <c r="T89" s="25"/>
      <c r="U89" s="28"/>
      <c r="V89" s="28"/>
      <c r="W89" s="27" t="s">
        <v>26</v>
      </c>
      <c r="X89" s="52"/>
    </row>
    <row r="90" spans="1:24" ht="20.45" customHeight="1">
      <c r="A90" s="10" t="s">
        <v>129</v>
      </c>
      <c r="B90" s="11">
        <v>1.0648148148148148E-2</v>
      </c>
      <c r="C90" s="11">
        <v>3.0092592592592593E-3</v>
      </c>
      <c r="D90" s="11">
        <f t="shared" si="24"/>
        <v>6.1950925925925923E-3</v>
      </c>
      <c r="E90" s="12">
        <v>0.58179999999999998</v>
      </c>
      <c r="F90" s="11">
        <f t="shared" si="25"/>
        <v>7.5231481481481482E-4</v>
      </c>
      <c r="G90" s="11">
        <f t="shared" si="26"/>
        <v>8.2601234567901232E-4</v>
      </c>
      <c r="H90" s="11">
        <f t="shared" si="27"/>
        <v>8.5185185185185179E-4</v>
      </c>
      <c r="I90" s="11">
        <f t="shared" si="28"/>
        <v>8.8818531793442184E-4</v>
      </c>
      <c r="J90" s="11">
        <f t="shared" si="29"/>
        <v>8.9783950617283942E-4</v>
      </c>
      <c r="K90" s="11">
        <f t="shared" si="30"/>
        <v>9.3865039281705945E-4</v>
      </c>
      <c r="L90" s="11">
        <f t="shared" si="31"/>
        <v>9.833480305702527E-4</v>
      </c>
      <c r="M90" s="25">
        <f>WO2025Jan7men11915171923252931333539414345474955575963656769717375777913171921232729[[#This Row],[Thresh]]</f>
        <v>9.3865039281705945E-4</v>
      </c>
      <c r="N90" s="28">
        <f>WO2025Jan7men11915171923252931333539414345474955575963656769717375777913171921232729[[#This Row],[Thresh]]*3</f>
        <v>2.8159511784511784E-3</v>
      </c>
      <c r="O90" s="25">
        <f>WO2025Jan7men11915171923252931333539414345474955575963656769717375777913171921232729[[#This Row],[CV]]</f>
        <v>8.9783950617283942E-4</v>
      </c>
      <c r="P90" s="28">
        <f>WO2025Jan7men11915171923252931333539414345474955575963656769717375777913171921232729[[#This Row],[I]]</f>
        <v>8.5185185185185179E-4</v>
      </c>
      <c r="Q90" s="25">
        <f>WO2025Jan7men11915171923252931333539414345474955575963656769717375777913171921232729[[#This Row],[I]]*5</f>
        <v>4.2592592592592586E-3</v>
      </c>
      <c r="R90" s="28">
        <f>WO2025Jan7men11915171923252931333539414345474955575963656769717375777913171921232729[[#This Row],[Thresh]]*2</f>
        <v>1.8773007856341189E-3</v>
      </c>
      <c r="S90" s="25"/>
      <c r="T90" s="25"/>
      <c r="U90" s="28"/>
      <c r="V90" s="25"/>
      <c r="W90" s="15" t="s">
        <v>35</v>
      </c>
      <c r="X90" s="52"/>
    </row>
    <row r="91" spans="1:24" ht="20.45" customHeight="1">
      <c r="A91" s="10" t="s">
        <v>125</v>
      </c>
      <c r="B91" s="11">
        <v>1.0648148148148148E-2</v>
      </c>
      <c r="C91" s="11"/>
      <c r="D91" s="11">
        <f t="shared" si="24"/>
        <v>6.1950925925925923E-3</v>
      </c>
      <c r="E91" s="12">
        <v>0.58179999999999998</v>
      </c>
      <c r="F91" s="11">
        <f t="shared" si="25"/>
        <v>0</v>
      </c>
      <c r="G91" s="11">
        <f t="shared" si="26"/>
        <v>8.2601234567901232E-4</v>
      </c>
      <c r="H91" s="11">
        <f t="shared" si="27"/>
        <v>8.5185185185185179E-4</v>
      </c>
      <c r="I91" s="11">
        <f t="shared" si="28"/>
        <v>8.8818531793442184E-4</v>
      </c>
      <c r="J91" s="11">
        <f t="shared" si="29"/>
        <v>8.9783950617283942E-4</v>
      </c>
      <c r="K91" s="11">
        <f t="shared" si="30"/>
        <v>9.3865039281705945E-4</v>
      </c>
      <c r="L91" s="11">
        <f t="shared" si="31"/>
        <v>9.833480305702527E-4</v>
      </c>
      <c r="M91" s="25">
        <f>WO2025Jan7men11915171923252931333539414345474955575963656769717375777913171921232729[[#This Row],[Thresh]]</f>
        <v>9.3865039281705945E-4</v>
      </c>
      <c r="N91" s="28">
        <f>WO2025Jan7men11915171923252931333539414345474955575963656769717375777913171921232729[[#This Row],[Thresh]]*3</f>
        <v>2.8159511784511784E-3</v>
      </c>
      <c r="O91" s="25">
        <f>WO2025Jan7men11915171923252931333539414345474955575963656769717375777913171921232729[[#This Row],[CV]]</f>
        <v>8.9783950617283942E-4</v>
      </c>
      <c r="P91" s="28">
        <f>WO2025Jan7men11915171923252931333539414345474955575963656769717375777913171921232729[[#This Row],[I]]</f>
        <v>8.5185185185185179E-4</v>
      </c>
      <c r="Q91" s="25">
        <f>WO2025Jan7men11915171923252931333539414345474955575963656769717375777913171921232729[[#This Row],[I]]*5</f>
        <v>4.2592592592592586E-3</v>
      </c>
      <c r="R91" s="28">
        <f>WO2025Jan7men11915171923252931333539414345474955575963656769717375777913171921232729[[#This Row],[Thresh]]*2</f>
        <v>1.8773007856341189E-3</v>
      </c>
      <c r="S91" s="25"/>
      <c r="T91" s="25"/>
      <c r="U91" s="28"/>
      <c r="V91" s="28"/>
      <c r="W91" s="15" t="s">
        <v>26</v>
      </c>
      <c r="X91" s="52"/>
    </row>
    <row r="92" spans="1:24" ht="20.45" customHeight="1">
      <c r="A92" s="10" t="s">
        <v>126</v>
      </c>
      <c r="B92" s="11">
        <v>1.0648148148148148E-2</v>
      </c>
      <c r="C92" s="11"/>
      <c r="D92" s="11">
        <f t="shared" si="24"/>
        <v>6.1950925925925923E-3</v>
      </c>
      <c r="E92" s="12">
        <v>0.58179999999999998</v>
      </c>
      <c r="F92" s="11">
        <f t="shared" si="25"/>
        <v>0</v>
      </c>
      <c r="G92" s="11">
        <f t="shared" si="26"/>
        <v>8.2601234567901232E-4</v>
      </c>
      <c r="H92" s="11">
        <f t="shared" si="27"/>
        <v>8.5185185185185179E-4</v>
      </c>
      <c r="I92" s="11">
        <f t="shared" si="28"/>
        <v>8.8818531793442184E-4</v>
      </c>
      <c r="J92" s="11">
        <f t="shared" si="29"/>
        <v>8.9783950617283942E-4</v>
      </c>
      <c r="K92" s="11">
        <f t="shared" si="30"/>
        <v>9.3865039281705945E-4</v>
      </c>
      <c r="L92" s="11">
        <f t="shared" si="31"/>
        <v>9.833480305702527E-4</v>
      </c>
      <c r="M92" s="25">
        <f>WO2025Jan7men11915171923252931333539414345474955575963656769717375777913171921232729[[#This Row],[Thresh]]</f>
        <v>9.3865039281705945E-4</v>
      </c>
      <c r="N92" s="28">
        <f>WO2025Jan7men11915171923252931333539414345474955575963656769717375777913171921232729[[#This Row],[Thresh]]*3</f>
        <v>2.8159511784511784E-3</v>
      </c>
      <c r="O92" s="25">
        <f>WO2025Jan7men11915171923252931333539414345474955575963656769717375777913171921232729[[#This Row],[CV]]</f>
        <v>8.9783950617283942E-4</v>
      </c>
      <c r="P92" s="28">
        <f>WO2025Jan7men11915171923252931333539414345474955575963656769717375777913171921232729[[#This Row],[I]]</f>
        <v>8.5185185185185179E-4</v>
      </c>
      <c r="Q92" s="25">
        <f>WO2025Jan7men11915171923252931333539414345474955575963656769717375777913171921232729[[#This Row],[I]]*5</f>
        <v>4.2592592592592586E-3</v>
      </c>
      <c r="R92" s="28">
        <f>WO2025Jan7men11915171923252931333539414345474955575963656769717375777913171921232729[[#This Row],[Thresh]]*2</f>
        <v>1.8773007856341189E-3</v>
      </c>
      <c r="S92" s="25"/>
      <c r="T92" s="25"/>
      <c r="U92" s="28"/>
      <c r="V92" s="28"/>
      <c r="W92" s="27" t="s">
        <v>35</v>
      </c>
      <c r="X92" s="52"/>
    </row>
    <row r="93" spans="1:24" ht="20.45" customHeight="1">
      <c r="A93" s="10" t="s">
        <v>127</v>
      </c>
      <c r="B93" s="11">
        <v>1.0648148148148148E-2</v>
      </c>
      <c r="C93" s="11">
        <v>2.9513888888888888E-3</v>
      </c>
      <c r="D93" s="11">
        <f>B93*E93</f>
        <v>6.1950925925925923E-3</v>
      </c>
      <c r="E93" s="12">
        <v>0.58179999999999998</v>
      </c>
      <c r="F93" s="11">
        <f>C93/4</f>
        <v>7.378472222222222E-4</v>
      </c>
      <c r="G93" s="11">
        <f>D93/7.5</f>
        <v>8.2601234567901232E-4</v>
      </c>
      <c r="H93" s="11">
        <f>B93/12.5</f>
        <v>8.5185185185185179E-4</v>
      </c>
      <c r="I93" s="11">
        <f>G93/0.93</f>
        <v>8.8818531793442184E-4</v>
      </c>
      <c r="J93" s="11">
        <f>G93/0.92</f>
        <v>8.9783950617283942E-4</v>
      </c>
      <c r="K93" s="11">
        <f>G93/0.88</f>
        <v>9.3865039281705945E-4</v>
      </c>
      <c r="L93" s="11">
        <f>G93/0.84</f>
        <v>9.833480305702527E-4</v>
      </c>
      <c r="M93" s="25">
        <f>WO2025Jan7men11915171923252931333539414345474955575963656769717375777913171921232729[[#This Row],[Thresh]]</f>
        <v>9.3865039281705945E-4</v>
      </c>
      <c r="N93" s="28">
        <f>WO2025Jan7men11915171923252931333539414345474955575963656769717375777913171921232729[[#This Row],[Thresh]]*3</f>
        <v>2.8159511784511784E-3</v>
      </c>
      <c r="O93" s="25">
        <f>WO2025Jan7men11915171923252931333539414345474955575963656769717375777913171921232729[[#This Row],[CV]]</f>
        <v>8.9783950617283942E-4</v>
      </c>
      <c r="P93" s="28">
        <f>WO2025Jan7men11915171923252931333539414345474955575963656769717375777913171921232729[[#This Row],[I]]</f>
        <v>8.5185185185185179E-4</v>
      </c>
      <c r="Q93" s="25">
        <f>WO2025Jan7men11915171923252931333539414345474955575963656769717375777913171921232729[[#This Row],[I]]*5</f>
        <v>4.2592592592592586E-3</v>
      </c>
      <c r="R93" s="28">
        <f>WO2025Jan7men11915171923252931333539414345474955575963656769717375777913171921232729[[#This Row],[Thresh]]*2</f>
        <v>1.8773007856341189E-3</v>
      </c>
      <c r="S93" s="25"/>
      <c r="T93" s="25"/>
      <c r="U93" s="28"/>
      <c r="V93" s="28"/>
      <c r="W93" s="15" t="s">
        <v>35</v>
      </c>
      <c r="X93" s="52"/>
    </row>
    <row r="94" spans="1:24" ht="20.45" customHeight="1">
      <c r="A94" s="10" t="s">
        <v>130</v>
      </c>
      <c r="B94" s="11">
        <v>1.0763888888888891E-2</v>
      </c>
      <c r="C94" s="11">
        <v>3.1828703703703702E-3</v>
      </c>
      <c r="D94" s="11">
        <f>B94*E94</f>
        <v>6.2624305555555567E-3</v>
      </c>
      <c r="E94" s="12">
        <v>0.58179999999999998</v>
      </c>
      <c r="F94" s="11">
        <f>C94/4</f>
        <v>7.9571759259259255E-4</v>
      </c>
      <c r="G94" s="11">
        <f>D94/7.5</f>
        <v>8.3499074074074085E-4</v>
      </c>
      <c r="H94" s="11">
        <f>B94/12.5</f>
        <v>8.6111111111111121E-4</v>
      </c>
      <c r="I94" s="11">
        <f>G94/0.93</f>
        <v>8.9783950617283953E-4</v>
      </c>
      <c r="J94" s="11">
        <f>G94/0.92</f>
        <v>9.0759863123993567E-4</v>
      </c>
      <c r="K94" s="11">
        <f>G94/0.88</f>
        <v>9.4885311447811464E-4</v>
      </c>
      <c r="L94" s="11">
        <f>G94/0.84</f>
        <v>9.9403659611992969E-4</v>
      </c>
      <c r="M94" s="25">
        <f>WO2025Jan7men11915171923252931333539414345474955575963656769717375777913171921232729[[#This Row],[Thresh]]</f>
        <v>9.4885311447811464E-4</v>
      </c>
      <c r="N94" s="28">
        <f>WO2025Jan7men11915171923252931333539414345474955575963656769717375777913171921232729[[#This Row],[Thresh]]*3</f>
        <v>2.8465593434343437E-3</v>
      </c>
      <c r="O94" s="25">
        <f>WO2025Jan7men11915171923252931333539414345474955575963656769717375777913171921232729[[#This Row],[CV]]</f>
        <v>9.0759863123993567E-4</v>
      </c>
      <c r="P94" s="28">
        <f>WO2025Jan7men11915171923252931333539414345474955575963656769717375777913171921232729[[#This Row],[I]]</f>
        <v>8.6111111111111121E-4</v>
      </c>
      <c r="Q94" s="25">
        <f>WO2025Jan7men11915171923252931333539414345474955575963656769717375777913171921232729[[#This Row],[I]]*5</f>
        <v>4.3055555555555564E-3</v>
      </c>
      <c r="R94" s="28">
        <f>WO2025Jan7men11915171923252931333539414345474955575963656769717375777913171921232729[[#This Row],[Thresh]]*2</f>
        <v>1.8977062289562293E-3</v>
      </c>
      <c r="S94" s="25"/>
      <c r="T94" s="25"/>
      <c r="U94" s="28"/>
      <c r="V94" s="28"/>
      <c r="W94" s="27" t="s">
        <v>35</v>
      </c>
      <c r="X94" s="52"/>
    </row>
    <row r="95" spans="1:24" ht="20.45" customHeight="1">
      <c r="A95" s="10" t="s">
        <v>131</v>
      </c>
      <c r="B95" s="11">
        <v>1.0763888888888891E-2</v>
      </c>
      <c r="C95" s="11">
        <v>3.1828703703703702E-3</v>
      </c>
      <c r="D95" s="11">
        <f t="shared" si="24"/>
        <v>6.2624305555555567E-3</v>
      </c>
      <c r="E95" s="12">
        <v>0.58179999999999998</v>
      </c>
      <c r="F95" s="11">
        <f t="shared" si="25"/>
        <v>7.9571759259259255E-4</v>
      </c>
      <c r="G95" s="11">
        <f t="shared" si="26"/>
        <v>8.3499074074074085E-4</v>
      </c>
      <c r="H95" s="11">
        <f t="shared" si="27"/>
        <v>8.6111111111111121E-4</v>
      </c>
      <c r="I95" s="11">
        <f t="shared" si="28"/>
        <v>8.9783950617283953E-4</v>
      </c>
      <c r="J95" s="11">
        <f t="shared" si="29"/>
        <v>9.0759863123993567E-4</v>
      </c>
      <c r="K95" s="11">
        <f t="shared" si="30"/>
        <v>9.4885311447811464E-4</v>
      </c>
      <c r="L95" s="11">
        <f t="shared" si="31"/>
        <v>9.9403659611992969E-4</v>
      </c>
      <c r="M95" s="25">
        <f>WO2025Jan7men11915171923252931333539414345474955575963656769717375777913171921232729[[#This Row],[Thresh]]</f>
        <v>9.4885311447811464E-4</v>
      </c>
      <c r="N95" s="28">
        <f>WO2025Jan7men11915171923252931333539414345474955575963656769717375777913171921232729[[#This Row],[Thresh]]*3</f>
        <v>2.8465593434343437E-3</v>
      </c>
      <c r="O95" s="25">
        <f>WO2025Jan7men11915171923252931333539414345474955575963656769717375777913171921232729[[#This Row],[CV]]</f>
        <v>9.0759863123993567E-4</v>
      </c>
      <c r="P95" s="28">
        <f>WO2025Jan7men11915171923252931333539414345474955575963656769717375777913171921232729[[#This Row],[I]]</f>
        <v>8.6111111111111121E-4</v>
      </c>
      <c r="Q95" s="25">
        <f>WO2025Jan7men11915171923252931333539414345474955575963656769717375777913171921232729[[#This Row],[I]]*5</f>
        <v>4.3055555555555564E-3</v>
      </c>
      <c r="R95" s="28">
        <f>WO2025Jan7men11915171923252931333539414345474955575963656769717375777913171921232729[[#This Row],[Thresh]]*2</f>
        <v>1.8977062289562293E-3</v>
      </c>
      <c r="S95" s="25"/>
      <c r="T95" s="25"/>
      <c r="U95" s="28"/>
      <c r="V95" s="28"/>
      <c r="W95" s="15" t="s">
        <v>35</v>
      </c>
      <c r="X95" s="52"/>
    </row>
    <row r="96" spans="1:24" ht="20.45" customHeight="1">
      <c r="A96" s="10" t="s">
        <v>113</v>
      </c>
      <c r="B96" s="11">
        <v>1.0763888888888891E-2</v>
      </c>
      <c r="C96" s="11">
        <v>3.2986111111111111E-3</v>
      </c>
      <c r="D96" s="11">
        <f>B96*E96</f>
        <v>6.2624305555555567E-3</v>
      </c>
      <c r="E96" s="12">
        <v>0.58179999999999998</v>
      </c>
      <c r="F96" s="11">
        <f>C96/4</f>
        <v>8.2465277777777778E-4</v>
      </c>
      <c r="G96" s="11">
        <f>D96/7.5</f>
        <v>8.3499074074074085E-4</v>
      </c>
      <c r="H96" s="11">
        <f>B96/12.5</f>
        <v>8.6111111111111121E-4</v>
      </c>
      <c r="I96" s="11">
        <f>G96/0.93</f>
        <v>8.9783950617283953E-4</v>
      </c>
      <c r="J96" s="11">
        <f>G96/0.92</f>
        <v>9.0759863123993567E-4</v>
      </c>
      <c r="K96" s="11">
        <f>G96/0.88</f>
        <v>9.4885311447811464E-4</v>
      </c>
      <c r="L96" s="11">
        <f>G96/0.84</f>
        <v>9.9403659611992969E-4</v>
      </c>
      <c r="M96" s="25">
        <f>WO2025Jan7men11915171923252931333539414345474955575963656769717375777913171921232729[[#This Row],[Thresh]]</f>
        <v>9.4885311447811464E-4</v>
      </c>
      <c r="N96" s="28">
        <f>WO2025Jan7men11915171923252931333539414345474955575963656769717375777913171921232729[[#This Row],[Thresh]]*3</f>
        <v>2.8465593434343437E-3</v>
      </c>
      <c r="O96" s="25">
        <f>WO2025Jan7men11915171923252931333539414345474955575963656769717375777913171921232729[[#This Row],[CV]]</f>
        <v>9.0759863123993567E-4</v>
      </c>
      <c r="P96" s="28">
        <f>WO2025Jan7men11915171923252931333539414345474955575963656769717375777913171921232729[[#This Row],[I]]</f>
        <v>8.6111111111111121E-4</v>
      </c>
      <c r="Q96" s="25">
        <f>WO2025Jan7men11915171923252931333539414345474955575963656769717375777913171921232729[[#This Row],[I]]*5</f>
        <v>4.3055555555555564E-3</v>
      </c>
      <c r="R96" s="28">
        <f>WO2025Jan7men11915171923252931333539414345474955575963656769717375777913171921232729[[#This Row],[Thresh]]*2</f>
        <v>1.8977062289562293E-3</v>
      </c>
      <c r="S96" s="25"/>
      <c r="T96" s="25"/>
      <c r="U96" s="28"/>
      <c r="V96" s="25"/>
      <c r="W96" s="15" t="s">
        <v>26</v>
      </c>
      <c r="X96" s="52"/>
    </row>
    <row r="97" spans="1:24" ht="20.45" customHeight="1">
      <c r="A97" s="10" t="s">
        <v>128</v>
      </c>
      <c r="B97" s="11">
        <v>1.0763888888888891E-2</v>
      </c>
      <c r="C97" s="11"/>
      <c r="D97" s="11">
        <f>B97*E97</f>
        <v>6.2624305555555567E-3</v>
      </c>
      <c r="E97" s="12">
        <v>0.58179999999999998</v>
      </c>
      <c r="F97" s="11">
        <f>C97/4</f>
        <v>0</v>
      </c>
      <c r="G97" s="11">
        <f>D97/7.5</f>
        <v>8.3499074074074085E-4</v>
      </c>
      <c r="H97" s="11">
        <f>B97/12.5</f>
        <v>8.6111111111111121E-4</v>
      </c>
      <c r="I97" s="11">
        <f>G97/0.93</f>
        <v>8.9783950617283953E-4</v>
      </c>
      <c r="J97" s="11">
        <f>G97/0.92</f>
        <v>9.0759863123993567E-4</v>
      </c>
      <c r="K97" s="11">
        <f>G97/0.88</f>
        <v>9.4885311447811464E-4</v>
      </c>
      <c r="L97" s="11">
        <f>G97/0.84</f>
        <v>9.9403659611992969E-4</v>
      </c>
      <c r="M97" s="25">
        <f>WO2025Jan7men11915171923252931333539414345474955575963656769717375777913171921232729[[#This Row],[Thresh]]</f>
        <v>9.4885311447811464E-4</v>
      </c>
      <c r="N97" s="28">
        <f>WO2025Jan7men11915171923252931333539414345474955575963656769717375777913171921232729[[#This Row],[Thresh]]*3</f>
        <v>2.8465593434343437E-3</v>
      </c>
      <c r="O97" s="25">
        <f>WO2025Jan7men11915171923252931333539414345474955575963656769717375777913171921232729[[#This Row],[CV]]</f>
        <v>9.0759863123993567E-4</v>
      </c>
      <c r="P97" s="28">
        <f>WO2025Jan7men11915171923252931333539414345474955575963656769717375777913171921232729[[#This Row],[I]]</f>
        <v>8.6111111111111121E-4</v>
      </c>
      <c r="Q97" s="25">
        <f>WO2025Jan7men11915171923252931333539414345474955575963656769717375777913171921232729[[#This Row],[I]]*5</f>
        <v>4.3055555555555564E-3</v>
      </c>
      <c r="R97" s="28">
        <f>WO2025Jan7men11915171923252931333539414345474955575963656769717375777913171921232729[[#This Row],[Thresh]]*2</f>
        <v>1.8977062289562293E-3</v>
      </c>
      <c r="S97" s="25"/>
      <c r="T97" s="25"/>
      <c r="U97" s="28"/>
      <c r="V97" s="28"/>
      <c r="W97" s="27" t="s">
        <v>35</v>
      </c>
      <c r="X97" s="52"/>
    </row>
    <row r="98" spans="1:24" ht="20.45" customHeight="1">
      <c r="A98" s="10" t="s">
        <v>114</v>
      </c>
      <c r="B98" s="11">
        <v>1.087962962962963E-2</v>
      </c>
      <c r="C98" s="11">
        <v>3.0671296296296297E-3</v>
      </c>
      <c r="D98" s="11">
        <f>B98*E98</f>
        <v>6.3297685185185184E-3</v>
      </c>
      <c r="E98" s="12">
        <v>0.58179999999999998</v>
      </c>
      <c r="F98" s="11">
        <f>C98/4</f>
        <v>7.6678240740740743E-4</v>
      </c>
      <c r="G98" s="11">
        <f>D98/7.5</f>
        <v>8.4396913580246917E-4</v>
      </c>
      <c r="H98" s="11">
        <f>B98/12.5</f>
        <v>8.7037037037037042E-4</v>
      </c>
      <c r="I98" s="11">
        <f>G98/0.93</f>
        <v>9.0749369441125711E-4</v>
      </c>
      <c r="J98" s="11">
        <f>G98/0.92</f>
        <v>9.173577563070317E-4</v>
      </c>
      <c r="K98" s="11">
        <f>G98/0.88</f>
        <v>9.5905583613916951E-4</v>
      </c>
      <c r="L98" s="11">
        <f>G98/0.84</f>
        <v>1.0047251616696062E-3</v>
      </c>
      <c r="M98" s="25">
        <f>WO2025Jan7men11915171923252931333539414345474955575963656769717375777913171921232729[[#This Row],[Thresh]]</f>
        <v>9.5905583613916951E-4</v>
      </c>
      <c r="N98" s="28">
        <f>WO2025Jan7men11915171923252931333539414345474955575963656769717375777913171921232729[[#This Row],[Thresh]]*3</f>
        <v>2.8771675084175085E-3</v>
      </c>
      <c r="O98" s="25">
        <f>WO2025Jan7men11915171923252931333539414345474955575963656769717375777913171921232729[[#This Row],[CV]]</f>
        <v>9.173577563070317E-4</v>
      </c>
      <c r="P98" s="28">
        <f>WO2025Jan7men11915171923252931333539414345474955575963656769717375777913171921232729[[#This Row],[I]]</f>
        <v>8.7037037037037042E-4</v>
      </c>
      <c r="Q98" s="25">
        <f>WO2025Jan7men11915171923252931333539414345474955575963656769717375777913171921232729[[#This Row],[I]]*5</f>
        <v>4.3518518518518524E-3</v>
      </c>
      <c r="R98" s="28">
        <f>WO2025Jan7men11915171923252931333539414345474955575963656769717375777913171921232729[[#This Row],[Thresh]]*2</f>
        <v>1.918111672278339E-3</v>
      </c>
      <c r="S98" s="25"/>
      <c r="T98" s="25"/>
      <c r="U98" s="28"/>
      <c r="V98" s="28"/>
      <c r="W98" s="15" t="s">
        <v>35</v>
      </c>
      <c r="X98" s="52"/>
    </row>
    <row r="99" spans="1:24" ht="20.45" customHeight="1">
      <c r="A99" s="10" t="s">
        <v>132</v>
      </c>
      <c r="B99" s="11">
        <v>1.087962962962963E-2</v>
      </c>
      <c r="C99" s="11"/>
      <c r="D99" s="11">
        <f t="shared" si="24"/>
        <v>6.3297685185185184E-3</v>
      </c>
      <c r="E99" s="12">
        <v>0.58179999999999998</v>
      </c>
      <c r="F99" s="11">
        <f t="shared" si="25"/>
        <v>0</v>
      </c>
      <c r="G99" s="11">
        <f t="shared" si="26"/>
        <v>8.4396913580246917E-4</v>
      </c>
      <c r="H99" s="11">
        <f t="shared" si="27"/>
        <v>8.7037037037037042E-4</v>
      </c>
      <c r="I99" s="11">
        <f t="shared" si="28"/>
        <v>9.0749369441125711E-4</v>
      </c>
      <c r="J99" s="11">
        <f t="shared" si="29"/>
        <v>9.173577563070317E-4</v>
      </c>
      <c r="K99" s="11">
        <f t="shared" si="30"/>
        <v>9.5905583613916951E-4</v>
      </c>
      <c r="L99" s="11">
        <f t="shared" si="31"/>
        <v>1.0047251616696062E-3</v>
      </c>
      <c r="M99" s="25">
        <f>WO2025Jan7men11915171923252931333539414345474955575963656769717375777913171921232729[[#This Row],[Thresh]]</f>
        <v>9.5905583613916951E-4</v>
      </c>
      <c r="N99" s="28">
        <f>WO2025Jan7men11915171923252931333539414345474955575963656769717375777913171921232729[[#This Row],[Thresh]]*3</f>
        <v>2.8771675084175085E-3</v>
      </c>
      <c r="O99" s="25">
        <f>WO2025Jan7men11915171923252931333539414345474955575963656769717375777913171921232729[[#This Row],[CV]]</f>
        <v>9.173577563070317E-4</v>
      </c>
      <c r="P99" s="28">
        <f>WO2025Jan7men11915171923252931333539414345474955575963656769717375777913171921232729[[#This Row],[I]]</f>
        <v>8.7037037037037042E-4</v>
      </c>
      <c r="Q99" s="25">
        <f>WO2025Jan7men11915171923252931333539414345474955575963656769717375777913171921232729[[#This Row],[I]]*5</f>
        <v>4.3518518518518524E-3</v>
      </c>
      <c r="R99" s="28">
        <f>WO2025Jan7men11915171923252931333539414345474955575963656769717375777913171921232729[[#This Row],[Thresh]]*2</f>
        <v>1.918111672278339E-3</v>
      </c>
      <c r="S99" s="25"/>
      <c r="T99" s="25"/>
      <c r="U99" s="28"/>
      <c r="V99" s="28"/>
      <c r="W99" s="27" t="s">
        <v>35</v>
      </c>
      <c r="X99" s="52"/>
    </row>
    <row r="100" spans="1:24" ht="20.45" customHeight="1">
      <c r="A100" s="10" t="s">
        <v>133</v>
      </c>
      <c r="B100" s="11">
        <v>1.087962962962963E-2</v>
      </c>
      <c r="C100" s="11">
        <v>3.1250000000000002E-3</v>
      </c>
      <c r="D100" s="11">
        <f t="shared" si="24"/>
        <v>6.3297685185185184E-3</v>
      </c>
      <c r="E100" s="12">
        <v>0.58179999999999998</v>
      </c>
      <c r="F100" s="11">
        <f t="shared" si="25"/>
        <v>7.8125000000000004E-4</v>
      </c>
      <c r="G100" s="11">
        <f t="shared" si="26"/>
        <v>8.4396913580246917E-4</v>
      </c>
      <c r="H100" s="11">
        <f t="shared" si="27"/>
        <v>8.7037037037037042E-4</v>
      </c>
      <c r="I100" s="11">
        <f t="shared" si="28"/>
        <v>9.0749369441125711E-4</v>
      </c>
      <c r="J100" s="11">
        <f t="shared" si="29"/>
        <v>9.173577563070317E-4</v>
      </c>
      <c r="K100" s="11">
        <f t="shared" si="30"/>
        <v>9.5905583613916951E-4</v>
      </c>
      <c r="L100" s="11">
        <f t="shared" si="31"/>
        <v>1.0047251616696062E-3</v>
      </c>
      <c r="M100" s="25">
        <f>WO2025Jan7men11915171923252931333539414345474955575963656769717375777913171921232729[[#This Row],[Thresh]]</f>
        <v>9.5905583613916951E-4</v>
      </c>
      <c r="N100" s="28">
        <f>WO2025Jan7men11915171923252931333539414345474955575963656769717375777913171921232729[[#This Row],[Thresh]]*3</f>
        <v>2.8771675084175085E-3</v>
      </c>
      <c r="O100" s="25">
        <f>WO2025Jan7men11915171923252931333539414345474955575963656769717375777913171921232729[[#This Row],[CV]]</f>
        <v>9.173577563070317E-4</v>
      </c>
      <c r="P100" s="28">
        <f>WO2025Jan7men11915171923252931333539414345474955575963656769717375777913171921232729[[#This Row],[I]]</f>
        <v>8.7037037037037042E-4</v>
      </c>
      <c r="Q100" s="25">
        <f>WO2025Jan7men11915171923252931333539414345474955575963656769717375777913171921232729[[#This Row],[I]]*5</f>
        <v>4.3518518518518524E-3</v>
      </c>
      <c r="R100" s="28">
        <f>WO2025Jan7men11915171923252931333539414345474955575963656769717375777913171921232729[[#This Row],[Thresh]]*2</f>
        <v>1.918111672278339E-3</v>
      </c>
      <c r="S100" s="25"/>
      <c r="T100" s="25"/>
      <c r="U100" s="28"/>
      <c r="V100" s="25"/>
      <c r="W100" s="15" t="s">
        <v>26</v>
      </c>
      <c r="X100" s="52"/>
    </row>
    <row r="101" spans="1:24" ht="20.45" customHeight="1">
      <c r="A101" s="10" t="s">
        <v>136</v>
      </c>
      <c r="B101" s="11">
        <v>1.1111111111111112E-2</v>
      </c>
      <c r="C101" s="11">
        <v>3.1828703703703702E-3</v>
      </c>
      <c r="D101" s="11">
        <f>B101*E101</f>
        <v>6.4644444444444445E-3</v>
      </c>
      <c r="E101" s="12">
        <v>0.58179999999999998</v>
      </c>
      <c r="F101" s="11">
        <f>C101/4</f>
        <v>7.9571759259259255E-4</v>
      </c>
      <c r="G101" s="11">
        <f>D101/7.5</f>
        <v>8.6192592592592592E-4</v>
      </c>
      <c r="H101" s="11">
        <f>B101/12.5</f>
        <v>8.8888888888888893E-4</v>
      </c>
      <c r="I101" s="11">
        <f>G101/0.93</f>
        <v>9.2680207088809239E-4</v>
      </c>
      <c r="J101" s="11">
        <f>G101/0.92</f>
        <v>9.3687600644122375E-4</v>
      </c>
      <c r="K101" s="11">
        <f>G101/0.88</f>
        <v>9.7946127946127947E-4</v>
      </c>
      <c r="L101" s="11">
        <f>G101/0.84</f>
        <v>1.0261022927689596E-3</v>
      </c>
      <c r="M101" s="25">
        <f>WO2025Jan7men11915171923252931333539414345474955575963656769717375777913171921232729[[#This Row],[Thresh]]</f>
        <v>9.7946127946127947E-4</v>
      </c>
      <c r="N101" s="28">
        <f>WO2025Jan7men11915171923252931333539414345474955575963656769717375777913171921232729[[#This Row],[Thresh]]*3</f>
        <v>2.9383838383838382E-3</v>
      </c>
      <c r="O101" s="25">
        <f>WO2025Jan7men11915171923252931333539414345474955575963656769717375777913171921232729[[#This Row],[CV]]</f>
        <v>9.3687600644122375E-4</v>
      </c>
      <c r="P101" s="28">
        <f>WO2025Jan7men11915171923252931333539414345474955575963656769717375777913171921232729[[#This Row],[I]]</f>
        <v>8.8888888888888893E-4</v>
      </c>
      <c r="Q101" s="25">
        <f>WO2025Jan7men11915171923252931333539414345474955575963656769717375777913171921232729[[#This Row],[I]]*5</f>
        <v>4.4444444444444444E-3</v>
      </c>
      <c r="R101" s="28">
        <f>WO2025Jan7men11915171923252931333539414345474955575963656769717375777913171921232729[[#This Row],[Thresh]]*2</f>
        <v>1.9589225589225589E-3</v>
      </c>
      <c r="S101" s="25"/>
      <c r="T101" s="25"/>
      <c r="U101" s="28"/>
      <c r="V101" s="25"/>
      <c r="W101" s="15" t="s">
        <v>35</v>
      </c>
      <c r="X101" s="52"/>
    </row>
    <row r="102" spans="1:24" ht="20.45" customHeight="1">
      <c r="A102" s="10" t="s">
        <v>134</v>
      </c>
      <c r="B102" s="11">
        <v>1.1631944444444445E-2</v>
      </c>
      <c r="C102" s="11"/>
      <c r="D102" s="11">
        <f>B102*E102</f>
        <v>6.7674652777777776E-3</v>
      </c>
      <c r="E102" s="12">
        <v>0.58179999999999998</v>
      </c>
      <c r="F102" s="11">
        <f>C102/4</f>
        <v>0</v>
      </c>
      <c r="G102" s="11">
        <f>D102/7.5</f>
        <v>9.0232870370370369E-4</v>
      </c>
      <c r="H102" s="11">
        <f>B102/12.5</f>
        <v>9.3055555555555556E-4</v>
      </c>
      <c r="I102" s="11">
        <f>G102/0.93</f>
        <v>9.7024591796097167E-4</v>
      </c>
      <c r="J102" s="11">
        <f>G102/0.92</f>
        <v>9.8079206924315621E-4</v>
      </c>
      <c r="K102" s="11">
        <f>G102/0.88</f>
        <v>1.0253735269360269E-3</v>
      </c>
      <c r="L102" s="11">
        <f>G102/0.84</f>
        <v>1.0742008377425045E-3</v>
      </c>
      <c r="M102" s="25">
        <f>WO2025Jan7men11915171923252931333539414345474955575963656769717375777913171921232729[[#This Row],[Thresh]]</f>
        <v>1.0253735269360269E-3</v>
      </c>
      <c r="N102" s="28">
        <f>WO2025Jan7men11915171923252931333539414345474955575963656769717375777913171921232729[[#This Row],[Thresh]]*3</f>
        <v>3.0761205808080808E-3</v>
      </c>
      <c r="O102" s="25">
        <f>WO2025Jan7men11915171923252931333539414345474955575963656769717375777913171921232729[[#This Row],[CV]]</f>
        <v>9.8079206924315621E-4</v>
      </c>
      <c r="P102" s="28">
        <f>WO2025Jan7men11915171923252931333539414345474955575963656769717375777913171921232729[[#This Row],[I]]</f>
        <v>9.3055555555555556E-4</v>
      </c>
      <c r="Q102" s="25">
        <f>WO2025Jan7men11915171923252931333539414345474955575963656769717375777913171921232729[[#This Row],[I]]*5</f>
        <v>4.6527777777777782E-3</v>
      </c>
      <c r="R102" s="28">
        <f>WO2025Jan7men11915171923252931333539414345474955575963656769717375777913171921232729[[#This Row],[Thresh]]*2</f>
        <v>2.0507470538720539E-3</v>
      </c>
      <c r="S102" s="25"/>
      <c r="T102" s="25"/>
      <c r="U102" s="28"/>
      <c r="V102" s="28"/>
      <c r="W102" s="27" t="s">
        <v>35</v>
      </c>
      <c r="X102" s="52"/>
    </row>
    <row r="103" spans="1:24" ht="20.45" customHeight="1">
      <c r="A103" s="10" t="s">
        <v>135</v>
      </c>
      <c r="B103" s="11">
        <v>1.1631944444444445E-2</v>
      </c>
      <c r="C103" s="11">
        <v>3.414351851851852E-3</v>
      </c>
      <c r="D103" s="11">
        <f>B103*E103</f>
        <v>6.7674652777777776E-3</v>
      </c>
      <c r="E103" s="12">
        <v>0.58179999999999998</v>
      </c>
      <c r="F103" s="11">
        <f>C103/4</f>
        <v>8.53587962962963E-4</v>
      </c>
      <c r="G103" s="11">
        <f>D103/7.5</f>
        <v>9.0232870370370369E-4</v>
      </c>
      <c r="H103" s="11">
        <f>B103/12.5</f>
        <v>9.3055555555555556E-4</v>
      </c>
      <c r="I103" s="11">
        <f>G103/0.93</f>
        <v>9.7024591796097167E-4</v>
      </c>
      <c r="J103" s="11">
        <f>G103/0.92</f>
        <v>9.8079206924315621E-4</v>
      </c>
      <c r="K103" s="11">
        <f>G103/0.88</f>
        <v>1.0253735269360269E-3</v>
      </c>
      <c r="L103" s="17">
        <f>G103/0.84</f>
        <v>1.0742008377425045E-3</v>
      </c>
      <c r="M103" s="25">
        <f>WO2025Jan7men11915171923252931333539414345474955575963656769717375777913171921232729[[#This Row],[Thresh]]</f>
        <v>1.0253735269360269E-3</v>
      </c>
      <c r="N103" s="28">
        <f>WO2025Jan7men11915171923252931333539414345474955575963656769717375777913171921232729[[#This Row],[Thresh]]*3</f>
        <v>3.0761205808080808E-3</v>
      </c>
      <c r="O103" s="25">
        <f>WO2025Jan7men11915171923252931333539414345474955575963656769717375777913171921232729[[#This Row],[CV]]</f>
        <v>9.8079206924315621E-4</v>
      </c>
      <c r="P103" s="28">
        <f>WO2025Jan7men11915171923252931333539414345474955575963656769717375777913171921232729[[#This Row],[I]]</f>
        <v>9.3055555555555556E-4</v>
      </c>
      <c r="Q103" s="25">
        <f>WO2025Jan7men11915171923252931333539414345474955575963656769717375777913171921232729[[#This Row],[I]]*5</f>
        <v>4.6527777777777782E-3</v>
      </c>
      <c r="R103" s="28">
        <f>WO2025Jan7men11915171923252931333539414345474955575963656769717375777913171921232729[[#This Row],[Thresh]]*2</f>
        <v>2.0507470538720539E-3</v>
      </c>
      <c r="S103" s="25"/>
      <c r="T103" s="25"/>
      <c r="U103" s="28"/>
      <c r="V103" s="44"/>
      <c r="W103" s="28" t="s">
        <v>26</v>
      </c>
      <c r="X103" s="52"/>
    </row>
    <row r="104" spans="1:24" ht="20.45" customHeight="1">
      <c r="A104" s="10"/>
      <c r="B104" s="11"/>
      <c r="C104" s="11"/>
      <c r="D104" s="11"/>
      <c r="E104" s="12"/>
      <c r="F104" s="11"/>
      <c r="G104" s="11"/>
      <c r="H104" s="11"/>
      <c r="I104" s="11"/>
      <c r="J104" s="11"/>
      <c r="K104" s="11"/>
      <c r="L104" s="11"/>
      <c r="M104" s="25"/>
      <c r="N104" s="28"/>
      <c r="O104" s="25"/>
      <c r="P104" s="28"/>
      <c r="Q104" s="25"/>
      <c r="R104" s="28"/>
      <c r="S104" s="25"/>
      <c r="T104" s="28"/>
      <c r="U104" s="28"/>
      <c r="V104" s="25"/>
      <c r="W104" s="15"/>
      <c r="X104" s="52"/>
    </row>
    <row r="105" spans="1:24" ht="20.45" customHeight="1">
      <c r="A105" s="19"/>
      <c r="B105" s="6"/>
      <c r="C105" s="6"/>
      <c r="D105" s="6"/>
      <c r="E105" s="20"/>
      <c r="F105" s="6"/>
      <c r="G105" s="6"/>
      <c r="H105" s="6"/>
      <c r="I105" s="6"/>
      <c r="J105" s="6"/>
      <c r="K105" s="6"/>
      <c r="L105" s="6"/>
      <c r="M105" s="6"/>
      <c r="N105" s="6"/>
      <c r="O105" s="6"/>
      <c r="P105" s="6"/>
      <c r="Q105" s="6"/>
      <c r="R105" s="6"/>
      <c r="S105" s="6"/>
      <c r="T105" s="6"/>
      <c r="U105" s="6"/>
      <c r="V105" s="23"/>
      <c r="W105" s="35"/>
      <c r="X105" s="52"/>
    </row>
    <row r="106" spans="1:24" ht="20.45" customHeight="1">
      <c r="A106" s="10" t="s">
        <v>107</v>
      </c>
      <c r="B106" s="11">
        <v>1.1111111111111112E-2</v>
      </c>
      <c r="C106" s="11">
        <v>3.2407407407407406E-3</v>
      </c>
      <c r="D106" s="11">
        <f t="shared" ref="D106:D110" si="32">B106*E106</f>
        <v>6.4644444444444445E-3</v>
      </c>
      <c r="E106" s="12">
        <v>0.58179999999999998</v>
      </c>
      <c r="F106" s="11">
        <f t="shared" ref="F106:F110" si="33">C106/4</f>
        <v>8.1018518518518516E-4</v>
      </c>
      <c r="G106" s="11">
        <f t="shared" ref="G106:G110" si="34">D106/7.5</f>
        <v>8.6192592592592592E-4</v>
      </c>
      <c r="H106" s="11">
        <f t="shared" ref="H106:H110" si="35">B106/12.5</f>
        <v>8.8888888888888893E-4</v>
      </c>
      <c r="I106" s="11">
        <f t="shared" ref="I106:I110" si="36">G106/0.93</f>
        <v>9.2680207088809239E-4</v>
      </c>
      <c r="J106" s="11">
        <f t="shared" ref="J106:J110" si="37">G106/0.92</f>
        <v>9.3687600644122375E-4</v>
      </c>
      <c r="K106" s="11">
        <f t="shared" ref="K106:K110" si="38">G106/0.88</f>
        <v>9.7946127946127947E-4</v>
      </c>
      <c r="L106" s="11">
        <f t="shared" ref="L106:L110" si="39">G106/0.84</f>
        <v>1.0261022927689596E-3</v>
      </c>
      <c r="M106" s="25"/>
      <c r="N106" s="28"/>
      <c r="O106" s="25"/>
      <c r="P106" s="25"/>
      <c r="Q106" s="25"/>
      <c r="R106" s="28"/>
      <c r="S106" s="25"/>
      <c r="T106" s="25"/>
      <c r="U106" s="28"/>
      <c r="V106" s="28"/>
      <c r="W106" s="15" t="s">
        <v>52</v>
      </c>
      <c r="X106" s="52"/>
    </row>
    <row r="107" spans="1:24" ht="20.45" customHeight="1">
      <c r="A107" s="10" t="s">
        <v>80</v>
      </c>
      <c r="B107" s="11">
        <v>9.8379629629629633E-3</v>
      </c>
      <c r="C107" s="11">
        <v>2.8587962962962963E-3</v>
      </c>
      <c r="D107" s="11">
        <f>B107*E107</f>
        <v>5.7237268518518522E-3</v>
      </c>
      <c r="E107" s="12">
        <v>0.58179999999999998</v>
      </c>
      <c r="F107" s="11">
        <f>C107/4</f>
        <v>7.1469907407407409E-4</v>
      </c>
      <c r="G107" s="11">
        <f>D107/7.5</f>
        <v>7.6316358024691364E-4</v>
      </c>
      <c r="H107" s="11">
        <f>B107/12.5</f>
        <v>7.8703703703703705E-4</v>
      </c>
      <c r="I107" s="11">
        <f>G107/0.93</f>
        <v>8.2060600026549854E-4</v>
      </c>
      <c r="J107" s="11">
        <f>G107/0.92</f>
        <v>8.29525630703167E-4</v>
      </c>
      <c r="K107" s="11">
        <f>G107/0.88</f>
        <v>8.6723134118967459E-4</v>
      </c>
      <c r="L107" s="11">
        <f>G107/0.84</f>
        <v>9.085280717225163E-4</v>
      </c>
      <c r="M107" s="25"/>
      <c r="N107" s="28"/>
      <c r="O107" s="25"/>
      <c r="P107" s="28"/>
      <c r="Q107" s="25"/>
      <c r="R107" s="28"/>
      <c r="S107" s="25"/>
      <c r="T107" s="25"/>
      <c r="U107" s="28"/>
      <c r="V107" s="25"/>
      <c r="W107" s="15" t="s">
        <v>52</v>
      </c>
      <c r="X107" s="52"/>
    </row>
    <row r="108" spans="1:24" ht="20.45" customHeight="1">
      <c r="A108" s="10" t="s">
        <v>164</v>
      </c>
      <c r="B108" s="11">
        <v>1.1342592592592593E-2</v>
      </c>
      <c r="C108" s="11">
        <v>3.2407407407407406E-3</v>
      </c>
      <c r="D108" s="11">
        <f t="shared" si="32"/>
        <v>6.5991203703703706E-3</v>
      </c>
      <c r="E108" s="12">
        <v>0.58179999999999998</v>
      </c>
      <c r="F108" s="11">
        <f t="shared" si="33"/>
        <v>8.1018518518518516E-4</v>
      </c>
      <c r="G108" s="11">
        <f t="shared" si="34"/>
        <v>8.7988271604938278E-4</v>
      </c>
      <c r="H108" s="11">
        <f t="shared" si="35"/>
        <v>9.0740740740740745E-4</v>
      </c>
      <c r="I108" s="11">
        <f t="shared" si="36"/>
        <v>9.4611044736492766E-4</v>
      </c>
      <c r="J108" s="11">
        <f t="shared" si="37"/>
        <v>9.5639425657541603E-4</v>
      </c>
      <c r="K108" s="11">
        <f t="shared" si="38"/>
        <v>9.9986672278338943E-4</v>
      </c>
      <c r="L108" s="11">
        <f t="shared" si="39"/>
        <v>1.0474794238683129E-3</v>
      </c>
      <c r="M108" s="25"/>
      <c r="N108" s="28"/>
      <c r="O108" s="25"/>
      <c r="P108" s="28"/>
      <c r="Q108" s="28"/>
      <c r="R108" s="11"/>
      <c r="S108" s="14"/>
      <c r="T108" s="14"/>
      <c r="U108" s="26"/>
      <c r="V108" s="28"/>
      <c r="W108" s="27" t="s">
        <v>52</v>
      </c>
      <c r="X108" s="52"/>
    </row>
    <row r="109" spans="1:24" ht="20.45" customHeight="1">
      <c r="A109" s="10" t="s">
        <v>108</v>
      </c>
      <c r="B109" s="11">
        <v>1.0763888888888891E-2</v>
      </c>
      <c r="C109" s="11">
        <v>3.0671296296296297E-3</v>
      </c>
      <c r="D109" s="11">
        <f t="shared" si="32"/>
        <v>6.2624305555555567E-3</v>
      </c>
      <c r="E109" s="12">
        <v>0.58179999999999998</v>
      </c>
      <c r="F109" s="11">
        <f t="shared" si="33"/>
        <v>7.6678240740740743E-4</v>
      </c>
      <c r="G109" s="11">
        <f t="shared" si="34"/>
        <v>8.3499074074074085E-4</v>
      </c>
      <c r="H109" s="11">
        <f t="shared" si="35"/>
        <v>8.6111111111111121E-4</v>
      </c>
      <c r="I109" s="11">
        <f t="shared" si="36"/>
        <v>8.9783950617283953E-4</v>
      </c>
      <c r="J109" s="11">
        <f t="shared" si="37"/>
        <v>9.0759863123993567E-4</v>
      </c>
      <c r="K109" s="11">
        <f t="shared" si="38"/>
        <v>9.4885311447811464E-4</v>
      </c>
      <c r="L109" s="11">
        <f t="shared" si="39"/>
        <v>9.9403659611992969E-4</v>
      </c>
      <c r="M109" s="25"/>
      <c r="N109" s="28"/>
      <c r="O109" s="25"/>
      <c r="P109" s="28"/>
      <c r="Q109" s="25"/>
      <c r="R109" s="28"/>
      <c r="S109" s="25"/>
      <c r="T109" s="25"/>
      <c r="U109" s="28"/>
      <c r="V109" s="28"/>
      <c r="W109" s="15" t="s">
        <v>52</v>
      </c>
      <c r="X109" s="52"/>
    </row>
    <row r="110" spans="1:24" ht="20.45" customHeight="1">
      <c r="A110" s="10" t="s">
        <v>105</v>
      </c>
      <c r="B110" s="11">
        <v>1.0648148148148148E-2</v>
      </c>
      <c r="C110" s="11">
        <v>2.9745370370370373E-3</v>
      </c>
      <c r="D110" s="11">
        <f t="shared" si="32"/>
        <v>6.1950925925925923E-3</v>
      </c>
      <c r="E110" s="12">
        <v>0.58179999999999998</v>
      </c>
      <c r="F110" s="11">
        <f t="shared" si="33"/>
        <v>7.4363425925925931E-4</v>
      </c>
      <c r="G110" s="11">
        <f t="shared" si="34"/>
        <v>8.2601234567901232E-4</v>
      </c>
      <c r="H110" s="11">
        <f t="shared" si="35"/>
        <v>8.5185185185185179E-4</v>
      </c>
      <c r="I110" s="11">
        <f t="shared" si="36"/>
        <v>8.8818531793442184E-4</v>
      </c>
      <c r="J110" s="11">
        <f t="shared" si="37"/>
        <v>8.9783950617283942E-4</v>
      </c>
      <c r="K110" s="11">
        <f t="shared" si="38"/>
        <v>9.3865039281705945E-4</v>
      </c>
      <c r="L110" s="11">
        <f t="shared" si="39"/>
        <v>9.833480305702527E-4</v>
      </c>
      <c r="M110" s="37"/>
      <c r="N110" s="28"/>
      <c r="O110" s="25"/>
      <c r="P110" s="25"/>
      <c r="Q110" s="25"/>
      <c r="R110" s="25"/>
      <c r="S110" s="25"/>
      <c r="T110" s="25"/>
      <c r="U110" s="28"/>
      <c r="V110" s="25"/>
      <c r="W110" s="15" t="s">
        <v>52</v>
      </c>
      <c r="X110" s="52"/>
    </row>
    <row r="111" spans="1:24" ht="20.45" customHeight="1">
      <c r="A111" s="10"/>
      <c r="B111" s="11"/>
      <c r="C111" s="11"/>
      <c r="D111" s="11"/>
      <c r="E111" s="12"/>
      <c r="F111" s="11"/>
      <c r="G111" s="11"/>
      <c r="H111" s="11"/>
      <c r="I111" s="11"/>
      <c r="J111" s="11"/>
      <c r="K111" s="11"/>
      <c r="L111" s="11"/>
      <c r="M111" s="25"/>
      <c r="N111" s="28"/>
      <c r="O111" s="25"/>
      <c r="P111" s="25"/>
      <c r="Q111" s="25"/>
      <c r="R111" s="28"/>
      <c r="S111" s="25"/>
      <c r="T111" s="25"/>
      <c r="U111" s="28"/>
      <c r="V111" s="25"/>
      <c r="W111" s="15"/>
      <c r="X111" s="52"/>
    </row>
    <row r="112" spans="1:24" ht="20.45" customHeight="1">
      <c r="A112" s="10"/>
      <c r="B112" s="11"/>
      <c r="C112" s="11"/>
      <c r="D112" s="11"/>
      <c r="E112" s="12"/>
      <c r="F112" s="11"/>
      <c r="G112" s="11"/>
      <c r="H112" s="11"/>
      <c r="I112" s="11"/>
      <c r="J112" s="11"/>
      <c r="K112" s="11"/>
      <c r="L112" s="11"/>
      <c r="M112" s="25"/>
      <c r="N112" s="28"/>
      <c r="O112" s="25"/>
      <c r="P112" s="25"/>
      <c r="Q112" s="28"/>
      <c r="R112" s="28"/>
      <c r="S112" s="25"/>
      <c r="T112" s="25"/>
      <c r="U112" s="28"/>
      <c r="V112" s="28"/>
      <c r="W112" s="15"/>
      <c r="X112" s="52"/>
    </row>
    <row r="113" spans="1:24" ht="20.45" customHeight="1">
      <c r="A113" s="10"/>
      <c r="B113" s="11"/>
      <c r="C113" s="11"/>
      <c r="D113" s="11"/>
      <c r="E113" s="12"/>
      <c r="F113" s="11"/>
      <c r="G113" s="11"/>
      <c r="H113" s="11"/>
      <c r="I113" s="11"/>
      <c r="J113" s="11"/>
      <c r="K113" s="11"/>
      <c r="L113" s="17"/>
      <c r="M113" s="11"/>
      <c r="N113" s="26"/>
      <c r="P113" s="26"/>
      <c r="Q113" s="26"/>
      <c r="R113" s="26"/>
      <c r="S113" s="14"/>
      <c r="T113" s="14"/>
      <c r="U113" s="26"/>
      <c r="V113" s="38"/>
      <c r="W113" s="31"/>
      <c r="X113" s="52"/>
    </row>
    <row r="114" spans="1:24" ht="20.45" customHeight="1">
      <c r="A114" s="10"/>
      <c r="B114" s="11"/>
      <c r="C114" s="11"/>
      <c r="D114" s="11"/>
      <c r="E114" s="12"/>
      <c r="F114" s="11"/>
      <c r="G114" s="11"/>
      <c r="H114" s="11"/>
      <c r="I114" s="11"/>
      <c r="J114" s="11"/>
      <c r="K114" s="11"/>
      <c r="L114" s="17"/>
      <c r="M114" s="11"/>
      <c r="N114" s="26"/>
      <c r="P114" s="26"/>
      <c r="Q114" s="26"/>
      <c r="R114" s="26"/>
      <c r="S114" s="14"/>
      <c r="T114" s="14"/>
      <c r="U114" s="26"/>
      <c r="V114" s="38"/>
      <c r="W114" s="31"/>
      <c r="X114" s="52"/>
    </row>
    <row r="115" spans="1:24" ht="20.45" customHeight="1" thickBot="1">
      <c r="A115" s="10"/>
      <c r="B115" s="11"/>
      <c r="C115" s="11"/>
      <c r="D115" s="11"/>
      <c r="E115" s="12"/>
      <c r="F115" s="11"/>
      <c r="G115" s="11"/>
      <c r="H115" s="11"/>
      <c r="I115" s="11"/>
      <c r="J115" s="11"/>
      <c r="K115" s="11"/>
      <c r="L115" s="11"/>
      <c r="M115" s="25"/>
      <c r="N115" s="28"/>
      <c r="O115" s="25"/>
      <c r="P115" s="28"/>
      <c r="Q115" s="25"/>
      <c r="R115" s="28"/>
      <c r="S115" s="25"/>
      <c r="T115" s="25"/>
      <c r="U115" s="28"/>
      <c r="V115" s="28"/>
      <c r="W115" s="27"/>
      <c r="X115" s="52"/>
    </row>
    <row r="116" spans="1:24" ht="20.45" customHeight="1">
      <c r="A116" s="1" t="s">
        <v>240</v>
      </c>
      <c r="B116" s="6"/>
      <c r="C116" s="6"/>
      <c r="D116" s="6"/>
      <c r="E116" s="20"/>
      <c r="F116" s="6"/>
      <c r="G116" s="6"/>
      <c r="H116" s="6"/>
      <c r="I116" s="6"/>
      <c r="J116" s="6"/>
      <c r="K116" s="6"/>
      <c r="L116" s="6"/>
      <c r="M116" s="6" t="s">
        <v>12</v>
      </c>
      <c r="N116" s="6" t="s">
        <v>174</v>
      </c>
      <c r="O116" s="6" t="s">
        <v>146</v>
      </c>
      <c r="P116" s="6" t="s">
        <v>249</v>
      </c>
      <c r="Q116" s="22" t="s">
        <v>250</v>
      </c>
      <c r="R116" s="6" t="s">
        <v>46</v>
      </c>
      <c r="S116" s="6"/>
      <c r="T116" s="6"/>
      <c r="U116" s="6"/>
      <c r="V116" s="23"/>
      <c r="W116" s="35"/>
      <c r="X116" s="52"/>
    </row>
    <row r="117" spans="1:24" ht="20.45" customHeight="1">
      <c r="A117" s="10" t="s">
        <v>96</v>
      </c>
      <c r="B117" s="11">
        <v>1.0648148148148148E-2</v>
      </c>
      <c r="C117" s="11">
        <v>2.9513888888888888E-3</v>
      </c>
      <c r="D117" s="11">
        <f>B117*E117</f>
        <v>6.1950925925925923E-3</v>
      </c>
      <c r="E117" s="12">
        <v>0.58179999999999998</v>
      </c>
      <c r="F117" s="11">
        <f>C117/4</f>
        <v>7.378472222222222E-4</v>
      </c>
      <c r="G117" s="11">
        <f>D117/7.5</f>
        <v>8.2601234567901232E-4</v>
      </c>
      <c r="H117" s="11">
        <f>B117/12.5</f>
        <v>8.5185185185185179E-4</v>
      </c>
      <c r="I117" s="11">
        <f>G117/0.93</f>
        <v>8.8818531793442184E-4</v>
      </c>
      <c r="J117" s="11">
        <f>G117/0.92</f>
        <v>8.9783950617283942E-4</v>
      </c>
      <c r="K117" s="11">
        <f>G117/0.88</f>
        <v>9.3865039281705945E-4</v>
      </c>
      <c r="L117" s="17">
        <f>G117/0.84</f>
        <v>9.833480305702527E-4</v>
      </c>
      <c r="M117" s="25">
        <f>WO2025Jan7men11915171923252931333539414345474955575963656769717375777913171921232729[[#This Row],[Thresh]]</f>
        <v>9.3865039281705945E-4</v>
      </c>
      <c r="N117" s="28">
        <f>WO2025Jan7men11915171923252931333539414345474955575963656769717375777913171921232729[[#This Row],[Thresh]]*3</f>
        <v>2.8159511784511784E-3</v>
      </c>
      <c r="O117" s="25">
        <f>WO2025Jan7men11915171923252931333539414345474955575963656769717375777913171921232729[[#This Row],[CV]]</f>
        <v>8.9783950617283942E-4</v>
      </c>
      <c r="P117" s="25">
        <f>WO2025Jan7men11915171923252931333539414345474955575963656769717375777913171921232729[[#This Row],[R]]</f>
        <v>7.378472222222222E-4</v>
      </c>
      <c r="Q117" s="25">
        <f>WO2025Jan7men11915171923252931333539414345474955575963656769717375777913171921232729[[#This Row],[R]]*1.5</f>
        <v>1.1067708333333333E-3</v>
      </c>
      <c r="R117" s="25" t="s">
        <v>25</v>
      </c>
      <c r="S117" s="25"/>
      <c r="T117" s="25"/>
      <c r="U117" s="25"/>
      <c r="V117" s="25"/>
      <c r="W117" s="15" t="s">
        <v>48</v>
      </c>
      <c r="X117" s="52"/>
    </row>
    <row r="118" spans="1:24" ht="20.45" customHeight="1">
      <c r="A118" s="10" t="s">
        <v>97</v>
      </c>
      <c r="B118" s="11">
        <v>1.0763888888888889E-2</v>
      </c>
      <c r="C118" s="11">
        <v>2.9513888888888888E-3</v>
      </c>
      <c r="D118" s="11">
        <f t="shared" ref="D118:D126" si="40">B118*E118</f>
        <v>6.2624305555555549E-3</v>
      </c>
      <c r="E118" s="12">
        <v>0.58179999999999998</v>
      </c>
      <c r="F118" s="11">
        <f t="shared" ref="F118:F126" si="41">C118/4</f>
        <v>7.378472222222222E-4</v>
      </c>
      <c r="G118" s="11">
        <f t="shared" ref="G118:G126" si="42">D118/7.5</f>
        <v>8.3499074074074064E-4</v>
      </c>
      <c r="H118" s="11">
        <f t="shared" ref="H118:H126" si="43">B118/12.5</f>
        <v>8.611111111111111E-4</v>
      </c>
      <c r="I118" s="11">
        <f t="shared" ref="I118:I126" si="44">G118/0.93</f>
        <v>8.9783950617283931E-4</v>
      </c>
      <c r="J118" s="11">
        <f t="shared" ref="J118:J126" si="45">G118/0.92</f>
        <v>9.0759863123993545E-4</v>
      </c>
      <c r="K118" s="11">
        <f t="shared" ref="K118:K126" si="46">G118/0.88</f>
        <v>9.4885311447811432E-4</v>
      </c>
      <c r="L118" s="11">
        <f t="shared" ref="L118:L126" si="47">G118/0.84</f>
        <v>9.9403659611992947E-4</v>
      </c>
      <c r="M118" s="25">
        <f>WO2025Jan7men11915171923252931333539414345474955575963656769717375777913171921232729[[#This Row],[Thresh]]</f>
        <v>9.4885311447811432E-4</v>
      </c>
      <c r="N118" s="28">
        <f>WO2025Jan7men11915171923252931333539414345474955575963656769717375777913171921232729[[#This Row],[Thresh]]*3</f>
        <v>2.8465593434343428E-3</v>
      </c>
      <c r="O118" s="25">
        <f>WO2025Jan7men11915171923252931333539414345474955575963656769717375777913171921232729[[#This Row],[CV]]</f>
        <v>9.0759863123993545E-4</v>
      </c>
      <c r="P118" s="25">
        <f>WO2025Jan7men11915171923252931333539414345474955575963656769717375777913171921232729[[#This Row],[R]]</f>
        <v>7.378472222222222E-4</v>
      </c>
      <c r="Q118" s="25">
        <f>WO2025Jan7men11915171923252931333539414345474955575963656769717375777913171921232729[[#This Row],[R]]*1.5</f>
        <v>1.1067708333333333E-3</v>
      </c>
      <c r="R118" s="25" t="s">
        <v>25</v>
      </c>
      <c r="S118" s="25"/>
      <c r="T118" s="25"/>
      <c r="U118" s="25"/>
      <c r="V118" s="25"/>
      <c r="W118" s="15" t="s">
        <v>48</v>
      </c>
      <c r="X118" s="50"/>
    </row>
    <row r="119" spans="1:24" ht="20.45" customHeight="1">
      <c r="A119" s="10" t="s">
        <v>137</v>
      </c>
      <c r="B119" s="11">
        <v>1.0763888888888891E-2</v>
      </c>
      <c r="C119" s="11">
        <v>3.0092592592592593E-3</v>
      </c>
      <c r="D119" s="11">
        <f>B119*E119</f>
        <v>6.2624305555555567E-3</v>
      </c>
      <c r="E119" s="12">
        <v>0.58179999999999998</v>
      </c>
      <c r="F119" s="11">
        <f>C119/4</f>
        <v>7.5231481481481482E-4</v>
      </c>
      <c r="G119" s="11">
        <f>D119/7.5</f>
        <v>8.3499074074074085E-4</v>
      </c>
      <c r="H119" s="11">
        <f>B119/12.5</f>
        <v>8.6111111111111121E-4</v>
      </c>
      <c r="I119" s="11">
        <f>G119/0.93</f>
        <v>8.9783950617283953E-4</v>
      </c>
      <c r="J119" s="11">
        <f>G119/0.92</f>
        <v>9.0759863123993567E-4</v>
      </c>
      <c r="K119" s="11">
        <f>G119/0.88</f>
        <v>9.4885311447811464E-4</v>
      </c>
      <c r="L119" s="11">
        <f>G119/0.84</f>
        <v>9.9403659611992969E-4</v>
      </c>
      <c r="M119" s="25">
        <f>WO2025Jan7men11915171923252931333539414345474955575963656769717375777913171921232729[[#This Row],[Thresh]]</f>
        <v>9.4885311447811464E-4</v>
      </c>
      <c r="N119" s="28">
        <f>WO2025Jan7men11915171923252931333539414345474955575963656769717375777913171921232729[[#This Row],[Thresh]]*3</f>
        <v>2.8465593434343437E-3</v>
      </c>
      <c r="O119" s="25">
        <f>WO2025Jan7men11915171923252931333539414345474955575963656769717375777913171921232729[[#This Row],[CV]]</f>
        <v>9.0759863123993567E-4</v>
      </c>
      <c r="P119" s="25">
        <f>WO2025Jan7men11915171923252931333539414345474955575963656769717375777913171921232729[[#This Row],[R]]</f>
        <v>7.5231481481481482E-4</v>
      </c>
      <c r="Q119" s="25">
        <f>WO2025Jan7men11915171923252931333539414345474955575963656769717375777913171921232729[[#This Row],[R]]*1.5</f>
        <v>1.1284722222222221E-3</v>
      </c>
      <c r="R119" s="25" t="s">
        <v>25</v>
      </c>
      <c r="S119" s="25"/>
      <c r="T119" s="25"/>
      <c r="U119" s="28"/>
      <c r="V119" s="28"/>
      <c r="W119" s="15" t="s">
        <v>48</v>
      </c>
      <c r="X119" s="50"/>
    </row>
    <row r="120" spans="1:24" ht="20.45" customHeight="1">
      <c r="A120" s="10" t="s">
        <v>100</v>
      </c>
      <c r="B120" s="11">
        <v>1.0763888888888889E-2</v>
      </c>
      <c r="C120" s="11">
        <v>3.0671296296296297E-3</v>
      </c>
      <c r="D120" s="11">
        <f>B120*E120</f>
        <v>6.2624305555555549E-3</v>
      </c>
      <c r="E120" s="12">
        <v>0.58179999999999998</v>
      </c>
      <c r="F120" s="11">
        <f>C120/4</f>
        <v>7.6678240740740743E-4</v>
      </c>
      <c r="G120" s="11">
        <f>D120/7.5</f>
        <v>8.3499074074074064E-4</v>
      </c>
      <c r="H120" s="11">
        <f>B120/12.5</f>
        <v>8.611111111111111E-4</v>
      </c>
      <c r="I120" s="11">
        <f>G120/0.93</f>
        <v>8.9783950617283931E-4</v>
      </c>
      <c r="J120" s="11">
        <f>G120/0.92</f>
        <v>9.0759863123993545E-4</v>
      </c>
      <c r="K120" s="11">
        <f>G120/0.88</f>
        <v>9.4885311447811432E-4</v>
      </c>
      <c r="L120" s="17">
        <f>G120/0.84</f>
        <v>9.9403659611992947E-4</v>
      </c>
      <c r="M120" s="25">
        <f>WO2025Jan7men11915171923252931333539414345474955575963656769717375777913171921232729[[#This Row],[Thresh]]</f>
        <v>9.4885311447811432E-4</v>
      </c>
      <c r="N120" s="28">
        <f>WO2025Jan7men11915171923252931333539414345474955575963656769717375777913171921232729[[#This Row],[Thresh]]*3</f>
        <v>2.8465593434343428E-3</v>
      </c>
      <c r="O120" s="25">
        <f>WO2025Jan7men11915171923252931333539414345474955575963656769717375777913171921232729[[#This Row],[CV]]</f>
        <v>9.0759863123993545E-4</v>
      </c>
      <c r="P120" s="25">
        <f>WO2025Jan7men11915171923252931333539414345474955575963656769717375777913171921232729[[#This Row],[R]]</f>
        <v>7.6678240740740743E-4</v>
      </c>
      <c r="Q120" s="25">
        <f>WO2025Jan7men11915171923252931333539414345474955575963656769717375777913171921232729[[#This Row],[R]]*1.5</f>
        <v>1.1501736111111111E-3</v>
      </c>
      <c r="R120" s="25" t="s">
        <v>25</v>
      </c>
      <c r="S120" s="25"/>
      <c r="T120" s="25"/>
      <c r="U120" s="28"/>
      <c r="V120" s="25"/>
      <c r="W120" s="15" t="s">
        <v>48</v>
      </c>
      <c r="X120" s="50"/>
    </row>
    <row r="121" spans="1:24" ht="20.45" customHeight="1">
      <c r="A121" s="10" t="s">
        <v>101</v>
      </c>
      <c r="B121" s="11">
        <v>1.1111111111111112E-2</v>
      </c>
      <c r="C121" s="11">
        <v>3.0671296296296297E-3</v>
      </c>
      <c r="D121" s="11">
        <f t="shared" si="40"/>
        <v>6.4644444444444445E-3</v>
      </c>
      <c r="E121" s="12">
        <v>0.58179999999999998</v>
      </c>
      <c r="F121" s="11">
        <f t="shared" si="41"/>
        <v>7.6678240740740743E-4</v>
      </c>
      <c r="G121" s="11">
        <f t="shared" si="42"/>
        <v>8.6192592592592592E-4</v>
      </c>
      <c r="H121" s="11">
        <f t="shared" si="43"/>
        <v>8.8888888888888893E-4</v>
      </c>
      <c r="I121" s="11">
        <f t="shared" si="44"/>
        <v>9.2680207088809239E-4</v>
      </c>
      <c r="J121" s="11">
        <f t="shared" si="45"/>
        <v>9.3687600644122375E-4</v>
      </c>
      <c r="K121" s="11">
        <f t="shared" si="46"/>
        <v>9.7946127946127947E-4</v>
      </c>
      <c r="L121" s="11">
        <f t="shared" si="47"/>
        <v>1.0261022927689596E-3</v>
      </c>
      <c r="M121" s="25">
        <f>WO2025Jan7men11915171923252931333539414345474955575963656769717375777913171921232729[[#This Row],[Thresh]]</f>
        <v>9.7946127946127947E-4</v>
      </c>
      <c r="N121" s="28">
        <f>WO2025Jan7men11915171923252931333539414345474955575963656769717375777913171921232729[[#This Row],[Thresh]]*3</f>
        <v>2.9383838383838382E-3</v>
      </c>
      <c r="O121" s="25">
        <f>WO2025Jan7men11915171923252931333539414345474955575963656769717375777913171921232729[[#This Row],[CV]]</f>
        <v>9.3687600644122375E-4</v>
      </c>
      <c r="P121" s="25">
        <f>WO2025Jan7men11915171923252931333539414345474955575963656769717375777913171921232729[[#This Row],[R]]</f>
        <v>7.6678240740740743E-4</v>
      </c>
      <c r="Q121" s="25">
        <f>WO2025Jan7men11915171923252931333539414345474955575963656769717375777913171921232729[[#This Row],[R]]*1.5</f>
        <v>1.1501736111111111E-3</v>
      </c>
      <c r="R121" s="25" t="s">
        <v>25</v>
      </c>
      <c r="S121" s="25"/>
      <c r="T121" s="25"/>
      <c r="U121" s="25"/>
      <c r="V121" s="25"/>
      <c r="W121" s="15" t="s">
        <v>48</v>
      </c>
      <c r="X121" s="50"/>
    </row>
    <row r="122" spans="1:24" ht="20.45" customHeight="1">
      <c r="A122" s="10" t="s">
        <v>98</v>
      </c>
      <c r="B122" s="11">
        <v>1.1111111111111112E-2</v>
      </c>
      <c r="C122" s="11">
        <v>3.0671296296296297E-3</v>
      </c>
      <c r="D122" s="11">
        <f t="shared" si="40"/>
        <v>6.4644444444444445E-3</v>
      </c>
      <c r="E122" s="12">
        <v>0.58179999999999998</v>
      </c>
      <c r="F122" s="11">
        <f t="shared" si="41"/>
        <v>7.6678240740740743E-4</v>
      </c>
      <c r="G122" s="11">
        <f t="shared" si="42"/>
        <v>8.6192592592592592E-4</v>
      </c>
      <c r="H122" s="11">
        <f t="shared" si="43"/>
        <v>8.8888888888888893E-4</v>
      </c>
      <c r="I122" s="11">
        <f t="shared" si="44"/>
        <v>9.2680207088809239E-4</v>
      </c>
      <c r="J122" s="11">
        <f t="shared" si="45"/>
        <v>9.3687600644122375E-4</v>
      </c>
      <c r="K122" s="11">
        <f t="shared" si="46"/>
        <v>9.7946127946127947E-4</v>
      </c>
      <c r="L122" s="11">
        <f t="shared" si="47"/>
        <v>1.0261022927689596E-3</v>
      </c>
      <c r="M122" s="25">
        <f>WO2025Jan7men11915171923252931333539414345474955575963656769717375777913171921232729[[#This Row],[Thresh]]</f>
        <v>9.7946127946127947E-4</v>
      </c>
      <c r="N122" s="28">
        <f>WO2025Jan7men11915171923252931333539414345474955575963656769717375777913171921232729[[#This Row],[Thresh]]*3</f>
        <v>2.9383838383838382E-3</v>
      </c>
      <c r="O122" s="25">
        <f>WO2025Jan7men11915171923252931333539414345474955575963656769717375777913171921232729[[#This Row],[CV]]</f>
        <v>9.3687600644122375E-4</v>
      </c>
      <c r="P122" s="25">
        <f>WO2025Jan7men11915171923252931333539414345474955575963656769717375777913171921232729[[#This Row],[R]]</f>
        <v>7.6678240740740743E-4</v>
      </c>
      <c r="Q122" s="25">
        <f>WO2025Jan7men11915171923252931333539414345474955575963656769717375777913171921232729[[#This Row],[R]]*1.5</f>
        <v>1.1501736111111111E-3</v>
      </c>
      <c r="R122" s="25" t="s">
        <v>25</v>
      </c>
      <c r="S122" s="25"/>
      <c r="T122" s="25"/>
      <c r="U122" s="25"/>
      <c r="V122" s="25"/>
      <c r="W122" s="27" t="s">
        <v>48</v>
      </c>
      <c r="X122" s="50"/>
    </row>
    <row r="123" spans="1:24" ht="20.45" customHeight="1">
      <c r="A123" s="10" t="s">
        <v>103</v>
      </c>
      <c r="B123" s="11">
        <v>1.1111111111111112E-2</v>
      </c>
      <c r="C123" s="11">
        <v>3.0671296296296297E-3</v>
      </c>
      <c r="D123" s="11">
        <f t="shared" si="40"/>
        <v>6.4644444444444445E-3</v>
      </c>
      <c r="E123" s="12">
        <v>0.58179999999999998</v>
      </c>
      <c r="F123" s="11">
        <f t="shared" si="41"/>
        <v>7.6678240740740743E-4</v>
      </c>
      <c r="G123" s="11">
        <f t="shared" si="42"/>
        <v>8.6192592592592592E-4</v>
      </c>
      <c r="H123" s="11">
        <f t="shared" si="43"/>
        <v>8.8888888888888893E-4</v>
      </c>
      <c r="I123" s="11">
        <f t="shared" si="44"/>
        <v>9.2680207088809239E-4</v>
      </c>
      <c r="J123" s="11">
        <f t="shared" si="45"/>
        <v>9.3687600644122375E-4</v>
      </c>
      <c r="K123" s="11">
        <f t="shared" si="46"/>
        <v>9.7946127946127947E-4</v>
      </c>
      <c r="L123" s="17">
        <f t="shared" si="47"/>
        <v>1.0261022927689596E-3</v>
      </c>
      <c r="M123" s="25">
        <f>WO2025Jan7men11915171923252931333539414345474955575963656769717375777913171921232729[[#This Row],[Thresh]]</f>
        <v>9.7946127946127947E-4</v>
      </c>
      <c r="N123" s="28">
        <f>WO2025Jan7men11915171923252931333539414345474955575963656769717375777913171921232729[[#This Row],[Thresh]]*3</f>
        <v>2.9383838383838382E-3</v>
      </c>
      <c r="O123" s="25">
        <f>WO2025Jan7men11915171923252931333539414345474955575963656769717375777913171921232729[[#This Row],[CV]]</f>
        <v>9.3687600644122375E-4</v>
      </c>
      <c r="P123" s="25">
        <f>WO2025Jan7men11915171923252931333539414345474955575963656769717375777913171921232729[[#This Row],[R]]</f>
        <v>7.6678240740740743E-4</v>
      </c>
      <c r="Q123" s="25">
        <f>WO2025Jan7men11915171923252931333539414345474955575963656769717375777913171921232729[[#This Row],[R]]*1.5</f>
        <v>1.1501736111111111E-3</v>
      </c>
      <c r="R123" s="25" t="s">
        <v>25</v>
      </c>
      <c r="S123" s="25"/>
      <c r="T123" s="25"/>
      <c r="U123" s="25"/>
      <c r="V123" s="25"/>
      <c r="W123" s="15" t="s">
        <v>48</v>
      </c>
      <c r="X123" s="50"/>
    </row>
    <row r="124" spans="1:24" ht="20.45" customHeight="1">
      <c r="A124" s="10" t="s">
        <v>99</v>
      </c>
      <c r="B124" s="11">
        <v>1.1458333333333333E-2</v>
      </c>
      <c r="C124" s="11">
        <v>3.0092592592592593E-3</v>
      </c>
      <c r="D124" s="11">
        <f>B124*E124</f>
        <v>6.6664583333333324E-3</v>
      </c>
      <c r="E124" s="12">
        <v>0.58179999999999998</v>
      </c>
      <c r="F124" s="11">
        <f>C124/4</f>
        <v>7.5231481481481482E-4</v>
      </c>
      <c r="G124" s="11">
        <f>D124/7.5</f>
        <v>8.8886111111111099E-4</v>
      </c>
      <c r="H124" s="11">
        <f>B124/12.5</f>
        <v>9.1666666666666665E-4</v>
      </c>
      <c r="I124" s="11">
        <f>G124/0.93</f>
        <v>9.5576463560334514E-4</v>
      </c>
      <c r="J124" s="11">
        <f>G124/0.92</f>
        <v>9.6615338164251195E-4</v>
      </c>
      <c r="K124" s="11">
        <f>G124/0.88</f>
        <v>1.0100694444444443E-3</v>
      </c>
      <c r="L124" s="11">
        <f>G124/0.84</f>
        <v>1.0581679894179892E-3</v>
      </c>
      <c r="M124" s="25">
        <f>WO2025Jan7men11915171923252931333539414345474955575963656769717375777913171921232729[[#This Row],[Thresh]]</f>
        <v>1.0100694444444443E-3</v>
      </c>
      <c r="N124" s="28">
        <f>WO2025Jan7men11915171923252931333539414345474955575963656769717375777913171921232729[[#This Row],[Thresh]]*3</f>
        <v>3.0302083333333327E-3</v>
      </c>
      <c r="O124" s="25">
        <f>WO2025Jan7men11915171923252931333539414345474955575963656769717375777913171921232729[[#This Row],[CV]]</f>
        <v>9.6615338164251195E-4</v>
      </c>
      <c r="P124" s="25">
        <f>WO2025Jan7men11915171923252931333539414345474955575963656769717375777913171921232729[[#This Row],[R]]</f>
        <v>7.5231481481481482E-4</v>
      </c>
      <c r="Q124" s="25">
        <f>WO2025Jan7men11915171923252931333539414345474955575963656769717375777913171921232729[[#This Row],[R]]*1.5</f>
        <v>1.1284722222222221E-3</v>
      </c>
      <c r="R124" s="25" t="s">
        <v>25</v>
      </c>
      <c r="S124" s="25"/>
      <c r="T124" s="25"/>
      <c r="U124" s="25"/>
      <c r="V124" s="25"/>
      <c r="W124" s="27" t="s">
        <v>48</v>
      </c>
      <c r="X124" s="50"/>
    </row>
    <row r="125" spans="1:24" ht="20.45" customHeight="1">
      <c r="A125" s="10" t="s">
        <v>102</v>
      </c>
      <c r="B125" s="11">
        <v>1.1458333333333333E-2</v>
      </c>
      <c r="C125" s="11">
        <v>3.0671296296296297E-3</v>
      </c>
      <c r="D125" s="11">
        <f>B125*E125</f>
        <v>6.6664583333333324E-3</v>
      </c>
      <c r="E125" s="12">
        <v>0.58179999999999998</v>
      </c>
      <c r="F125" s="11">
        <f>C125/4</f>
        <v>7.6678240740740743E-4</v>
      </c>
      <c r="G125" s="11">
        <f>D125/7.5</f>
        <v>8.8886111111111099E-4</v>
      </c>
      <c r="H125" s="11">
        <f>B125/12.5</f>
        <v>9.1666666666666665E-4</v>
      </c>
      <c r="I125" s="11">
        <f>G125/0.93</f>
        <v>9.5576463560334514E-4</v>
      </c>
      <c r="J125" s="11">
        <f>G125/0.92</f>
        <v>9.6615338164251195E-4</v>
      </c>
      <c r="K125" s="11">
        <f>G125/0.88</f>
        <v>1.0100694444444443E-3</v>
      </c>
      <c r="L125" s="11">
        <f>G125/0.84</f>
        <v>1.0581679894179892E-3</v>
      </c>
      <c r="M125" s="25">
        <f>WO2025Jan7men11915171923252931333539414345474955575963656769717375777913171921232729[[#This Row],[Thresh]]</f>
        <v>1.0100694444444443E-3</v>
      </c>
      <c r="N125" s="28">
        <f>WO2025Jan7men11915171923252931333539414345474955575963656769717375777913171921232729[[#This Row],[Thresh]]*3</f>
        <v>3.0302083333333327E-3</v>
      </c>
      <c r="O125" s="25">
        <f>WO2025Jan7men11915171923252931333539414345474955575963656769717375777913171921232729[[#This Row],[CV]]</f>
        <v>9.6615338164251195E-4</v>
      </c>
      <c r="P125" s="25">
        <f>WO2025Jan7men11915171923252931333539414345474955575963656769717375777913171921232729[[#This Row],[R]]</f>
        <v>7.6678240740740743E-4</v>
      </c>
      <c r="Q125" s="25">
        <f>WO2025Jan7men11915171923252931333539414345474955575963656769717375777913171921232729[[#This Row],[R]]*1.5</f>
        <v>1.1501736111111111E-3</v>
      </c>
      <c r="R125" s="25" t="s">
        <v>25</v>
      </c>
      <c r="S125" s="25"/>
      <c r="T125" s="25"/>
      <c r="U125" s="25"/>
      <c r="V125" s="25"/>
      <c r="W125" s="27" t="s">
        <v>48</v>
      </c>
      <c r="X125" s="50"/>
    </row>
    <row r="126" spans="1:24" ht="20.45" customHeight="1">
      <c r="A126" s="10" t="s">
        <v>104</v>
      </c>
      <c r="B126" s="11">
        <v>1.1458333333333333E-2</v>
      </c>
      <c r="C126" s="11">
        <v>3.2986111111111111E-3</v>
      </c>
      <c r="D126" s="11">
        <f t="shared" si="40"/>
        <v>6.6664583333333324E-3</v>
      </c>
      <c r="E126" s="12">
        <v>0.58179999999999998</v>
      </c>
      <c r="F126" s="11">
        <f t="shared" si="41"/>
        <v>8.2465277777777778E-4</v>
      </c>
      <c r="G126" s="11">
        <f t="shared" si="42"/>
        <v>8.8886111111111099E-4</v>
      </c>
      <c r="H126" s="11">
        <f t="shared" si="43"/>
        <v>9.1666666666666665E-4</v>
      </c>
      <c r="I126" s="11">
        <f t="shared" si="44"/>
        <v>9.5576463560334514E-4</v>
      </c>
      <c r="J126" s="11">
        <f t="shared" si="45"/>
        <v>9.6615338164251195E-4</v>
      </c>
      <c r="K126" s="11">
        <f t="shared" si="46"/>
        <v>1.0100694444444443E-3</v>
      </c>
      <c r="L126" s="11">
        <f t="shared" si="47"/>
        <v>1.0581679894179892E-3</v>
      </c>
      <c r="M126" s="25">
        <f>WO2025Jan7men11915171923252931333539414345474955575963656769717375777913171921232729[[#This Row],[Thresh]]</f>
        <v>1.0100694444444443E-3</v>
      </c>
      <c r="N126" s="28">
        <f>WO2025Jan7men11915171923252931333539414345474955575963656769717375777913171921232729[[#This Row],[Thresh]]*3</f>
        <v>3.0302083333333327E-3</v>
      </c>
      <c r="O126" s="25">
        <f>WO2025Jan7men11915171923252931333539414345474955575963656769717375777913171921232729[[#This Row],[CV]]</f>
        <v>9.6615338164251195E-4</v>
      </c>
      <c r="P126" s="25">
        <f>WO2025Jan7men11915171923252931333539414345474955575963656769717375777913171921232729[[#This Row],[R]]</f>
        <v>8.2465277777777778E-4</v>
      </c>
      <c r="Q126" s="25">
        <f>WO2025Jan7men11915171923252931333539414345474955575963656769717375777913171921232729[[#This Row],[R]]*1.5</f>
        <v>1.2369791666666666E-3</v>
      </c>
      <c r="R126" s="25" t="s">
        <v>25</v>
      </c>
      <c r="S126" s="25"/>
      <c r="T126" s="25"/>
      <c r="U126" s="25"/>
      <c r="V126" s="25"/>
      <c r="W126" s="15" t="s">
        <v>48</v>
      </c>
      <c r="X126" s="50"/>
    </row>
    <row r="127" spans="1:24" ht="20.45" customHeight="1">
      <c r="A127" s="10"/>
      <c r="B127" s="11"/>
      <c r="C127" s="11"/>
      <c r="D127" s="11"/>
      <c r="E127" s="12"/>
      <c r="F127" s="11"/>
      <c r="G127" s="11"/>
      <c r="H127" s="11"/>
      <c r="I127" s="11"/>
      <c r="J127" s="11"/>
      <c r="K127" s="11"/>
      <c r="L127" s="17"/>
      <c r="M127" s="25"/>
      <c r="N127" s="28"/>
      <c r="O127" s="25"/>
      <c r="P127" s="25"/>
      <c r="Q127" s="25"/>
      <c r="R127" s="25"/>
      <c r="S127" s="25"/>
      <c r="T127" s="25"/>
      <c r="U127" s="28"/>
      <c r="V127" s="25"/>
      <c r="W127" s="15"/>
      <c r="X127" s="50"/>
    </row>
    <row r="128" spans="1:24" ht="20.45" customHeight="1">
      <c r="A128" s="10"/>
      <c r="B128" s="11"/>
      <c r="C128" s="11"/>
      <c r="D128" s="11"/>
      <c r="E128" s="12"/>
      <c r="F128" s="11"/>
      <c r="G128" s="11"/>
      <c r="H128" s="11"/>
      <c r="I128" s="11"/>
      <c r="J128" s="11"/>
      <c r="K128" s="11"/>
      <c r="L128" s="11"/>
      <c r="M128" s="25"/>
      <c r="N128" s="28"/>
      <c r="O128" s="25"/>
      <c r="P128" s="25"/>
      <c r="Q128" s="25"/>
      <c r="R128" s="28"/>
      <c r="S128" s="25"/>
      <c r="T128" s="25"/>
      <c r="U128" s="28"/>
      <c r="V128" s="25"/>
      <c r="W128" s="15"/>
      <c r="X128" s="50"/>
    </row>
    <row r="129" spans="1:24" ht="20.45" customHeight="1">
      <c r="A129" s="10"/>
      <c r="B129" s="11"/>
      <c r="C129" s="11"/>
      <c r="D129" s="11"/>
      <c r="E129" s="12"/>
      <c r="F129" s="11"/>
      <c r="G129" s="11"/>
      <c r="H129" s="11"/>
      <c r="I129" s="11"/>
      <c r="J129" s="11"/>
      <c r="K129" s="11"/>
      <c r="L129" s="11"/>
      <c r="M129" s="25"/>
      <c r="N129" s="28"/>
      <c r="O129" s="25"/>
      <c r="P129" s="25"/>
      <c r="Q129" s="25"/>
      <c r="R129" s="25"/>
      <c r="S129" s="25"/>
      <c r="T129" s="25"/>
      <c r="U129" s="28"/>
      <c r="V129" s="25"/>
      <c r="W129" s="15"/>
      <c r="X129" s="50"/>
    </row>
    <row r="130" spans="1:24" ht="20.45" customHeight="1">
      <c r="A130" s="10"/>
      <c r="B130" s="11"/>
      <c r="C130" s="11"/>
      <c r="D130" s="11"/>
      <c r="E130" s="12"/>
      <c r="F130" s="11"/>
      <c r="G130" s="11"/>
      <c r="H130" s="11"/>
      <c r="I130" s="11"/>
      <c r="J130" s="11"/>
      <c r="K130" s="11"/>
      <c r="L130" s="11"/>
      <c r="M130" s="25"/>
      <c r="N130" s="28"/>
      <c r="O130" s="25"/>
      <c r="P130" s="25"/>
      <c r="Q130" s="25"/>
      <c r="R130" s="25"/>
      <c r="S130" s="25"/>
      <c r="T130" s="25"/>
      <c r="U130" s="28"/>
      <c r="V130" s="25"/>
      <c r="W130" s="15"/>
      <c r="X130" s="50"/>
    </row>
    <row r="131" spans="1:24" ht="20.45" customHeight="1">
      <c r="A131" s="10"/>
      <c r="B131" s="11"/>
      <c r="C131" s="11"/>
      <c r="D131" s="11"/>
      <c r="E131" s="12"/>
      <c r="F131" s="11"/>
      <c r="G131" s="11"/>
      <c r="H131" s="11"/>
      <c r="I131" s="11"/>
      <c r="J131" s="11"/>
      <c r="K131" s="11"/>
      <c r="L131" s="11"/>
      <c r="M131" s="25"/>
      <c r="N131" s="28"/>
      <c r="O131" s="25"/>
      <c r="P131" s="25"/>
      <c r="Q131" s="25"/>
      <c r="R131" s="25"/>
      <c r="S131" s="25"/>
      <c r="T131" s="25"/>
      <c r="U131" s="28"/>
      <c r="V131" s="25"/>
      <c r="W131" s="15"/>
      <c r="X131" s="50"/>
    </row>
    <row r="132" spans="1:24" ht="20.45" customHeight="1">
      <c r="A132" s="10"/>
      <c r="B132" s="11"/>
      <c r="C132" s="11"/>
      <c r="D132" s="11"/>
      <c r="E132" s="12"/>
      <c r="F132" s="11"/>
      <c r="G132" s="11"/>
      <c r="H132" s="11"/>
      <c r="I132" s="11"/>
      <c r="J132" s="11"/>
      <c r="K132" s="11"/>
      <c r="L132" s="11"/>
      <c r="M132" s="25"/>
      <c r="N132" s="28"/>
      <c r="O132" s="25"/>
      <c r="P132" s="25"/>
      <c r="Q132" s="25"/>
      <c r="R132" s="25"/>
      <c r="S132" s="25"/>
      <c r="T132" s="25"/>
      <c r="U132" s="25"/>
      <c r="V132" s="25"/>
      <c r="W132" s="27"/>
      <c r="X132" s="50"/>
    </row>
    <row r="133" spans="1:24" ht="20.45" customHeight="1">
      <c r="A133" s="10"/>
      <c r="B133" s="11"/>
      <c r="C133" s="11"/>
      <c r="D133" s="11"/>
      <c r="E133" s="12"/>
      <c r="F133" s="11"/>
      <c r="G133" s="11"/>
      <c r="H133" s="11"/>
      <c r="I133" s="11"/>
      <c r="J133" s="11"/>
      <c r="K133" s="11"/>
      <c r="L133" s="11"/>
      <c r="M133" s="25"/>
      <c r="N133" s="28"/>
      <c r="O133" s="25"/>
      <c r="P133" s="25"/>
      <c r="Q133" s="28"/>
      <c r="R133" s="28"/>
      <c r="S133" s="25"/>
      <c r="T133" s="25"/>
      <c r="U133" s="28"/>
      <c r="V133" s="25"/>
      <c r="W133" s="15"/>
      <c r="X133" s="50"/>
    </row>
    <row r="134" spans="1:24" ht="20.45" customHeight="1">
      <c r="A134" s="10"/>
      <c r="B134" s="11"/>
      <c r="C134" s="11"/>
      <c r="D134" s="11"/>
      <c r="E134" s="12"/>
      <c r="F134" s="11"/>
      <c r="G134" s="11"/>
      <c r="H134" s="11"/>
      <c r="I134" s="11"/>
      <c r="J134" s="11"/>
      <c r="K134" s="11"/>
      <c r="L134" s="17"/>
      <c r="M134" s="25"/>
      <c r="N134" s="28"/>
      <c r="O134" s="25"/>
      <c r="P134" s="25"/>
      <c r="Q134" s="25"/>
      <c r="R134" s="25"/>
      <c r="S134" s="25"/>
      <c r="T134" s="25"/>
      <c r="U134" s="28"/>
      <c r="V134" s="25"/>
      <c r="W134" s="15"/>
      <c r="X134" s="50"/>
    </row>
    <row r="135" spans="1:24" ht="20.45" customHeight="1">
      <c r="A135" s="10"/>
      <c r="B135" s="11"/>
      <c r="C135" s="11"/>
      <c r="D135" s="11"/>
      <c r="E135" s="12"/>
      <c r="F135" s="11"/>
      <c r="G135" s="11"/>
      <c r="H135" s="11"/>
      <c r="I135" s="11"/>
      <c r="J135" s="11"/>
      <c r="K135" s="11"/>
      <c r="L135" s="11"/>
      <c r="M135" s="25"/>
      <c r="N135" s="28"/>
      <c r="O135" s="25"/>
      <c r="P135" s="25"/>
      <c r="Q135" s="25"/>
      <c r="R135" s="28"/>
      <c r="S135" s="25"/>
      <c r="T135" s="25"/>
      <c r="U135" s="28"/>
      <c r="V135" s="25"/>
      <c r="W135" s="15"/>
      <c r="X135" s="50"/>
    </row>
    <row r="136" spans="1:24" ht="20.45" customHeight="1">
      <c r="A136" s="10"/>
      <c r="B136" s="11"/>
      <c r="C136" s="11"/>
      <c r="D136" s="11"/>
      <c r="E136" s="12"/>
      <c r="F136" s="11"/>
      <c r="G136" s="11"/>
      <c r="H136" s="11"/>
      <c r="I136" s="11"/>
      <c r="J136" s="11"/>
      <c r="K136" s="11"/>
      <c r="L136" s="17"/>
      <c r="M136" s="25"/>
      <c r="N136" s="28"/>
      <c r="O136" s="25"/>
      <c r="P136" s="25"/>
      <c r="Q136" s="25"/>
      <c r="R136" s="28"/>
      <c r="S136" s="25"/>
      <c r="T136" s="25"/>
      <c r="U136" s="28"/>
      <c r="V136" s="25"/>
      <c r="W136" s="15"/>
      <c r="X136" s="50"/>
    </row>
    <row r="137" spans="1:24" ht="20.45" customHeight="1">
      <c r="A137" s="10"/>
      <c r="B137" s="11"/>
      <c r="C137" s="11"/>
      <c r="D137" s="11"/>
      <c r="E137" s="12"/>
      <c r="F137" s="11"/>
      <c r="G137" s="11"/>
      <c r="H137" s="11"/>
      <c r="I137" s="11"/>
      <c r="J137" s="11"/>
      <c r="K137" s="11"/>
      <c r="L137" s="11"/>
      <c r="M137" s="25"/>
      <c r="N137" s="28"/>
      <c r="O137" s="25"/>
      <c r="P137" s="25"/>
      <c r="Q137" s="28"/>
      <c r="R137" s="28"/>
      <c r="S137" s="25"/>
      <c r="T137" s="25"/>
      <c r="U137" s="28"/>
      <c r="V137" s="25"/>
      <c r="W137" s="15"/>
      <c r="X137" s="50"/>
    </row>
    <row r="138" spans="1:24" ht="20.45" customHeight="1">
      <c r="A138" s="10"/>
      <c r="B138" s="11"/>
      <c r="C138" s="11"/>
      <c r="D138" s="11"/>
      <c r="E138" s="12"/>
      <c r="F138" s="11"/>
      <c r="G138" s="11"/>
      <c r="H138" s="11"/>
      <c r="I138" s="11"/>
      <c r="J138" s="11"/>
      <c r="K138" s="11"/>
      <c r="L138" s="11"/>
      <c r="M138" s="25"/>
      <c r="N138" s="28"/>
      <c r="O138" s="25"/>
      <c r="P138" s="28"/>
      <c r="Q138" s="25"/>
      <c r="R138" s="28"/>
      <c r="S138" s="25"/>
      <c r="T138" s="28"/>
      <c r="U138" s="28"/>
      <c r="V138" s="25"/>
      <c r="W138" s="15"/>
      <c r="X138" s="51"/>
    </row>
    <row r="139" spans="1:24" ht="20.45" customHeight="1">
      <c r="A139" s="10"/>
      <c r="B139" s="11"/>
      <c r="C139" s="11"/>
      <c r="D139" s="11"/>
      <c r="E139" s="12"/>
      <c r="F139" s="11"/>
      <c r="G139" s="11"/>
      <c r="H139" s="11"/>
      <c r="I139" s="11"/>
      <c r="J139" s="11"/>
      <c r="K139" s="11"/>
      <c r="L139" s="11"/>
      <c r="M139" s="25"/>
      <c r="N139" s="28"/>
      <c r="O139" s="25"/>
      <c r="P139" s="25"/>
      <c r="Q139" s="25"/>
      <c r="R139" s="25"/>
      <c r="S139" s="25"/>
      <c r="T139" s="25"/>
      <c r="U139" s="28"/>
      <c r="V139" s="25"/>
      <c r="W139" s="15"/>
      <c r="X139" s="51"/>
    </row>
    <row r="140" spans="1:24" ht="20.45" customHeight="1">
      <c r="A140" s="10"/>
      <c r="B140" s="11"/>
      <c r="C140" s="11"/>
      <c r="D140" s="11"/>
      <c r="E140" s="12"/>
      <c r="F140" s="11"/>
      <c r="G140" s="11"/>
      <c r="H140" s="11"/>
      <c r="I140" s="11"/>
      <c r="J140" s="11"/>
      <c r="K140" s="11"/>
      <c r="L140" s="17"/>
      <c r="M140" s="25"/>
      <c r="N140" s="28"/>
      <c r="O140" s="25"/>
      <c r="P140" s="28"/>
      <c r="Q140" s="25"/>
      <c r="R140" s="28"/>
      <c r="S140" s="25"/>
      <c r="T140" s="25"/>
      <c r="U140" s="28"/>
      <c r="V140" s="28"/>
      <c r="W140" s="27"/>
      <c r="X140" s="51"/>
    </row>
    <row r="141" spans="1:24" ht="20.45" customHeight="1">
      <c r="A141" s="10"/>
      <c r="B141" s="11"/>
      <c r="C141" s="11"/>
      <c r="D141" s="11"/>
      <c r="E141" s="12"/>
      <c r="F141" s="11"/>
      <c r="G141" s="11"/>
      <c r="H141" s="11"/>
      <c r="I141" s="11"/>
      <c r="J141" s="11"/>
      <c r="K141" s="11"/>
      <c r="L141" s="11"/>
      <c r="M141" s="11"/>
      <c r="N141" s="26"/>
      <c r="P141" s="26"/>
      <c r="Q141" s="26"/>
      <c r="R141" s="26"/>
      <c r="S141" s="14"/>
      <c r="T141" s="14"/>
      <c r="U141" s="26"/>
      <c r="V141" s="28"/>
      <c r="W141" s="27"/>
      <c r="X141" s="51"/>
    </row>
    <row r="142" spans="1:24" ht="20.100000000000001" customHeight="1">
      <c r="A142" s="10"/>
      <c r="B142" s="11"/>
      <c r="C142" s="11"/>
      <c r="D142" s="11">
        <f>B142*E142</f>
        <v>0</v>
      </c>
      <c r="E142" s="12"/>
      <c r="F142" s="11">
        <f>C142/4</f>
        <v>0</v>
      </c>
      <c r="G142" s="11">
        <f>D142/7.5</f>
        <v>0</v>
      </c>
      <c r="H142" s="11">
        <f>B142/12.5</f>
        <v>0</v>
      </c>
      <c r="I142" s="11">
        <f>G142/0.93</f>
        <v>0</v>
      </c>
      <c r="J142" s="11">
        <f>G142/0.92</f>
        <v>0</v>
      </c>
      <c r="K142" s="11">
        <f>G142/0.88</f>
        <v>0</v>
      </c>
      <c r="L142" s="17">
        <f>G142/0.84</f>
        <v>0</v>
      </c>
      <c r="M142" s="11"/>
      <c r="N142" s="26"/>
      <c r="P142" s="26"/>
      <c r="Q142" s="26"/>
      <c r="R142" s="26"/>
      <c r="S142" s="14"/>
      <c r="T142" s="14"/>
      <c r="U142" s="26"/>
      <c r="V142" s="38"/>
      <c r="W142" s="31"/>
      <c r="X142" s="51"/>
    </row>
    <row r="143" spans="1:24" ht="20.100000000000001" customHeight="1">
      <c r="A143" s="10"/>
      <c r="B143" s="11"/>
      <c r="C143" s="11"/>
      <c r="D143" s="11">
        <f>B143*E143</f>
        <v>0</v>
      </c>
      <c r="E143" s="12"/>
      <c r="F143" s="11">
        <f>C143/4</f>
        <v>0</v>
      </c>
      <c r="G143" s="11">
        <f>D143/7.5</f>
        <v>0</v>
      </c>
      <c r="H143" s="11">
        <f>B143/12.5</f>
        <v>0</v>
      </c>
      <c r="I143" s="11">
        <f>G143/0.93</f>
        <v>0</v>
      </c>
      <c r="J143" s="11">
        <f>G143/0.92</f>
        <v>0</v>
      </c>
      <c r="K143" s="11">
        <f>G143/0.88</f>
        <v>0</v>
      </c>
      <c r="L143" s="17">
        <f>G143/0.84</f>
        <v>0</v>
      </c>
      <c r="M143" s="11"/>
      <c r="N143" s="26"/>
      <c r="P143" s="26"/>
      <c r="Q143" s="26"/>
      <c r="R143" s="26"/>
      <c r="S143" s="14"/>
      <c r="T143" s="14"/>
      <c r="U143" s="26"/>
      <c r="V143" s="38"/>
      <c r="W143" s="31"/>
      <c r="X143" s="51"/>
    </row>
    <row r="144" spans="1:24" ht="20.100000000000001" customHeight="1">
      <c r="A144" s="10"/>
      <c r="B144" s="11"/>
      <c r="C144" s="11"/>
      <c r="D144" s="11">
        <f>B144*E144</f>
        <v>0</v>
      </c>
      <c r="E144" s="12"/>
      <c r="F144" s="11">
        <f>C144/4</f>
        <v>0</v>
      </c>
      <c r="G144" s="11">
        <f>D144/7.5</f>
        <v>0</v>
      </c>
      <c r="H144" s="11">
        <f>B144/12.5</f>
        <v>0</v>
      </c>
      <c r="I144" s="11">
        <f>G144/0.93</f>
        <v>0</v>
      </c>
      <c r="J144" s="11">
        <f>G144/0.92</f>
        <v>0</v>
      </c>
      <c r="K144" s="11">
        <f>G144/0.88</f>
        <v>0</v>
      </c>
      <c r="L144" s="17">
        <f>G144/0.84</f>
        <v>0</v>
      </c>
      <c r="M144" s="11"/>
      <c r="N144" s="26"/>
      <c r="P144" s="26"/>
      <c r="Q144" s="26"/>
      <c r="R144" s="26"/>
      <c r="S144" s="14"/>
      <c r="T144" s="14"/>
      <c r="U144" s="26"/>
      <c r="V144" s="38"/>
      <c r="W144" s="31"/>
      <c r="X144" s="51"/>
    </row>
  </sheetData>
  <mergeCells count="15">
    <mergeCell ref="X118:X127"/>
    <mergeCell ref="X128:X137"/>
    <mergeCell ref="X138:X144"/>
    <mergeCell ref="X58:X67"/>
    <mergeCell ref="X68:X77"/>
    <mergeCell ref="X78:X87"/>
    <mergeCell ref="X88:X97"/>
    <mergeCell ref="X98:X107"/>
    <mergeCell ref="X108:X117"/>
    <mergeCell ref="X51:X57"/>
    <mergeCell ref="X1:X10"/>
    <mergeCell ref="X11:X20"/>
    <mergeCell ref="X21:X30"/>
    <mergeCell ref="X31:X40"/>
    <mergeCell ref="X41:X50"/>
  </mergeCells>
  <pageMargins left="0.25" right="0.25" top="0.25" bottom="0.25" header="0" footer="0"/>
  <pageSetup scale="95" fitToHeight="0" orientation="landscape"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78513-46C8-48F0-BA8A-2F556EFA6ED6}">
  <sheetPr>
    <pageSetUpPr fitToPage="1"/>
  </sheetPr>
  <dimension ref="A1:Z144"/>
  <sheetViews>
    <sheetView zoomScale="70" zoomScaleNormal="70" workbookViewId="0">
      <selection activeCell="W10" sqref="W10"/>
    </sheetView>
  </sheetViews>
  <sheetFormatPr defaultColWidth="8.7109375" defaultRowHeight="14.45"/>
  <cols>
    <col min="1" max="1" width="19.5703125" customWidth="1"/>
    <col min="2" max="2" width="8.7109375" style="29" hidden="1" customWidth="1"/>
    <col min="3" max="3" width="10.140625" hidden="1" customWidth="1"/>
    <col min="4" max="4" width="8.7109375" style="29" hidden="1" customWidth="1"/>
    <col min="5" max="5" width="9.28515625" hidden="1" customWidth="1"/>
    <col min="6" max="6" width="8.7109375" hidden="1" customWidth="1"/>
    <col min="7" max="7" width="9.28515625" hidden="1" customWidth="1"/>
    <col min="8" max="9" width="8.7109375" hidden="1" customWidth="1"/>
    <col min="10" max="10" width="10.7109375" hidden="1" customWidth="1"/>
    <col min="11" max="11" width="11.42578125" hidden="1" customWidth="1"/>
    <col min="12" max="12" width="6.140625" hidden="1" customWidth="1"/>
    <col min="13" max="13" width="8.7109375" customWidth="1"/>
    <col min="14" max="19" width="10.140625" customWidth="1"/>
    <col min="20" max="22" width="8.7109375" customWidth="1"/>
    <col min="23" max="23" width="3.42578125" customWidth="1"/>
    <col min="24" max="24" width="20.42578125" customWidth="1"/>
    <col min="25" max="25" width="12.28515625" bestFit="1" customWidth="1"/>
    <col min="26" max="27" width="12.85546875" bestFit="1" customWidth="1"/>
  </cols>
  <sheetData>
    <row r="1" spans="1:26" ht="14.45" customHeight="1">
      <c r="A1" s="1" t="s">
        <v>251</v>
      </c>
      <c r="B1" s="2" t="s">
        <v>1</v>
      </c>
      <c r="C1" s="2" t="s">
        <v>2</v>
      </c>
      <c r="D1" s="2" t="s">
        <v>3</v>
      </c>
      <c r="E1" s="3" t="s">
        <v>4</v>
      </c>
      <c r="F1" s="2" t="s">
        <v>5</v>
      </c>
      <c r="G1" s="2" t="s">
        <v>6</v>
      </c>
      <c r="H1" s="2" t="s">
        <v>7</v>
      </c>
      <c r="I1" s="4" t="s">
        <v>8</v>
      </c>
      <c r="J1" s="2" t="s">
        <v>9</v>
      </c>
      <c r="K1" s="2" t="s">
        <v>10</v>
      </c>
      <c r="L1" s="2" t="s">
        <v>11</v>
      </c>
      <c r="M1" s="6" t="s">
        <v>12</v>
      </c>
      <c r="N1" s="6" t="s">
        <v>145</v>
      </c>
      <c r="O1" s="7" t="s">
        <v>14</v>
      </c>
      <c r="P1" s="8" t="s">
        <v>15</v>
      </c>
      <c r="Q1" s="8" t="s">
        <v>17</v>
      </c>
      <c r="R1" s="7" t="s">
        <v>18</v>
      </c>
      <c r="S1" s="7" t="s">
        <v>158</v>
      </c>
      <c r="T1" s="7" t="s">
        <v>77</v>
      </c>
      <c r="U1" s="7" t="s">
        <v>20</v>
      </c>
      <c r="V1" s="7" t="s">
        <v>21</v>
      </c>
      <c r="W1" s="9" t="s">
        <v>22</v>
      </c>
      <c r="X1" s="52" t="s">
        <v>252</v>
      </c>
    </row>
    <row r="2" spans="1:26" ht="21" customHeight="1">
      <c r="A2" s="10" t="s">
        <v>29</v>
      </c>
      <c r="B2" s="11">
        <v>1.2500000000000001E-2</v>
      </c>
      <c r="C2" s="11">
        <v>3.8194444444444443E-3</v>
      </c>
      <c r="D2" s="11">
        <f>B2*E2</f>
        <v>7.2725000000000003E-3</v>
      </c>
      <c r="E2" s="12">
        <v>0.58179999999999998</v>
      </c>
      <c r="F2" s="11">
        <f>C2/4</f>
        <v>9.5486111111111108E-4</v>
      </c>
      <c r="G2" s="11">
        <f>D2/7.5</f>
        <v>9.6966666666666675E-4</v>
      </c>
      <c r="H2" s="11">
        <f>B2/12.5</f>
        <v>1E-3</v>
      </c>
      <c r="I2" s="11">
        <f>G2/0.93</f>
        <v>1.0426523297491039E-3</v>
      </c>
      <c r="J2" s="11">
        <f>G2/0.92</f>
        <v>1.0539855072463768E-3</v>
      </c>
      <c r="K2" s="11">
        <f>G2/0.88</f>
        <v>1.1018939393939394E-3</v>
      </c>
      <c r="L2" s="11">
        <f>G2/0.84</f>
        <v>1.1543650793650795E-3</v>
      </c>
      <c r="M2" s="25">
        <f>WO2025Jan7108141618222428303234384042444648545658626466687072747668121618202226[[#This Row],[Thresh]]</f>
        <v>1.1018939393939394E-3</v>
      </c>
      <c r="N2" s="28">
        <f>WO2025Jan7108141618222428303234384042444648545658626466687072747668121618202226[[#This Row],[Thresh]]*1.5</f>
        <v>1.6528409090909091E-3</v>
      </c>
      <c r="O2" s="25">
        <f>WO2025Jan7108141618222428303234384042444648545658626466687072747668121618202226[[#This Row],[CV]]</f>
        <v>1.0539855072463768E-3</v>
      </c>
      <c r="P2" s="28">
        <f>WO2025Jan7108141618222428303234384042444648545658626466687072747668121618202226[[#This Row],[CV]]*1.5</f>
        <v>1.5809782608695651E-3</v>
      </c>
      <c r="Q2" s="25">
        <f>WO2025Jan7108141618222428303234384042444648545658626466687072747668121618202226[[#This Row],[I]]</f>
        <v>1E-3</v>
      </c>
      <c r="R2" s="25">
        <f>WO2025Jan7108141618222428303234384042444648545658626466687072747668121618202226[[#This Row],[I]]*1.5</f>
        <v>1.5E-3</v>
      </c>
      <c r="S2" s="25">
        <f>WO2025Jan7108141618222428303234384042444648545658626466687072747668121618202226[[#This Row],[VO2]]</f>
        <v>9.6966666666666675E-4</v>
      </c>
      <c r="T2" s="28"/>
      <c r="U2" s="11"/>
      <c r="V2" s="38"/>
      <c r="W2" s="18" t="s">
        <v>26</v>
      </c>
      <c r="X2" s="52"/>
    </row>
    <row r="3" spans="1:26" ht="21" customHeight="1">
      <c r="A3" s="10" t="s">
        <v>30</v>
      </c>
      <c r="B3" s="11">
        <v>1.2500000000000001E-2</v>
      </c>
      <c r="C3" s="11">
        <v>3.6458333333333334E-3</v>
      </c>
      <c r="D3" s="11">
        <f>B3*E3</f>
        <v>7.2725000000000003E-3</v>
      </c>
      <c r="E3" s="12">
        <v>0.58179999999999998</v>
      </c>
      <c r="F3" s="11">
        <f>C3/4</f>
        <v>9.1145833333333335E-4</v>
      </c>
      <c r="G3" s="11">
        <f>D3/7.5</f>
        <v>9.6966666666666675E-4</v>
      </c>
      <c r="H3" s="11">
        <f>B3/12.5</f>
        <v>1E-3</v>
      </c>
      <c r="I3" s="11">
        <f>G3/0.93</f>
        <v>1.0426523297491039E-3</v>
      </c>
      <c r="J3" s="11">
        <f>G3/0.92</f>
        <v>1.0539855072463768E-3</v>
      </c>
      <c r="K3" s="11">
        <f>G3/0.88</f>
        <v>1.1018939393939394E-3</v>
      </c>
      <c r="L3" s="11">
        <f>G3/0.84</f>
        <v>1.1543650793650795E-3</v>
      </c>
      <c r="M3" s="25">
        <f>WO2025Jan7108141618222428303234384042444648545658626466687072747668121618202226[[#This Row],[Thresh]]</f>
        <v>1.1018939393939394E-3</v>
      </c>
      <c r="N3" s="28">
        <f>WO2025Jan7108141618222428303234384042444648545658626466687072747668121618202226[[#This Row],[Thresh]]*1.5</f>
        <v>1.6528409090909091E-3</v>
      </c>
      <c r="O3" s="25">
        <f>WO2025Jan7108141618222428303234384042444648545658626466687072747668121618202226[[#This Row],[CV]]</f>
        <v>1.0539855072463768E-3</v>
      </c>
      <c r="P3" s="28">
        <f>WO2025Jan7108141618222428303234384042444648545658626466687072747668121618202226[[#This Row],[CV]]*1.5</f>
        <v>1.5809782608695651E-3</v>
      </c>
      <c r="Q3" s="25">
        <f>WO2025Jan7108141618222428303234384042444648545658626466687072747668121618202226[[#This Row],[I]]</f>
        <v>1E-3</v>
      </c>
      <c r="R3" s="25">
        <f>WO2025Jan7108141618222428303234384042444648545658626466687072747668121618202226[[#This Row],[I]]*1.5</f>
        <v>1.5E-3</v>
      </c>
      <c r="S3" s="25">
        <f>WO2025Jan7108141618222428303234384042444648545658626466687072747668121618202226[[#This Row],[VO2]]</f>
        <v>9.6966666666666675E-4</v>
      </c>
      <c r="T3" s="28"/>
      <c r="U3" s="11"/>
      <c r="V3" s="28"/>
      <c r="W3" s="15" t="s">
        <v>35</v>
      </c>
      <c r="X3" s="52"/>
      <c r="Z3" s="16"/>
    </row>
    <row r="4" spans="1:26" ht="21" customHeight="1">
      <c r="A4" s="10" t="s">
        <v>63</v>
      </c>
      <c r="B4" s="11">
        <v>1.2615740740740742E-2</v>
      </c>
      <c r="C4" s="11">
        <v>3.7037037037037038E-3</v>
      </c>
      <c r="D4" s="11">
        <f>B4*E4</f>
        <v>7.3398379629629629E-3</v>
      </c>
      <c r="E4" s="12">
        <v>0.58179999999999998</v>
      </c>
      <c r="F4" s="11">
        <f>C4/4</f>
        <v>9.2592592592592596E-4</v>
      </c>
      <c r="G4" s="11">
        <f>D4/7.5</f>
        <v>9.7864506172839496E-4</v>
      </c>
      <c r="H4" s="11">
        <f>B4/12.5</f>
        <v>1.0092592592592592E-3</v>
      </c>
      <c r="I4" s="11">
        <f>G4/0.93</f>
        <v>1.0523065179875214E-3</v>
      </c>
      <c r="J4" s="11">
        <f>G4/0.92</f>
        <v>1.0637446323134728E-3</v>
      </c>
      <c r="K4" s="11">
        <f>G4/0.88</f>
        <v>1.1120966610549943E-3</v>
      </c>
      <c r="L4" s="11">
        <f>G4/0.84</f>
        <v>1.165053644914756E-3</v>
      </c>
      <c r="M4" s="25">
        <f>WO2025Jan7108141618222428303234384042444648545658626466687072747668121618202226[[#This Row],[Thresh]]</f>
        <v>1.1120966610549943E-3</v>
      </c>
      <c r="N4" s="28">
        <f>WO2025Jan7108141618222428303234384042444648545658626466687072747668121618202226[[#This Row],[Thresh]]*1.5</f>
        <v>1.6681449915824913E-3</v>
      </c>
      <c r="O4" s="25">
        <f>WO2025Jan7108141618222428303234384042444648545658626466687072747668121618202226[[#This Row],[CV]]</f>
        <v>1.0637446323134728E-3</v>
      </c>
      <c r="P4" s="28">
        <f>WO2025Jan7108141618222428303234384042444648545658626466687072747668121618202226[[#This Row],[CV]]*1.5</f>
        <v>1.5956169484702093E-3</v>
      </c>
      <c r="Q4" s="25">
        <f>WO2025Jan7108141618222428303234384042444648545658626466687072747668121618202226[[#This Row],[I]]</f>
        <v>1.0092592592592592E-3</v>
      </c>
      <c r="R4" s="25">
        <f>WO2025Jan7108141618222428303234384042444648545658626466687072747668121618202226[[#This Row],[I]]*1.5</f>
        <v>1.5138888888888888E-3</v>
      </c>
      <c r="S4" s="25">
        <f>WO2025Jan7108141618222428303234384042444648545658626466687072747668121618202226[[#This Row],[VO2]]</f>
        <v>9.7864506172839496E-4</v>
      </c>
      <c r="T4" s="28"/>
      <c r="U4" s="11"/>
      <c r="V4" s="36"/>
      <c r="W4" s="15" t="s">
        <v>35</v>
      </c>
      <c r="X4" s="52"/>
    </row>
    <row r="5" spans="1:26" ht="21" customHeight="1">
      <c r="A5" s="10" t="s">
        <v>51</v>
      </c>
      <c r="B5" s="11">
        <v>1.2615740740740742E-2</v>
      </c>
      <c r="C5" s="11">
        <v>3.5879629629629629E-3</v>
      </c>
      <c r="D5" s="11">
        <f t="shared" ref="D5:D19" si="0">B5*E5</f>
        <v>7.3398379629629629E-3</v>
      </c>
      <c r="E5" s="12">
        <v>0.58179999999999998</v>
      </c>
      <c r="F5" s="11">
        <f t="shared" ref="F5:F19" si="1">C5/4</f>
        <v>8.9699074074074073E-4</v>
      </c>
      <c r="G5" s="11">
        <f t="shared" ref="G5:G19" si="2">D5/7.5</f>
        <v>9.7864506172839496E-4</v>
      </c>
      <c r="H5" s="11">
        <f t="shared" ref="H5:H19" si="3">B5/12.5</f>
        <v>1.0092592592592592E-3</v>
      </c>
      <c r="I5" s="11">
        <f t="shared" ref="I5:I19" si="4">G5/0.93</f>
        <v>1.0523065179875214E-3</v>
      </c>
      <c r="J5" s="11">
        <f t="shared" ref="J5:J19" si="5">G5/0.92</f>
        <v>1.0637446323134728E-3</v>
      </c>
      <c r="K5" s="11">
        <f t="shared" ref="K5:K19" si="6">G5/0.88</f>
        <v>1.1120966610549943E-3</v>
      </c>
      <c r="L5" s="11">
        <f t="shared" ref="L5:L19" si="7">G5/0.84</f>
        <v>1.165053644914756E-3</v>
      </c>
      <c r="M5" s="25">
        <f>WO2025Jan7108141618222428303234384042444648545658626466687072747668121618202226[[#This Row],[Thresh]]</f>
        <v>1.1120966610549943E-3</v>
      </c>
      <c r="N5" s="28">
        <f>WO2025Jan7108141618222428303234384042444648545658626466687072747668121618202226[[#This Row],[Thresh]]*1.5</f>
        <v>1.6681449915824913E-3</v>
      </c>
      <c r="O5" s="25">
        <f>WO2025Jan7108141618222428303234384042444648545658626466687072747668121618202226[[#This Row],[CV]]</f>
        <v>1.0637446323134728E-3</v>
      </c>
      <c r="P5" s="28">
        <f>WO2025Jan7108141618222428303234384042444648545658626466687072747668121618202226[[#This Row],[CV]]*1.5</f>
        <v>1.5956169484702093E-3</v>
      </c>
      <c r="Q5" s="25">
        <f>WO2025Jan7108141618222428303234384042444648545658626466687072747668121618202226[[#This Row],[I]]</f>
        <v>1.0092592592592592E-3</v>
      </c>
      <c r="R5" s="25">
        <f>WO2025Jan7108141618222428303234384042444648545658626466687072747668121618202226[[#This Row],[I]]*1.5</f>
        <v>1.5138888888888888E-3</v>
      </c>
      <c r="S5" s="25">
        <f>WO2025Jan7108141618222428303234384042444648545658626466687072747668121618202226[[#This Row],[VO2]]</f>
        <v>9.7864506172839496E-4</v>
      </c>
      <c r="T5" s="28"/>
      <c r="U5" s="11"/>
      <c r="V5" s="36"/>
      <c r="W5" s="15" t="s">
        <v>35</v>
      </c>
      <c r="X5" s="52"/>
    </row>
    <row r="6" spans="1:26" ht="21" customHeight="1">
      <c r="A6" s="10" t="s">
        <v>64</v>
      </c>
      <c r="B6" s="11">
        <v>1.2731481481481481E-2</v>
      </c>
      <c r="C6" s="11">
        <v>3.5879629629629629E-3</v>
      </c>
      <c r="D6" s="11">
        <f>B6*E6</f>
        <v>7.4071759259259256E-3</v>
      </c>
      <c r="E6" s="12">
        <v>0.58179999999999998</v>
      </c>
      <c r="F6" s="11">
        <f>C6/4</f>
        <v>8.9699074074074073E-4</v>
      </c>
      <c r="G6" s="11">
        <f>D6/7.5</f>
        <v>9.8762345679012349E-4</v>
      </c>
      <c r="H6" s="11">
        <f>B6/12.5</f>
        <v>1.0185185185185184E-3</v>
      </c>
      <c r="I6" s="11">
        <f>G6/0.93</f>
        <v>1.0619607062259391E-3</v>
      </c>
      <c r="J6" s="11">
        <f>G6/0.92</f>
        <v>1.073503757380569E-3</v>
      </c>
      <c r="K6" s="11">
        <f>G6/0.88</f>
        <v>1.1222993827160494E-3</v>
      </c>
      <c r="L6" s="11">
        <f>G6/0.84</f>
        <v>1.1757422104644328E-3</v>
      </c>
      <c r="M6" s="25">
        <f>WO2025Jan7108141618222428303234384042444648545658626466687072747668121618202226[[#This Row],[Thresh]]</f>
        <v>1.1222993827160494E-3</v>
      </c>
      <c r="N6" s="28">
        <f>WO2025Jan7108141618222428303234384042444648545658626466687072747668121618202226[[#This Row],[Thresh]]*1.5</f>
        <v>1.6834490740740742E-3</v>
      </c>
      <c r="O6" s="25">
        <f>WO2025Jan7108141618222428303234384042444648545658626466687072747668121618202226[[#This Row],[CV]]</f>
        <v>1.073503757380569E-3</v>
      </c>
      <c r="P6" s="28">
        <f>WO2025Jan7108141618222428303234384042444648545658626466687072747668121618202226[[#This Row],[CV]]*1.5</f>
        <v>1.6102556360708536E-3</v>
      </c>
      <c r="Q6" s="25">
        <f>WO2025Jan7108141618222428303234384042444648545658626466687072747668121618202226[[#This Row],[I]]</f>
        <v>1.0185185185185184E-3</v>
      </c>
      <c r="R6" s="25">
        <f>WO2025Jan7108141618222428303234384042444648545658626466687072747668121618202226[[#This Row],[I]]*1.5</f>
        <v>1.5277777777777776E-3</v>
      </c>
      <c r="S6" s="25">
        <f>WO2025Jan7108141618222428303234384042444648545658626466687072747668121618202226[[#This Row],[VO2]]</f>
        <v>9.8762345679012349E-4</v>
      </c>
      <c r="T6" s="28"/>
      <c r="U6" s="11"/>
      <c r="V6" s="48"/>
      <c r="W6" s="15" t="s">
        <v>35</v>
      </c>
      <c r="X6" s="52"/>
    </row>
    <row r="7" spans="1:26" ht="21" customHeight="1">
      <c r="A7" s="10" t="s">
        <v>49</v>
      </c>
      <c r="B7" s="11">
        <v>1.2731481481481481E-2</v>
      </c>
      <c r="C7" s="11">
        <v>3.5879629629629629E-3</v>
      </c>
      <c r="D7" s="11">
        <f t="shared" si="0"/>
        <v>7.4071759259259256E-3</v>
      </c>
      <c r="E7" s="12">
        <v>0.58179999999999998</v>
      </c>
      <c r="F7" s="11">
        <f t="shared" si="1"/>
        <v>8.9699074074074073E-4</v>
      </c>
      <c r="G7" s="11">
        <f t="shared" si="2"/>
        <v>9.8762345679012349E-4</v>
      </c>
      <c r="H7" s="11">
        <f t="shared" si="3"/>
        <v>1.0185185185185184E-3</v>
      </c>
      <c r="I7" s="11">
        <f t="shared" si="4"/>
        <v>1.0619607062259391E-3</v>
      </c>
      <c r="J7" s="11">
        <f t="shared" si="5"/>
        <v>1.073503757380569E-3</v>
      </c>
      <c r="K7" s="11">
        <f t="shared" si="6"/>
        <v>1.1222993827160494E-3</v>
      </c>
      <c r="L7" s="11">
        <f t="shared" si="7"/>
        <v>1.1757422104644328E-3</v>
      </c>
      <c r="M7" s="25">
        <f>WO2025Jan7108141618222428303234384042444648545658626466687072747668121618202226[[#This Row],[Thresh]]</f>
        <v>1.1222993827160494E-3</v>
      </c>
      <c r="N7" s="28">
        <f>WO2025Jan7108141618222428303234384042444648545658626466687072747668121618202226[[#This Row],[Thresh]]*1.5</f>
        <v>1.6834490740740742E-3</v>
      </c>
      <c r="O7" s="25">
        <f>WO2025Jan7108141618222428303234384042444648545658626466687072747668121618202226[[#This Row],[CV]]</f>
        <v>1.073503757380569E-3</v>
      </c>
      <c r="P7" s="28">
        <f>WO2025Jan7108141618222428303234384042444648545658626466687072747668121618202226[[#This Row],[CV]]*1.5</f>
        <v>1.6102556360708536E-3</v>
      </c>
      <c r="Q7" s="25">
        <f>WO2025Jan7108141618222428303234384042444648545658626466687072747668121618202226[[#This Row],[I]]</f>
        <v>1.0185185185185184E-3</v>
      </c>
      <c r="R7" s="25">
        <f>WO2025Jan7108141618222428303234384042444648545658626466687072747668121618202226[[#This Row],[I]]*1.5</f>
        <v>1.5277777777777776E-3</v>
      </c>
      <c r="S7" s="25">
        <f>WO2025Jan7108141618222428303234384042444648545658626466687072747668121618202226[[#This Row],[VO2]]</f>
        <v>9.8762345679012349E-4</v>
      </c>
      <c r="T7" s="28"/>
      <c r="U7" s="11"/>
      <c r="V7" s="11"/>
      <c r="W7" s="15" t="s">
        <v>35</v>
      </c>
      <c r="X7" s="52"/>
    </row>
    <row r="8" spans="1:26" ht="21" customHeight="1">
      <c r="A8" s="10" t="s">
        <v>65</v>
      </c>
      <c r="B8" s="11">
        <v>1.2731481481481481E-2</v>
      </c>
      <c r="C8" s="11">
        <v>3.8194444444444443E-3</v>
      </c>
      <c r="D8" s="11">
        <f t="shared" si="0"/>
        <v>7.4071759259259256E-3</v>
      </c>
      <c r="E8" s="12">
        <v>0.58179999999999998</v>
      </c>
      <c r="F8" s="11">
        <f t="shared" si="1"/>
        <v>9.5486111111111108E-4</v>
      </c>
      <c r="G8" s="11">
        <f t="shared" si="2"/>
        <v>9.8762345679012349E-4</v>
      </c>
      <c r="H8" s="11">
        <f t="shared" si="3"/>
        <v>1.0185185185185184E-3</v>
      </c>
      <c r="I8" s="11">
        <f t="shared" si="4"/>
        <v>1.0619607062259391E-3</v>
      </c>
      <c r="J8" s="11">
        <f t="shared" si="5"/>
        <v>1.073503757380569E-3</v>
      </c>
      <c r="K8" s="11">
        <f t="shared" si="6"/>
        <v>1.1222993827160494E-3</v>
      </c>
      <c r="L8" s="11">
        <f t="shared" si="7"/>
        <v>1.1757422104644328E-3</v>
      </c>
      <c r="M8" s="25">
        <f>WO2025Jan7108141618222428303234384042444648545658626466687072747668121618202226[[#This Row],[Thresh]]</f>
        <v>1.1222993827160494E-3</v>
      </c>
      <c r="N8" s="28">
        <f>WO2025Jan7108141618222428303234384042444648545658626466687072747668121618202226[[#This Row],[Thresh]]*1.5</f>
        <v>1.6834490740740742E-3</v>
      </c>
      <c r="O8" s="25">
        <f>WO2025Jan7108141618222428303234384042444648545658626466687072747668121618202226[[#This Row],[CV]]</f>
        <v>1.073503757380569E-3</v>
      </c>
      <c r="P8" s="28">
        <f>WO2025Jan7108141618222428303234384042444648545658626466687072747668121618202226[[#This Row],[CV]]*1.5</f>
        <v>1.6102556360708536E-3</v>
      </c>
      <c r="Q8" s="25">
        <f>WO2025Jan7108141618222428303234384042444648545658626466687072747668121618202226[[#This Row],[I]]</f>
        <v>1.0185185185185184E-3</v>
      </c>
      <c r="R8" s="25">
        <f>WO2025Jan7108141618222428303234384042444648545658626466687072747668121618202226[[#This Row],[I]]*1.5</f>
        <v>1.5277777777777776E-3</v>
      </c>
      <c r="S8" s="25">
        <f>WO2025Jan7108141618222428303234384042444648545658626466687072747668121618202226[[#This Row],[VO2]]</f>
        <v>9.8762345679012349E-4</v>
      </c>
      <c r="T8" s="28"/>
      <c r="U8" s="11"/>
      <c r="V8" s="28"/>
      <c r="W8" s="15" t="s">
        <v>26</v>
      </c>
      <c r="X8" s="52"/>
    </row>
    <row r="9" spans="1:26" ht="21" customHeight="1">
      <c r="A9" s="10" t="s">
        <v>66</v>
      </c>
      <c r="B9" s="11">
        <v>1.2731481481481481E-2</v>
      </c>
      <c r="C9" s="11">
        <v>3.6458333333333334E-3</v>
      </c>
      <c r="D9" s="11">
        <f>B9*E9</f>
        <v>7.4071759259259256E-3</v>
      </c>
      <c r="E9" s="12">
        <v>0.58179999999999998</v>
      </c>
      <c r="F9" s="11">
        <f>C9/4</f>
        <v>9.1145833333333335E-4</v>
      </c>
      <c r="G9" s="11">
        <f>D9/7.5</f>
        <v>9.8762345679012349E-4</v>
      </c>
      <c r="H9" s="11">
        <f>B9/12.5</f>
        <v>1.0185185185185184E-3</v>
      </c>
      <c r="I9" s="11">
        <f>G9/0.93</f>
        <v>1.0619607062259391E-3</v>
      </c>
      <c r="J9" s="11">
        <f>G9/0.92</f>
        <v>1.073503757380569E-3</v>
      </c>
      <c r="K9" s="11">
        <f>G9/0.88</f>
        <v>1.1222993827160494E-3</v>
      </c>
      <c r="L9" s="17">
        <f>G9/0.84</f>
        <v>1.1757422104644328E-3</v>
      </c>
      <c r="M9" s="25">
        <f>WO2025Jan7108141618222428303234384042444648545658626466687072747668121618202226[[#This Row],[Thresh]]</f>
        <v>1.1222993827160494E-3</v>
      </c>
      <c r="N9" s="28">
        <f>WO2025Jan7108141618222428303234384042444648545658626466687072747668121618202226[[#This Row],[Thresh]]*1.5</f>
        <v>1.6834490740740742E-3</v>
      </c>
      <c r="O9" s="25">
        <f>WO2025Jan7108141618222428303234384042444648545658626466687072747668121618202226[[#This Row],[CV]]</f>
        <v>1.073503757380569E-3</v>
      </c>
      <c r="P9" s="28">
        <f>WO2025Jan7108141618222428303234384042444648545658626466687072747668121618202226[[#This Row],[CV]]*1.5</f>
        <v>1.6102556360708536E-3</v>
      </c>
      <c r="Q9" s="25">
        <f>WO2025Jan7108141618222428303234384042444648545658626466687072747668121618202226[[#This Row],[I]]</f>
        <v>1.0185185185185184E-3</v>
      </c>
      <c r="R9" s="25">
        <f>WO2025Jan7108141618222428303234384042444648545658626466687072747668121618202226[[#This Row],[I]]*1.5</f>
        <v>1.5277777777777776E-3</v>
      </c>
      <c r="S9" s="25">
        <f>WO2025Jan7108141618222428303234384042444648545658626466687072747668121618202226[[#This Row],[VO2]]</f>
        <v>9.8762345679012349E-4</v>
      </c>
      <c r="T9" s="25"/>
      <c r="U9" s="25"/>
      <c r="V9" s="25"/>
      <c r="W9" s="15" t="s">
        <v>35</v>
      </c>
      <c r="X9" s="52"/>
    </row>
    <row r="10" spans="1:26" ht="21" customHeight="1">
      <c r="A10" s="10" t="s">
        <v>67</v>
      </c>
      <c r="B10" s="11">
        <v>1.3020833333333334E-2</v>
      </c>
      <c r="C10" s="11">
        <v>3.8194444444444443E-3</v>
      </c>
      <c r="D10" s="11">
        <f>B10*E10</f>
        <v>7.5755208333333334E-3</v>
      </c>
      <c r="E10" s="12">
        <v>0.58179999999999998</v>
      </c>
      <c r="F10" s="11">
        <f>C10/4</f>
        <v>9.5486111111111108E-4</v>
      </c>
      <c r="G10" s="11">
        <f>D10/7.5</f>
        <v>1.0100694444444445E-3</v>
      </c>
      <c r="H10" s="11">
        <f>B10/12.5</f>
        <v>1.0416666666666667E-3</v>
      </c>
      <c r="I10" s="11">
        <f>G10/0.93</f>
        <v>1.0860961768219832E-3</v>
      </c>
      <c r="J10" s="11">
        <f>G10/0.92</f>
        <v>1.0979015700483092E-3</v>
      </c>
      <c r="K10" s="11">
        <f>G10/0.88</f>
        <v>1.1478061868686869E-3</v>
      </c>
      <c r="L10" s="11">
        <f>G10/0.84</f>
        <v>1.2024636243386244E-3</v>
      </c>
      <c r="M10" s="25">
        <f>WO2025Jan7108141618222428303234384042444648545658626466687072747668121618202226[[#This Row],[Thresh]]</f>
        <v>1.1478061868686869E-3</v>
      </c>
      <c r="N10" s="28">
        <f>WO2025Jan7108141618222428303234384042444648545658626466687072747668121618202226[[#This Row],[Thresh]]*1.5</f>
        <v>1.7217092803030304E-3</v>
      </c>
      <c r="O10" s="25">
        <f>WO2025Jan7108141618222428303234384042444648545658626466687072747668121618202226[[#This Row],[CV]]</f>
        <v>1.0979015700483092E-3</v>
      </c>
      <c r="P10" s="28">
        <f>WO2025Jan7108141618222428303234384042444648545658626466687072747668121618202226[[#This Row],[CV]]*1.5</f>
        <v>1.6468523550724639E-3</v>
      </c>
      <c r="Q10" s="25">
        <f>WO2025Jan7108141618222428303234384042444648545658626466687072747668121618202226[[#This Row],[I]]</f>
        <v>1.0416666666666667E-3</v>
      </c>
      <c r="R10" s="25">
        <f>WO2025Jan7108141618222428303234384042444648545658626466687072747668121618202226[[#This Row],[I]]*1.5</f>
        <v>1.5625000000000001E-3</v>
      </c>
      <c r="S10" s="25">
        <f>WO2025Jan7108141618222428303234384042444648545658626466687072747668121618202226[[#This Row],[VO2]]</f>
        <v>1.0100694444444445E-3</v>
      </c>
      <c r="T10" s="28"/>
      <c r="U10" s="11"/>
      <c r="V10" s="28"/>
      <c r="W10" s="18" t="s">
        <v>26</v>
      </c>
      <c r="X10" s="52"/>
    </row>
    <row r="11" spans="1:26" ht="21" customHeight="1">
      <c r="A11" s="10" t="s">
        <v>58</v>
      </c>
      <c r="B11" s="11">
        <v>1.3020833333333334E-2</v>
      </c>
      <c r="C11" s="11">
        <v>4.1087962962962962E-3</v>
      </c>
      <c r="D11" s="11">
        <f>B11*E11</f>
        <v>7.5755208333333334E-3</v>
      </c>
      <c r="E11" s="12">
        <v>0.58179999999999998</v>
      </c>
      <c r="F11" s="11">
        <f>C11/4</f>
        <v>1.027199074074074E-3</v>
      </c>
      <c r="G11" s="11">
        <f>D11/7.5</f>
        <v>1.0100694444444445E-3</v>
      </c>
      <c r="H11" s="11">
        <f>B11/12.5</f>
        <v>1.0416666666666667E-3</v>
      </c>
      <c r="I11" s="11">
        <f>G11/0.93</f>
        <v>1.0860961768219832E-3</v>
      </c>
      <c r="J11" s="11">
        <f>G11/0.92</f>
        <v>1.0979015700483092E-3</v>
      </c>
      <c r="K11" s="11">
        <f>G11/0.88</f>
        <v>1.1478061868686869E-3</v>
      </c>
      <c r="L11" s="11">
        <f>G11/0.84</f>
        <v>1.2024636243386244E-3</v>
      </c>
      <c r="M11" s="25">
        <f>WO2025Jan7108141618222428303234384042444648545658626466687072747668121618202226[[#This Row],[Thresh]]</f>
        <v>1.1478061868686869E-3</v>
      </c>
      <c r="N11" s="28">
        <f>WO2025Jan7108141618222428303234384042444648545658626466687072747668121618202226[[#This Row],[Thresh]]*1.5</f>
        <v>1.7217092803030304E-3</v>
      </c>
      <c r="O11" s="25">
        <f>WO2025Jan7108141618222428303234384042444648545658626466687072747668121618202226[[#This Row],[CV]]</f>
        <v>1.0979015700483092E-3</v>
      </c>
      <c r="P11" s="28">
        <f>WO2025Jan7108141618222428303234384042444648545658626466687072747668121618202226[[#This Row],[CV]]*1.5</f>
        <v>1.6468523550724639E-3</v>
      </c>
      <c r="Q11" s="25">
        <f>WO2025Jan7108141618222428303234384042444648545658626466687072747668121618202226[[#This Row],[I]]</f>
        <v>1.0416666666666667E-3</v>
      </c>
      <c r="R11" s="25">
        <f>WO2025Jan7108141618222428303234384042444648545658626466687072747668121618202226[[#This Row],[I]]*1.5</f>
        <v>1.5625000000000001E-3</v>
      </c>
      <c r="S11" s="25">
        <f>WO2025Jan7108141618222428303234384042444648545658626466687072747668121618202226[[#This Row],[VO2]]</f>
        <v>1.0100694444444445E-3</v>
      </c>
      <c r="T11" s="28"/>
      <c r="U11" s="11"/>
      <c r="V11" s="38"/>
      <c r="W11" s="15" t="s">
        <v>35</v>
      </c>
      <c r="X11" s="52" t="s">
        <v>253</v>
      </c>
    </row>
    <row r="12" spans="1:26" ht="21" customHeight="1">
      <c r="A12" s="10" t="s">
        <v>74</v>
      </c>
      <c r="B12" s="11">
        <v>1.3020833333333334E-2</v>
      </c>
      <c r="C12" s="11">
        <v>3.7037037037037038E-3</v>
      </c>
      <c r="D12" s="11">
        <f>B12*E12</f>
        <v>7.5755208333333334E-3</v>
      </c>
      <c r="E12" s="12">
        <v>0.58179999999999998</v>
      </c>
      <c r="F12" s="11">
        <f>C12/4</f>
        <v>9.2592592592592596E-4</v>
      </c>
      <c r="G12" s="11">
        <f>D12/7.5</f>
        <v>1.0100694444444445E-3</v>
      </c>
      <c r="H12" s="11">
        <f>B12/12.5</f>
        <v>1.0416666666666667E-3</v>
      </c>
      <c r="I12" s="11">
        <f>G12/0.93</f>
        <v>1.0860961768219832E-3</v>
      </c>
      <c r="J12" s="11">
        <f>G12/0.92</f>
        <v>1.0979015700483092E-3</v>
      </c>
      <c r="K12" s="11">
        <f>G12/0.88</f>
        <v>1.1478061868686869E-3</v>
      </c>
      <c r="L12" s="11">
        <f>G12/0.84</f>
        <v>1.2024636243386244E-3</v>
      </c>
      <c r="M12" s="25">
        <f>WO2025Jan7108141618222428303234384042444648545658626466687072747668121618202226[[#This Row],[Thresh]]</f>
        <v>1.1478061868686869E-3</v>
      </c>
      <c r="N12" s="28">
        <f>WO2025Jan7108141618222428303234384042444648545658626466687072747668121618202226[[#This Row],[Thresh]]*1.5</f>
        <v>1.7217092803030304E-3</v>
      </c>
      <c r="O12" s="25">
        <f>WO2025Jan7108141618222428303234384042444648545658626466687072747668121618202226[[#This Row],[CV]]</f>
        <v>1.0979015700483092E-3</v>
      </c>
      <c r="P12" s="28">
        <f>WO2025Jan7108141618222428303234384042444648545658626466687072747668121618202226[[#This Row],[CV]]*1.5</f>
        <v>1.6468523550724639E-3</v>
      </c>
      <c r="Q12" s="25">
        <f>WO2025Jan7108141618222428303234384042444648545658626466687072747668121618202226[[#This Row],[I]]</f>
        <v>1.0416666666666667E-3</v>
      </c>
      <c r="R12" s="25">
        <f>WO2025Jan7108141618222428303234384042444648545658626466687072747668121618202226[[#This Row],[I]]*1.5</f>
        <v>1.5625000000000001E-3</v>
      </c>
      <c r="S12" s="25">
        <f>WO2025Jan7108141618222428303234384042444648545658626466687072747668121618202226[[#This Row],[VO2]]</f>
        <v>1.0100694444444445E-3</v>
      </c>
      <c r="T12" s="25"/>
      <c r="U12" s="25"/>
      <c r="V12" s="25"/>
      <c r="W12" s="15" t="s">
        <v>35</v>
      </c>
      <c r="X12" s="52"/>
    </row>
    <row r="13" spans="1:26" ht="21" customHeight="1">
      <c r="A13" s="10" t="s">
        <v>69</v>
      </c>
      <c r="B13" s="11">
        <v>1.3368055555555555E-2</v>
      </c>
      <c r="C13" s="11"/>
      <c r="D13" s="11">
        <f t="shared" si="0"/>
        <v>7.7775347222222213E-3</v>
      </c>
      <c r="E13" s="12">
        <v>0.58179999999999998</v>
      </c>
      <c r="F13" s="11">
        <f t="shared" si="1"/>
        <v>0</v>
      </c>
      <c r="G13" s="11">
        <f t="shared" si="2"/>
        <v>1.0370046296296295E-3</v>
      </c>
      <c r="H13" s="11">
        <f t="shared" si="3"/>
        <v>1.0694444444444445E-3</v>
      </c>
      <c r="I13" s="11">
        <f t="shared" si="4"/>
        <v>1.1150587415372358E-3</v>
      </c>
      <c r="J13" s="11">
        <f t="shared" si="5"/>
        <v>1.1271789452495973E-3</v>
      </c>
      <c r="K13" s="11">
        <f t="shared" si="6"/>
        <v>1.1784143518518517E-3</v>
      </c>
      <c r="L13" s="11">
        <f t="shared" si="7"/>
        <v>1.2345293209876543E-3</v>
      </c>
      <c r="M13" s="25">
        <f>WO2025Jan7108141618222428303234384042444648545658626466687072747668121618202226[[#This Row],[Thresh]]</f>
        <v>1.1784143518518517E-3</v>
      </c>
      <c r="N13" s="28">
        <f>WO2025Jan7108141618222428303234384042444648545658626466687072747668121618202226[[#This Row],[Thresh]]*1.5</f>
        <v>1.7676215277777777E-3</v>
      </c>
      <c r="O13" s="25">
        <f>WO2025Jan7108141618222428303234384042444648545658626466687072747668121618202226[[#This Row],[CV]]</f>
        <v>1.1271789452495973E-3</v>
      </c>
      <c r="P13" s="28">
        <f>WO2025Jan7108141618222428303234384042444648545658626466687072747668121618202226[[#This Row],[CV]]*1.5</f>
        <v>1.6907684178743959E-3</v>
      </c>
      <c r="Q13" s="25">
        <f>WO2025Jan7108141618222428303234384042444648545658626466687072747668121618202226[[#This Row],[I]]</f>
        <v>1.0694444444444445E-3</v>
      </c>
      <c r="R13" s="25">
        <f>WO2025Jan7108141618222428303234384042444648545658626466687072747668121618202226[[#This Row],[I]]*1.5</f>
        <v>1.6041666666666667E-3</v>
      </c>
      <c r="S13" s="25">
        <f>WO2025Jan7108141618222428303234384042444648545658626466687072747668121618202226[[#This Row],[VO2]]</f>
        <v>1.0370046296296295E-3</v>
      </c>
      <c r="T13" s="28"/>
      <c r="U13" s="11"/>
      <c r="V13" s="36"/>
      <c r="W13" s="15" t="s">
        <v>35</v>
      </c>
      <c r="X13" s="52"/>
    </row>
    <row r="14" spans="1:26" ht="21" customHeight="1">
      <c r="A14" s="10" t="s">
        <v>70</v>
      </c>
      <c r="B14" s="11">
        <v>1.3368055555555555E-2</v>
      </c>
      <c r="C14" s="11">
        <v>4.0509259259259257E-3</v>
      </c>
      <c r="D14" s="11">
        <f t="shared" si="0"/>
        <v>7.7775347222222213E-3</v>
      </c>
      <c r="E14" s="12">
        <v>0.58179999999999998</v>
      </c>
      <c r="F14" s="11">
        <f t="shared" si="1"/>
        <v>1.0127314814814814E-3</v>
      </c>
      <c r="G14" s="11">
        <f t="shared" si="2"/>
        <v>1.0370046296296295E-3</v>
      </c>
      <c r="H14" s="11">
        <f t="shared" si="3"/>
        <v>1.0694444444444445E-3</v>
      </c>
      <c r="I14" s="11">
        <f t="shared" si="4"/>
        <v>1.1150587415372358E-3</v>
      </c>
      <c r="J14" s="11">
        <f t="shared" si="5"/>
        <v>1.1271789452495973E-3</v>
      </c>
      <c r="K14" s="11">
        <f t="shared" si="6"/>
        <v>1.1784143518518517E-3</v>
      </c>
      <c r="L14" s="11">
        <f t="shared" si="7"/>
        <v>1.2345293209876543E-3</v>
      </c>
      <c r="M14" s="25">
        <f>WO2025Jan7108141618222428303234384042444648545658626466687072747668121618202226[[#This Row],[Thresh]]</f>
        <v>1.1784143518518517E-3</v>
      </c>
      <c r="N14" s="28">
        <f>WO2025Jan7108141618222428303234384042444648545658626466687072747668121618202226[[#This Row],[Thresh]]*1.5</f>
        <v>1.7676215277777777E-3</v>
      </c>
      <c r="O14" s="25">
        <f>WO2025Jan7108141618222428303234384042444648545658626466687072747668121618202226[[#This Row],[CV]]</f>
        <v>1.1271789452495973E-3</v>
      </c>
      <c r="P14" s="28">
        <f>WO2025Jan7108141618222428303234384042444648545658626466687072747668121618202226[[#This Row],[CV]]*1.5</f>
        <v>1.6907684178743959E-3</v>
      </c>
      <c r="Q14" s="25">
        <f>WO2025Jan7108141618222428303234384042444648545658626466687072747668121618202226[[#This Row],[I]]</f>
        <v>1.0694444444444445E-3</v>
      </c>
      <c r="R14" s="25">
        <f>WO2025Jan7108141618222428303234384042444648545658626466687072747668121618202226[[#This Row],[I]]*1.5</f>
        <v>1.6041666666666667E-3</v>
      </c>
      <c r="S14" s="25">
        <f>WO2025Jan7108141618222428303234384042444648545658626466687072747668121618202226[[#This Row],[VO2]]</f>
        <v>1.0370046296296295E-3</v>
      </c>
      <c r="T14" s="28"/>
      <c r="U14" s="11"/>
      <c r="V14" s="38"/>
      <c r="W14" s="15" t="s">
        <v>35</v>
      </c>
      <c r="X14" s="52"/>
    </row>
    <row r="15" spans="1:26" ht="21" customHeight="1">
      <c r="A15" s="10" t="s">
        <v>68</v>
      </c>
      <c r="B15" s="11">
        <v>1.3368055555555555E-2</v>
      </c>
      <c r="C15" s="11"/>
      <c r="D15" s="11">
        <f>B15*E15</f>
        <v>7.7775347222222213E-3</v>
      </c>
      <c r="E15" s="12">
        <v>0.58179999999999998</v>
      </c>
      <c r="F15" s="11">
        <f>C15/4</f>
        <v>0</v>
      </c>
      <c r="G15" s="11">
        <f>D15/7.5</f>
        <v>1.0370046296296295E-3</v>
      </c>
      <c r="H15" s="11">
        <f>B15/12.5</f>
        <v>1.0694444444444445E-3</v>
      </c>
      <c r="I15" s="11">
        <f>G15/0.93</f>
        <v>1.1150587415372358E-3</v>
      </c>
      <c r="J15" s="11">
        <f>G15/0.92</f>
        <v>1.1271789452495973E-3</v>
      </c>
      <c r="K15" s="11">
        <f>G15/0.88</f>
        <v>1.1784143518518517E-3</v>
      </c>
      <c r="L15" s="11">
        <f>G15/0.84</f>
        <v>1.2345293209876543E-3</v>
      </c>
      <c r="M15" s="25">
        <f>WO2025Jan7108141618222428303234384042444648545658626466687072747668121618202226[[#This Row],[Thresh]]</f>
        <v>1.1784143518518517E-3</v>
      </c>
      <c r="N15" s="28">
        <f>WO2025Jan7108141618222428303234384042444648545658626466687072747668121618202226[[#This Row],[Thresh]]*1.5</f>
        <v>1.7676215277777777E-3</v>
      </c>
      <c r="O15" s="25">
        <f>WO2025Jan7108141618222428303234384042444648545658626466687072747668121618202226[[#This Row],[CV]]</f>
        <v>1.1271789452495973E-3</v>
      </c>
      <c r="P15" s="28">
        <f>WO2025Jan7108141618222428303234384042444648545658626466687072747668121618202226[[#This Row],[CV]]*1.5</f>
        <v>1.6907684178743959E-3</v>
      </c>
      <c r="Q15" s="25">
        <f>WO2025Jan7108141618222428303234384042444648545658626466687072747668121618202226[[#This Row],[I]]</f>
        <v>1.0694444444444445E-3</v>
      </c>
      <c r="R15" s="25">
        <f>WO2025Jan7108141618222428303234384042444648545658626466687072747668121618202226[[#This Row],[I]]*1.5</f>
        <v>1.6041666666666667E-3</v>
      </c>
      <c r="S15" s="25">
        <f>WO2025Jan7108141618222428303234384042444648545658626466687072747668121618202226[[#This Row],[VO2]]</f>
        <v>1.0370046296296295E-3</v>
      </c>
      <c r="T15" s="28"/>
      <c r="U15" s="11"/>
      <c r="V15" s="11"/>
      <c r="W15" s="15" t="s">
        <v>35</v>
      </c>
      <c r="X15" s="52"/>
    </row>
    <row r="16" spans="1:26" ht="21" customHeight="1">
      <c r="A16" s="10" t="s">
        <v>71</v>
      </c>
      <c r="B16" s="11">
        <v>1.3541666666666667E-2</v>
      </c>
      <c r="C16" s="11">
        <v>4.0509259259259257E-3</v>
      </c>
      <c r="D16" s="11">
        <f>B16*E16</f>
        <v>7.8785416666666674E-3</v>
      </c>
      <c r="E16" s="12">
        <v>0.58179999999999998</v>
      </c>
      <c r="F16" s="11">
        <f>C16/4</f>
        <v>1.0127314814814814E-3</v>
      </c>
      <c r="G16" s="11">
        <f>D16/7.5</f>
        <v>1.0504722222222224E-3</v>
      </c>
      <c r="H16" s="11">
        <f>B16/12.5</f>
        <v>1.0833333333333333E-3</v>
      </c>
      <c r="I16" s="11">
        <f>G16/0.93</f>
        <v>1.1295400238948627E-3</v>
      </c>
      <c r="J16" s="11">
        <f>G16/0.92</f>
        <v>1.1418176328502417E-3</v>
      </c>
      <c r="K16" s="11">
        <f>G16/0.88</f>
        <v>1.1937184343434346E-3</v>
      </c>
      <c r="L16" s="11">
        <f>G16/0.84</f>
        <v>1.2505621693121695E-3</v>
      </c>
      <c r="M16" s="25">
        <f>WO2025Jan7108141618222428303234384042444648545658626466687072747668121618202226[[#This Row],[Thresh]]</f>
        <v>1.1937184343434346E-3</v>
      </c>
      <c r="N16" s="28">
        <f>WO2025Jan7108141618222428303234384042444648545658626466687072747668121618202226[[#This Row],[Thresh]]*1.5</f>
        <v>1.790577651515152E-3</v>
      </c>
      <c r="O16" s="25">
        <f>WO2025Jan7108141618222428303234384042444648545658626466687072747668121618202226[[#This Row],[CV]]</f>
        <v>1.1418176328502417E-3</v>
      </c>
      <c r="P16" s="28">
        <f>WO2025Jan7108141618222428303234384042444648545658626466687072747668121618202226[[#This Row],[CV]]*1.5</f>
        <v>1.7127264492753625E-3</v>
      </c>
      <c r="Q16" s="25">
        <f>WO2025Jan7108141618222428303234384042444648545658626466687072747668121618202226[[#This Row],[I]]</f>
        <v>1.0833333333333333E-3</v>
      </c>
      <c r="R16" s="25">
        <f>WO2025Jan7108141618222428303234384042444648545658626466687072747668121618202226[[#This Row],[I]]*1.5</f>
        <v>1.6249999999999999E-3</v>
      </c>
      <c r="S16" s="25">
        <f>WO2025Jan7108141618222428303234384042444648545658626466687072747668121618202226[[#This Row],[VO2]]</f>
        <v>1.0504722222222224E-3</v>
      </c>
      <c r="T16" s="28"/>
      <c r="U16" s="11"/>
      <c r="V16" s="38"/>
      <c r="W16" s="18" t="s">
        <v>35</v>
      </c>
      <c r="X16" s="52"/>
    </row>
    <row r="17" spans="1:24" ht="21" customHeight="1">
      <c r="A17" s="10" t="s">
        <v>72</v>
      </c>
      <c r="B17" s="11">
        <v>1.3541666666666667E-2</v>
      </c>
      <c r="C17" s="11">
        <v>4.0509259259259257E-3</v>
      </c>
      <c r="D17" s="11">
        <f t="shared" si="0"/>
        <v>7.8785416666666674E-3</v>
      </c>
      <c r="E17" s="12">
        <v>0.58179999999999998</v>
      </c>
      <c r="F17" s="11">
        <f t="shared" si="1"/>
        <v>1.0127314814814814E-3</v>
      </c>
      <c r="G17" s="11">
        <f t="shared" si="2"/>
        <v>1.0504722222222224E-3</v>
      </c>
      <c r="H17" s="11">
        <f t="shared" si="3"/>
        <v>1.0833333333333333E-3</v>
      </c>
      <c r="I17" s="11">
        <f t="shared" si="4"/>
        <v>1.1295400238948627E-3</v>
      </c>
      <c r="J17" s="11">
        <f t="shared" si="5"/>
        <v>1.1418176328502417E-3</v>
      </c>
      <c r="K17" s="11">
        <f t="shared" si="6"/>
        <v>1.1937184343434346E-3</v>
      </c>
      <c r="L17" s="11">
        <f t="shared" si="7"/>
        <v>1.2505621693121695E-3</v>
      </c>
      <c r="M17" s="25">
        <f>WO2025Jan7108141618222428303234384042444648545658626466687072747668121618202226[[#This Row],[Thresh]]</f>
        <v>1.1937184343434346E-3</v>
      </c>
      <c r="N17" s="28">
        <f>WO2025Jan7108141618222428303234384042444648545658626466687072747668121618202226[[#This Row],[Thresh]]*1.5</f>
        <v>1.790577651515152E-3</v>
      </c>
      <c r="O17" s="25">
        <f>WO2025Jan7108141618222428303234384042444648545658626466687072747668121618202226[[#This Row],[CV]]</f>
        <v>1.1418176328502417E-3</v>
      </c>
      <c r="P17" s="28">
        <f>WO2025Jan7108141618222428303234384042444648545658626466687072747668121618202226[[#This Row],[CV]]*1.5</f>
        <v>1.7127264492753625E-3</v>
      </c>
      <c r="Q17" s="25">
        <f>WO2025Jan7108141618222428303234384042444648545658626466687072747668121618202226[[#This Row],[I]]</f>
        <v>1.0833333333333333E-3</v>
      </c>
      <c r="R17" s="25">
        <f>WO2025Jan7108141618222428303234384042444648545658626466687072747668121618202226[[#This Row],[I]]*1.5</f>
        <v>1.6249999999999999E-3</v>
      </c>
      <c r="S17" s="25">
        <f>WO2025Jan7108141618222428303234384042444648545658626466687072747668121618202226[[#This Row],[VO2]]</f>
        <v>1.0504722222222224E-3</v>
      </c>
      <c r="T17" s="28"/>
      <c r="U17" s="11"/>
      <c r="V17" s="28"/>
      <c r="W17" s="15" t="s">
        <v>35</v>
      </c>
      <c r="X17" s="52"/>
    </row>
    <row r="18" spans="1:24" ht="21" customHeight="1">
      <c r="A18" s="10" t="s">
        <v>73</v>
      </c>
      <c r="B18" s="11">
        <v>1.40625E-2</v>
      </c>
      <c r="C18" s="11">
        <v>4.3981481481481484E-3</v>
      </c>
      <c r="D18" s="11">
        <f t="shared" si="0"/>
        <v>8.1815624999999996E-3</v>
      </c>
      <c r="E18" s="12">
        <v>0.58179999999999998</v>
      </c>
      <c r="F18" s="11">
        <f t="shared" si="1"/>
        <v>1.0995370370370371E-3</v>
      </c>
      <c r="G18" s="11">
        <f t="shared" si="2"/>
        <v>1.090875E-3</v>
      </c>
      <c r="H18" s="11">
        <f t="shared" si="3"/>
        <v>1.1250000000000001E-3</v>
      </c>
      <c r="I18" s="11">
        <f t="shared" si="4"/>
        <v>1.172983870967742E-3</v>
      </c>
      <c r="J18" s="11">
        <f t="shared" si="5"/>
        <v>1.1857336956521739E-3</v>
      </c>
      <c r="K18" s="11">
        <f t="shared" si="6"/>
        <v>1.2396306818181818E-3</v>
      </c>
      <c r="L18" s="11">
        <f t="shared" si="7"/>
        <v>1.2986607142857144E-3</v>
      </c>
      <c r="M18" s="25">
        <f>WO2025Jan7108141618222428303234384042444648545658626466687072747668121618202226[[#This Row],[Thresh]]</f>
        <v>1.2396306818181818E-3</v>
      </c>
      <c r="N18" s="28">
        <f>WO2025Jan7108141618222428303234384042444648545658626466687072747668121618202226[[#This Row],[Thresh]]*1.5</f>
        <v>1.8594460227272726E-3</v>
      </c>
      <c r="O18" s="25">
        <f>WO2025Jan7108141618222428303234384042444648545658626466687072747668121618202226[[#This Row],[CV]]</f>
        <v>1.1857336956521739E-3</v>
      </c>
      <c r="P18" s="28">
        <f>WO2025Jan7108141618222428303234384042444648545658626466687072747668121618202226[[#This Row],[CV]]*1.5</f>
        <v>1.7786005434782608E-3</v>
      </c>
      <c r="Q18" s="25">
        <f>WO2025Jan7108141618222428303234384042444648545658626466687072747668121618202226[[#This Row],[I]]</f>
        <v>1.1250000000000001E-3</v>
      </c>
      <c r="R18" s="25">
        <f>WO2025Jan7108141618222428303234384042444648545658626466687072747668121618202226[[#This Row],[I]]*1.5</f>
        <v>1.6875000000000002E-3</v>
      </c>
      <c r="S18" s="25">
        <f>WO2025Jan7108141618222428303234384042444648545658626466687072747668121618202226[[#This Row],[VO2]]</f>
        <v>1.090875E-3</v>
      </c>
      <c r="T18" s="28"/>
      <c r="U18" s="11"/>
      <c r="V18" s="28"/>
      <c r="W18" s="15" t="s">
        <v>35</v>
      </c>
      <c r="X18" s="52"/>
    </row>
    <row r="19" spans="1:24" ht="21" customHeight="1">
      <c r="A19" s="10" t="s">
        <v>76</v>
      </c>
      <c r="B19" s="11">
        <v>1.40625E-2</v>
      </c>
      <c r="C19" s="11"/>
      <c r="D19" s="11">
        <f t="shared" si="0"/>
        <v>8.1815624999999996E-3</v>
      </c>
      <c r="E19" s="12">
        <v>0.58179999999999998</v>
      </c>
      <c r="F19" s="11">
        <f t="shared" si="1"/>
        <v>0</v>
      </c>
      <c r="G19" s="11">
        <f t="shared" si="2"/>
        <v>1.090875E-3</v>
      </c>
      <c r="H19" s="11">
        <f t="shared" si="3"/>
        <v>1.1250000000000001E-3</v>
      </c>
      <c r="I19" s="11">
        <f t="shared" si="4"/>
        <v>1.172983870967742E-3</v>
      </c>
      <c r="J19" s="11">
        <f t="shared" si="5"/>
        <v>1.1857336956521739E-3</v>
      </c>
      <c r="K19" s="11">
        <f t="shared" si="6"/>
        <v>1.2396306818181818E-3</v>
      </c>
      <c r="L19" s="11">
        <f t="shared" si="7"/>
        <v>1.2986607142857144E-3</v>
      </c>
      <c r="M19" s="25">
        <f>WO2025Jan7108141618222428303234384042444648545658626466687072747668121618202226[[#This Row],[Thresh]]</f>
        <v>1.2396306818181818E-3</v>
      </c>
      <c r="N19" s="28">
        <f>WO2025Jan7108141618222428303234384042444648545658626466687072747668121618202226[[#This Row],[Thresh]]*1.5</f>
        <v>1.8594460227272726E-3</v>
      </c>
      <c r="O19" s="25">
        <f>WO2025Jan7108141618222428303234384042444648545658626466687072747668121618202226[[#This Row],[CV]]</f>
        <v>1.1857336956521739E-3</v>
      </c>
      <c r="P19" s="28">
        <f>WO2025Jan7108141618222428303234384042444648545658626466687072747668121618202226[[#This Row],[CV]]*1.5</f>
        <v>1.7786005434782608E-3</v>
      </c>
      <c r="Q19" s="25">
        <f>WO2025Jan7108141618222428303234384042444648545658626466687072747668121618202226[[#This Row],[I]]</f>
        <v>1.1250000000000001E-3</v>
      </c>
      <c r="R19" s="25">
        <f>WO2025Jan7108141618222428303234384042444648545658626466687072747668121618202226[[#This Row],[I]]*1.5</f>
        <v>1.6875000000000002E-3</v>
      </c>
      <c r="S19" s="25">
        <f>WO2025Jan7108141618222428303234384042444648545658626466687072747668121618202226[[#This Row],[VO2]]</f>
        <v>1.090875E-3</v>
      </c>
      <c r="T19" s="28"/>
      <c r="U19" s="11"/>
      <c r="V19" s="28"/>
      <c r="W19" s="15" t="s">
        <v>35</v>
      </c>
      <c r="X19" s="52"/>
    </row>
    <row r="20" spans="1:24" ht="21" customHeight="1">
      <c r="A20" s="10"/>
      <c r="B20" s="11"/>
      <c r="C20" s="11"/>
      <c r="D20" s="11"/>
      <c r="E20" s="12"/>
      <c r="F20" s="11"/>
      <c r="G20" s="11"/>
      <c r="H20" s="11"/>
      <c r="I20" s="11"/>
      <c r="J20" s="11"/>
      <c r="K20" s="11"/>
      <c r="L20" s="11"/>
      <c r="M20" s="25"/>
      <c r="N20" s="28"/>
      <c r="O20" s="25"/>
      <c r="P20" s="11"/>
      <c r="Q20" s="14"/>
      <c r="R20" s="11"/>
      <c r="S20" s="14"/>
      <c r="T20" s="14"/>
      <c r="U20" s="14"/>
      <c r="V20" s="17"/>
      <c r="W20" s="18"/>
      <c r="X20" s="52"/>
    </row>
    <row r="21" spans="1:24" ht="21" customHeight="1">
      <c r="A21" s="19"/>
      <c r="B21" s="6"/>
      <c r="C21" s="6"/>
      <c r="D21" s="6"/>
      <c r="E21" s="20"/>
      <c r="F21" s="6"/>
      <c r="G21" s="6"/>
      <c r="H21" s="6"/>
      <c r="I21" s="6"/>
      <c r="J21" s="6"/>
      <c r="K21" s="6"/>
      <c r="L21" s="6"/>
      <c r="M21" s="6" t="s">
        <v>12</v>
      </c>
      <c r="N21" s="6" t="s">
        <v>145</v>
      </c>
      <c r="O21" s="6"/>
      <c r="P21" s="6"/>
      <c r="Q21" s="6"/>
      <c r="R21" s="6"/>
      <c r="S21" s="6"/>
      <c r="T21" s="6"/>
      <c r="U21" s="6"/>
      <c r="V21" s="6"/>
      <c r="W21" s="35"/>
      <c r="X21" s="52" t="s">
        <v>254</v>
      </c>
    </row>
    <row r="22" spans="1:24" ht="21" customHeight="1">
      <c r="A22" s="10" t="s">
        <v>36</v>
      </c>
      <c r="B22" s="11">
        <v>1.2731481481481481E-2</v>
      </c>
      <c r="C22" s="11">
        <v>3.6458333333333334E-3</v>
      </c>
      <c r="D22" s="11">
        <f t="shared" ref="D22:D27" si="8">B22*E22</f>
        <v>7.4071759259259256E-3</v>
      </c>
      <c r="E22" s="12">
        <v>0.58179999999999998</v>
      </c>
      <c r="F22" s="11">
        <f t="shared" ref="F22:F27" si="9">C22/4</f>
        <v>9.1145833333333335E-4</v>
      </c>
      <c r="G22" s="11">
        <f t="shared" ref="G22:G27" si="10">D22/7.5</f>
        <v>9.8762345679012349E-4</v>
      </c>
      <c r="H22" s="11">
        <f t="shared" ref="H22:H27" si="11">B22/12.5</f>
        <v>1.0185185185185184E-3</v>
      </c>
      <c r="I22" s="11">
        <f t="shared" ref="I22:I27" si="12">G22/0.93</f>
        <v>1.0619607062259391E-3</v>
      </c>
      <c r="J22" s="11">
        <f t="shared" ref="J22:J27" si="13">G22/0.92</f>
        <v>1.073503757380569E-3</v>
      </c>
      <c r="K22" s="11">
        <f t="shared" ref="K22:K27" si="14">G22/0.88</f>
        <v>1.1222993827160494E-3</v>
      </c>
      <c r="L22" s="11">
        <f t="shared" ref="L22:L27" si="15">G22/0.84</f>
        <v>1.1757422104644328E-3</v>
      </c>
      <c r="M22" s="25">
        <f>WO2025Jan7108141618222428303234384042444648545658626466687072747668121618202226[[#This Row],[Thresh]]</f>
        <v>1.1222993827160494E-3</v>
      </c>
      <c r="N22" s="28">
        <f>WO2025Jan7108141618222428303234384042444648545658626466687072747668121618202226[[#This Row],[Thresh]]*1.5</f>
        <v>1.6834490740740742E-3</v>
      </c>
      <c r="O22" s="25"/>
      <c r="P22" s="28"/>
      <c r="Q22" s="25"/>
      <c r="R22" s="25"/>
      <c r="S22" s="25"/>
      <c r="T22" s="25"/>
      <c r="U22" s="25"/>
      <c r="V22" s="25"/>
      <c r="W22" s="15" t="s">
        <v>48</v>
      </c>
      <c r="X22" s="52"/>
    </row>
    <row r="23" spans="1:24" ht="21" customHeight="1">
      <c r="A23" s="10" t="s">
        <v>53</v>
      </c>
      <c r="B23" s="11">
        <v>1.2731481481481481E-2</v>
      </c>
      <c r="C23" s="11">
        <v>3.7615740740740739E-3</v>
      </c>
      <c r="D23" s="11">
        <f t="shared" si="8"/>
        <v>7.4071759259259256E-3</v>
      </c>
      <c r="E23" s="12">
        <v>0.58179999999999998</v>
      </c>
      <c r="F23" s="11">
        <f t="shared" si="9"/>
        <v>9.4039351851851847E-4</v>
      </c>
      <c r="G23" s="11">
        <f t="shared" si="10"/>
        <v>9.8762345679012349E-4</v>
      </c>
      <c r="H23" s="11">
        <f t="shared" si="11"/>
        <v>1.0185185185185184E-3</v>
      </c>
      <c r="I23" s="11">
        <f t="shared" si="12"/>
        <v>1.0619607062259391E-3</v>
      </c>
      <c r="J23" s="11">
        <f t="shared" si="13"/>
        <v>1.073503757380569E-3</v>
      </c>
      <c r="K23" s="11">
        <f t="shared" si="14"/>
        <v>1.1222993827160494E-3</v>
      </c>
      <c r="L23" s="11">
        <f t="shared" si="15"/>
        <v>1.1757422104644328E-3</v>
      </c>
      <c r="M23" s="25">
        <f>WO2025Jan7108141618222428303234384042444648545658626466687072747668121618202226[[#This Row],[Thresh]]</f>
        <v>1.1222993827160494E-3</v>
      </c>
      <c r="N23" s="28">
        <f>WO2025Jan7108141618222428303234384042444648545658626466687072747668121618202226[[#This Row],[Thresh]]*1.5</f>
        <v>1.6834490740740742E-3</v>
      </c>
      <c r="O23" s="25"/>
      <c r="P23" s="28"/>
      <c r="Q23" s="25"/>
      <c r="R23" s="25"/>
      <c r="S23" s="25"/>
      <c r="T23" s="25"/>
      <c r="U23" s="25"/>
      <c r="V23" s="25"/>
      <c r="W23" s="18" t="s">
        <v>48</v>
      </c>
      <c r="X23" s="52"/>
    </row>
    <row r="24" spans="1:24" ht="21" customHeight="1">
      <c r="A24" s="10" t="s">
        <v>50</v>
      </c>
      <c r="B24" s="11">
        <v>1.3020833333333334E-2</v>
      </c>
      <c r="C24" s="11">
        <v>3.7037037037037038E-3</v>
      </c>
      <c r="D24" s="11">
        <f t="shared" si="8"/>
        <v>7.5755208333333334E-3</v>
      </c>
      <c r="E24" s="12">
        <v>0.58179999999999998</v>
      </c>
      <c r="F24" s="11">
        <f t="shared" si="9"/>
        <v>9.2592592592592596E-4</v>
      </c>
      <c r="G24" s="11">
        <f t="shared" si="10"/>
        <v>1.0100694444444445E-3</v>
      </c>
      <c r="H24" s="11">
        <f t="shared" si="11"/>
        <v>1.0416666666666667E-3</v>
      </c>
      <c r="I24" s="11">
        <f t="shared" si="12"/>
        <v>1.0860961768219832E-3</v>
      </c>
      <c r="J24" s="11">
        <f t="shared" si="13"/>
        <v>1.0979015700483092E-3</v>
      </c>
      <c r="K24" s="11">
        <f t="shared" si="14"/>
        <v>1.1478061868686869E-3</v>
      </c>
      <c r="L24" s="11">
        <f t="shared" si="15"/>
        <v>1.2024636243386244E-3</v>
      </c>
      <c r="M24" s="25">
        <f>WO2025Jan7108141618222428303234384042444648545658626466687072747668121618202226[[#This Row],[Thresh]]</f>
        <v>1.1478061868686869E-3</v>
      </c>
      <c r="N24" s="28">
        <f>WO2025Jan7108141618222428303234384042444648545658626466687072747668121618202226[[#This Row],[Thresh]]*1.5</f>
        <v>1.7217092803030304E-3</v>
      </c>
      <c r="O24" s="25"/>
      <c r="P24" s="28"/>
      <c r="Q24" s="25"/>
      <c r="R24" s="25"/>
      <c r="S24" s="25"/>
      <c r="T24" s="25"/>
      <c r="U24" s="25"/>
      <c r="V24" s="25"/>
      <c r="W24" s="15" t="s">
        <v>48</v>
      </c>
      <c r="X24" s="52"/>
    </row>
    <row r="25" spans="1:24" ht="21" customHeight="1">
      <c r="A25" s="10" t="s">
        <v>47</v>
      </c>
      <c r="B25" s="11">
        <v>1.3020833333333334E-2</v>
      </c>
      <c r="C25" s="11">
        <v>3.7037037037037038E-3</v>
      </c>
      <c r="D25" s="11">
        <f t="shared" si="8"/>
        <v>7.5755208333333334E-3</v>
      </c>
      <c r="E25" s="12">
        <v>0.58179999999999998</v>
      </c>
      <c r="F25" s="11">
        <f t="shared" si="9"/>
        <v>9.2592592592592596E-4</v>
      </c>
      <c r="G25" s="11">
        <f t="shared" si="10"/>
        <v>1.0100694444444445E-3</v>
      </c>
      <c r="H25" s="11">
        <f t="shared" si="11"/>
        <v>1.0416666666666667E-3</v>
      </c>
      <c r="I25" s="11">
        <f t="shared" si="12"/>
        <v>1.0860961768219832E-3</v>
      </c>
      <c r="J25" s="11">
        <f t="shared" si="13"/>
        <v>1.0979015700483092E-3</v>
      </c>
      <c r="K25" s="11">
        <f t="shared" si="14"/>
        <v>1.1478061868686869E-3</v>
      </c>
      <c r="L25" s="11">
        <f t="shared" si="15"/>
        <v>1.2024636243386244E-3</v>
      </c>
      <c r="M25" s="25">
        <f>WO2025Jan7108141618222428303234384042444648545658626466687072747668121618202226[[#This Row],[Thresh]]</f>
        <v>1.1478061868686869E-3</v>
      </c>
      <c r="N25" s="28">
        <f>WO2025Jan7108141618222428303234384042444648545658626466687072747668121618202226[[#This Row],[Thresh]]*1.5</f>
        <v>1.7217092803030304E-3</v>
      </c>
      <c r="O25" s="25"/>
      <c r="P25" s="28"/>
      <c r="Q25" s="25"/>
      <c r="R25" s="25"/>
      <c r="S25" s="25"/>
      <c r="T25" s="25"/>
      <c r="U25" s="25"/>
      <c r="V25" s="25"/>
      <c r="W25" s="15" t="s">
        <v>48</v>
      </c>
      <c r="X25" s="52"/>
    </row>
    <row r="26" spans="1:24" ht="21" customHeight="1">
      <c r="A26" s="10" t="s">
        <v>75</v>
      </c>
      <c r="B26" s="11">
        <v>1.3541666666666667E-2</v>
      </c>
      <c r="C26" s="11">
        <v>3.8194444444444443E-3</v>
      </c>
      <c r="D26" s="11">
        <f>B26*E26</f>
        <v>7.8785416666666674E-3</v>
      </c>
      <c r="E26" s="12">
        <v>0.58179999999999998</v>
      </c>
      <c r="F26" s="11">
        <f>C26/4</f>
        <v>9.5486111111111108E-4</v>
      </c>
      <c r="G26" s="11">
        <f>D26/7.5</f>
        <v>1.0504722222222224E-3</v>
      </c>
      <c r="H26" s="11">
        <f>B26/12.5</f>
        <v>1.0833333333333333E-3</v>
      </c>
      <c r="I26" s="11">
        <f>G26/0.93</f>
        <v>1.1295400238948627E-3</v>
      </c>
      <c r="J26" s="11">
        <f>G26/0.92</f>
        <v>1.1418176328502417E-3</v>
      </c>
      <c r="K26" s="11">
        <f>G26/0.88</f>
        <v>1.1937184343434346E-3</v>
      </c>
      <c r="L26" s="11">
        <f>G26/0.84</f>
        <v>1.2505621693121695E-3</v>
      </c>
      <c r="M26" s="25">
        <f>WO2025Jan7108141618222428303234384042444648545658626466687072747668121618202226[[#This Row],[Thresh]]</f>
        <v>1.1937184343434346E-3</v>
      </c>
      <c r="N26" s="28">
        <f>WO2025Jan7108141618222428303234384042444648545658626466687072747668121618202226[[#This Row],[Thresh]]*1.5</f>
        <v>1.790577651515152E-3</v>
      </c>
      <c r="O26" s="25"/>
      <c r="P26" s="28"/>
      <c r="Q26" s="25"/>
      <c r="R26" s="25"/>
      <c r="S26" s="25"/>
      <c r="T26" s="25"/>
      <c r="U26" s="25"/>
      <c r="V26" s="25"/>
      <c r="W26" s="15" t="s">
        <v>48</v>
      </c>
      <c r="X26" s="52"/>
    </row>
    <row r="27" spans="1:24" ht="21" customHeight="1">
      <c r="A27" s="10" t="s">
        <v>198</v>
      </c>
      <c r="B27" s="11">
        <v>1.4583333333333334E-2</v>
      </c>
      <c r="C27" s="11">
        <v>4.1666666666666666E-3</v>
      </c>
      <c r="D27" s="11">
        <f t="shared" si="8"/>
        <v>8.4845833333333336E-3</v>
      </c>
      <c r="E27" s="12">
        <v>0.58179999999999998</v>
      </c>
      <c r="F27" s="11">
        <f t="shared" si="9"/>
        <v>1.0416666666666667E-3</v>
      </c>
      <c r="G27" s="11">
        <f t="shared" si="10"/>
        <v>1.1312777777777777E-3</v>
      </c>
      <c r="H27" s="11">
        <f t="shared" si="11"/>
        <v>1.1666666666666668E-3</v>
      </c>
      <c r="I27" s="11">
        <f t="shared" si="12"/>
        <v>1.2164277180406211E-3</v>
      </c>
      <c r="J27" s="11">
        <f t="shared" si="13"/>
        <v>1.2296497584541061E-3</v>
      </c>
      <c r="K27" s="11">
        <f t="shared" si="14"/>
        <v>1.2855429292929293E-3</v>
      </c>
      <c r="L27" s="11">
        <f t="shared" si="15"/>
        <v>1.3467592592592591E-3</v>
      </c>
      <c r="M27" s="25">
        <f>WO2025Jan7108141618222428303234384042444648545658626466687072747668121618202226[[#This Row],[Thresh]]</f>
        <v>1.2855429292929293E-3</v>
      </c>
      <c r="N27" s="28">
        <f>WO2025Jan7108141618222428303234384042444648545658626466687072747668121618202226[[#This Row],[Thresh]]*1.5</f>
        <v>1.9283143939393939E-3</v>
      </c>
      <c r="O27" s="25"/>
      <c r="P27" s="28"/>
      <c r="Q27" s="25"/>
      <c r="R27" s="25"/>
      <c r="S27" s="25"/>
      <c r="T27" s="25"/>
      <c r="U27" s="25"/>
      <c r="V27" s="25"/>
      <c r="W27" s="15" t="s">
        <v>48</v>
      </c>
      <c r="X27" s="52"/>
    </row>
    <row r="28" spans="1:24" ht="21" customHeight="1">
      <c r="A28" s="10"/>
      <c r="B28" s="11"/>
      <c r="C28" s="11"/>
      <c r="D28" s="11"/>
      <c r="E28" s="12"/>
      <c r="F28" s="11"/>
      <c r="G28" s="11"/>
      <c r="H28" s="11"/>
      <c r="I28" s="11"/>
      <c r="J28" s="11"/>
      <c r="K28" s="11"/>
      <c r="L28" s="11"/>
      <c r="M28" s="13"/>
      <c r="N28" s="11"/>
      <c r="O28" s="11"/>
      <c r="P28" s="11"/>
      <c r="Q28" s="14"/>
      <c r="R28" s="11"/>
      <c r="S28" s="14"/>
      <c r="T28" s="14"/>
      <c r="U28" s="14"/>
      <c r="V28" s="17"/>
      <c r="W28" s="18"/>
      <c r="X28" s="52"/>
    </row>
    <row r="29" spans="1:24" ht="21" customHeight="1" thickBot="1">
      <c r="A29" s="39"/>
      <c r="B29" s="40"/>
      <c r="C29" s="40"/>
      <c r="D29" s="40"/>
      <c r="E29" s="41"/>
      <c r="F29" s="40"/>
      <c r="G29" s="40"/>
      <c r="H29" s="40"/>
      <c r="I29" s="40"/>
      <c r="J29" s="40"/>
      <c r="K29" s="40"/>
      <c r="L29" s="40"/>
      <c r="M29" s="40"/>
      <c r="N29" s="40"/>
      <c r="O29" s="40"/>
      <c r="P29" s="40"/>
      <c r="Q29" s="40"/>
      <c r="R29" s="40"/>
      <c r="S29" s="40"/>
      <c r="T29" s="40"/>
      <c r="U29" s="40"/>
      <c r="V29" s="40"/>
      <c r="W29" s="42"/>
      <c r="X29" s="52"/>
    </row>
    <row r="30" spans="1:24" ht="21" customHeight="1">
      <c r="A30" s="1" t="s">
        <v>251</v>
      </c>
      <c r="B30" s="6"/>
      <c r="C30" s="6"/>
      <c r="D30" s="6"/>
      <c r="E30" s="20"/>
      <c r="F30" s="6"/>
      <c r="G30" s="6"/>
      <c r="H30" s="6"/>
      <c r="I30" s="6"/>
      <c r="J30" s="6"/>
      <c r="K30" s="6"/>
      <c r="L30" s="6"/>
      <c r="M30" s="6" t="s">
        <v>12</v>
      </c>
      <c r="N30" s="6" t="s">
        <v>145</v>
      </c>
      <c r="O30" s="6" t="s">
        <v>14</v>
      </c>
      <c r="P30" s="6" t="s">
        <v>15</v>
      </c>
      <c r="Q30" s="6" t="s">
        <v>17</v>
      </c>
      <c r="R30" s="6" t="s">
        <v>18</v>
      </c>
      <c r="S30" s="6" t="s">
        <v>158</v>
      </c>
      <c r="T30" s="6"/>
      <c r="U30" s="6"/>
      <c r="V30" s="21"/>
      <c r="W30" s="35"/>
      <c r="X30" s="52"/>
    </row>
    <row r="31" spans="1:24" ht="21" customHeight="1">
      <c r="A31" s="10" t="s">
        <v>34</v>
      </c>
      <c r="B31" s="11">
        <v>1.1979166666666667E-2</v>
      </c>
      <c r="C31" s="11">
        <v>3.472222222222222E-3</v>
      </c>
      <c r="D31" s="11">
        <f t="shared" ref="D31:D40" si="16">B31*E31</f>
        <v>6.9694791666666672E-3</v>
      </c>
      <c r="E31" s="12">
        <v>0.58179999999999998</v>
      </c>
      <c r="F31" s="11">
        <f t="shared" ref="F31:F40" si="17">C31/4</f>
        <v>8.6805555555555551E-4</v>
      </c>
      <c r="G31" s="11">
        <f t="shared" ref="G31:G40" si="18">D31/7.5</f>
        <v>9.2926388888888898E-4</v>
      </c>
      <c r="H31" s="11">
        <f t="shared" ref="H31:H40" si="19">B31/12.5</f>
        <v>9.5833333333333339E-4</v>
      </c>
      <c r="I31" s="11">
        <f t="shared" ref="I31:I40" si="20">G31/0.93</f>
        <v>9.9920848267622464E-4</v>
      </c>
      <c r="J31" s="11">
        <f t="shared" ref="J31:J40" si="21">G31/0.92</f>
        <v>1.0100694444444445E-3</v>
      </c>
      <c r="K31" s="11">
        <f t="shared" ref="K31:K40" si="22">G31/0.88</f>
        <v>1.055981691919192E-3</v>
      </c>
      <c r="L31" s="11">
        <f t="shared" ref="L31:L40" si="23">G31/0.84</f>
        <v>1.1062665343915346E-3</v>
      </c>
      <c r="M31" s="25">
        <f>WO2025Jan7108141618222428303234384042444648545658626466687072747668121618202226[[#This Row],[Thresh]]</f>
        <v>1.055981691919192E-3</v>
      </c>
      <c r="N31" s="28">
        <f>WO2025Jan7108141618222428303234384042444648545658626466687072747668121618202226[[#This Row],[Thresh]]*1.5</f>
        <v>1.5839725378787878E-3</v>
      </c>
      <c r="O31" s="25">
        <f>WO2025Jan7108141618222428303234384042444648545658626466687072747668121618202226[[#This Row],[CV]]</f>
        <v>1.0100694444444445E-3</v>
      </c>
      <c r="P31" s="28">
        <f>WO2025Jan7108141618222428303234384042444648545658626466687072747668121618202226[[#This Row],[CV]]*1.5</f>
        <v>1.5151041666666668E-3</v>
      </c>
      <c r="Q31" s="25">
        <f>WO2025Jan7108141618222428303234384042444648545658626466687072747668121618202226[[#This Row],[I]]</f>
        <v>9.5833333333333339E-4</v>
      </c>
      <c r="R31" s="25">
        <f>WO2025Jan7108141618222428303234384042444648545658626466687072747668121618202226[[#This Row],[I]]*1.5</f>
        <v>1.4375E-3</v>
      </c>
      <c r="S31" s="25">
        <f>WO2025Jan7108141618222428303234384042444648545658626466687072747668121618202226[[#This Row],[VO2]]</f>
        <v>9.2926388888888898E-4</v>
      </c>
      <c r="T31" s="28"/>
      <c r="U31" s="11"/>
      <c r="V31" s="36"/>
      <c r="W31" s="15" t="s">
        <v>213</v>
      </c>
      <c r="X31" s="52" t="s">
        <v>255</v>
      </c>
    </row>
    <row r="32" spans="1:24" ht="21" customHeight="1">
      <c r="A32" s="10" t="s">
        <v>24</v>
      </c>
      <c r="B32" s="11">
        <v>1.2152777777777778E-2</v>
      </c>
      <c r="C32" s="11">
        <v>3.5300925925925925E-3</v>
      </c>
      <c r="D32" s="11">
        <f t="shared" si="16"/>
        <v>7.0704861111111107E-3</v>
      </c>
      <c r="E32" s="12">
        <v>0.58179999999999998</v>
      </c>
      <c r="F32" s="11">
        <f t="shared" si="17"/>
        <v>8.8252314814814812E-4</v>
      </c>
      <c r="G32" s="11">
        <f t="shared" si="18"/>
        <v>9.4273148148148146E-4</v>
      </c>
      <c r="H32" s="11">
        <f t="shared" si="19"/>
        <v>9.7222222222222219E-4</v>
      </c>
      <c r="I32" s="11">
        <f t="shared" si="20"/>
        <v>1.0136897650338511E-3</v>
      </c>
      <c r="J32" s="11">
        <f t="shared" si="21"/>
        <v>1.0247081320450884E-3</v>
      </c>
      <c r="K32" s="11">
        <f t="shared" si="22"/>
        <v>1.0712857744107744E-3</v>
      </c>
      <c r="L32" s="11">
        <f t="shared" si="23"/>
        <v>1.1222993827160494E-3</v>
      </c>
      <c r="M32" s="25">
        <f>WO2025Jan7108141618222428303234384042444648545658626466687072747668121618202226[[#This Row],[Thresh]]</f>
        <v>1.0712857744107744E-3</v>
      </c>
      <c r="N32" s="28">
        <f>WO2025Jan7108141618222428303234384042444648545658626466687072747668121618202226[[#This Row],[Thresh]]*1.5</f>
        <v>1.6069286616161617E-3</v>
      </c>
      <c r="O32" s="25">
        <f>WO2025Jan7108141618222428303234384042444648545658626466687072747668121618202226[[#This Row],[CV]]</f>
        <v>1.0247081320450884E-3</v>
      </c>
      <c r="P32" s="28">
        <f>WO2025Jan7108141618222428303234384042444648545658626466687072747668121618202226[[#This Row],[CV]]*1.5</f>
        <v>1.5370621980676327E-3</v>
      </c>
      <c r="Q32" s="25">
        <f>WO2025Jan7108141618222428303234384042444648545658626466687072747668121618202226[[#This Row],[I]]</f>
        <v>9.7222222222222219E-4</v>
      </c>
      <c r="R32" s="25">
        <f>WO2025Jan7108141618222428303234384042444648545658626466687072747668121618202226[[#This Row],[I]]*1.5</f>
        <v>1.4583333333333332E-3</v>
      </c>
      <c r="S32" s="25">
        <f>WO2025Jan7108141618222428303234384042444648545658626466687072747668121618202226[[#This Row],[VO2]]</f>
        <v>9.4273148148148146E-4</v>
      </c>
      <c r="T32" s="28"/>
      <c r="U32" s="11"/>
      <c r="V32" s="28"/>
      <c r="W32" s="15" t="s">
        <v>213</v>
      </c>
      <c r="X32" s="52"/>
    </row>
    <row r="33" spans="1:24" ht="21" customHeight="1">
      <c r="A33" s="10" t="s">
        <v>60</v>
      </c>
      <c r="B33" s="11">
        <v>1.2152777777777778E-2</v>
      </c>
      <c r="C33" s="11">
        <v>3.6458333333333334E-3</v>
      </c>
      <c r="D33" s="11">
        <f t="shared" si="16"/>
        <v>7.0704861111111107E-3</v>
      </c>
      <c r="E33" s="12">
        <v>0.58179999999999998</v>
      </c>
      <c r="F33" s="11">
        <f t="shared" si="17"/>
        <v>9.1145833333333335E-4</v>
      </c>
      <c r="G33" s="11">
        <f t="shared" si="18"/>
        <v>9.4273148148148146E-4</v>
      </c>
      <c r="H33" s="11">
        <f t="shared" si="19"/>
        <v>9.7222222222222219E-4</v>
      </c>
      <c r="I33" s="11">
        <f t="shared" si="20"/>
        <v>1.0136897650338511E-3</v>
      </c>
      <c r="J33" s="11">
        <f t="shared" si="21"/>
        <v>1.0247081320450884E-3</v>
      </c>
      <c r="K33" s="11">
        <f t="shared" si="22"/>
        <v>1.0712857744107744E-3</v>
      </c>
      <c r="L33" s="11">
        <f t="shared" si="23"/>
        <v>1.1222993827160494E-3</v>
      </c>
      <c r="M33" s="25">
        <f>WO2025Jan7108141618222428303234384042444648545658626466687072747668121618202226[[#This Row],[Thresh]]</f>
        <v>1.0712857744107744E-3</v>
      </c>
      <c r="N33" s="28">
        <f>WO2025Jan7108141618222428303234384042444648545658626466687072747668121618202226[[#This Row],[Thresh]]*1.5</f>
        <v>1.6069286616161617E-3</v>
      </c>
      <c r="O33" s="25">
        <f>WO2025Jan7108141618222428303234384042444648545658626466687072747668121618202226[[#This Row],[CV]]</f>
        <v>1.0247081320450884E-3</v>
      </c>
      <c r="P33" s="28">
        <f>WO2025Jan7108141618222428303234384042444648545658626466687072747668121618202226[[#This Row],[CV]]*1.5</f>
        <v>1.5370621980676327E-3</v>
      </c>
      <c r="Q33" s="25">
        <f>WO2025Jan7108141618222428303234384042444648545658626466687072747668121618202226[[#This Row],[I]]</f>
        <v>9.7222222222222219E-4</v>
      </c>
      <c r="R33" s="25">
        <f>WO2025Jan7108141618222428303234384042444648545658626466687072747668121618202226[[#This Row],[I]]*1.5</f>
        <v>1.4583333333333332E-3</v>
      </c>
      <c r="S33" s="25">
        <f>WO2025Jan7108141618222428303234384042444648545658626466687072747668121618202226[[#This Row],[VO2]]</f>
        <v>9.4273148148148146E-4</v>
      </c>
      <c r="T33" s="28"/>
      <c r="U33" s="11"/>
      <c r="V33" s="28"/>
      <c r="W33" s="15" t="s">
        <v>213</v>
      </c>
      <c r="X33" s="52"/>
    </row>
    <row r="34" spans="1:24" ht="21" customHeight="1">
      <c r="A34" s="10" t="s">
        <v>38</v>
      </c>
      <c r="B34" s="11">
        <v>1.238425925925926E-2</v>
      </c>
      <c r="C34" s="11">
        <v>3.5300925925925925E-3</v>
      </c>
      <c r="D34" s="11">
        <f t="shared" si="16"/>
        <v>7.2051620370370368E-3</v>
      </c>
      <c r="E34" s="12">
        <v>0.58179999999999998</v>
      </c>
      <c r="F34" s="11">
        <f t="shared" si="17"/>
        <v>8.8252314814814812E-4</v>
      </c>
      <c r="G34" s="11">
        <f t="shared" si="18"/>
        <v>9.6068827160493821E-4</v>
      </c>
      <c r="H34" s="11">
        <f t="shared" si="19"/>
        <v>9.9074074074074082E-4</v>
      </c>
      <c r="I34" s="11">
        <f t="shared" si="20"/>
        <v>1.0329981415106862E-3</v>
      </c>
      <c r="J34" s="11">
        <f t="shared" si="21"/>
        <v>1.0442263821792807E-3</v>
      </c>
      <c r="K34" s="11">
        <f t="shared" si="22"/>
        <v>1.0916912177328843E-3</v>
      </c>
      <c r="L34" s="11">
        <f t="shared" si="23"/>
        <v>1.1436765138154027E-3</v>
      </c>
      <c r="M34" s="25">
        <f>WO2025Jan7108141618222428303234384042444648545658626466687072747668121618202226[[#This Row],[Thresh]]</f>
        <v>1.0916912177328843E-3</v>
      </c>
      <c r="N34" s="28">
        <f>WO2025Jan7108141618222428303234384042444648545658626466687072747668121618202226[[#This Row],[Thresh]]*1.5</f>
        <v>1.6375368265993265E-3</v>
      </c>
      <c r="O34" s="25">
        <f>WO2025Jan7108141618222428303234384042444648545658626466687072747668121618202226[[#This Row],[CV]]</f>
        <v>1.0442263821792807E-3</v>
      </c>
      <c r="P34" s="28">
        <f>WO2025Jan7108141618222428303234384042444648545658626466687072747668121618202226[[#This Row],[CV]]*1.5</f>
        <v>1.566339573268921E-3</v>
      </c>
      <c r="Q34" s="25">
        <f>WO2025Jan7108141618222428303234384042444648545658626466687072747668121618202226[[#This Row],[I]]</f>
        <v>9.9074074074074082E-4</v>
      </c>
      <c r="R34" s="25">
        <f>WO2025Jan7108141618222428303234384042444648545658626466687072747668121618202226[[#This Row],[I]]*1.5</f>
        <v>1.4861111111111112E-3</v>
      </c>
      <c r="S34" s="25">
        <f>WO2025Jan7108141618222428303234384042444648545658626466687072747668121618202226[[#This Row],[VO2]]</f>
        <v>9.6068827160493821E-4</v>
      </c>
      <c r="T34" s="28"/>
      <c r="U34" s="11"/>
      <c r="V34" s="28"/>
      <c r="W34" s="15" t="s">
        <v>213</v>
      </c>
      <c r="X34" s="52"/>
    </row>
    <row r="35" spans="1:24" ht="21" customHeight="1">
      <c r="A35" s="10" t="s">
        <v>27</v>
      </c>
      <c r="B35" s="11">
        <v>1.238425925925926E-2</v>
      </c>
      <c r="C35" s="11">
        <v>3.6458333333333334E-3</v>
      </c>
      <c r="D35" s="11">
        <f t="shared" si="16"/>
        <v>7.2051620370370368E-3</v>
      </c>
      <c r="E35" s="12">
        <v>0.58179999999999998</v>
      </c>
      <c r="F35" s="11">
        <f t="shared" si="17"/>
        <v>9.1145833333333335E-4</v>
      </c>
      <c r="G35" s="11">
        <f t="shared" si="18"/>
        <v>9.6068827160493821E-4</v>
      </c>
      <c r="H35" s="11">
        <f t="shared" si="19"/>
        <v>9.9074074074074082E-4</v>
      </c>
      <c r="I35" s="11">
        <f t="shared" si="20"/>
        <v>1.0329981415106862E-3</v>
      </c>
      <c r="J35" s="11">
        <f t="shared" si="21"/>
        <v>1.0442263821792807E-3</v>
      </c>
      <c r="K35" s="11">
        <f t="shared" si="22"/>
        <v>1.0916912177328843E-3</v>
      </c>
      <c r="L35" s="11">
        <f t="shared" si="23"/>
        <v>1.1436765138154027E-3</v>
      </c>
      <c r="M35" s="25">
        <f>WO2025Jan7108141618222428303234384042444648545658626466687072747668121618202226[[#This Row],[Thresh]]</f>
        <v>1.0916912177328843E-3</v>
      </c>
      <c r="N35" s="28">
        <f>WO2025Jan7108141618222428303234384042444648545658626466687072747668121618202226[[#This Row],[Thresh]]*1.5</f>
        <v>1.6375368265993265E-3</v>
      </c>
      <c r="O35" s="25">
        <f>WO2025Jan7108141618222428303234384042444648545658626466687072747668121618202226[[#This Row],[CV]]</f>
        <v>1.0442263821792807E-3</v>
      </c>
      <c r="P35" s="28">
        <f>WO2025Jan7108141618222428303234384042444648545658626466687072747668121618202226[[#This Row],[CV]]*1.5</f>
        <v>1.566339573268921E-3</v>
      </c>
      <c r="Q35" s="25">
        <f>WO2025Jan7108141618222428303234384042444648545658626466687072747668121618202226[[#This Row],[I]]</f>
        <v>9.9074074074074082E-4</v>
      </c>
      <c r="R35" s="25">
        <f>WO2025Jan7108141618222428303234384042444648545658626466687072747668121618202226[[#This Row],[I]]*1.5</f>
        <v>1.4861111111111112E-3</v>
      </c>
      <c r="S35" s="25">
        <f>WO2025Jan7108141618222428303234384042444648545658626466687072747668121618202226[[#This Row],[VO2]]</f>
        <v>9.6068827160493821E-4</v>
      </c>
      <c r="T35" s="28"/>
      <c r="U35" s="11"/>
      <c r="V35" s="28"/>
      <c r="W35" s="15" t="s">
        <v>213</v>
      </c>
      <c r="X35" s="52"/>
    </row>
    <row r="36" spans="1:24" ht="21" customHeight="1">
      <c r="A36" s="10" t="s">
        <v>31</v>
      </c>
      <c r="B36" s="11">
        <v>1.238425925925926E-2</v>
      </c>
      <c r="C36" s="11">
        <v>3.7037037037037038E-3</v>
      </c>
      <c r="D36" s="11">
        <f t="shared" si="16"/>
        <v>7.2051620370370368E-3</v>
      </c>
      <c r="E36" s="12">
        <v>0.58179999999999998</v>
      </c>
      <c r="F36" s="11">
        <f t="shared" si="17"/>
        <v>9.2592592592592596E-4</v>
      </c>
      <c r="G36" s="11">
        <f t="shared" si="18"/>
        <v>9.6068827160493821E-4</v>
      </c>
      <c r="H36" s="11">
        <f t="shared" si="19"/>
        <v>9.9074074074074082E-4</v>
      </c>
      <c r="I36" s="11">
        <f t="shared" si="20"/>
        <v>1.0329981415106862E-3</v>
      </c>
      <c r="J36" s="11">
        <f t="shared" si="21"/>
        <v>1.0442263821792807E-3</v>
      </c>
      <c r="K36" s="11">
        <f t="shared" si="22"/>
        <v>1.0916912177328843E-3</v>
      </c>
      <c r="L36" s="11">
        <f t="shared" si="23"/>
        <v>1.1436765138154027E-3</v>
      </c>
      <c r="M36" s="25">
        <f>WO2025Jan7108141618222428303234384042444648545658626466687072747668121618202226[[#This Row],[Thresh]]</f>
        <v>1.0916912177328843E-3</v>
      </c>
      <c r="N36" s="28">
        <f>WO2025Jan7108141618222428303234384042444648545658626466687072747668121618202226[[#This Row],[Thresh]]*1.5</f>
        <v>1.6375368265993265E-3</v>
      </c>
      <c r="O36" s="25">
        <f>WO2025Jan7108141618222428303234384042444648545658626466687072747668121618202226[[#This Row],[CV]]</f>
        <v>1.0442263821792807E-3</v>
      </c>
      <c r="P36" s="28">
        <f>WO2025Jan7108141618222428303234384042444648545658626466687072747668121618202226[[#This Row],[CV]]*1.5</f>
        <v>1.566339573268921E-3</v>
      </c>
      <c r="Q36" s="25">
        <f>WO2025Jan7108141618222428303234384042444648545658626466687072747668121618202226[[#This Row],[I]]</f>
        <v>9.9074074074074082E-4</v>
      </c>
      <c r="R36" s="25">
        <f>WO2025Jan7108141618222428303234384042444648545658626466687072747668121618202226[[#This Row],[I]]*1.5</f>
        <v>1.4861111111111112E-3</v>
      </c>
      <c r="S36" s="25">
        <f>WO2025Jan7108141618222428303234384042444648545658626466687072747668121618202226[[#This Row],[VO2]]</f>
        <v>9.6068827160493821E-4</v>
      </c>
      <c r="T36" s="28"/>
      <c r="U36" s="11"/>
      <c r="V36" s="28"/>
      <c r="W36" s="15" t="s">
        <v>213</v>
      </c>
      <c r="X36" s="52"/>
    </row>
    <row r="37" spans="1:24" ht="21" customHeight="1">
      <c r="A37" s="10" t="s">
        <v>59</v>
      </c>
      <c r="B37" s="11">
        <v>1.2500000000000001E-2</v>
      </c>
      <c r="C37" s="11">
        <v>3.7037037037037038E-3</v>
      </c>
      <c r="D37" s="11">
        <f t="shared" si="16"/>
        <v>7.2725000000000003E-3</v>
      </c>
      <c r="E37" s="12">
        <v>0.58179999999999998</v>
      </c>
      <c r="F37" s="11">
        <f t="shared" si="17"/>
        <v>9.2592592592592596E-4</v>
      </c>
      <c r="G37" s="11">
        <f t="shared" si="18"/>
        <v>9.6966666666666675E-4</v>
      </c>
      <c r="H37" s="11">
        <f t="shared" si="19"/>
        <v>1E-3</v>
      </c>
      <c r="I37" s="11">
        <f t="shared" si="20"/>
        <v>1.0426523297491039E-3</v>
      </c>
      <c r="J37" s="11">
        <f t="shared" si="21"/>
        <v>1.0539855072463768E-3</v>
      </c>
      <c r="K37" s="11">
        <f t="shared" si="22"/>
        <v>1.1018939393939394E-3</v>
      </c>
      <c r="L37" s="17">
        <f t="shared" si="23"/>
        <v>1.1543650793650795E-3</v>
      </c>
      <c r="M37" s="25">
        <f>WO2025Jan7108141618222428303234384042444648545658626466687072747668121618202226[[#This Row],[Thresh]]</f>
        <v>1.1018939393939394E-3</v>
      </c>
      <c r="N37" s="28">
        <f>WO2025Jan7108141618222428303234384042444648545658626466687072747668121618202226[[#This Row],[Thresh]]*1.5</f>
        <v>1.6528409090909091E-3</v>
      </c>
      <c r="O37" s="25">
        <f>WO2025Jan7108141618222428303234384042444648545658626466687072747668121618202226[[#This Row],[CV]]</f>
        <v>1.0539855072463768E-3</v>
      </c>
      <c r="P37" s="28">
        <f>WO2025Jan7108141618222428303234384042444648545658626466687072747668121618202226[[#This Row],[CV]]*1.5</f>
        <v>1.5809782608695651E-3</v>
      </c>
      <c r="Q37" s="25">
        <f>WO2025Jan7108141618222428303234384042444648545658626466687072747668121618202226[[#This Row],[I]]</f>
        <v>1E-3</v>
      </c>
      <c r="R37" s="25">
        <f>WO2025Jan7108141618222428303234384042444648545658626466687072747668121618202226[[#This Row],[I]]*1.5</f>
        <v>1.5E-3</v>
      </c>
      <c r="S37" s="25">
        <f>WO2025Jan7108141618222428303234384042444648545658626466687072747668121618202226[[#This Row],[VO2]]</f>
        <v>9.6966666666666675E-4</v>
      </c>
      <c r="T37" s="28"/>
      <c r="U37" s="11"/>
      <c r="V37" s="38"/>
      <c r="W37" s="15" t="s">
        <v>213</v>
      </c>
      <c r="X37" s="52"/>
    </row>
    <row r="38" spans="1:24" ht="21" customHeight="1">
      <c r="A38" s="10" t="s">
        <v>28</v>
      </c>
      <c r="B38" s="11">
        <v>1.2500000000000001E-2</v>
      </c>
      <c r="C38" s="11">
        <v>3.7037037037037038E-3</v>
      </c>
      <c r="D38" s="11">
        <f t="shared" si="16"/>
        <v>7.2725000000000003E-3</v>
      </c>
      <c r="E38" s="12">
        <v>0.58179999999999998</v>
      </c>
      <c r="F38" s="11">
        <f t="shared" si="17"/>
        <v>9.2592592592592596E-4</v>
      </c>
      <c r="G38" s="11">
        <f t="shared" si="18"/>
        <v>9.6966666666666675E-4</v>
      </c>
      <c r="H38" s="11">
        <f t="shared" si="19"/>
        <v>1E-3</v>
      </c>
      <c r="I38" s="11">
        <f t="shared" si="20"/>
        <v>1.0426523297491039E-3</v>
      </c>
      <c r="J38" s="11">
        <f t="shared" si="21"/>
        <v>1.0539855072463768E-3</v>
      </c>
      <c r="K38" s="11">
        <f t="shared" si="22"/>
        <v>1.1018939393939394E-3</v>
      </c>
      <c r="L38" s="11">
        <f t="shared" si="23"/>
        <v>1.1543650793650795E-3</v>
      </c>
      <c r="M38" s="25">
        <f>WO2025Jan7108141618222428303234384042444648545658626466687072747668121618202226[[#This Row],[Thresh]]</f>
        <v>1.1018939393939394E-3</v>
      </c>
      <c r="N38" s="28">
        <f>WO2025Jan7108141618222428303234384042444648545658626466687072747668121618202226[[#This Row],[Thresh]]*1.5</f>
        <v>1.6528409090909091E-3</v>
      </c>
      <c r="O38" s="25">
        <f>WO2025Jan7108141618222428303234384042444648545658626466687072747668121618202226[[#This Row],[CV]]</f>
        <v>1.0539855072463768E-3</v>
      </c>
      <c r="P38" s="28">
        <f>WO2025Jan7108141618222428303234384042444648545658626466687072747668121618202226[[#This Row],[CV]]*1.5</f>
        <v>1.5809782608695651E-3</v>
      </c>
      <c r="Q38" s="25">
        <f>WO2025Jan7108141618222428303234384042444648545658626466687072747668121618202226[[#This Row],[I]]</f>
        <v>1E-3</v>
      </c>
      <c r="R38" s="25">
        <f>WO2025Jan7108141618222428303234384042444648545658626466687072747668121618202226[[#This Row],[I]]*1.5</f>
        <v>1.5E-3</v>
      </c>
      <c r="S38" s="25">
        <f>WO2025Jan7108141618222428303234384042444648545658626466687072747668121618202226[[#This Row],[VO2]]</f>
        <v>9.6966666666666675E-4</v>
      </c>
      <c r="T38" s="28"/>
      <c r="U38" s="11"/>
      <c r="V38" s="28"/>
      <c r="W38" s="15" t="s">
        <v>213</v>
      </c>
      <c r="X38" s="52"/>
    </row>
    <row r="39" spans="1:24" ht="21" customHeight="1">
      <c r="A39" s="10" t="s">
        <v>55</v>
      </c>
      <c r="B39" s="11">
        <v>1.2500000000000001E-2</v>
      </c>
      <c r="C39" s="11">
        <v>3.5879629629629629E-3</v>
      </c>
      <c r="D39" s="11">
        <f t="shared" si="16"/>
        <v>7.2725000000000003E-3</v>
      </c>
      <c r="E39" s="12">
        <v>0.58179999999999998</v>
      </c>
      <c r="F39" s="11">
        <f t="shared" si="17"/>
        <v>8.9699074074074073E-4</v>
      </c>
      <c r="G39" s="11">
        <f t="shared" si="18"/>
        <v>9.6966666666666675E-4</v>
      </c>
      <c r="H39" s="11">
        <f t="shared" si="19"/>
        <v>1E-3</v>
      </c>
      <c r="I39" s="11">
        <f t="shared" si="20"/>
        <v>1.0426523297491039E-3</v>
      </c>
      <c r="J39" s="11">
        <f t="shared" si="21"/>
        <v>1.0539855072463768E-3</v>
      </c>
      <c r="K39" s="11">
        <f t="shared" si="22"/>
        <v>1.1018939393939394E-3</v>
      </c>
      <c r="L39" s="11">
        <f t="shared" si="23"/>
        <v>1.1543650793650795E-3</v>
      </c>
      <c r="M39" s="25">
        <f>WO2025Jan7108141618222428303234384042444648545658626466687072747668121618202226[[#This Row],[Thresh]]</f>
        <v>1.1018939393939394E-3</v>
      </c>
      <c r="N39" s="28">
        <f>WO2025Jan7108141618222428303234384042444648545658626466687072747668121618202226[[#This Row],[Thresh]]*1.5</f>
        <v>1.6528409090909091E-3</v>
      </c>
      <c r="O39" s="25">
        <f>WO2025Jan7108141618222428303234384042444648545658626466687072747668121618202226[[#This Row],[CV]]</f>
        <v>1.0539855072463768E-3</v>
      </c>
      <c r="P39" s="28">
        <f>WO2025Jan7108141618222428303234384042444648545658626466687072747668121618202226[[#This Row],[CV]]*1.5</f>
        <v>1.5809782608695651E-3</v>
      </c>
      <c r="Q39" s="25">
        <f>WO2025Jan7108141618222428303234384042444648545658626466687072747668121618202226[[#This Row],[I]]</f>
        <v>1E-3</v>
      </c>
      <c r="R39" s="25">
        <f>WO2025Jan7108141618222428303234384042444648545658626466687072747668121618202226[[#This Row],[I]]*1.5</f>
        <v>1.5E-3</v>
      </c>
      <c r="S39" s="25">
        <f>WO2025Jan7108141618222428303234384042444648545658626466687072747668121618202226[[#This Row],[VO2]]</f>
        <v>9.6966666666666675E-4</v>
      </c>
      <c r="T39" s="28"/>
      <c r="U39" s="11"/>
      <c r="V39" s="17"/>
      <c r="W39" s="18" t="s">
        <v>213</v>
      </c>
      <c r="X39" s="52"/>
    </row>
    <row r="40" spans="1:24" ht="21" customHeight="1">
      <c r="A40" s="10" t="s">
        <v>62</v>
      </c>
      <c r="B40" s="11">
        <v>1.2500000000000001E-2</v>
      </c>
      <c r="C40" s="11">
        <v>3.6458333333333334E-3</v>
      </c>
      <c r="D40" s="11">
        <f t="shared" si="16"/>
        <v>7.2725000000000003E-3</v>
      </c>
      <c r="E40" s="12">
        <v>0.58179999999999998</v>
      </c>
      <c r="F40" s="11">
        <f t="shared" si="17"/>
        <v>9.1145833333333335E-4</v>
      </c>
      <c r="G40" s="11">
        <f t="shared" si="18"/>
        <v>9.6966666666666675E-4</v>
      </c>
      <c r="H40" s="11">
        <f t="shared" si="19"/>
        <v>1E-3</v>
      </c>
      <c r="I40" s="11">
        <f t="shared" si="20"/>
        <v>1.0426523297491039E-3</v>
      </c>
      <c r="J40" s="11">
        <f t="shared" si="21"/>
        <v>1.0539855072463768E-3</v>
      </c>
      <c r="K40" s="11">
        <f t="shared" si="22"/>
        <v>1.1018939393939394E-3</v>
      </c>
      <c r="L40" s="11">
        <f t="shared" si="23"/>
        <v>1.1543650793650795E-3</v>
      </c>
      <c r="M40" s="25">
        <f>WO2025Jan7108141618222428303234384042444648545658626466687072747668121618202226[[#This Row],[Thresh]]</f>
        <v>1.1018939393939394E-3</v>
      </c>
      <c r="N40" s="28">
        <f>WO2025Jan7108141618222428303234384042444648545658626466687072747668121618202226[[#This Row],[Thresh]]*1.5</f>
        <v>1.6528409090909091E-3</v>
      </c>
      <c r="O40" s="25">
        <f>WO2025Jan7108141618222428303234384042444648545658626466687072747668121618202226[[#This Row],[CV]]</f>
        <v>1.0539855072463768E-3</v>
      </c>
      <c r="P40" s="28">
        <f>WO2025Jan7108141618222428303234384042444648545658626466687072747668121618202226[[#This Row],[CV]]*1.5</f>
        <v>1.5809782608695651E-3</v>
      </c>
      <c r="Q40" s="25">
        <f>WO2025Jan7108141618222428303234384042444648545658626466687072747668121618202226[[#This Row],[I]]</f>
        <v>1E-3</v>
      </c>
      <c r="R40" s="25">
        <f>WO2025Jan7108141618222428303234384042444648545658626466687072747668121618202226[[#This Row],[I]]*1.5</f>
        <v>1.5E-3</v>
      </c>
      <c r="S40" s="25">
        <f>WO2025Jan7108141618222428303234384042444648545658626466687072747668121618202226[[#This Row],[VO2]]</f>
        <v>9.6966666666666675E-4</v>
      </c>
      <c r="T40" s="28"/>
      <c r="U40" s="11"/>
      <c r="V40" s="17"/>
      <c r="W40" s="18" t="s">
        <v>213</v>
      </c>
      <c r="X40" s="52"/>
    </row>
    <row r="41" spans="1:24" ht="21" customHeight="1">
      <c r="A41" s="10"/>
      <c r="B41" s="11"/>
      <c r="C41" s="11"/>
      <c r="D41" s="11"/>
      <c r="E41" s="12"/>
      <c r="F41" s="11"/>
      <c r="G41" s="11"/>
      <c r="H41" s="11"/>
      <c r="I41" s="11"/>
      <c r="J41" s="11"/>
      <c r="K41" s="11"/>
      <c r="L41" s="11"/>
      <c r="M41" s="25"/>
      <c r="N41" s="28"/>
      <c r="O41" s="25"/>
      <c r="P41" s="28"/>
      <c r="Q41" s="25"/>
      <c r="R41" s="11"/>
      <c r="S41" s="14"/>
      <c r="T41" s="11"/>
      <c r="U41" s="11"/>
      <c r="V41" s="17"/>
      <c r="W41" s="18"/>
      <c r="X41" s="52" t="s">
        <v>256</v>
      </c>
    </row>
    <row r="42" spans="1:24" ht="21" customHeight="1">
      <c r="A42" s="19"/>
      <c r="B42" s="6"/>
      <c r="C42" s="6"/>
      <c r="D42" s="6"/>
      <c r="E42" s="20"/>
      <c r="F42" s="6"/>
      <c r="G42" s="6"/>
      <c r="H42" s="6"/>
      <c r="I42" s="6"/>
      <c r="J42" s="6"/>
      <c r="K42" s="6"/>
      <c r="L42" s="6"/>
      <c r="M42" s="6"/>
      <c r="N42" s="6"/>
      <c r="O42" s="6"/>
      <c r="P42" s="6"/>
      <c r="Q42" s="6"/>
      <c r="R42" s="6"/>
      <c r="S42" s="6"/>
      <c r="T42" s="6"/>
      <c r="U42" s="6"/>
      <c r="V42" s="6"/>
      <c r="W42" s="35"/>
      <c r="X42" s="52"/>
    </row>
    <row r="43" spans="1:24" ht="21" customHeight="1">
      <c r="A43" s="10" t="s">
        <v>57</v>
      </c>
      <c r="B43" s="11"/>
      <c r="C43" s="11"/>
      <c r="D43" s="11"/>
      <c r="E43" s="12"/>
      <c r="F43" s="11"/>
      <c r="G43" s="11"/>
      <c r="H43" s="11"/>
      <c r="I43" s="11"/>
      <c r="J43" s="11"/>
      <c r="K43" s="11"/>
      <c r="L43" s="11"/>
      <c r="M43" s="25"/>
      <c r="N43" s="28"/>
      <c r="O43" s="25"/>
      <c r="P43" s="28"/>
      <c r="Q43" s="25"/>
      <c r="R43" s="28"/>
      <c r="S43" s="28"/>
      <c r="T43" s="11"/>
      <c r="U43" s="11"/>
      <c r="V43" s="11"/>
      <c r="W43" s="15" t="s">
        <v>52</v>
      </c>
      <c r="X43" s="52"/>
    </row>
    <row r="44" spans="1:24" ht="21" customHeight="1">
      <c r="A44" s="10" t="s">
        <v>61</v>
      </c>
      <c r="B44" s="11">
        <v>1.4583333333333334E-2</v>
      </c>
      <c r="C44" s="11">
        <v>4.3981481481481484E-3</v>
      </c>
      <c r="D44" s="11">
        <f>B44*E44</f>
        <v>8.4845833333333336E-3</v>
      </c>
      <c r="E44" s="12">
        <v>0.58179999999999998</v>
      </c>
      <c r="F44" s="11">
        <f>C44/4</f>
        <v>1.0995370370370371E-3</v>
      </c>
      <c r="G44" s="11">
        <f>D44/7.5</f>
        <v>1.1312777777777777E-3</v>
      </c>
      <c r="H44" s="11">
        <f>B44/12.5</f>
        <v>1.1666666666666668E-3</v>
      </c>
      <c r="I44" s="11">
        <f>G44/0.93</f>
        <v>1.2164277180406211E-3</v>
      </c>
      <c r="J44" s="11">
        <f>G44/0.92</f>
        <v>1.2296497584541061E-3</v>
      </c>
      <c r="K44" s="11">
        <f>G44/0.88</f>
        <v>1.2855429292929293E-3</v>
      </c>
      <c r="L44" s="11">
        <f>G44/0.84</f>
        <v>1.3467592592592591E-3</v>
      </c>
      <c r="M44" s="25"/>
      <c r="N44" s="28"/>
      <c r="O44" s="25"/>
      <c r="P44" s="25"/>
      <c r="Q44" s="25"/>
      <c r="R44" s="25"/>
      <c r="S44" s="28"/>
      <c r="T44" s="28"/>
      <c r="U44" s="28"/>
      <c r="V44" s="28"/>
      <c r="W44" s="15"/>
      <c r="X44" s="52"/>
    </row>
    <row r="45" spans="1:24" ht="21" customHeight="1">
      <c r="A45" s="39"/>
      <c r="B45" s="40"/>
      <c r="C45" s="40"/>
      <c r="D45" s="40"/>
      <c r="E45" s="41"/>
      <c r="F45" s="40"/>
      <c r="G45" s="40"/>
      <c r="H45" s="40"/>
      <c r="I45" s="40"/>
      <c r="J45" s="40"/>
      <c r="K45" s="40"/>
      <c r="L45" s="40"/>
      <c r="M45" s="40" t="s">
        <v>39</v>
      </c>
      <c r="N45" s="40"/>
      <c r="O45" s="40"/>
      <c r="P45" s="40"/>
      <c r="Q45" s="40"/>
      <c r="R45" s="40"/>
      <c r="S45" s="40"/>
      <c r="T45" s="40"/>
      <c r="U45" s="40"/>
      <c r="V45" s="40"/>
      <c r="W45" s="42"/>
      <c r="X45" s="52"/>
    </row>
    <row r="46" spans="1:24" ht="21" customHeight="1">
      <c r="A46" s="10"/>
      <c r="B46" s="11"/>
      <c r="C46" s="11"/>
      <c r="D46" s="11"/>
      <c r="E46" s="12"/>
      <c r="F46" s="11"/>
      <c r="G46" s="11"/>
      <c r="H46" s="11"/>
      <c r="I46" s="11"/>
      <c r="J46" s="11"/>
      <c r="K46" s="11"/>
      <c r="L46" s="11"/>
      <c r="M46" s="45"/>
      <c r="N46" s="11"/>
      <c r="O46" s="11"/>
      <c r="P46" s="11"/>
      <c r="Q46" s="14"/>
      <c r="R46" s="11"/>
      <c r="S46" s="14"/>
      <c r="T46" s="11"/>
      <c r="U46" s="14"/>
      <c r="V46" s="17"/>
      <c r="W46" s="18"/>
      <c r="X46" s="52"/>
    </row>
    <row r="47" spans="1:24" ht="21" customHeight="1">
      <c r="A47" s="10"/>
      <c r="B47" s="11"/>
      <c r="C47" s="11"/>
      <c r="D47" s="11"/>
      <c r="E47" s="12"/>
      <c r="F47" s="11"/>
      <c r="G47" s="11"/>
      <c r="H47" s="11"/>
      <c r="I47" s="11"/>
      <c r="J47" s="11"/>
      <c r="K47" s="11"/>
      <c r="L47" s="11"/>
      <c r="M47" s="45"/>
      <c r="N47" s="11"/>
      <c r="O47" s="11"/>
      <c r="P47" s="11"/>
      <c r="Q47" s="14"/>
      <c r="R47" s="11"/>
      <c r="S47" s="14"/>
      <c r="T47" s="11"/>
      <c r="U47" s="14"/>
      <c r="V47" s="17"/>
      <c r="W47" s="18"/>
      <c r="X47" s="52"/>
    </row>
    <row r="48" spans="1:24" ht="21" customHeight="1">
      <c r="A48" s="10"/>
      <c r="B48" s="11"/>
      <c r="C48" s="11"/>
      <c r="D48" s="11"/>
      <c r="E48" s="12"/>
      <c r="F48" s="11"/>
      <c r="G48" s="11"/>
      <c r="H48" s="11"/>
      <c r="I48" s="11"/>
      <c r="J48" s="11"/>
      <c r="K48" s="11"/>
      <c r="L48" s="11"/>
      <c r="M48" s="14"/>
      <c r="N48" s="11"/>
      <c r="O48" s="14"/>
      <c r="P48" s="11"/>
      <c r="Q48" s="14"/>
      <c r="R48" s="11"/>
      <c r="S48" s="14"/>
      <c r="T48" s="14"/>
      <c r="U48" s="14"/>
      <c r="V48" s="11"/>
      <c r="W48" s="15"/>
      <c r="X48" s="52"/>
    </row>
    <row r="49" spans="1:24" ht="21" customHeight="1">
      <c r="A49" s="10"/>
      <c r="B49" s="11"/>
      <c r="C49" s="11"/>
      <c r="D49" s="11"/>
      <c r="E49" s="12"/>
      <c r="F49" s="11"/>
      <c r="G49" s="11"/>
      <c r="H49" s="11"/>
      <c r="I49" s="11"/>
      <c r="J49" s="11"/>
      <c r="K49" s="11"/>
      <c r="L49" s="11"/>
      <c r="M49" s="14"/>
      <c r="O49" s="14"/>
      <c r="P49" s="11"/>
      <c r="Q49" s="14"/>
      <c r="R49" s="11"/>
      <c r="S49" s="14"/>
      <c r="T49" s="14"/>
      <c r="U49" s="14"/>
      <c r="V49" s="11"/>
      <c r="W49" s="15"/>
      <c r="X49" s="52"/>
    </row>
    <row r="50" spans="1:24" ht="21" customHeight="1">
      <c r="A50" s="10"/>
      <c r="B50" s="11"/>
      <c r="C50" s="11"/>
      <c r="D50" s="11"/>
      <c r="E50" s="12"/>
      <c r="F50" s="11"/>
      <c r="G50" s="11"/>
      <c r="H50" s="11"/>
      <c r="I50" s="11"/>
      <c r="J50" s="11"/>
      <c r="K50" s="11"/>
      <c r="L50" s="11"/>
      <c r="M50" s="13"/>
      <c r="N50" s="11"/>
      <c r="O50" s="11"/>
      <c r="P50" s="11"/>
      <c r="Q50" s="14"/>
      <c r="R50" s="11"/>
      <c r="S50" s="14"/>
      <c r="T50" s="14"/>
      <c r="U50" s="14"/>
      <c r="V50" s="17"/>
      <c r="W50" s="18"/>
      <c r="X50" s="52"/>
    </row>
    <row r="51" spans="1:24" ht="21" customHeight="1">
      <c r="A51" s="10"/>
      <c r="B51" s="11"/>
      <c r="C51" s="11"/>
      <c r="D51" s="11"/>
      <c r="E51" s="12"/>
      <c r="F51" s="11"/>
      <c r="G51" s="11"/>
      <c r="H51" s="11"/>
      <c r="I51" s="11"/>
      <c r="J51" s="11"/>
      <c r="K51" s="11"/>
      <c r="L51" s="11"/>
      <c r="M51" s="13"/>
      <c r="N51" s="11"/>
      <c r="O51" s="11"/>
      <c r="P51" s="11"/>
      <c r="Q51" s="14"/>
      <c r="R51" s="11"/>
      <c r="S51" s="14"/>
      <c r="T51" s="14"/>
      <c r="U51" s="14"/>
      <c r="V51" s="17"/>
      <c r="W51" s="18"/>
      <c r="X51" s="52"/>
    </row>
    <row r="52" spans="1:24" ht="21" customHeight="1">
      <c r="A52" s="10"/>
      <c r="B52" s="11"/>
      <c r="C52" s="11"/>
      <c r="D52" s="11"/>
      <c r="E52" s="12"/>
      <c r="F52" s="11"/>
      <c r="G52" s="11"/>
      <c r="H52" s="11"/>
      <c r="I52" s="11"/>
      <c r="J52" s="11"/>
      <c r="K52" s="11"/>
      <c r="L52" s="11"/>
      <c r="M52" s="14"/>
      <c r="N52" s="11"/>
      <c r="O52" s="14"/>
      <c r="P52" s="11"/>
      <c r="Q52" s="14"/>
      <c r="R52" s="11"/>
      <c r="S52" s="14"/>
      <c r="T52" s="14"/>
      <c r="U52" s="14"/>
      <c r="V52" s="11"/>
      <c r="W52" s="15"/>
      <c r="X52" s="52"/>
    </row>
    <row r="53" spans="1:24" ht="21" customHeight="1">
      <c r="A53" s="10"/>
      <c r="B53" s="11"/>
      <c r="C53" s="11"/>
      <c r="D53" s="11"/>
      <c r="E53" s="12"/>
      <c r="F53" s="11"/>
      <c r="G53" s="11"/>
      <c r="H53" s="11"/>
      <c r="I53" s="11"/>
      <c r="J53" s="11"/>
      <c r="K53" s="11"/>
      <c r="L53" s="17"/>
      <c r="M53" s="14"/>
      <c r="N53" s="11"/>
      <c r="O53" s="11"/>
      <c r="P53" s="11"/>
      <c r="Q53" s="14"/>
      <c r="R53" s="11"/>
      <c r="S53" s="14"/>
      <c r="T53" s="11"/>
      <c r="U53" s="11"/>
      <c r="V53" s="11"/>
      <c r="W53" s="15"/>
      <c r="X53" s="52"/>
    </row>
    <row r="54" spans="1:24" ht="21" customHeight="1">
      <c r="A54" s="10"/>
      <c r="B54" s="11"/>
      <c r="C54" s="11"/>
      <c r="D54" s="11"/>
      <c r="E54" s="12"/>
      <c r="F54" s="11"/>
      <c r="G54" s="11"/>
      <c r="H54" s="11"/>
      <c r="I54" s="11"/>
      <c r="J54" s="11"/>
      <c r="K54" s="11"/>
      <c r="L54" s="11"/>
      <c r="M54" s="13"/>
      <c r="N54" s="11"/>
      <c r="O54" s="11"/>
      <c r="P54" s="11"/>
      <c r="Q54" s="14"/>
      <c r="R54" s="11"/>
      <c r="S54" s="14"/>
      <c r="T54" s="14"/>
      <c r="U54" s="14"/>
      <c r="V54" s="17"/>
      <c r="W54" s="18"/>
      <c r="X54" s="52"/>
    </row>
    <row r="55" spans="1:24" ht="21" customHeight="1">
      <c r="A55" s="10"/>
      <c r="B55" s="11"/>
      <c r="C55" s="11"/>
      <c r="D55" s="11"/>
      <c r="E55" s="12"/>
      <c r="F55" s="11"/>
      <c r="G55" s="11"/>
      <c r="H55" s="11"/>
      <c r="I55" s="11"/>
      <c r="J55" s="11"/>
      <c r="K55" s="11"/>
      <c r="L55" s="11"/>
      <c r="M55" s="13"/>
      <c r="N55" s="11"/>
      <c r="O55" s="14"/>
      <c r="P55" s="11"/>
      <c r="Q55" s="14"/>
      <c r="R55" s="11"/>
      <c r="S55" s="14"/>
      <c r="T55" s="14"/>
      <c r="U55" s="14"/>
      <c r="V55" s="11"/>
      <c r="W55" s="18"/>
      <c r="X55" s="52"/>
    </row>
    <row r="56" spans="1:24" ht="21" customHeight="1">
      <c r="A56" s="10"/>
      <c r="B56" s="11"/>
      <c r="C56" s="11"/>
      <c r="D56" s="11"/>
      <c r="E56" s="12"/>
      <c r="F56" s="11"/>
      <c r="G56" s="11"/>
      <c r="H56" s="11"/>
      <c r="I56" s="11"/>
      <c r="J56" s="11"/>
      <c r="K56" s="11"/>
      <c r="L56" s="11"/>
      <c r="M56" s="13"/>
      <c r="N56" s="11"/>
      <c r="O56" s="11"/>
      <c r="P56" s="11"/>
      <c r="Q56" s="14"/>
      <c r="R56" s="11"/>
      <c r="S56" s="14"/>
      <c r="T56" s="14"/>
      <c r="U56" s="14"/>
      <c r="V56" s="17"/>
      <c r="W56" s="18"/>
      <c r="X56" s="52"/>
    </row>
    <row r="57" spans="1:24" ht="21" customHeight="1" thickBot="1">
      <c r="A57" s="10"/>
      <c r="B57" s="11"/>
      <c r="C57" s="11"/>
      <c r="D57" s="11"/>
      <c r="E57" s="12"/>
      <c r="F57" s="11"/>
      <c r="G57" s="11"/>
      <c r="H57" s="11"/>
      <c r="I57" s="11"/>
      <c r="J57" s="11"/>
      <c r="K57" s="11"/>
      <c r="L57" s="11"/>
      <c r="M57" s="13"/>
      <c r="N57" s="11"/>
      <c r="O57" s="11"/>
      <c r="P57" s="11"/>
      <c r="Q57" s="14"/>
      <c r="R57" s="11"/>
      <c r="S57" s="14"/>
      <c r="T57" s="14"/>
      <c r="U57" s="14"/>
      <c r="V57" s="17"/>
      <c r="W57" s="18"/>
      <c r="X57" s="52"/>
    </row>
    <row r="58" spans="1:24" ht="20.45" customHeight="1">
      <c r="A58" s="1" t="s">
        <v>251</v>
      </c>
      <c r="B58" s="2" t="s">
        <v>1</v>
      </c>
      <c r="C58" s="2" t="s">
        <v>2</v>
      </c>
      <c r="D58" s="2" t="s">
        <v>3</v>
      </c>
      <c r="E58" s="3" t="s">
        <v>4</v>
      </c>
      <c r="F58" s="2" t="s">
        <v>5</v>
      </c>
      <c r="G58" s="2" t="s">
        <v>6</v>
      </c>
      <c r="H58" s="2" t="s">
        <v>7</v>
      </c>
      <c r="I58" s="4" t="s">
        <v>8</v>
      </c>
      <c r="J58" s="2" t="s">
        <v>9</v>
      </c>
      <c r="K58" s="2" t="s">
        <v>10</v>
      </c>
      <c r="L58" s="2" t="s">
        <v>11</v>
      </c>
      <c r="M58" s="6" t="s">
        <v>12</v>
      </c>
      <c r="N58" s="6" t="s">
        <v>13</v>
      </c>
      <c r="O58" s="7" t="s">
        <v>14</v>
      </c>
      <c r="P58" s="8" t="s">
        <v>161</v>
      </c>
      <c r="Q58" s="8" t="s">
        <v>17</v>
      </c>
      <c r="R58" s="7" t="s">
        <v>199</v>
      </c>
      <c r="S58" s="7" t="s">
        <v>158</v>
      </c>
      <c r="T58" s="7" t="s">
        <v>77</v>
      </c>
      <c r="U58" s="7" t="s">
        <v>20</v>
      </c>
      <c r="V58" s="8" t="s">
        <v>21</v>
      </c>
      <c r="W58" s="24" t="s">
        <v>22</v>
      </c>
      <c r="X58" s="52" t="s">
        <v>257</v>
      </c>
    </row>
    <row r="59" spans="1:24" ht="20.45" customHeight="1">
      <c r="A59" s="10" t="s">
        <v>79</v>
      </c>
      <c r="B59" s="11">
        <v>9.8379629629629633E-3</v>
      </c>
      <c r="C59" s="11">
        <v>2.9745370370370373E-3</v>
      </c>
      <c r="D59" s="11">
        <f>B59*E59</f>
        <v>5.7237268518518522E-3</v>
      </c>
      <c r="E59" s="12">
        <v>0.58179999999999998</v>
      </c>
      <c r="F59" s="11">
        <f>C59/4</f>
        <v>7.4363425925925931E-4</v>
      </c>
      <c r="G59" s="11">
        <f>D59/7.5</f>
        <v>7.6316358024691364E-4</v>
      </c>
      <c r="H59" s="11">
        <f>B59/12.5</f>
        <v>7.8703703703703705E-4</v>
      </c>
      <c r="I59" s="11">
        <f>G59/0.93</f>
        <v>8.2060600026549854E-4</v>
      </c>
      <c r="J59" s="11">
        <f>G59/0.92</f>
        <v>8.29525630703167E-4</v>
      </c>
      <c r="K59" s="11">
        <f>G59/0.88</f>
        <v>8.6723134118967459E-4</v>
      </c>
      <c r="L59" s="11">
        <f>G59/0.84</f>
        <v>9.085280717225163E-4</v>
      </c>
      <c r="M59" s="25">
        <f>WO2025Jan7men119151719232529313335394143454749555759636567697173757779131719212327[[#This Row],[Thresh]]</f>
        <v>8.6723134118967459E-4</v>
      </c>
      <c r="N59" s="28">
        <f>WO2025Jan7men119151719232529313335394143454749555759636567697173757779131719212327[[#This Row],[Thresh]]*2.5</f>
        <v>2.1680783529741867E-3</v>
      </c>
      <c r="O59" s="25">
        <f>WO2025Jan7men119151719232529313335394143454749555759636567697173757779131719212327[[#This Row],[CV]]</f>
        <v>8.29525630703167E-4</v>
      </c>
      <c r="P59" s="28">
        <f>WO2025Jan7men119151719232529313335394143454749555759636567697173757779131719212327[[#This Row],[CV]]*2.5</f>
        <v>2.0738140767579175E-3</v>
      </c>
      <c r="Q59" s="25">
        <f>WO2025Jan7men119151719232529313335394143454749555759636567697173757779131719212327[[#This Row],[I]]</f>
        <v>7.8703703703703705E-4</v>
      </c>
      <c r="R59" s="28">
        <f>WO2025Jan7men119151719232529313335394143454749555759636567697173757779131719212327[[#This Row],[I]]*2.5</f>
        <v>1.9675925925925928E-3</v>
      </c>
      <c r="S59" s="25">
        <f>WO2025Jan7men119151719232529313335394143454749555759636567697173757779131719212327[[#This Row],[VO2]]</f>
        <v>7.6316358024691364E-4</v>
      </c>
      <c r="T59" s="25"/>
      <c r="U59" s="28"/>
      <c r="V59" s="25"/>
      <c r="W59" s="15" t="s">
        <v>26</v>
      </c>
      <c r="X59" s="52"/>
    </row>
    <row r="60" spans="1:24" ht="20.45" customHeight="1">
      <c r="A60" s="10" t="s">
        <v>80</v>
      </c>
      <c r="B60" s="11">
        <v>9.8379629629629633E-3</v>
      </c>
      <c r="C60" s="11">
        <v>2.8587962962962963E-3</v>
      </c>
      <c r="D60" s="11">
        <f>B60*E60</f>
        <v>5.7237268518518522E-3</v>
      </c>
      <c r="E60" s="12">
        <v>0.58179999999999998</v>
      </c>
      <c r="F60" s="11">
        <f>C60/4</f>
        <v>7.1469907407407409E-4</v>
      </c>
      <c r="G60" s="11">
        <f>D60/7.5</f>
        <v>7.6316358024691364E-4</v>
      </c>
      <c r="H60" s="11">
        <f>B60/12.5</f>
        <v>7.8703703703703705E-4</v>
      </c>
      <c r="I60" s="11">
        <f>G60/0.93</f>
        <v>8.2060600026549854E-4</v>
      </c>
      <c r="J60" s="11">
        <f>G60/0.92</f>
        <v>8.29525630703167E-4</v>
      </c>
      <c r="K60" s="11">
        <f>G60/0.88</f>
        <v>8.6723134118967459E-4</v>
      </c>
      <c r="L60" s="11">
        <f>G60/0.84</f>
        <v>9.085280717225163E-4</v>
      </c>
      <c r="M60" s="25">
        <f>WO2025Jan7men119151719232529313335394143454749555759636567697173757779131719212327[[#This Row],[Thresh]]</f>
        <v>8.6723134118967459E-4</v>
      </c>
      <c r="N60" s="28">
        <f>WO2025Jan7men119151719232529313335394143454749555759636567697173757779131719212327[[#This Row],[Thresh]]*2.5</f>
        <v>2.1680783529741867E-3</v>
      </c>
      <c r="O60" s="25">
        <f>WO2025Jan7men119151719232529313335394143454749555759636567697173757779131719212327[[#This Row],[CV]]</f>
        <v>8.29525630703167E-4</v>
      </c>
      <c r="P60" s="28">
        <f>WO2025Jan7men119151719232529313335394143454749555759636567697173757779131719212327[[#This Row],[CV]]*2.5</f>
        <v>2.0738140767579175E-3</v>
      </c>
      <c r="Q60" s="25">
        <f>WO2025Jan7men119151719232529313335394143454749555759636567697173757779131719212327[[#This Row],[I]]</f>
        <v>7.8703703703703705E-4</v>
      </c>
      <c r="R60" s="28">
        <f>WO2025Jan7men119151719232529313335394143454749555759636567697173757779131719212327[[#This Row],[I]]*2.5</f>
        <v>1.9675925925925928E-3</v>
      </c>
      <c r="S60" s="25">
        <f>WO2025Jan7men119151719232529313335394143454749555759636567697173757779131719212327[[#This Row],[VO2]]</f>
        <v>7.6316358024691364E-4</v>
      </c>
      <c r="T60" s="25"/>
      <c r="U60" s="28"/>
      <c r="V60" s="25"/>
      <c r="W60" s="15" t="s">
        <v>26</v>
      </c>
      <c r="X60" s="52"/>
    </row>
    <row r="61" spans="1:24" ht="20.45" customHeight="1">
      <c r="A61" s="10" t="s">
        <v>109</v>
      </c>
      <c r="B61" s="11">
        <v>9.8379629629629633E-3</v>
      </c>
      <c r="C61" s="11">
        <v>2.9745370370370373E-3</v>
      </c>
      <c r="D61" s="11">
        <f>B61*E61</f>
        <v>5.7237268518518522E-3</v>
      </c>
      <c r="E61" s="12">
        <v>0.58179999999999998</v>
      </c>
      <c r="F61" s="11">
        <f>C61/4</f>
        <v>7.4363425925925931E-4</v>
      </c>
      <c r="G61" s="11">
        <f>D61/7.5</f>
        <v>7.6316358024691364E-4</v>
      </c>
      <c r="H61" s="11">
        <f>B61/12.5</f>
        <v>7.8703703703703705E-4</v>
      </c>
      <c r="I61" s="11">
        <f>G61/0.93</f>
        <v>8.2060600026549854E-4</v>
      </c>
      <c r="J61" s="11">
        <f>G61/0.92</f>
        <v>8.29525630703167E-4</v>
      </c>
      <c r="K61" s="11">
        <f>G61/0.88</f>
        <v>8.6723134118967459E-4</v>
      </c>
      <c r="L61" s="11">
        <f>G61/0.84</f>
        <v>9.085280717225163E-4</v>
      </c>
      <c r="M61" s="25">
        <f>WO2025Jan7men119151719232529313335394143454749555759636567697173757779131719212327[[#This Row],[Thresh]]</f>
        <v>8.6723134118967459E-4</v>
      </c>
      <c r="N61" s="28">
        <f>WO2025Jan7men119151719232529313335394143454749555759636567697173757779131719212327[[#This Row],[Thresh]]*2.5</f>
        <v>2.1680783529741867E-3</v>
      </c>
      <c r="O61" s="25">
        <f>WO2025Jan7men119151719232529313335394143454749555759636567697173757779131719212327[[#This Row],[CV]]</f>
        <v>8.29525630703167E-4</v>
      </c>
      <c r="P61" s="28">
        <f>WO2025Jan7men119151719232529313335394143454749555759636567697173757779131719212327[[#This Row],[CV]]*2.5</f>
        <v>2.0738140767579175E-3</v>
      </c>
      <c r="Q61" s="25">
        <f>WO2025Jan7men119151719232529313335394143454749555759636567697173757779131719212327[[#This Row],[I]]</f>
        <v>7.8703703703703705E-4</v>
      </c>
      <c r="R61" s="28">
        <f>WO2025Jan7men119151719232529313335394143454749555759636567697173757779131719212327[[#This Row],[I]]*2.5</f>
        <v>1.9675925925925928E-3</v>
      </c>
      <c r="S61" s="25">
        <f>WO2025Jan7men119151719232529313335394143454749555759636567697173757779131719212327[[#This Row],[VO2]]</f>
        <v>7.6316358024691364E-4</v>
      </c>
      <c r="T61" s="25"/>
      <c r="U61" s="28"/>
      <c r="V61" s="25"/>
      <c r="W61" s="15" t="s">
        <v>26</v>
      </c>
      <c r="X61" s="52"/>
    </row>
    <row r="62" spans="1:24" ht="20.45" customHeight="1">
      <c r="A62" s="10" t="s">
        <v>81</v>
      </c>
      <c r="B62" s="11">
        <v>9.9537037037037042E-3</v>
      </c>
      <c r="C62" s="11">
        <v>2.9745370370370373E-3</v>
      </c>
      <c r="D62" s="11">
        <f>B62*E62</f>
        <v>5.7910648148148149E-3</v>
      </c>
      <c r="E62" s="12">
        <v>0.58179999999999998</v>
      </c>
      <c r="F62" s="11">
        <f>C62/4</f>
        <v>7.4363425925925931E-4</v>
      </c>
      <c r="G62" s="11">
        <f>D62/7.5</f>
        <v>7.7214197530864196E-4</v>
      </c>
      <c r="H62" s="11">
        <f>B62/12.5</f>
        <v>7.9629629629629636E-4</v>
      </c>
      <c r="I62" s="11">
        <f>G62/0.93</f>
        <v>8.3026018850391602E-4</v>
      </c>
      <c r="J62" s="11">
        <f>G62/0.92</f>
        <v>8.3928475577026292E-4</v>
      </c>
      <c r="K62" s="11">
        <f>G62/0.88</f>
        <v>8.7743406285072947E-4</v>
      </c>
      <c r="L62" s="11">
        <f>G62/0.84</f>
        <v>9.1921663727219285E-4</v>
      </c>
      <c r="M62" s="25">
        <f>WO2025Jan7men119151719232529313335394143454749555759636567697173757779131719212327[[#This Row],[Thresh]]</f>
        <v>8.7743406285072947E-4</v>
      </c>
      <c r="N62" s="28">
        <f>WO2025Jan7men119151719232529313335394143454749555759636567697173757779131719212327[[#This Row],[Thresh]]*2.5</f>
        <v>2.1935851571268238E-3</v>
      </c>
      <c r="O62" s="25">
        <f>WO2025Jan7men119151719232529313335394143454749555759636567697173757779131719212327[[#This Row],[CV]]</f>
        <v>8.3928475577026292E-4</v>
      </c>
      <c r="P62" s="28">
        <f>WO2025Jan7men119151719232529313335394143454749555759636567697173757779131719212327[[#This Row],[CV]]*2.5</f>
        <v>2.0982118894256573E-3</v>
      </c>
      <c r="Q62" s="25">
        <f>WO2025Jan7men119151719232529313335394143454749555759636567697173757779131719212327[[#This Row],[I]]</f>
        <v>7.9629629629629636E-4</v>
      </c>
      <c r="R62" s="28">
        <f>WO2025Jan7men119151719232529313335394143454749555759636567697173757779131719212327[[#This Row],[I]]*2.5</f>
        <v>1.9907407407407408E-3</v>
      </c>
      <c r="S62" s="25">
        <f>WO2025Jan7men119151719232529313335394143454749555759636567697173757779131719212327[[#This Row],[VO2]]</f>
        <v>7.7214197530864196E-4</v>
      </c>
      <c r="T62" s="25"/>
      <c r="U62" s="28"/>
      <c r="V62" s="25"/>
      <c r="W62" s="15" t="s">
        <v>35</v>
      </c>
      <c r="X62" s="52"/>
    </row>
    <row r="63" spans="1:24" ht="20.45" customHeight="1">
      <c r="A63" s="10" t="s">
        <v>82</v>
      </c>
      <c r="B63" s="11">
        <v>9.9537037037037042E-3</v>
      </c>
      <c r="C63" s="11">
        <v>2.8935185185185188E-3</v>
      </c>
      <c r="D63" s="11">
        <f>B63*E63</f>
        <v>5.7910648148148149E-3</v>
      </c>
      <c r="E63" s="12">
        <v>0.58179999999999998</v>
      </c>
      <c r="F63" s="11">
        <f>C63/4</f>
        <v>7.233796296296297E-4</v>
      </c>
      <c r="G63" s="11">
        <f>D63/7.5</f>
        <v>7.7214197530864196E-4</v>
      </c>
      <c r="H63" s="11">
        <f>B63/12.5</f>
        <v>7.9629629629629636E-4</v>
      </c>
      <c r="I63" s="11">
        <f>G63/0.93</f>
        <v>8.3026018850391602E-4</v>
      </c>
      <c r="J63" s="11">
        <f>G63/0.92</f>
        <v>8.3928475577026292E-4</v>
      </c>
      <c r="K63" s="11">
        <f>G63/0.88</f>
        <v>8.7743406285072947E-4</v>
      </c>
      <c r="L63" s="11">
        <f>G63/0.84</f>
        <v>9.1921663727219285E-4</v>
      </c>
      <c r="M63" s="25">
        <f>WO2025Jan7men119151719232529313335394143454749555759636567697173757779131719212327[[#This Row],[Thresh]]</f>
        <v>8.7743406285072947E-4</v>
      </c>
      <c r="N63" s="28">
        <f>WO2025Jan7men119151719232529313335394143454749555759636567697173757779131719212327[[#This Row],[Thresh]]*2.5</f>
        <v>2.1935851571268238E-3</v>
      </c>
      <c r="O63" s="25">
        <f>WO2025Jan7men119151719232529313335394143454749555759636567697173757779131719212327[[#This Row],[CV]]</f>
        <v>8.3928475577026292E-4</v>
      </c>
      <c r="P63" s="28">
        <f>WO2025Jan7men119151719232529313335394143454749555759636567697173757779131719212327[[#This Row],[CV]]*2.5</f>
        <v>2.0982118894256573E-3</v>
      </c>
      <c r="Q63" s="25">
        <f>WO2025Jan7men119151719232529313335394143454749555759636567697173757779131719212327[[#This Row],[I]]</f>
        <v>7.9629629629629636E-4</v>
      </c>
      <c r="R63" s="28">
        <f>WO2025Jan7men119151719232529313335394143454749555759636567697173757779131719212327[[#This Row],[I]]*2.5</f>
        <v>1.9907407407407408E-3</v>
      </c>
      <c r="S63" s="25">
        <f>WO2025Jan7men119151719232529313335394143454749555759636567697173757779131719212327[[#This Row],[VO2]]</f>
        <v>7.7214197530864196E-4</v>
      </c>
      <c r="T63" s="25"/>
      <c r="U63" s="28"/>
      <c r="V63" s="25"/>
      <c r="W63" s="15" t="s">
        <v>26</v>
      </c>
      <c r="X63" s="52"/>
    </row>
    <row r="64" spans="1:24" ht="20.45" customHeight="1">
      <c r="A64" s="10" t="s">
        <v>84</v>
      </c>
      <c r="B64" s="11">
        <v>1.0069444444444445E-2</v>
      </c>
      <c r="C64" s="11">
        <v>3.0092592592592593E-3</v>
      </c>
      <c r="D64" s="11">
        <f t="shared" ref="D64:D101" si="24">B64*E64</f>
        <v>5.8584027777777783E-3</v>
      </c>
      <c r="E64" s="12">
        <v>0.58179999999999998</v>
      </c>
      <c r="F64" s="11">
        <f t="shared" ref="F64:F101" si="25">C64/4</f>
        <v>7.5231481481481482E-4</v>
      </c>
      <c r="G64" s="11">
        <f t="shared" ref="G64:G101" si="26">D64/7.5</f>
        <v>7.811203703703705E-4</v>
      </c>
      <c r="H64" s="11">
        <f t="shared" ref="H64:H101" si="27">B64/12.5</f>
        <v>8.0555555555555556E-4</v>
      </c>
      <c r="I64" s="11">
        <f t="shared" ref="I64:I101" si="28">G64/0.93</f>
        <v>8.3991437674233382E-4</v>
      </c>
      <c r="J64" s="11">
        <f t="shared" ref="J64:J101" si="29">G64/0.92</f>
        <v>8.4904388083735917E-4</v>
      </c>
      <c r="K64" s="11">
        <f t="shared" ref="K64:K101" si="30">G64/0.88</f>
        <v>8.8763678451178466E-4</v>
      </c>
      <c r="L64" s="11">
        <f t="shared" ref="L64:L101" si="31">G64/0.84</f>
        <v>9.2990520282186973E-4</v>
      </c>
      <c r="M64" s="25">
        <f>WO2025Jan7men119151719232529313335394143454749555759636567697173757779131719212327[[#This Row],[Thresh]]</f>
        <v>8.8763678451178466E-4</v>
      </c>
      <c r="N64" s="28">
        <f>WO2025Jan7men119151719232529313335394143454749555759636567697173757779131719212327[[#This Row],[Thresh]]*2.5</f>
        <v>2.2190919612794617E-3</v>
      </c>
      <c r="O64" s="25">
        <f>WO2025Jan7men119151719232529313335394143454749555759636567697173757779131719212327[[#This Row],[CV]]</f>
        <v>8.4904388083735917E-4</v>
      </c>
      <c r="P64" s="28">
        <f>WO2025Jan7men119151719232529313335394143454749555759636567697173757779131719212327[[#This Row],[CV]]*2.5</f>
        <v>2.1226097020933979E-3</v>
      </c>
      <c r="Q64" s="25">
        <f>WO2025Jan7men119151719232529313335394143454749555759636567697173757779131719212327[[#This Row],[I]]</f>
        <v>8.0555555555555556E-4</v>
      </c>
      <c r="R64" s="28">
        <f>WO2025Jan7men119151719232529313335394143454749555759636567697173757779131719212327[[#This Row],[I]]*2.5</f>
        <v>2.0138888888888888E-3</v>
      </c>
      <c r="S64" s="25">
        <f>WO2025Jan7men119151719232529313335394143454749555759636567697173757779131719212327[[#This Row],[VO2]]</f>
        <v>7.811203703703705E-4</v>
      </c>
      <c r="T64" s="25"/>
      <c r="U64" s="28"/>
      <c r="V64" s="25"/>
      <c r="W64" s="15" t="s">
        <v>26</v>
      </c>
      <c r="X64" s="52"/>
    </row>
    <row r="65" spans="1:24" ht="20.45" customHeight="1">
      <c r="A65" s="10" t="s">
        <v>110</v>
      </c>
      <c r="B65" s="11">
        <v>1.0069444444444445E-2</v>
      </c>
      <c r="C65" s="11">
        <v>2.8935185185185184E-3</v>
      </c>
      <c r="D65" s="11">
        <f>B65*E65</f>
        <v>5.8584027777777783E-3</v>
      </c>
      <c r="E65" s="12">
        <v>0.58179999999999998</v>
      </c>
      <c r="F65" s="11">
        <f>C65/4</f>
        <v>7.2337962962962959E-4</v>
      </c>
      <c r="G65" s="11">
        <f>D65/7.5</f>
        <v>7.811203703703705E-4</v>
      </c>
      <c r="H65" s="11">
        <f>B65/12.5</f>
        <v>8.0555555555555556E-4</v>
      </c>
      <c r="I65" s="11">
        <f>G65/0.93</f>
        <v>8.3991437674233382E-4</v>
      </c>
      <c r="J65" s="11">
        <f>G65/0.92</f>
        <v>8.4904388083735917E-4</v>
      </c>
      <c r="K65" s="11">
        <f>G65/0.88</f>
        <v>8.8763678451178466E-4</v>
      </c>
      <c r="L65" s="11">
        <f>G65/0.84</f>
        <v>9.2990520282186973E-4</v>
      </c>
      <c r="M65" s="25">
        <f>WO2025Jan7men119151719232529313335394143454749555759636567697173757779131719212327[[#This Row],[Thresh]]</f>
        <v>8.8763678451178466E-4</v>
      </c>
      <c r="N65" s="28">
        <f>WO2025Jan7men119151719232529313335394143454749555759636567697173757779131719212327[[#This Row],[Thresh]]*2.5</f>
        <v>2.2190919612794617E-3</v>
      </c>
      <c r="O65" s="25">
        <f>WO2025Jan7men119151719232529313335394143454749555759636567697173757779131719212327[[#This Row],[CV]]</f>
        <v>8.4904388083735917E-4</v>
      </c>
      <c r="P65" s="28">
        <f>WO2025Jan7men119151719232529313335394143454749555759636567697173757779131719212327[[#This Row],[CV]]*2.5</f>
        <v>2.1226097020933979E-3</v>
      </c>
      <c r="Q65" s="25">
        <f>WO2025Jan7men119151719232529313335394143454749555759636567697173757779131719212327[[#This Row],[I]]</f>
        <v>8.0555555555555556E-4</v>
      </c>
      <c r="R65" s="28">
        <f>WO2025Jan7men119151719232529313335394143454749555759636567697173757779131719212327[[#This Row],[I]]*2.5</f>
        <v>2.0138888888888888E-3</v>
      </c>
      <c r="S65" s="25">
        <f>WO2025Jan7men119151719232529313335394143454749555759636567697173757779131719212327[[#This Row],[VO2]]</f>
        <v>7.811203703703705E-4</v>
      </c>
      <c r="T65" s="25"/>
      <c r="U65" s="28"/>
      <c r="V65" s="25"/>
      <c r="W65" s="15" t="s">
        <v>35</v>
      </c>
      <c r="X65" s="52"/>
    </row>
    <row r="66" spans="1:24" ht="20.45" customHeight="1">
      <c r="A66" s="10" t="s">
        <v>83</v>
      </c>
      <c r="B66" s="11">
        <v>1.0069444444444445E-2</v>
      </c>
      <c r="C66" s="11">
        <v>3.0671296296296297E-3</v>
      </c>
      <c r="D66" s="11">
        <f>B66*E66</f>
        <v>5.8584027777777783E-3</v>
      </c>
      <c r="E66" s="12">
        <v>0.58179999999999998</v>
      </c>
      <c r="F66" s="11">
        <f>C66/4</f>
        <v>7.6678240740740743E-4</v>
      </c>
      <c r="G66" s="11">
        <f>D66/7.5</f>
        <v>7.811203703703705E-4</v>
      </c>
      <c r="H66" s="11">
        <f>B66/12.5</f>
        <v>8.0555555555555556E-4</v>
      </c>
      <c r="I66" s="11">
        <f>G66/0.93</f>
        <v>8.3991437674233382E-4</v>
      </c>
      <c r="J66" s="11">
        <f>G66/0.92</f>
        <v>8.4904388083735917E-4</v>
      </c>
      <c r="K66" s="11">
        <f>G66/0.88</f>
        <v>8.8763678451178466E-4</v>
      </c>
      <c r="L66" s="11">
        <f>G66/0.84</f>
        <v>9.2990520282186973E-4</v>
      </c>
      <c r="M66" s="25">
        <f>WO2025Jan7men119151719232529313335394143454749555759636567697173757779131719212327[[#This Row],[Thresh]]</f>
        <v>8.8763678451178466E-4</v>
      </c>
      <c r="N66" s="28">
        <f>WO2025Jan7men119151719232529313335394143454749555759636567697173757779131719212327[[#This Row],[Thresh]]*2.5</f>
        <v>2.2190919612794617E-3</v>
      </c>
      <c r="O66" s="25">
        <f>WO2025Jan7men119151719232529313335394143454749555759636567697173757779131719212327[[#This Row],[CV]]</f>
        <v>8.4904388083735917E-4</v>
      </c>
      <c r="P66" s="28">
        <f>WO2025Jan7men119151719232529313335394143454749555759636567697173757779131719212327[[#This Row],[CV]]*2.5</f>
        <v>2.1226097020933979E-3</v>
      </c>
      <c r="Q66" s="25">
        <f>WO2025Jan7men119151719232529313335394143454749555759636567697173757779131719212327[[#This Row],[I]]</f>
        <v>8.0555555555555556E-4</v>
      </c>
      <c r="R66" s="28">
        <f>WO2025Jan7men119151719232529313335394143454749555759636567697173757779131719212327[[#This Row],[I]]*2.5</f>
        <v>2.0138888888888888E-3</v>
      </c>
      <c r="S66" s="25">
        <f>WO2025Jan7men119151719232529313335394143454749555759636567697173757779131719212327[[#This Row],[VO2]]</f>
        <v>7.811203703703705E-4</v>
      </c>
      <c r="T66" s="25"/>
      <c r="U66" s="28"/>
      <c r="V66" s="28"/>
      <c r="W66" s="15" t="s">
        <v>26</v>
      </c>
      <c r="X66" s="52"/>
    </row>
    <row r="67" spans="1:24" ht="20.45" customHeight="1">
      <c r="A67" s="10" t="s">
        <v>112</v>
      </c>
      <c r="B67" s="11">
        <v>1.0243055555555556E-2</v>
      </c>
      <c r="C67" s="11">
        <v>2.8587962962962963E-3</v>
      </c>
      <c r="D67" s="11">
        <f t="shared" si="24"/>
        <v>5.9594097222222218E-3</v>
      </c>
      <c r="E67" s="12">
        <v>0.58179999999999998</v>
      </c>
      <c r="F67" s="11">
        <f t="shared" si="25"/>
        <v>7.1469907407407409E-4</v>
      </c>
      <c r="G67" s="11">
        <f t="shared" si="26"/>
        <v>7.9458796296296287E-4</v>
      </c>
      <c r="H67" s="11">
        <f t="shared" si="27"/>
        <v>8.1944444444444447E-4</v>
      </c>
      <c r="I67" s="11">
        <f t="shared" si="28"/>
        <v>8.5439565909996003E-4</v>
      </c>
      <c r="J67" s="11">
        <f t="shared" si="29"/>
        <v>8.636825684380031E-4</v>
      </c>
      <c r="K67" s="11">
        <f t="shared" si="30"/>
        <v>9.0294086700336686E-4</v>
      </c>
      <c r="L67" s="11">
        <f t="shared" si="31"/>
        <v>9.4593805114638445E-4</v>
      </c>
      <c r="M67" s="25">
        <f>WO2025Jan7men119151719232529313335394143454749555759636567697173757779131719212327[[#This Row],[Thresh]]</f>
        <v>9.0294086700336686E-4</v>
      </c>
      <c r="N67" s="28">
        <f>WO2025Jan7men119151719232529313335394143454749555759636567697173757779131719212327[[#This Row],[Thresh]]*2.5</f>
        <v>2.2573521675084171E-3</v>
      </c>
      <c r="O67" s="25">
        <f>WO2025Jan7men119151719232529313335394143454749555759636567697173757779131719212327[[#This Row],[CV]]</f>
        <v>8.636825684380031E-4</v>
      </c>
      <c r="P67" s="28">
        <f>WO2025Jan7men119151719232529313335394143454749555759636567697173757779131719212327[[#This Row],[CV]]*2.5</f>
        <v>2.1592064210950077E-3</v>
      </c>
      <c r="Q67" s="25">
        <f>WO2025Jan7men119151719232529313335394143454749555759636567697173757779131719212327[[#This Row],[I]]</f>
        <v>8.1944444444444447E-4</v>
      </c>
      <c r="R67" s="28">
        <f>WO2025Jan7men119151719232529313335394143454749555759636567697173757779131719212327[[#This Row],[I]]*2.5</f>
        <v>2.0486111111111113E-3</v>
      </c>
      <c r="S67" s="25">
        <f>WO2025Jan7men119151719232529313335394143454749555759636567697173757779131719212327[[#This Row],[VO2]]</f>
        <v>7.9458796296296287E-4</v>
      </c>
      <c r="T67" s="25"/>
      <c r="U67" s="28"/>
      <c r="V67" s="25"/>
      <c r="W67" s="15" t="s">
        <v>26</v>
      </c>
      <c r="X67" s="52"/>
    </row>
    <row r="68" spans="1:24" ht="20.45" customHeight="1">
      <c r="A68" s="10" t="s">
        <v>93</v>
      </c>
      <c r="B68" s="11">
        <v>1.0243055555555556E-2</v>
      </c>
      <c r="C68" s="11"/>
      <c r="D68" s="11">
        <f t="shared" si="24"/>
        <v>5.9594097222222218E-3</v>
      </c>
      <c r="E68" s="12">
        <v>0.58179999999999998</v>
      </c>
      <c r="F68" s="11">
        <f t="shared" si="25"/>
        <v>0</v>
      </c>
      <c r="G68" s="11">
        <f t="shared" si="26"/>
        <v>7.9458796296296287E-4</v>
      </c>
      <c r="H68" s="11">
        <f t="shared" si="27"/>
        <v>8.1944444444444447E-4</v>
      </c>
      <c r="I68" s="11">
        <f t="shared" si="28"/>
        <v>8.5439565909996003E-4</v>
      </c>
      <c r="J68" s="11">
        <f t="shared" si="29"/>
        <v>8.636825684380031E-4</v>
      </c>
      <c r="K68" s="11">
        <f t="shared" si="30"/>
        <v>9.0294086700336686E-4</v>
      </c>
      <c r="L68" s="11">
        <f t="shared" si="31"/>
        <v>9.4593805114638445E-4</v>
      </c>
      <c r="M68" s="25">
        <f>WO2025Jan7men119151719232529313335394143454749555759636567697173757779131719212327[[#This Row],[Thresh]]</f>
        <v>9.0294086700336686E-4</v>
      </c>
      <c r="N68" s="28">
        <f>WO2025Jan7men119151719232529313335394143454749555759636567697173757779131719212327[[#This Row],[Thresh]]*2.5</f>
        <v>2.2573521675084171E-3</v>
      </c>
      <c r="O68" s="25">
        <f>WO2025Jan7men119151719232529313335394143454749555759636567697173757779131719212327[[#This Row],[CV]]</f>
        <v>8.636825684380031E-4</v>
      </c>
      <c r="P68" s="28">
        <f>WO2025Jan7men119151719232529313335394143454749555759636567697173757779131719212327[[#This Row],[CV]]*2.5</f>
        <v>2.1592064210950077E-3</v>
      </c>
      <c r="Q68" s="25">
        <f>WO2025Jan7men119151719232529313335394143454749555759636567697173757779131719212327[[#This Row],[I]]</f>
        <v>8.1944444444444447E-4</v>
      </c>
      <c r="R68" s="28">
        <f>WO2025Jan7men119151719232529313335394143454749555759636567697173757779131719212327[[#This Row],[I]]*2.5</f>
        <v>2.0486111111111113E-3</v>
      </c>
      <c r="S68" s="25">
        <f>WO2025Jan7men119151719232529313335394143454749555759636567697173757779131719212327[[#This Row],[VO2]]</f>
        <v>7.9458796296296287E-4</v>
      </c>
      <c r="T68" s="25"/>
      <c r="U68" s="28"/>
      <c r="V68" s="28"/>
      <c r="W68" s="27" t="s">
        <v>35</v>
      </c>
      <c r="X68" s="52" t="s">
        <v>258</v>
      </c>
    </row>
    <row r="69" spans="1:24" ht="20.45" customHeight="1">
      <c r="A69" s="10" t="s">
        <v>95</v>
      </c>
      <c r="B69" s="11">
        <v>1.0243055555555556E-2</v>
      </c>
      <c r="C69" s="11">
        <v>2.9513888888888888E-3</v>
      </c>
      <c r="D69" s="11">
        <f>B69*E69</f>
        <v>5.9594097222222218E-3</v>
      </c>
      <c r="E69" s="12">
        <v>0.58179999999999998</v>
      </c>
      <c r="F69" s="11">
        <f>C69/4</f>
        <v>7.378472222222222E-4</v>
      </c>
      <c r="G69" s="11">
        <f>D69/7.5</f>
        <v>7.9458796296296287E-4</v>
      </c>
      <c r="H69" s="11">
        <f>B69/12.5</f>
        <v>8.1944444444444447E-4</v>
      </c>
      <c r="I69" s="11">
        <f>G69/0.93</f>
        <v>8.5439565909996003E-4</v>
      </c>
      <c r="J69" s="11">
        <f>G69/0.92</f>
        <v>8.636825684380031E-4</v>
      </c>
      <c r="K69" s="11">
        <f>G69/0.88</f>
        <v>9.0294086700336686E-4</v>
      </c>
      <c r="L69" s="11">
        <f>G69/0.84</f>
        <v>9.4593805114638445E-4</v>
      </c>
      <c r="M69" s="25">
        <f>WO2025Jan7men119151719232529313335394143454749555759636567697173757779131719212327[[#This Row],[Thresh]]</f>
        <v>9.0294086700336686E-4</v>
      </c>
      <c r="N69" s="28">
        <f>WO2025Jan7men119151719232529313335394143454749555759636567697173757779131719212327[[#This Row],[Thresh]]*2.5</f>
        <v>2.2573521675084171E-3</v>
      </c>
      <c r="O69" s="25">
        <f>WO2025Jan7men119151719232529313335394143454749555759636567697173757779131719212327[[#This Row],[CV]]</f>
        <v>8.636825684380031E-4</v>
      </c>
      <c r="P69" s="28">
        <f>WO2025Jan7men119151719232529313335394143454749555759636567697173757779131719212327[[#This Row],[CV]]*2.5</f>
        <v>2.1592064210950077E-3</v>
      </c>
      <c r="Q69" s="25">
        <f>WO2025Jan7men119151719232529313335394143454749555759636567697173757779131719212327[[#This Row],[I]]</f>
        <v>8.1944444444444447E-4</v>
      </c>
      <c r="R69" s="28">
        <f>WO2025Jan7men119151719232529313335394143454749555759636567697173757779131719212327[[#This Row],[I]]*2.5</f>
        <v>2.0486111111111113E-3</v>
      </c>
      <c r="S69" s="25">
        <f>WO2025Jan7men119151719232529313335394143454749555759636567697173757779131719212327[[#This Row],[VO2]]</f>
        <v>7.9458796296296287E-4</v>
      </c>
      <c r="T69" s="25"/>
      <c r="U69" s="28"/>
      <c r="V69" s="25"/>
      <c r="W69" s="15" t="s">
        <v>35</v>
      </c>
      <c r="X69" s="52"/>
    </row>
    <row r="70" spans="1:24" ht="20.45" customHeight="1">
      <c r="A70" s="10" t="s">
        <v>116</v>
      </c>
      <c r="B70" s="11">
        <v>1.0243055555555556E-2</v>
      </c>
      <c r="C70" s="11">
        <v>2.9513888888888888E-3</v>
      </c>
      <c r="D70" s="11">
        <f>B70*E70</f>
        <v>5.9594097222222218E-3</v>
      </c>
      <c r="E70" s="12">
        <v>0.58179999999999998</v>
      </c>
      <c r="F70" s="11">
        <f>C70/4</f>
        <v>7.378472222222222E-4</v>
      </c>
      <c r="G70" s="11">
        <f>D70/7.5</f>
        <v>7.9458796296296287E-4</v>
      </c>
      <c r="H70" s="11">
        <f>B70/12.5</f>
        <v>8.1944444444444447E-4</v>
      </c>
      <c r="I70" s="11">
        <f>G70/0.93</f>
        <v>8.5439565909996003E-4</v>
      </c>
      <c r="J70" s="11">
        <f>G70/0.92</f>
        <v>8.636825684380031E-4</v>
      </c>
      <c r="K70" s="11">
        <f>G70/0.88</f>
        <v>9.0294086700336686E-4</v>
      </c>
      <c r="L70" s="17">
        <f>G70/0.84</f>
        <v>9.4593805114638445E-4</v>
      </c>
      <c r="M70" s="25">
        <f>WO2025Jan7men119151719232529313335394143454749555759636567697173757779131719212327[[#This Row],[Thresh]]</f>
        <v>9.0294086700336686E-4</v>
      </c>
      <c r="N70" s="28">
        <f>WO2025Jan7men119151719232529313335394143454749555759636567697173757779131719212327[[#This Row],[Thresh]]*2.5</f>
        <v>2.2573521675084171E-3</v>
      </c>
      <c r="O70" s="25">
        <f>WO2025Jan7men119151719232529313335394143454749555759636567697173757779131719212327[[#This Row],[CV]]</f>
        <v>8.636825684380031E-4</v>
      </c>
      <c r="P70" s="28">
        <f>WO2025Jan7men119151719232529313335394143454749555759636567697173757779131719212327[[#This Row],[CV]]*2.5</f>
        <v>2.1592064210950077E-3</v>
      </c>
      <c r="Q70" s="25">
        <f>WO2025Jan7men119151719232529313335394143454749555759636567697173757779131719212327[[#This Row],[I]]</f>
        <v>8.1944444444444447E-4</v>
      </c>
      <c r="R70" s="28">
        <f>WO2025Jan7men119151719232529313335394143454749555759636567697173757779131719212327[[#This Row],[I]]*2.5</f>
        <v>2.0486111111111113E-3</v>
      </c>
      <c r="S70" s="25">
        <f>WO2025Jan7men119151719232529313335394143454749555759636567697173757779131719212327[[#This Row],[VO2]]</f>
        <v>7.9458796296296287E-4</v>
      </c>
      <c r="T70" s="25"/>
      <c r="U70" s="28"/>
      <c r="V70" s="25"/>
      <c r="W70" s="15" t="s">
        <v>35</v>
      </c>
      <c r="X70" s="52"/>
    </row>
    <row r="71" spans="1:24" ht="20.45" customHeight="1">
      <c r="A71" s="10" t="s">
        <v>111</v>
      </c>
      <c r="B71" s="11">
        <v>1.0243055555555556E-2</v>
      </c>
      <c r="C71" s="11">
        <v>3.0092592592592588E-3</v>
      </c>
      <c r="D71" s="11">
        <f>B71*E71</f>
        <v>5.9594097222222218E-3</v>
      </c>
      <c r="E71" s="12">
        <v>0.58179999999999998</v>
      </c>
      <c r="F71" s="11">
        <f>C71/4</f>
        <v>7.5231481481481471E-4</v>
      </c>
      <c r="G71" s="11">
        <f>D71/7.5</f>
        <v>7.9458796296296287E-4</v>
      </c>
      <c r="H71" s="11">
        <f>B71/12.5</f>
        <v>8.1944444444444447E-4</v>
      </c>
      <c r="I71" s="11">
        <f>G71/0.93</f>
        <v>8.5439565909996003E-4</v>
      </c>
      <c r="J71" s="11">
        <f>G71/0.92</f>
        <v>8.636825684380031E-4</v>
      </c>
      <c r="K71" s="11">
        <f>G71/0.88</f>
        <v>9.0294086700336686E-4</v>
      </c>
      <c r="L71" s="11">
        <f>G71/0.84</f>
        <v>9.4593805114638445E-4</v>
      </c>
      <c r="M71" s="25">
        <f>WO2025Jan7men119151719232529313335394143454749555759636567697173757779131719212327[[#This Row],[Thresh]]</f>
        <v>9.0294086700336686E-4</v>
      </c>
      <c r="N71" s="28">
        <f>WO2025Jan7men119151719232529313335394143454749555759636567697173757779131719212327[[#This Row],[Thresh]]*2.5</f>
        <v>2.2573521675084171E-3</v>
      </c>
      <c r="O71" s="25">
        <f>WO2025Jan7men119151719232529313335394143454749555759636567697173757779131719212327[[#This Row],[CV]]</f>
        <v>8.636825684380031E-4</v>
      </c>
      <c r="P71" s="28">
        <f>WO2025Jan7men119151719232529313335394143454749555759636567697173757779131719212327[[#This Row],[CV]]*2.5</f>
        <v>2.1592064210950077E-3</v>
      </c>
      <c r="Q71" s="25">
        <f>WO2025Jan7men119151719232529313335394143454749555759636567697173757779131719212327[[#This Row],[I]]</f>
        <v>8.1944444444444447E-4</v>
      </c>
      <c r="R71" s="28">
        <f>WO2025Jan7men119151719232529313335394143454749555759636567697173757779131719212327[[#This Row],[I]]*2.5</f>
        <v>2.0486111111111113E-3</v>
      </c>
      <c r="S71" s="25">
        <f>WO2025Jan7men119151719232529313335394143454749555759636567697173757779131719212327[[#This Row],[VO2]]</f>
        <v>7.9458796296296287E-4</v>
      </c>
      <c r="T71" s="25"/>
      <c r="U71" s="28"/>
      <c r="V71" s="25"/>
      <c r="W71" s="15" t="s">
        <v>35</v>
      </c>
      <c r="X71" s="52"/>
    </row>
    <row r="72" spans="1:24" ht="20.45" customHeight="1">
      <c r="A72" s="10" t="s">
        <v>92</v>
      </c>
      <c r="B72" s="11">
        <v>1.0300925925925925E-2</v>
      </c>
      <c r="C72" s="11">
        <v>2.9745370370370373E-3</v>
      </c>
      <c r="D72" s="11">
        <f>B72*E72</f>
        <v>5.9930787037037027E-3</v>
      </c>
      <c r="E72" s="12">
        <v>0.58179999999999998</v>
      </c>
      <c r="F72" s="11">
        <f>C72/4</f>
        <v>7.4363425925925931E-4</v>
      </c>
      <c r="G72" s="11">
        <f>D72/7.5</f>
        <v>7.9907716049382703E-4</v>
      </c>
      <c r="H72" s="11">
        <f>B72/12.5</f>
        <v>8.2407407407407397E-4</v>
      </c>
      <c r="I72" s="11">
        <f>G72/0.93</f>
        <v>8.5922275321916877E-4</v>
      </c>
      <c r="J72" s="11">
        <f>G72/0.92</f>
        <v>8.6856213097155112E-4</v>
      </c>
      <c r="K72" s="11">
        <f>G72/0.88</f>
        <v>9.080422278338944E-4</v>
      </c>
      <c r="L72" s="11">
        <f>G72/0.84</f>
        <v>9.5128233392122272E-4</v>
      </c>
      <c r="M72" s="25">
        <f>WO2025Jan7men119151719232529313335394143454749555759636567697173757779131719212327[[#This Row],[Thresh]]</f>
        <v>9.080422278338944E-4</v>
      </c>
      <c r="N72" s="28">
        <f>WO2025Jan7men119151719232529313335394143454749555759636567697173757779131719212327[[#This Row],[Thresh]]*2.5</f>
        <v>2.2701055695847358E-3</v>
      </c>
      <c r="O72" s="25">
        <f>WO2025Jan7men119151719232529313335394143454749555759636567697173757779131719212327[[#This Row],[CV]]</f>
        <v>8.6856213097155112E-4</v>
      </c>
      <c r="P72" s="28">
        <f>WO2025Jan7men119151719232529313335394143454749555759636567697173757779131719212327[[#This Row],[CV]]*2.5</f>
        <v>2.1714053274288778E-3</v>
      </c>
      <c r="Q72" s="25">
        <f>WO2025Jan7men119151719232529313335394143454749555759636567697173757779131719212327[[#This Row],[I]]</f>
        <v>8.2407407407407397E-4</v>
      </c>
      <c r="R72" s="28">
        <f>WO2025Jan7men119151719232529313335394143454749555759636567697173757779131719212327[[#This Row],[I]]*2.5</f>
        <v>2.0601851851851849E-3</v>
      </c>
      <c r="S72" s="25">
        <f>WO2025Jan7men119151719232529313335394143454749555759636567697173757779131719212327[[#This Row],[VO2]]</f>
        <v>7.9907716049382703E-4</v>
      </c>
      <c r="T72" s="25"/>
      <c r="U72" s="28"/>
      <c r="V72" s="25"/>
      <c r="W72" s="15" t="s">
        <v>26</v>
      </c>
      <c r="X72" s="52"/>
    </row>
    <row r="73" spans="1:24" ht="20.45" customHeight="1">
      <c r="A73" s="10" t="s">
        <v>85</v>
      </c>
      <c r="B73" s="11">
        <v>1.0300925925925925E-2</v>
      </c>
      <c r="C73" s="11">
        <v>3.0671296296296297E-3</v>
      </c>
      <c r="D73" s="11">
        <f>B73*E73</f>
        <v>5.9930787037037027E-3</v>
      </c>
      <c r="E73" s="12">
        <v>0.58179999999999998</v>
      </c>
      <c r="F73" s="11">
        <f>C73/4</f>
        <v>7.6678240740740743E-4</v>
      </c>
      <c r="G73" s="11">
        <f>D73/7.5</f>
        <v>7.9907716049382703E-4</v>
      </c>
      <c r="H73" s="11">
        <f>B73/12.5</f>
        <v>8.2407407407407397E-4</v>
      </c>
      <c r="I73" s="11">
        <f>G73/0.93</f>
        <v>8.5922275321916877E-4</v>
      </c>
      <c r="J73" s="11">
        <f>G73/0.92</f>
        <v>8.6856213097155112E-4</v>
      </c>
      <c r="K73" s="11">
        <f>G73/0.88</f>
        <v>9.080422278338944E-4</v>
      </c>
      <c r="L73" s="17">
        <f>G73/0.84</f>
        <v>9.5128233392122272E-4</v>
      </c>
      <c r="M73" s="25">
        <f>WO2025Jan7men119151719232529313335394143454749555759636567697173757779131719212327[[#This Row],[Thresh]]</f>
        <v>9.080422278338944E-4</v>
      </c>
      <c r="N73" s="28">
        <f>WO2025Jan7men119151719232529313335394143454749555759636567697173757779131719212327[[#This Row],[Thresh]]*2.5</f>
        <v>2.2701055695847358E-3</v>
      </c>
      <c r="O73" s="25">
        <f>WO2025Jan7men119151719232529313335394143454749555759636567697173757779131719212327[[#This Row],[CV]]</f>
        <v>8.6856213097155112E-4</v>
      </c>
      <c r="P73" s="28">
        <f>WO2025Jan7men119151719232529313335394143454749555759636567697173757779131719212327[[#This Row],[CV]]*2.5</f>
        <v>2.1714053274288778E-3</v>
      </c>
      <c r="Q73" s="25">
        <f>WO2025Jan7men119151719232529313335394143454749555759636567697173757779131719212327[[#This Row],[I]]</f>
        <v>8.2407407407407397E-4</v>
      </c>
      <c r="R73" s="28">
        <f>WO2025Jan7men119151719232529313335394143454749555759636567697173757779131719212327[[#This Row],[I]]*2.5</f>
        <v>2.0601851851851849E-3</v>
      </c>
      <c r="S73" s="25">
        <f>WO2025Jan7men119151719232529313335394143454749555759636567697173757779131719212327[[#This Row],[VO2]]</f>
        <v>7.9907716049382703E-4</v>
      </c>
      <c r="T73" s="25"/>
      <c r="U73" s="28"/>
      <c r="V73" s="25"/>
      <c r="W73" s="15" t="s">
        <v>26</v>
      </c>
      <c r="X73" s="52"/>
    </row>
    <row r="74" spans="1:24" ht="20.45" customHeight="1">
      <c r="A74" s="10" t="s">
        <v>86</v>
      </c>
      <c r="B74" s="11">
        <v>1.0300925925925925E-2</v>
      </c>
      <c r="C74" s="11">
        <v>3.0671296296296297E-3</v>
      </c>
      <c r="D74" s="11">
        <f t="shared" si="24"/>
        <v>5.9930787037037027E-3</v>
      </c>
      <c r="E74" s="12">
        <v>0.58179999999999998</v>
      </c>
      <c r="F74" s="11">
        <f t="shared" si="25"/>
        <v>7.6678240740740743E-4</v>
      </c>
      <c r="G74" s="11">
        <f t="shared" si="26"/>
        <v>7.9907716049382703E-4</v>
      </c>
      <c r="H74" s="11">
        <f t="shared" si="27"/>
        <v>8.2407407407407397E-4</v>
      </c>
      <c r="I74" s="11">
        <f t="shared" si="28"/>
        <v>8.5922275321916877E-4</v>
      </c>
      <c r="J74" s="11">
        <f t="shared" si="29"/>
        <v>8.6856213097155112E-4</v>
      </c>
      <c r="K74" s="11">
        <f t="shared" si="30"/>
        <v>9.080422278338944E-4</v>
      </c>
      <c r="L74" s="11">
        <f t="shared" si="31"/>
        <v>9.5128233392122272E-4</v>
      </c>
      <c r="M74" s="25">
        <f>WO2025Jan7men119151719232529313335394143454749555759636567697173757779131719212327[[#This Row],[Thresh]]</f>
        <v>9.080422278338944E-4</v>
      </c>
      <c r="N74" s="28">
        <f>WO2025Jan7men119151719232529313335394143454749555759636567697173757779131719212327[[#This Row],[Thresh]]*2.5</f>
        <v>2.2701055695847358E-3</v>
      </c>
      <c r="O74" s="25">
        <f>WO2025Jan7men119151719232529313335394143454749555759636567697173757779131719212327[[#This Row],[CV]]</f>
        <v>8.6856213097155112E-4</v>
      </c>
      <c r="P74" s="28">
        <f>WO2025Jan7men119151719232529313335394143454749555759636567697173757779131719212327[[#This Row],[CV]]*2.5</f>
        <v>2.1714053274288778E-3</v>
      </c>
      <c r="Q74" s="25">
        <f>WO2025Jan7men119151719232529313335394143454749555759636567697173757779131719212327[[#This Row],[I]]</f>
        <v>8.2407407407407397E-4</v>
      </c>
      <c r="R74" s="28">
        <f>WO2025Jan7men119151719232529313335394143454749555759636567697173757779131719212327[[#This Row],[I]]*2.5</f>
        <v>2.0601851851851849E-3</v>
      </c>
      <c r="S74" s="25">
        <f>WO2025Jan7men119151719232529313335394143454749555759636567697173757779131719212327[[#This Row],[VO2]]</f>
        <v>7.9907716049382703E-4</v>
      </c>
      <c r="T74" s="25"/>
      <c r="U74" s="28"/>
      <c r="V74" s="25"/>
      <c r="W74" s="15" t="s">
        <v>26</v>
      </c>
      <c r="X74" s="52"/>
    </row>
    <row r="75" spans="1:24" ht="20.45" customHeight="1">
      <c r="A75" s="10" t="s">
        <v>117</v>
      </c>
      <c r="B75" s="11">
        <v>1.0300925925925925E-2</v>
      </c>
      <c r="C75" s="11">
        <v>3.0671296296296297E-3</v>
      </c>
      <c r="D75" s="11">
        <f t="shared" si="24"/>
        <v>5.9930787037037027E-3</v>
      </c>
      <c r="E75" s="12">
        <v>0.58179999999999998</v>
      </c>
      <c r="F75" s="11">
        <f t="shared" si="25"/>
        <v>7.6678240740740743E-4</v>
      </c>
      <c r="G75" s="11">
        <f t="shared" si="26"/>
        <v>7.9907716049382703E-4</v>
      </c>
      <c r="H75" s="11">
        <f t="shared" si="27"/>
        <v>8.2407407407407397E-4</v>
      </c>
      <c r="I75" s="11">
        <f t="shared" si="28"/>
        <v>8.5922275321916877E-4</v>
      </c>
      <c r="J75" s="11">
        <f t="shared" si="29"/>
        <v>8.6856213097155112E-4</v>
      </c>
      <c r="K75" s="11">
        <f t="shared" si="30"/>
        <v>9.080422278338944E-4</v>
      </c>
      <c r="L75" s="11">
        <f t="shared" si="31"/>
        <v>9.5128233392122272E-4</v>
      </c>
      <c r="M75" s="25">
        <f>WO2025Jan7men119151719232529313335394143454749555759636567697173757779131719212327[[#This Row],[Thresh]]</f>
        <v>9.080422278338944E-4</v>
      </c>
      <c r="N75" s="28">
        <f>WO2025Jan7men119151719232529313335394143454749555759636567697173757779131719212327[[#This Row],[Thresh]]*2.5</f>
        <v>2.2701055695847358E-3</v>
      </c>
      <c r="O75" s="25">
        <f>WO2025Jan7men119151719232529313335394143454749555759636567697173757779131719212327[[#This Row],[CV]]</f>
        <v>8.6856213097155112E-4</v>
      </c>
      <c r="P75" s="28">
        <f>WO2025Jan7men119151719232529313335394143454749555759636567697173757779131719212327[[#This Row],[CV]]*2.5</f>
        <v>2.1714053274288778E-3</v>
      </c>
      <c r="Q75" s="25">
        <f>WO2025Jan7men119151719232529313335394143454749555759636567697173757779131719212327[[#This Row],[I]]</f>
        <v>8.2407407407407397E-4</v>
      </c>
      <c r="R75" s="28">
        <f>WO2025Jan7men119151719232529313335394143454749555759636567697173757779131719212327[[#This Row],[I]]*2.5</f>
        <v>2.0601851851851849E-3</v>
      </c>
      <c r="S75" s="25">
        <f>WO2025Jan7men119151719232529313335394143454749555759636567697173757779131719212327[[#This Row],[VO2]]</f>
        <v>7.9907716049382703E-4</v>
      </c>
      <c r="T75" s="25"/>
      <c r="U75" s="28"/>
      <c r="V75" s="25"/>
      <c r="W75" s="15" t="s">
        <v>35</v>
      </c>
      <c r="X75" s="52"/>
    </row>
    <row r="76" spans="1:24" ht="20.45" customHeight="1">
      <c r="A76" s="10" t="s">
        <v>118</v>
      </c>
      <c r="B76" s="11">
        <v>1.0300925925925925E-2</v>
      </c>
      <c r="C76" s="11">
        <v>3.0671296296296297E-3</v>
      </c>
      <c r="D76" s="11">
        <f>B76*E76</f>
        <v>5.9930787037037027E-3</v>
      </c>
      <c r="E76" s="12">
        <v>0.58179999999999998</v>
      </c>
      <c r="F76" s="11">
        <f>C76/4</f>
        <v>7.6678240740740743E-4</v>
      </c>
      <c r="G76" s="11">
        <f>D76/7.5</f>
        <v>7.9907716049382703E-4</v>
      </c>
      <c r="H76" s="11">
        <f>B76/12.5</f>
        <v>8.2407407407407397E-4</v>
      </c>
      <c r="I76" s="11">
        <f>G76/0.93</f>
        <v>8.5922275321916877E-4</v>
      </c>
      <c r="J76" s="11">
        <f>G76/0.92</f>
        <v>8.6856213097155112E-4</v>
      </c>
      <c r="K76" s="11">
        <f>G76/0.88</f>
        <v>9.080422278338944E-4</v>
      </c>
      <c r="L76" s="11">
        <f>G76/0.84</f>
        <v>9.5128233392122272E-4</v>
      </c>
      <c r="M76" s="25">
        <f>WO2025Jan7men119151719232529313335394143454749555759636567697173757779131719212327[[#This Row],[Thresh]]</f>
        <v>9.080422278338944E-4</v>
      </c>
      <c r="N76" s="28">
        <f>WO2025Jan7men119151719232529313335394143454749555759636567697173757779131719212327[[#This Row],[Thresh]]*2.5</f>
        <v>2.2701055695847358E-3</v>
      </c>
      <c r="O76" s="25">
        <f>WO2025Jan7men119151719232529313335394143454749555759636567697173757779131719212327[[#This Row],[CV]]</f>
        <v>8.6856213097155112E-4</v>
      </c>
      <c r="P76" s="28">
        <f>WO2025Jan7men119151719232529313335394143454749555759636567697173757779131719212327[[#This Row],[CV]]*2.5</f>
        <v>2.1714053274288778E-3</v>
      </c>
      <c r="Q76" s="25">
        <f>WO2025Jan7men119151719232529313335394143454749555759636567697173757779131719212327[[#This Row],[I]]</f>
        <v>8.2407407407407397E-4</v>
      </c>
      <c r="R76" s="28">
        <f>WO2025Jan7men119151719232529313335394143454749555759636567697173757779131719212327[[#This Row],[I]]*2.5</f>
        <v>2.0601851851851849E-3</v>
      </c>
      <c r="S76" s="25">
        <f>WO2025Jan7men119151719232529313335394143454749555759636567697173757779131719212327[[#This Row],[VO2]]</f>
        <v>7.9907716049382703E-4</v>
      </c>
      <c r="T76" s="25"/>
      <c r="U76" s="28"/>
      <c r="V76" s="25"/>
      <c r="W76" s="15" t="s">
        <v>26</v>
      </c>
      <c r="X76" s="52"/>
    </row>
    <row r="77" spans="1:24" ht="20.45" customHeight="1">
      <c r="A77" s="10" t="s">
        <v>94</v>
      </c>
      <c r="B77" s="11">
        <v>1.0416666666666666E-2</v>
      </c>
      <c r="C77" s="11">
        <v>2.8935185185185188E-3</v>
      </c>
      <c r="D77" s="11">
        <f t="shared" si="24"/>
        <v>6.0604166666666662E-3</v>
      </c>
      <c r="E77" s="12">
        <v>0.58179999999999998</v>
      </c>
      <c r="F77" s="11">
        <f t="shared" si="25"/>
        <v>7.233796296296297E-4</v>
      </c>
      <c r="G77" s="11">
        <f t="shared" si="26"/>
        <v>8.0805555555555546E-4</v>
      </c>
      <c r="H77" s="11">
        <f t="shared" si="27"/>
        <v>8.3333333333333328E-4</v>
      </c>
      <c r="I77" s="11">
        <f t="shared" si="28"/>
        <v>8.6887694145758646E-4</v>
      </c>
      <c r="J77" s="11">
        <f t="shared" si="29"/>
        <v>8.7832125603864715E-4</v>
      </c>
      <c r="K77" s="11">
        <f t="shared" si="30"/>
        <v>9.1824494949494938E-4</v>
      </c>
      <c r="L77" s="17">
        <f t="shared" si="31"/>
        <v>9.6197089947089938E-4</v>
      </c>
      <c r="M77" s="25">
        <f>WO2025Jan7men119151719232529313335394143454749555759636567697173757779131719212327[[#This Row],[Thresh]]</f>
        <v>9.1824494949494938E-4</v>
      </c>
      <c r="N77" s="28">
        <f>WO2025Jan7men119151719232529313335394143454749555759636567697173757779131719212327[[#This Row],[Thresh]]*2.5</f>
        <v>2.2956123737373733E-3</v>
      </c>
      <c r="O77" s="25">
        <f>WO2025Jan7men119151719232529313335394143454749555759636567697173757779131719212327[[#This Row],[CV]]</f>
        <v>8.7832125603864715E-4</v>
      </c>
      <c r="P77" s="28">
        <f>WO2025Jan7men119151719232529313335394143454749555759636567697173757779131719212327[[#This Row],[CV]]*2.5</f>
        <v>2.195803140096618E-3</v>
      </c>
      <c r="Q77" s="25">
        <f>WO2025Jan7men119151719232529313335394143454749555759636567697173757779131719212327[[#This Row],[I]]</f>
        <v>8.3333333333333328E-4</v>
      </c>
      <c r="R77" s="28">
        <f>WO2025Jan7men119151719232529313335394143454749555759636567697173757779131719212327[[#This Row],[I]]*2.5</f>
        <v>2.0833333333333333E-3</v>
      </c>
      <c r="S77" s="25">
        <f>WO2025Jan7men119151719232529313335394143454749555759636567697173757779131719212327[[#This Row],[VO2]]</f>
        <v>8.0805555555555546E-4</v>
      </c>
      <c r="T77" s="25"/>
      <c r="U77" s="28"/>
      <c r="V77" s="25"/>
      <c r="W77" s="15" t="s">
        <v>35</v>
      </c>
      <c r="X77" s="52"/>
    </row>
    <row r="78" spans="1:24" ht="20.45" customHeight="1">
      <c r="A78" s="10" t="s">
        <v>119</v>
      </c>
      <c r="B78" s="11">
        <v>1.0416666666666666E-2</v>
      </c>
      <c r="C78" s="11"/>
      <c r="D78" s="11">
        <f t="shared" si="24"/>
        <v>6.0604166666666662E-3</v>
      </c>
      <c r="E78" s="12">
        <v>0.58179999999999998</v>
      </c>
      <c r="F78" s="11">
        <f t="shared" si="25"/>
        <v>0</v>
      </c>
      <c r="G78" s="11">
        <f t="shared" si="26"/>
        <v>8.0805555555555546E-4</v>
      </c>
      <c r="H78" s="11">
        <f t="shared" si="27"/>
        <v>8.3333333333333328E-4</v>
      </c>
      <c r="I78" s="11">
        <f t="shared" si="28"/>
        <v>8.6887694145758646E-4</v>
      </c>
      <c r="J78" s="11">
        <f t="shared" si="29"/>
        <v>8.7832125603864715E-4</v>
      </c>
      <c r="K78" s="11">
        <f t="shared" si="30"/>
        <v>9.1824494949494938E-4</v>
      </c>
      <c r="L78" s="11">
        <f t="shared" si="31"/>
        <v>9.6197089947089938E-4</v>
      </c>
      <c r="M78" s="25">
        <f>WO2025Jan7men119151719232529313335394143454749555759636567697173757779131719212327[[#This Row],[Thresh]]</f>
        <v>9.1824494949494938E-4</v>
      </c>
      <c r="N78" s="28">
        <f>WO2025Jan7men119151719232529313335394143454749555759636567697173757779131719212327[[#This Row],[Thresh]]*2.5</f>
        <v>2.2956123737373733E-3</v>
      </c>
      <c r="O78" s="25">
        <f>WO2025Jan7men119151719232529313335394143454749555759636567697173757779131719212327[[#This Row],[CV]]</f>
        <v>8.7832125603864715E-4</v>
      </c>
      <c r="P78" s="28">
        <f>WO2025Jan7men119151719232529313335394143454749555759636567697173757779131719212327[[#This Row],[CV]]*2.5</f>
        <v>2.195803140096618E-3</v>
      </c>
      <c r="Q78" s="25">
        <f>WO2025Jan7men119151719232529313335394143454749555759636567697173757779131719212327[[#This Row],[I]]</f>
        <v>8.3333333333333328E-4</v>
      </c>
      <c r="R78" s="28">
        <f>WO2025Jan7men119151719232529313335394143454749555759636567697173757779131719212327[[#This Row],[I]]*2.5</f>
        <v>2.0833333333333333E-3</v>
      </c>
      <c r="S78" s="25">
        <f>WO2025Jan7men119151719232529313335394143454749555759636567697173757779131719212327[[#This Row],[VO2]]</f>
        <v>8.0805555555555546E-4</v>
      </c>
      <c r="T78" s="25"/>
      <c r="U78" s="28"/>
      <c r="V78" s="28"/>
      <c r="W78" s="27" t="s">
        <v>26</v>
      </c>
      <c r="X78" s="52" t="s">
        <v>259</v>
      </c>
    </row>
    <row r="79" spans="1:24" ht="20.45" customHeight="1">
      <c r="A79" s="10" t="s">
        <v>120</v>
      </c>
      <c r="B79" s="11">
        <v>1.0416666666666666E-2</v>
      </c>
      <c r="C79" s="11">
        <v>3.1250000000000002E-3</v>
      </c>
      <c r="D79" s="11">
        <f t="shared" si="24"/>
        <v>6.0604166666666662E-3</v>
      </c>
      <c r="E79" s="12">
        <v>0.58179999999999998</v>
      </c>
      <c r="F79" s="11">
        <f t="shared" si="25"/>
        <v>7.8125000000000004E-4</v>
      </c>
      <c r="G79" s="11">
        <f t="shared" si="26"/>
        <v>8.0805555555555546E-4</v>
      </c>
      <c r="H79" s="11">
        <f t="shared" si="27"/>
        <v>8.3333333333333328E-4</v>
      </c>
      <c r="I79" s="11">
        <f t="shared" si="28"/>
        <v>8.6887694145758646E-4</v>
      </c>
      <c r="J79" s="11">
        <f t="shared" si="29"/>
        <v>8.7832125603864715E-4</v>
      </c>
      <c r="K79" s="11">
        <f t="shared" si="30"/>
        <v>9.1824494949494938E-4</v>
      </c>
      <c r="L79" s="11">
        <f t="shared" si="31"/>
        <v>9.6197089947089938E-4</v>
      </c>
      <c r="M79" s="25">
        <f>WO2025Jan7men119151719232529313335394143454749555759636567697173757779131719212327[[#This Row],[Thresh]]</f>
        <v>9.1824494949494938E-4</v>
      </c>
      <c r="N79" s="28">
        <f>WO2025Jan7men119151719232529313335394143454749555759636567697173757779131719212327[[#This Row],[Thresh]]*2.5</f>
        <v>2.2956123737373733E-3</v>
      </c>
      <c r="O79" s="25">
        <f>WO2025Jan7men119151719232529313335394143454749555759636567697173757779131719212327[[#This Row],[CV]]</f>
        <v>8.7832125603864715E-4</v>
      </c>
      <c r="P79" s="28">
        <f>WO2025Jan7men119151719232529313335394143454749555759636567697173757779131719212327[[#This Row],[CV]]*2.5</f>
        <v>2.195803140096618E-3</v>
      </c>
      <c r="Q79" s="25">
        <f>WO2025Jan7men119151719232529313335394143454749555759636567697173757779131719212327[[#This Row],[I]]</f>
        <v>8.3333333333333328E-4</v>
      </c>
      <c r="R79" s="28">
        <f>WO2025Jan7men119151719232529313335394143454749555759636567697173757779131719212327[[#This Row],[I]]*2.5</f>
        <v>2.0833333333333333E-3</v>
      </c>
      <c r="S79" s="25">
        <f>WO2025Jan7men119151719232529313335394143454749555759636567697173757779131719212327[[#This Row],[VO2]]</f>
        <v>8.0805555555555546E-4</v>
      </c>
      <c r="T79" s="25"/>
      <c r="U79" s="28"/>
      <c r="V79" s="25"/>
      <c r="W79" s="15" t="s">
        <v>35</v>
      </c>
      <c r="X79" s="52"/>
    </row>
    <row r="80" spans="1:24" ht="20.45" customHeight="1">
      <c r="A80" s="10" t="s">
        <v>115</v>
      </c>
      <c r="B80" s="11">
        <v>1.0416666666666666E-2</v>
      </c>
      <c r="C80" s="11">
        <v>2.9513888888888888E-3</v>
      </c>
      <c r="D80" s="11">
        <f>B80*E80</f>
        <v>6.0604166666666662E-3</v>
      </c>
      <c r="E80" s="12">
        <v>0.58179999999999998</v>
      </c>
      <c r="F80" s="11">
        <f>C80/4</f>
        <v>7.378472222222222E-4</v>
      </c>
      <c r="G80" s="11">
        <f>D80/7.5</f>
        <v>8.0805555555555546E-4</v>
      </c>
      <c r="H80" s="11">
        <f>B80/12.5</f>
        <v>8.3333333333333328E-4</v>
      </c>
      <c r="I80" s="11">
        <f>G80/0.93</f>
        <v>8.6887694145758646E-4</v>
      </c>
      <c r="J80" s="11">
        <f>G80/0.92</f>
        <v>8.7832125603864715E-4</v>
      </c>
      <c r="K80" s="11">
        <f>G80/0.88</f>
        <v>9.1824494949494938E-4</v>
      </c>
      <c r="L80" s="11">
        <f>G80/0.84</f>
        <v>9.6197089947089938E-4</v>
      </c>
      <c r="M80" s="25">
        <f>WO2025Jan7men119151719232529313335394143454749555759636567697173757779131719212327[[#This Row],[Thresh]]</f>
        <v>9.1824494949494938E-4</v>
      </c>
      <c r="N80" s="28">
        <f>WO2025Jan7men119151719232529313335394143454749555759636567697173757779131719212327[[#This Row],[Thresh]]*2.5</f>
        <v>2.2956123737373733E-3</v>
      </c>
      <c r="O80" s="25">
        <f>WO2025Jan7men119151719232529313335394143454749555759636567697173757779131719212327[[#This Row],[CV]]</f>
        <v>8.7832125603864715E-4</v>
      </c>
      <c r="P80" s="28">
        <f>WO2025Jan7men119151719232529313335394143454749555759636567697173757779131719212327[[#This Row],[CV]]*2.5</f>
        <v>2.195803140096618E-3</v>
      </c>
      <c r="Q80" s="25">
        <f>WO2025Jan7men119151719232529313335394143454749555759636567697173757779131719212327[[#This Row],[I]]</f>
        <v>8.3333333333333328E-4</v>
      </c>
      <c r="R80" s="28">
        <f>WO2025Jan7men119151719232529313335394143454749555759636567697173757779131719212327[[#This Row],[I]]*2.5</f>
        <v>2.0833333333333333E-3</v>
      </c>
      <c r="S80" s="25">
        <f>WO2025Jan7men119151719232529313335394143454749555759636567697173757779131719212327[[#This Row],[VO2]]</f>
        <v>8.0805555555555546E-4</v>
      </c>
      <c r="T80" s="25"/>
      <c r="U80" s="28"/>
      <c r="V80" s="28"/>
      <c r="W80" s="27" t="s">
        <v>35</v>
      </c>
      <c r="X80" s="52"/>
    </row>
    <row r="81" spans="1:24" ht="20.45" customHeight="1">
      <c r="A81" s="10" t="s">
        <v>87</v>
      </c>
      <c r="B81" s="11">
        <v>1.0532407407407407E-2</v>
      </c>
      <c r="C81" s="11">
        <v>2.9745370370370373E-3</v>
      </c>
      <c r="D81" s="11">
        <f t="shared" si="24"/>
        <v>6.1277546296296288E-3</v>
      </c>
      <c r="E81" s="12">
        <v>0.58179999999999998</v>
      </c>
      <c r="F81" s="11">
        <f t="shared" si="25"/>
        <v>7.4363425925925931E-4</v>
      </c>
      <c r="G81" s="11">
        <f t="shared" si="26"/>
        <v>8.1703395061728389E-4</v>
      </c>
      <c r="H81" s="11">
        <f t="shared" si="27"/>
        <v>8.4259259259259259E-4</v>
      </c>
      <c r="I81" s="11">
        <f t="shared" si="28"/>
        <v>8.7853112969600415E-4</v>
      </c>
      <c r="J81" s="11">
        <f t="shared" si="29"/>
        <v>8.8808038110574329E-4</v>
      </c>
      <c r="K81" s="11">
        <f t="shared" si="30"/>
        <v>9.2844767115600447E-4</v>
      </c>
      <c r="L81" s="11">
        <f t="shared" si="31"/>
        <v>9.7265946502057604E-4</v>
      </c>
      <c r="M81" s="25">
        <f>WO2025Jan7men119151719232529313335394143454749555759636567697173757779131719212327[[#This Row],[Thresh]]</f>
        <v>9.2844767115600447E-4</v>
      </c>
      <c r="N81" s="28">
        <f>WO2025Jan7men119151719232529313335394143454749555759636567697173757779131719212327[[#This Row],[Thresh]]*2.5</f>
        <v>2.3211191778900113E-3</v>
      </c>
      <c r="O81" s="25">
        <f>WO2025Jan7men119151719232529313335394143454749555759636567697173757779131719212327[[#This Row],[CV]]</f>
        <v>8.8808038110574329E-4</v>
      </c>
      <c r="P81" s="28">
        <f>WO2025Jan7men119151719232529313335394143454749555759636567697173757779131719212327[[#This Row],[CV]]*2.5</f>
        <v>2.2202009527643582E-3</v>
      </c>
      <c r="Q81" s="25">
        <f>WO2025Jan7men119151719232529313335394143454749555759636567697173757779131719212327[[#This Row],[I]]</f>
        <v>8.4259259259259259E-4</v>
      </c>
      <c r="R81" s="28">
        <f>WO2025Jan7men119151719232529313335394143454749555759636567697173757779131719212327[[#This Row],[I]]*2.5</f>
        <v>2.1064814814814813E-3</v>
      </c>
      <c r="S81" s="25">
        <f>WO2025Jan7men119151719232529313335394143454749555759636567697173757779131719212327[[#This Row],[VO2]]</f>
        <v>8.1703395061728389E-4</v>
      </c>
      <c r="T81" s="25"/>
      <c r="U81" s="28"/>
      <c r="V81" s="25"/>
      <c r="W81" s="15" t="s">
        <v>26</v>
      </c>
      <c r="X81" s="52"/>
    </row>
    <row r="82" spans="1:24" ht="20.45" customHeight="1">
      <c r="A82" s="10" t="s">
        <v>88</v>
      </c>
      <c r="B82" s="11">
        <v>1.0532407407407407E-2</v>
      </c>
      <c r="C82" s="11">
        <v>3.0671296296296297E-3</v>
      </c>
      <c r="D82" s="11">
        <f>B82*E82</f>
        <v>6.1277546296296288E-3</v>
      </c>
      <c r="E82" s="12">
        <v>0.58179999999999998</v>
      </c>
      <c r="F82" s="11">
        <f>C82/4</f>
        <v>7.6678240740740743E-4</v>
      </c>
      <c r="G82" s="11">
        <f>D82/7.5</f>
        <v>8.1703395061728389E-4</v>
      </c>
      <c r="H82" s="11">
        <f>B82/12.5</f>
        <v>8.4259259259259259E-4</v>
      </c>
      <c r="I82" s="11">
        <f>G82/0.93</f>
        <v>8.7853112969600415E-4</v>
      </c>
      <c r="J82" s="11">
        <f>G82/0.92</f>
        <v>8.8808038110574329E-4</v>
      </c>
      <c r="K82" s="11">
        <f>G82/0.88</f>
        <v>9.2844767115600447E-4</v>
      </c>
      <c r="L82" s="11">
        <f>G82/0.84</f>
        <v>9.7265946502057604E-4</v>
      </c>
      <c r="M82" s="25">
        <f>WO2025Jan7men119151719232529313335394143454749555759636567697173757779131719212327[[#This Row],[Thresh]]</f>
        <v>9.2844767115600447E-4</v>
      </c>
      <c r="N82" s="28">
        <f>WO2025Jan7men119151719232529313335394143454749555759636567697173757779131719212327[[#This Row],[Thresh]]*2.5</f>
        <v>2.3211191778900113E-3</v>
      </c>
      <c r="O82" s="25">
        <f>WO2025Jan7men119151719232529313335394143454749555759636567697173757779131719212327[[#This Row],[CV]]</f>
        <v>8.8808038110574329E-4</v>
      </c>
      <c r="P82" s="28">
        <f>WO2025Jan7men119151719232529313335394143454749555759636567697173757779131719212327[[#This Row],[CV]]*2.5</f>
        <v>2.2202009527643582E-3</v>
      </c>
      <c r="Q82" s="25">
        <f>WO2025Jan7men119151719232529313335394143454749555759636567697173757779131719212327[[#This Row],[I]]</f>
        <v>8.4259259259259259E-4</v>
      </c>
      <c r="R82" s="28">
        <f>WO2025Jan7men119151719232529313335394143454749555759636567697173757779131719212327[[#This Row],[I]]*2.5</f>
        <v>2.1064814814814813E-3</v>
      </c>
      <c r="S82" s="25">
        <f>WO2025Jan7men119151719232529313335394143454749555759636567697173757779131719212327[[#This Row],[VO2]]</f>
        <v>8.1703395061728389E-4</v>
      </c>
      <c r="T82" s="25"/>
      <c r="U82" s="28"/>
      <c r="V82" s="44"/>
      <c r="W82" s="28" t="s">
        <v>26</v>
      </c>
      <c r="X82" s="52"/>
    </row>
    <row r="83" spans="1:24" ht="20.45" customHeight="1">
      <c r="A83" s="10" t="s">
        <v>121</v>
      </c>
      <c r="B83" s="11">
        <v>1.0532407407407407E-2</v>
      </c>
      <c r="C83" s="11"/>
      <c r="D83" s="11">
        <f>B83*E83</f>
        <v>6.1277546296296288E-3</v>
      </c>
      <c r="E83" s="12">
        <v>0.58179999999999998</v>
      </c>
      <c r="F83" s="11">
        <f>C83/4</f>
        <v>0</v>
      </c>
      <c r="G83" s="11">
        <f>D83/7.5</f>
        <v>8.1703395061728389E-4</v>
      </c>
      <c r="H83" s="11">
        <f>B83/12.5</f>
        <v>8.4259259259259259E-4</v>
      </c>
      <c r="I83" s="11">
        <f>G83/0.93</f>
        <v>8.7853112969600415E-4</v>
      </c>
      <c r="J83" s="11">
        <f>G83/0.92</f>
        <v>8.8808038110574329E-4</v>
      </c>
      <c r="K83" s="11">
        <f>G83/0.88</f>
        <v>9.2844767115600447E-4</v>
      </c>
      <c r="L83" s="11">
        <f>G83/0.84</f>
        <v>9.7265946502057604E-4</v>
      </c>
      <c r="M83" s="25">
        <f>WO2025Jan7men119151719232529313335394143454749555759636567697173757779131719212327[[#This Row],[Thresh]]</f>
        <v>9.2844767115600447E-4</v>
      </c>
      <c r="N83" s="28">
        <f>WO2025Jan7men119151719232529313335394143454749555759636567697173757779131719212327[[#This Row],[Thresh]]*2.5</f>
        <v>2.3211191778900113E-3</v>
      </c>
      <c r="O83" s="25">
        <f>WO2025Jan7men119151719232529313335394143454749555759636567697173757779131719212327[[#This Row],[CV]]</f>
        <v>8.8808038110574329E-4</v>
      </c>
      <c r="P83" s="28">
        <f>WO2025Jan7men119151719232529313335394143454749555759636567697173757779131719212327[[#This Row],[CV]]*2.5</f>
        <v>2.2202009527643582E-3</v>
      </c>
      <c r="Q83" s="25">
        <f>WO2025Jan7men119151719232529313335394143454749555759636567697173757779131719212327[[#This Row],[I]]</f>
        <v>8.4259259259259259E-4</v>
      </c>
      <c r="R83" s="28">
        <f>WO2025Jan7men119151719232529313335394143454749555759636567697173757779131719212327[[#This Row],[I]]*2.5</f>
        <v>2.1064814814814813E-3</v>
      </c>
      <c r="S83" s="25">
        <f>WO2025Jan7men119151719232529313335394143454749555759636567697173757779131719212327[[#This Row],[VO2]]</f>
        <v>8.1703395061728389E-4</v>
      </c>
      <c r="T83" s="25"/>
      <c r="U83" s="28"/>
      <c r="V83" s="28"/>
      <c r="W83" s="27" t="s">
        <v>35</v>
      </c>
      <c r="X83" s="52"/>
    </row>
    <row r="84" spans="1:24" ht="20.45" customHeight="1">
      <c r="A84" s="10" t="s">
        <v>122</v>
      </c>
      <c r="B84" s="11">
        <v>1.0532407407407407E-2</v>
      </c>
      <c r="C84" s="11">
        <v>3.0671296296296297E-3</v>
      </c>
      <c r="D84" s="11">
        <f>B84*E84</f>
        <v>6.1277546296296288E-3</v>
      </c>
      <c r="E84" s="12">
        <v>0.58179999999999998</v>
      </c>
      <c r="F84" s="11">
        <f>C84/4</f>
        <v>7.6678240740740743E-4</v>
      </c>
      <c r="G84" s="11">
        <f>D84/7.5</f>
        <v>8.1703395061728389E-4</v>
      </c>
      <c r="H84" s="11">
        <f>B84/12.5</f>
        <v>8.4259259259259259E-4</v>
      </c>
      <c r="I84" s="11">
        <f>G84/0.93</f>
        <v>8.7853112969600415E-4</v>
      </c>
      <c r="J84" s="11">
        <f>G84/0.92</f>
        <v>8.8808038110574329E-4</v>
      </c>
      <c r="K84" s="11">
        <f>G84/0.88</f>
        <v>9.2844767115600447E-4</v>
      </c>
      <c r="L84" s="11">
        <f>G84/0.84</f>
        <v>9.7265946502057604E-4</v>
      </c>
      <c r="M84" s="25">
        <f>WO2025Jan7men119151719232529313335394143454749555759636567697173757779131719212327[[#This Row],[Thresh]]</f>
        <v>9.2844767115600447E-4</v>
      </c>
      <c r="N84" s="28">
        <f>WO2025Jan7men119151719232529313335394143454749555759636567697173757779131719212327[[#This Row],[Thresh]]*2.5</f>
        <v>2.3211191778900113E-3</v>
      </c>
      <c r="O84" s="25">
        <f>WO2025Jan7men119151719232529313335394143454749555759636567697173757779131719212327[[#This Row],[CV]]</f>
        <v>8.8808038110574329E-4</v>
      </c>
      <c r="P84" s="28">
        <f>WO2025Jan7men119151719232529313335394143454749555759636567697173757779131719212327[[#This Row],[CV]]*2.5</f>
        <v>2.2202009527643582E-3</v>
      </c>
      <c r="Q84" s="25">
        <f>WO2025Jan7men119151719232529313335394143454749555759636567697173757779131719212327[[#This Row],[I]]</f>
        <v>8.4259259259259259E-4</v>
      </c>
      <c r="R84" s="28">
        <f>WO2025Jan7men119151719232529313335394143454749555759636567697173757779131719212327[[#This Row],[I]]*2.5</f>
        <v>2.1064814814814813E-3</v>
      </c>
      <c r="S84" s="25">
        <f>WO2025Jan7men119151719232529313335394143454749555759636567697173757779131719212327[[#This Row],[VO2]]</f>
        <v>8.1703395061728389E-4</v>
      </c>
      <c r="T84" s="25"/>
      <c r="U84" s="28"/>
      <c r="V84" s="28"/>
      <c r="W84" s="15" t="s">
        <v>35</v>
      </c>
      <c r="X84" s="52"/>
    </row>
    <row r="85" spans="1:24" ht="20.45" customHeight="1">
      <c r="A85" s="10" t="s">
        <v>123</v>
      </c>
      <c r="B85" s="11">
        <v>1.0590277777777778E-2</v>
      </c>
      <c r="C85" s="11">
        <v>3.1828703703703702E-3</v>
      </c>
      <c r="D85" s="11">
        <f>B85*E85</f>
        <v>6.1614236111111114E-3</v>
      </c>
      <c r="E85" s="12">
        <v>0.58179999999999998</v>
      </c>
      <c r="F85" s="11">
        <f>C85/4</f>
        <v>7.9571759259259255E-4</v>
      </c>
      <c r="G85" s="11">
        <f>D85/7.5</f>
        <v>8.2152314814814816E-4</v>
      </c>
      <c r="H85" s="11">
        <f>B85/12.5</f>
        <v>8.472222222222223E-4</v>
      </c>
      <c r="I85" s="11">
        <f>G85/0.93</f>
        <v>8.8335822381521299E-4</v>
      </c>
      <c r="J85" s="11">
        <f>G85/0.92</f>
        <v>8.9295994363929141E-4</v>
      </c>
      <c r="K85" s="11">
        <f>G85/0.88</f>
        <v>9.3354903198653201E-4</v>
      </c>
      <c r="L85" s="11">
        <f>G85/0.84</f>
        <v>9.7800374779541442E-4</v>
      </c>
      <c r="M85" s="25">
        <f>WO2025Jan7men119151719232529313335394143454749555759636567697173757779131719212327[[#This Row],[Thresh]]</f>
        <v>9.3354903198653201E-4</v>
      </c>
      <c r="N85" s="28">
        <f>WO2025Jan7men119151719232529313335394143454749555759636567697173757779131719212327[[#This Row],[Thresh]]*2.5</f>
        <v>2.33387257996633E-3</v>
      </c>
      <c r="O85" s="25">
        <f>WO2025Jan7men119151719232529313335394143454749555759636567697173757779131719212327[[#This Row],[CV]]</f>
        <v>8.9295994363929141E-4</v>
      </c>
      <c r="P85" s="28">
        <f>WO2025Jan7men119151719232529313335394143454749555759636567697173757779131719212327[[#This Row],[CV]]*2.5</f>
        <v>2.2323998590982287E-3</v>
      </c>
      <c r="Q85" s="25">
        <f>WO2025Jan7men119151719232529313335394143454749555759636567697173757779131719212327[[#This Row],[I]]</f>
        <v>8.472222222222223E-4</v>
      </c>
      <c r="R85" s="28">
        <f>WO2025Jan7men119151719232529313335394143454749555759636567697173757779131719212327[[#This Row],[I]]*2.5</f>
        <v>2.1180555555555558E-3</v>
      </c>
      <c r="S85" s="25">
        <f>WO2025Jan7men119151719232529313335394143454749555759636567697173757779131719212327[[#This Row],[VO2]]</f>
        <v>8.2152314814814816E-4</v>
      </c>
      <c r="T85" s="25"/>
      <c r="U85" s="28"/>
      <c r="V85" s="28"/>
      <c r="W85" s="15" t="s">
        <v>26</v>
      </c>
      <c r="X85" s="52"/>
    </row>
    <row r="86" spans="1:24" ht="20.45" customHeight="1" thickBot="1">
      <c r="A86" s="10" t="s">
        <v>91</v>
      </c>
      <c r="B86" s="11">
        <v>1.0590277777777778E-2</v>
      </c>
      <c r="C86" s="11">
        <v>3.1249999999999997E-3</v>
      </c>
      <c r="D86" s="11">
        <f t="shared" si="24"/>
        <v>6.1614236111111114E-3</v>
      </c>
      <c r="E86" s="12">
        <v>0.58179999999999998</v>
      </c>
      <c r="F86" s="11">
        <f t="shared" si="25"/>
        <v>7.8124999999999993E-4</v>
      </c>
      <c r="G86" s="11">
        <f t="shared" si="26"/>
        <v>8.2152314814814816E-4</v>
      </c>
      <c r="H86" s="11">
        <f t="shared" si="27"/>
        <v>8.472222222222223E-4</v>
      </c>
      <c r="I86" s="11">
        <f t="shared" si="28"/>
        <v>8.8335822381521299E-4</v>
      </c>
      <c r="J86" s="11">
        <f t="shared" si="29"/>
        <v>8.9295994363929141E-4</v>
      </c>
      <c r="K86" s="11">
        <f t="shared" si="30"/>
        <v>9.3354903198653201E-4</v>
      </c>
      <c r="L86" s="11">
        <f t="shared" si="31"/>
        <v>9.7800374779541442E-4</v>
      </c>
      <c r="M86" s="25">
        <f>WO2025Jan7men119151719232529313335394143454749555759636567697173757779131719212327[[#This Row],[Thresh]]</f>
        <v>9.3354903198653201E-4</v>
      </c>
      <c r="N86" s="28">
        <f>WO2025Jan7men119151719232529313335394143454749555759636567697173757779131719212327[[#This Row],[Thresh]]*2.5</f>
        <v>2.33387257996633E-3</v>
      </c>
      <c r="O86" s="25">
        <f>WO2025Jan7men119151719232529313335394143454749555759636567697173757779131719212327[[#This Row],[CV]]</f>
        <v>8.9295994363929141E-4</v>
      </c>
      <c r="P86" s="28">
        <f>WO2025Jan7men119151719232529313335394143454749555759636567697173757779131719212327[[#This Row],[CV]]*2.5</f>
        <v>2.2323998590982287E-3</v>
      </c>
      <c r="Q86" s="25">
        <f>WO2025Jan7men119151719232529313335394143454749555759636567697173757779131719212327[[#This Row],[I]]</f>
        <v>8.472222222222223E-4</v>
      </c>
      <c r="R86" s="28">
        <f>WO2025Jan7men119151719232529313335394143454749555759636567697173757779131719212327[[#This Row],[I]]*2.5</f>
        <v>2.1180555555555558E-3</v>
      </c>
      <c r="S86" s="25">
        <f>WO2025Jan7men119151719232529313335394143454749555759636567697173757779131719212327[[#This Row],[VO2]]</f>
        <v>8.2152314814814816E-4</v>
      </c>
      <c r="T86" s="25"/>
      <c r="U86" s="28"/>
      <c r="V86" s="25"/>
      <c r="W86" s="15" t="s">
        <v>26</v>
      </c>
      <c r="X86" s="52"/>
    </row>
    <row r="87" spans="1:24" ht="20.45" customHeight="1">
      <c r="A87" s="1" t="s">
        <v>251</v>
      </c>
      <c r="B87" s="6"/>
      <c r="C87" s="6"/>
      <c r="D87" s="6"/>
      <c r="E87" s="20"/>
      <c r="F87" s="6"/>
      <c r="G87" s="6"/>
      <c r="H87" s="6"/>
      <c r="I87" s="6"/>
      <c r="J87" s="6"/>
      <c r="K87" s="6"/>
      <c r="L87" s="6"/>
      <c r="M87" s="6" t="s">
        <v>12</v>
      </c>
      <c r="N87" s="6" t="s">
        <v>13</v>
      </c>
      <c r="O87" s="6" t="s">
        <v>14</v>
      </c>
      <c r="P87" s="6" t="s">
        <v>161</v>
      </c>
      <c r="Q87" s="6" t="s">
        <v>17</v>
      </c>
      <c r="R87" s="6" t="s">
        <v>199</v>
      </c>
      <c r="S87" s="6" t="s">
        <v>158</v>
      </c>
      <c r="T87" s="6"/>
      <c r="U87" s="6"/>
      <c r="V87" s="23"/>
      <c r="W87" s="35"/>
      <c r="X87" s="52"/>
    </row>
    <row r="88" spans="1:24" ht="20.45" customHeight="1">
      <c r="A88" s="10" t="s">
        <v>129</v>
      </c>
      <c r="B88" s="11">
        <v>1.0648148148148148E-2</v>
      </c>
      <c r="C88" s="11">
        <v>3.0092592592592593E-3</v>
      </c>
      <c r="D88" s="11">
        <f t="shared" si="24"/>
        <v>6.1950925925925923E-3</v>
      </c>
      <c r="E88" s="12">
        <v>0.58179999999999998</v>
      </c>
      <c r="F88" s="11">
        <f t="shared" si="25"/>
        <v>7.5231481481481482E-4</v>
      </c>
      <c r="G88" s="11">
        <f t="shared" si="26"/>
        <v>8.2601234567901232E-4</v>
      </c>
      <c r="H88" s="11">
        <f t="shared" si="27"/>
        <v>8.5185185185185179E-4</v>
      </c>
      <c r="I88" s="11">
        <f t="shared" si="28"/>
        <v>8.8818531793442184E-4</v>
      </c>
      <c r="J88" s="11">
        <f t="shared" si="29"/>
        <v>8.9783950617283942E-4</v>
      </c>
      <c r="K88" s="11">
        <f t="shared" si="30"/>
        <v>9.3865039281705945E-4</v>
      </c>
      <c r="L88" s="11">
        <f t="shared" si="31"/>
        <v>9.833480305702527E-4</v>
      </c>
      <c r="M88" s="25">
        <f>WO2025Jan7men119151719232529313335394143454749555759636567697173757779131719212327[[#This Row],[Thresh]]</f>
        <v>9.3865039281705945E-4</v>
      </c>
      <c r="N88" s="28">
        <f>WO2025Jan7men119151719232529313335394143454749555759636567697173757779131719212327[[#This Row],[Thresh]]*2.5</f>
        <v>2.3466259820426488E-3</v>
      </c>
      <c r="O88" s="25">
        <f>WO2025Jan7men119151719232529313335394143454749555759636567697173757779131719212327[[#This Row],[CV]]</f>
        <v>8.9783950617283942E-4</v>
      </c>
      <c r="P88" s="28">
        <f>WO2025Jan7men119151719232529313335394143454749555759636567697173757779131719212327[[#This Row],[CV]]*2.5</f>
        <v>2.2445987654320983E-3</v>
      </c>
      <c r="Q88" s="25">
        <f>WO2025Jan7men119151719232529313335394143454749555759636567697173757779131719212327[[#This Row],[I]]</f>
        <v>8.5185185185185179E-4</v>
      </c>
      <c r="R88" s="28">
        <f>WO2025Jan7men119151719232529313335394143454749555759636567697173757779131719212327[[#This Row],[I]]*2.5</f>
        <v>2.1296296296296293E-3</v>
      </c>
      <c r="S88" s="25">
        <f>WO2025Jan7men119151719232529313335394143454749555759636567697173757779131719212327[[#This Row],[VO2]]</f>
        <v>8.2601234567901232E-4</v>
      </c>
      <c r="T88" s="25"/>
      <c r="U88" s="28"/>
      <c r="V88" s="25"/>
      <c r="W88" s="15" t="s">
        <v>35</v>
      </c>
      <c r="X88" s="52" t="s">
        <v>256</v>
      </c>
    </row>
    <row r="89" spans="1:24" ht="20.45" customHeight="1">
      <c r="A89" s="10" t="s">
        <v>90</v>
      </c>
      <c r="B89" s="11">
        <v>1.0648148148148148E-2</v>
      </c>
      <c r="C89" s="11">
        <v>3.0671296296296297E-3</v>
      </c>
      <c r="D89" s="11">
        <f>B89*E89</f>
        <v>6.1950925925925923E-3</v>
      </c>
      <c r="E89" s="12">
        <v>0.58179999999999998</v>
      </c>
      <c r="F89" s="11">
        <f>C89/4</f>
        <v>7.6678240740740743E-4</v>
      </c>
      <c r="G89" s="11">
        <f>D89/7.5</f>
        <v>8.2601234567901232E-4</v>
      </c>
      <c r="H89" s="11">
        <f>B89/12.5</f>
        <v>8.5185185185185179E-4</v>
      </c>
      <c r="I89" s="11">
        <f>G89/0.93</f>
        <v>8.8818531793442184E-4</v>
      </c>
      <c r="J89" s="11">
        <f>G89/0.92</f>
        <v>8.9783950617283942E-4</v>
      </c>
      <c r="K89" s="11">
        <f>G89/0.88</f>
        <v>9.3865039281705945E-4</v>
      </c>
      <c r="L89" s="17">
        <f>G89/0.84</f>
        <v>9.833480305702527E-4</v>
      </c>
      <c r="M89" s="25">
        <f>WO2025Jan7men119151719232529313335394143454749555759636567697173757779131719212327[[#This Row],[Thresh]]</f>
        <v>9.3865039281705945E-4</v>
      </c>
      <c r="N89" s="28">
        <f>WO2025Jan7men119151719232529313335394143454749555759636567697173757779131719212327[[#This Row],[Thresh]]*2.5</f>
        <v>2.3466259820426488E-3</v>
      </c>
      <c r="O89" s="25">
        <f>WO2025Jan7men119151719232529313335394143454749555759636567697173757779131719212327[[#This Row],[CV]]</f>
        <v>8.9783950617283942E-4</v>
      </c>
      <c r="P89" s="28">
        <f>WO2025Jan7men119151719232529313335394143454749555759636567697173757779131719212327[[#This Row],[CV]]*2.5</f>
        <v>2.2445987654320983E-3</v>
      </c>
      <c r="Q89" s="25">
        <f>WO2025Jan7men119151719232529313335394143454749555759636567697173757779131719212327[[#This Row],[I]]</f>
        <v>8.5185185185185179E-4</v>
      </c>
      <c r="R89" s="28">
        <f>WO2025Jan7men119151719232529313335394143454749555759636567697173757779131719212327[[#This Row],[I]]*2.5</f>
        <v>2.1296296296296293E-3</v>
      </c>
      <c r="S89" s="25">
        <f>WO2025Jan7men119151719232529313335394143454749555759636567697173757779131719212327[[#This Row],[VO2]]</f>
        <v>8.2601234567901232E-4</v>
      </c>
      <c r="T89" s="25"/>
      <c r="U89" s="28"/>
      <c r="V89" s="25"/>
      <c r="W89" s="15" t="s">
        <v>35</v>
      </c>
      <c r="X89" s="52"/>
    </row>
    <row r="90" spans="1:24" ht="20.45" customHeight="1">
      <c r="A90" s="10" t="s">
        <v>125</v>
      </c>
      <c r="B90" s="11">
        <v>1.0648148148148148E-2</v>
      </c>
      <c r="C90" s="11"/>
      <c r="D90" s="11">
        <f t="shared" si="24"/>
        <v>6.1950925925925923E-3</v>
      </c>
      <c r="E90" s="12">
        <v>0.58179999999999998</v>
      </c>
      <c r="F90" s="11">
        <f t="shared" si="25"/>
        <v>0</v>
      </c>
      <c r="G90" s="11">
        <f t="shared" si="26"/>
        <v>8.2601234567901232E-4</v>
      </c>
      <c r="H90" s="11">
        <f t="shared" si="27"/>
        <v>8.5185185185185179E-4</v>
      </c>
      <c r="I90" s="11">
        <f t="shared" si="28"/>
        <v>8.8818531793442184E-4</v>
      </c>
      <c r="J90" s="11">
        <f t="shared" si="29"/>
        <v>8.9783950617283942E-4</v>
      </c>
      <c r="K90" s="11">
        <f t="shared" si="30"/>
        <v>9.3865039281705945E-4</v>
      </c>
      <c r="L90" s="11">
        <f t="shared" si="31"/>
        <v>9.833480305702527E-4</v>
      </c>
      <c r="M90" s="25">
        <f>WO2025Jan7men119151719232529313335394143454749555759636567697173757779131719212327[[#This Row],[Thresh]]</f>
        <v>9.3865039281705945E-4</v>
      </c>
      <c r="N90" s="28">
        <f>WO2025Jan7men119151719232529313335394143454749555759636567697173757779131719212327[[#This Row],[Thresh]]*2.5</f>
        <v>2.3466259820426488E-3</v>
      </c>
      <c r="O90" s="25">
        <f>WO2025Jan7men119151719232529313335394143454749555759636567697173757779131719212327[[#This Row],[CV]]</f>
        <v>8.9783950617283942E-4</v>
      </c>
      <c r="P90" s="28">
        <f>WO2025Jan7men119151719232529313335394143454749555759636567697173757779131719212327[[#This Row],[CV]]*2.5</f>
        <v>2.2445987654320983E-3</v>
      </c>
      <c r="Q90" s="25">
        <f>WO2025Jan7men119151719232529313335394143454749555759636567697173757779131719212327[[#This Row],[I]]</f>
        <v>8.5185185185185179E-4</v>
      </c>
      <c r="R90" s="28">
        <f>WO2025Jan7men119151719232529313335394143454749555759636567697173757779131719212327[[#This Row],[I]]*2.5</f>
        <v>2.1296296296296293E-3</v>
      </c>
      <c r="S90" s="25">
        <f>WO2025Jan7men119151719232529313335394143454749555759636567697173757779131719212327[[#This Row],[VO2]]</f>
        <v>8.2601234567901232E-4</v>
      </c>
      <c r="T90" s="25"/>
      <c r="U90" s="28"/>
      <c r="V90" s="28"/>
      <c r="W90" s="15" t="s">
        <v>26</v>
      </c>
      <c r="X90" s="52"/>
    </row>
    <row r="91" spans="1:24" ht="20.45" customHeight="1">
      <c r="A91" s="10" t="s">
        <v>126</v>
      </c>
      <c r="B91" s="11">
        <v>1.0648148148148148E-2</v>
      </c>
      <c r="C91" s="11"/>
      <c r="D91" s="11">
        <f t="shared" si="24"/>
        <v>6.1950925925925923E-3</v>
      </c>
      <c r="E91" s="12">
        <v>0.58179999999999998</v>
      </c>
      <c r="F91" s="11">
        <f t="shared" si="25"/>
        <v>0</v>
      </c>
      <c r="G91" s="11">
        <f t="shared" si="26"/>
        <v>8.2601234567901232E-4</v>
      </c>
      <c r="H91" s="11">
        <f t="shared" si="27"/>
        <v>8.5185185185185179E-4</v>
      </c>
      <c r="I91" s="11">
        <f t="shared" si="28"/>
        <v>8.8818531793442184E-4</v>
      </c>
      <c r="J91" s="11">
        <f t="shared" si="29"/>
        <v>8.9783950617283942E-4</v>
      </c>
      <c r="K91" s="11">
        <f t="shared" si="30"/>
        <v>9.3865039281705945E-4</v>
      </c>
      <c r="L91" s="11">
        <f t="shared" si="31"/>
        <v>9.833480305702527E-4</v>
      </c>
      <c r="M91" s="25">
        <f>WO2025Jan7men119151719232529313335394143454749555759636567697173757779131719212327[[#This Row],[Thresh]]</f>
        <v>9.3865039281705945E-4</v>
      </c>
      <c r="N91" s="28">
        <f>WO2025Jan7men119151719232529313335394143454749555759636567697173757779131719212327[[#This Row],[Thresh]]*2.5</f>
        <v>2.3466259820426488E-3</v>
      </c>
      <c r="O91" s="25">
        <f>WO2025Jan7men119151719232529313335394143454749555759636567697173757779131719212327[[#This Row],[CV]]</f>
        <v>8.9783950617283942E-4</v>
      </c>
      <c r="P91" s="28">
        <f>WO2025Jan7men119151719232529313335394143454749555759636567697173757779131719212327[[#This Row],[CV]]*2.5</f>
        <v>2.2445987654320983E-3</v>
      </c>
      <c r="Q91" s="25">
        <f>WO2025Jan7men119151719232529313335394143454749555759636567697173757779131719212327[[#This Row],[I]]</f>
        <v>8.5185185185185179E-4</v>
      </c>
      <c r="R91" s="28">
        <f>WO2025Jan7men119151719232529313335394143454749555759636567697173757779131719212327[[#This Row],[I]]*2.5</f>
        <v>2.1296296296296293E-3</v>
      </c>
      <c r="S91" s="25">
        <f>WO2025Jan7men119151719232529313335394143454749555759636567697173757779131719212327[[#This Row],[VO2]]</f>
        <v>8.2601234567901232E-4</v>
      </c>
      <c r="T91" s="25"/>
      <c r="U91" s="28"/>
      <c r="V91" s="28"/>
      <c r="W91" s="27" t="s">
        <v>35</v>
      </c>
      <c r="X91" s="52"/>
    </row>
    <row r="92" spans="1:24" ht="20.45" customHeight="1">
      <c r="A92" s="10" t="s">
        <v>124</v>
      </c>
      <c r="B92" s="11">
        <v>1.0648148148148148E-2</v>
      </c>
      <c r="C92" s="11"/>
      <c r="D92" s="11">
        <f t="shared" si="24"/>
        <v>6.1950925925925923E-3</v>
      </c>
      <c r="E92" s="12">
        <v>0.58179999999999998</v>
      </c>
      <c r="F92" s="11">
        <f t="shared" si="25"/>
        <v>0</v>
      </c>
      <c r="G92" s="11">
        <f t="shared" si="26"/>
        <v>8.2601234567901232E-4</v>
      </c>
      <c r="H92" s="11">
        <f t="shared" si="27"/>
        <v>8.5185185185185179E-4</v>
      </c>
      <c r="I92" s="11">
        <f t="shared" si="28"/>
        <v>8.8818531793442184E-4</v>
      </c>
      <c r="J92" s="11">
        <f t="shared" si="29"/>
        <v>8.9783950617283942E-4</v>
      </c>
      <c r="K92" s="11">
        <f t="shared" si="30"/>
        <v>9.3865039281705945E-4</v>
      </c>
      <c r="L92" s="11">
        <f t="shared" si="31"/>
        <v>9.833480305702527E-4</v>
      </c>
      <c r="M92" s="25">
        <f>WO2025Jan7men119151719232529313335394143454749555759636567697173757779131719212327[[#This Row],[Thresh]]</f>
        <v>9.3865039281705945E-4</v>
      </c>
      <c r="N92" s="28">
        <f>WO2025Jan7men119151719232529313335394143454749555759636567697173757779131719212327[[#This Row],[Thresh]]*2.5</f>
        <v>2.3466259820426488E-3</v>
      </c>
      <c r="O92" s="25">
        <f>WO2025Jan7men119151719232529313335394143454749555759636567697173757779131719212327[[#This Row],[CV]]</f>
        <v>8.9783950617283942E-4</v>
      </c>
      <c r="P92" s="28">
        <f>WO2025Jan7men119151719232529313335394143454749555759636567697173757779131719212327[[#This Row],[CV]]*2.5</f>
        <v>2.2445987654320983E-3</v>
      </c>
      <c r="Q92" s="25">
        <f>WO2025Jan7men119151719232529313335394143454749555759636567697173757779131719212327[[#This Row],[I]]</f>
        <v>8.5185185185185179E-4</v>
      </c>
      <c r="R92" s="28">
        <f>WO2025Jan7men119151719232529313335394143454749555759636567697173757779131719212327[[#This Row],[I]]*2.5</f>
        <v>2.1296296296296293E-3</v>
      </c>
      <c r="S92" s="25">
        <f>WO2025Jan7men119151719232529313335394143454749555759636567697173757779131719212327[[#This Row],[VO2]]</f>
        <v>8.2601234567901232E-4</v>
      </c>
      <c r="T92" s="25"/>
      <c r="U92" s="28"/>
      <c r="V92" s="28"/>
      <c r="W92" s="27" t="s">
        <v>26</v>
      </c>
      <c r="X92" s="52"/>
    </row>
    <row r="93" spans="1:24" ht="20.45" customHeight="1">
      <c r="A93" s="10" t="s">
        <v>127</v>
      </c>
      <c r="B93" s="11">
        <v>1.0648148148148148E-2</v>
      </c>
      <c r="C93" s="11">
        <v>2.9513888888888888E-3</v>
      </c>
      <c r="D93" s="11">
        <f>B93*E93</f>
        <v>6.1950925925925923E-3</v>
      </c>
      <c r="E93" s="12">
        <v>0.58179999999999998</v>
      </c>
      <c r="F93" s="11">
        <f>C93/4</f>
        <v>7.378472222222222E-4</v>
      </c>
      <c r="G93" s="11">
        <f>D93/7.5</f>
        <v>8.2601234567901232E-4</v>
      </c>
      <c r="H93" s="11">
        <f>B93/12.5</f>
        <v>8.5185185185185179E-4</v>
      </c>
      <c r="I93" s="11">
        <f>G93/0.93</f>
        <v>8.8818531793442184E-4</v>
      </c>
      <c r="J93" s="11">
        <f>G93/0.92</f>
        <v>8.9783950617283942E-4</v>
      </c>
      <c r="K93" s="11">
        <f>G93/0.88</f>
        <v>9.3865039281705945E-4</v>
      </c>
      <c r="L93" s="11">
        <f>G93/0.84</f>
        <v>9.833480305702527E-4</v>
      </c>
      <c r="M93" s="25">
        <f>WO2025Jan7men119151719232529313335394143454749555759636567697173757779131719212327[[#This Row],[Thresh]]</f>
        <v>9.3865039281705945E-4</v>
      </c>
      <c r="N93" s="28">
        <f>WO2025Jan7men119151719232529313335394143454749555759636567697173757779131719212327[[#This Row],[Thresh]]*2.5</f>
        <v>2.3466259820426488E-3</v>
      </c>
      <c r="O93" s="25">
        <f>WO2025Jan7men119151719232529313335394143454749555759636567697173757779131719212327[[#This Row],[CV]]</f>
        <v>8.9783950617283942E-4</v>
      </c>
      <c r="P93" s="28">
        <f>WO2025Jan7men119151719232529313335394143454749555759636567697173757779131719212327[[#This Row],[CV]]*2.5</f>
        <v>2.2445987654320983E-3</v>
      </c>
      <c r="Q93" s="25">
        <f>WO2025Jan7men119151719232529313335394143454749555759636567697173757779131719212327[[#This Row],[I]]</f>
        <v>8.5185185185185179E-4</v>
      </c>
      <c r="R93" s="28">
        <f>WO2025Jan7men119151719232529313335394143454749555759636567697173757779131719212327[[#This Row],[I]]*2.5</f>
        <v>2.1296296296296293E-3</v>
      </c>
      <c r="S93" s="25">
        <f>WO2025Jan7men119151719232529313335394143454749555759636567697173757779131719212327[[#This Row],[VO2]]</f>
        <v>8.2601234567901232E-4</v>
      </c>
      <c r="T93" s="25"/>
      <c r="U93" s="28"/>
      <c r="V93" s="28"/>
      <c r="W93" s="15" t="s">
        <v>35</v>
      </c>
      <c r="X93" s="52"/>
    </row>
    <row r="94" spans="1:24" ht="20.45" customHeight="1">
      <c r="A94" s="10" t="s">
        <v>130</v>
      </c>
      <c r="B94" s="11">
        <v>1.0763888888888891E-2</v>
      </c>
      <c r="C94" s="11">
        <v>3.1828703703703702E-3</v>
      </c>
      <c r="D94" s="11">
        <f>B94*E94</f>
        <v>6.2624305555555567E-3</v>
      </c>
      <c r="E94" s="12">
        <v>0.58179999999999998</v>
      </c>
      <c r="F94" s="11">
        <f>C94/4</f>
        <v>7.9571759259259255E-4</v>
      </c>
      <c r="G94" s="11">
        <f>D94/7.5</f>
        <v>8.3499074074074085E-4</v>
      </c>
      <c r="H94" s="11">
        <f>B94/12.5</f>
        <v>8.6111111111111121E-4</v>
      </c>
      <c r="I94" s="11">
        <f>G94/0.93</f>
        <v>8.9783950617283953E-4</v>
      </c>
      <c r="J94" s="11">
        <f>G94/0.92</f>
        <v>9.0759863123993567E-4</v>
      </c>
      <c r="K94" s="11">
        <f>G94/0.88</f>
        <v>9.4885311447811464E-4</v>
      </c>
      <c r="L94" s="11">
        <f>G94/0.84</f>
        <v>9.9403659611992969E-4</v>
      </c>
      <c r="M94" s="25">
        <f>WO2025Jan7men119151719232529313335394143454749555759636567697173757779131719212327[[#This Row],[Thresh]]</f>
        <v>9.4885311447811464E-4</v>
      </c>
      <c r="N94" s="28">
        <f>WO2025Jan7men119151719232529313335394143454749555759636567697173757779131719212327[[#This Row],[Thresh]]*2.5</f>
        <v>2.3721327861952867E-3</v>
      </c>
      <c r="O94" s="25">
        <f>WO2025Jan7men119151719232529313335394143454749555759636567697173757779131719212327[[#This Row],[CV]]</f>
        <v>9.0759863123993567E-4</v>
      </c>
      <c r="P94" s="28">
        <f>WO2025Jan7men119151719232529313335394143454749555759636567697173757779131719212327[[#This Row],[CV]]*2.5</f>
        <v>2.2689965780998394E-3</v>
      </c>
      <c r="Q94" s="25">
        <f>WO2025Jan7men119151719232529313335394143454749555759636567697173757779131719212327[[#This Row],[I]]</f>
        <v>8.6111111111111121E-4</v>
      </c>
      <c r="R94" s="28">
        <f>WO2025Jan7men119151719232529313335394143454749555759636567697173757779131719212327[[#This Row],[I]]*2.5</f>
        <v>2.1527777777777782E-3</v>
      </c>
      <c r="S94" s="25">
        <f>WO2025Jan7men119151719232529313335394143454749555759636567697173757779131719212327[[#This Row],[VO2]]</f>
        <v>8.3499074074074085E-4</v>
      </c>
      <c r="T94" s="25"/>
      <c r="U94" s="28"/>
      <c r="V94" s="28"/>
      <c r="W94" s="27" t="s">
        <v>35</v>
      </c>
      <c r="X94" s="52"/>
    </row>
    <row r="95" spans="1:24" ht="20.45" customHeight="1">
      <c r="A95" s="10" t="s">
        <v>137</v>
      </c>
      <c r="B95" s="11">
        <v>1.0763888888888891E-2</v>
      </c>
      <c r="C95" s="11">
        <v>3.0092592592592593E-3</v>
      </c>
      <c r="D95" s="11">
        <f>B95*E95</f>
        <v>6.2624305555555567E-3</v>
      </c>
      <c r="E95" s="12">
        <v>0.58179999999999998</v>
      </c>
      <c r="F95" s="11">
        <f>C95/4</f>
        <v>7.5231481481481482E-4</v>
      </c>
      <c r="G95" s="11">
        <f>D95/7.5</f>
        <v>8.3499074074074085E-4</v>
      </c>
      <c r="H95" s="11">
        <f>B95/12.5</f>
        <v>8.6111111111111121E-4</v>
      </c>
      <c r="I95" s="11">
        <f>G95/0.93</f>
        <v>8.9783950617283953E-4</v>
      </c>
      <c r="J95" s="11">
        <f>G95/0.92</f>
        <v>9.0759863123993567E-4</v>
      </c>
      <c r="K95" s="11">
        <f>G95/0.88</f>
        <v>9.4885311447811464E-4</v>
      </c>
      <c r="L95" s="11">
        <f>G95/0.84</f>
        <v>9.9403659611992969E-4</v>
      </c>
      <c r="M95" s="25">
        <f>WO2025Jan7men119151719232529313335394143454749555759636567697173757779131719212327[[#This Row],[Thresh]]</f>
        <v>9.4885311447811464E-4</v>
      </c>
      <c r="N95" s="28">
        <f>WO2025Jan7men119151719232529313335394143454749555759636567697173757779131719212327[[#This Row],[Thresh]]*2.5</f>
        <v>2.3721327861952867E-3</v>
      </c>
      <c r="O95" s="25">
        <f>WO2025Jan7men119151719232529313335394143454749555759636567697173757779131719212327[[#This Row],[CV]]</f>
        <v>9.0759863123993567E-4</v>
      </c>
      <c r="P95" s="28">
        <f>WO2025Jan7men119151719232529313335394143454749555759636567697173757779131719212327[[#This Row],[CV]]*2.5</f>
        <v>2.2689965780998394E-3</v>
      </c>
      <c r="Q95" s="25">
        <f>WO2025Jan7men119151719232529313335394143454749555759636567697173757779131719212327[[#This Row],[I]]</f>
        <v>8.6111111111111121E-4</v>
      </c>
      <c r="R95" s="28">
        <f>WO2025Jan7men119151719232529313335394143454749555759636567697173757779131719212327[[#This Row],[I]]*2.5</f>
        <v>2.1527777777777782E-3</v>
      </c>
      <c r="S95" s="25">
        <f>WO2025Jan7men119151719232529313335394143454749555759636567697173757779131719212327[[#This Row],[VO2]]</f>
        <v>8.3499074074074085E-4</v>
      </c>
      <c r="T95" s="25"/>
      <c r="U95" s="28"/>
      <c r="V95" s="28"/>
      <c r="W95" s="15" t="s">
        <v>35</v>
      </c>
      <c r="X95" s="52"/>
    </row>
    <row r="96" spans="1:24" ht="20.45" customHeight="1">
      <c r="A96" s="10" t="s">
        <v>131</v>
      </c>
      <c r="B96" s="11">
        <v>1.0763888888888891E-2</v>
      </c>
      <c r="C96" s="11">
        <v>3.1828703703703702E-3</v>
      </c>
      <c r="D96" s="11">
        <f t="shared" si="24"/>
        <v>6.2624305555555567E-3</v>
      </c>
      <c r="E96" s="12">
        <v>0.58179999999999998</v>
      </c>
      <c r="F96" s="11">
        <f t="shared" si="25"/>
        <v>7.9571759259259255E-4</v>
      </c>
      <c r="G96" s="11">
        <f t="shared" si="26"/>
        <v>8.3499074074074085E-4</v>
      </c>
      <c r="H96" s="11">
        <f t="shared" si="27"/>
        <v>8.6111111111111121E-4</v>
      </c>
      <c r="I96" s="11">
        <f t="shared" si="28"/>
        <v>8.9783950617283953E-4</v>
      </c>
      <c r="J96" s="11">
        <f t="shared" si="29"/>
        <v>9.0759863123993567E-4</v>
      </c>
      <c r="K96" s="11">
        <f t="shared" si="30"/>
        <v>9.4885311447811464E-4</v>
      </c>
      <c r="L96" s="11">
        <f t="shared" si="31"/>
        <v>9.9403659611992969E-4</v>
      </c>
      <c r="M96" s="25">
        <f>WO2025Jan7men119151719232529313335394143454749555759636567697173757779131719212327[[#This Row],[Thresh]]</f>
        <v>9.4885311447811464E-4</v>
      </c>
      <c r="N96" s="28">
        <f>WO2025Jan7men119151719232529313335394143454749555759636567697173757779131719212327[[#This Row],[Thresh]]*2.5</f>
        <v>2.3721327861952867E-3</v>
      </c>
      <c r="O96" s="25">
        <f>WO2025Jan7men119151719232529313335394143454749555759636567697173757779131719212327[[#This Row],[CV]]</f>
        <v>9.0759863123993567E-4</v>
      </c>
      <c r="P96" s="28">
        <f>WO2025Jan7men119151719232529313335394143454749555759636567697173757779131719212327[[#This Row],[CV]]*2.5</f>
        <v>2.2689965780998394E-3</v>
      </c>
      <c r="Q96" s="25">
        <f>WO2025Jan7men119151719232529313335394143454749555759636567697173757779131719212327[[#This Row],[I]]</f>
        <v>8.6111111111111121E-4</v>
      </c>
      <c r="R96" s="28">
        <f>WO2025Jan7men119151719232529313335394143454749555759636567697173757779131719212327[[#This Row],[I]]*2.5</f>
        <v>2.1527777777777782E-3</v>
      </c>
      <c r="S96" s="25">
        <f>WO2025Jan7men119151719232529313335394143454749555759636567697173757779131719212327[[#This Row],[VO2]]</f>
        <v>8.3499074074074085E-4</v>
      </c>
      <c r="T96" s="25"/>
      <c r="U96" s="28"/>
      <c r="V96" s="28"/>
      <c r="W96" s="15" t="s">
        <v>35</v>
      </c>
      <c r="X96" s="52"/>
    </row>
    <row r="97" spans="1:24" ht="20.45" customHeight="1">
      <c r="A97" s="10" t="s">
        <v>100</v>
      </c>
      <c r="B97" s="11">
        <v>1.0763888888888889E-2</v>
      </c>
      <c r="C97" s="11">
        <v>3.0671296296296297E-3</v>
      </c>
      <c r="D97" s="11">
        <f t="shared" si="24"/>
        <v>6.2624305555555549E-3</v>
      </c>
      <c r="E97" s="12">
        <v>0.58179999999999998</v>
      </c>
      <c r="F97" s="11">
        <f t="shared" si="25"/>
        <v>7.6678240740740743E-4</v>
      </c>
      <c r="G97" s="11">
        <f t="shared" si="26"/>
        <v>8.3499074074074064E-4</v>
      </c>
      <c r="H97" s="11">
        <f t="shared" si="27"/>
        <v>8.611111111111111E-4</v>
      </c>
      <c r="I97" s="11">
        <f t="shared" si="28"/>
        <v>8.9783950617283931E-4</v>
      </c>
      <c r="J97" s="11">
        <f t="shared" si="29"/>
        <v>9.0759863123993545E-4</v>
      </c>
      <c r="K97" s="11">
        <f t="shared" si="30"/>
        <v>9.4885311447811432E-4</v>
      </c>
      <c r="L97" s="17">
        <f t="shared" si="31"/>
        <v>9.9403659611992947E-4</v>
      </c>
      <c r="M97" s="25">
        <f>WO2025Jan7men119151719232529313335394143454749555759636567697173757779131719212327[[#This Row],[Thresh]]</f>
        <v>9.4885311447811432E-4</v>
      </c>
      <c r="N97" s="28">
        <f>WO2025Jan7men119151719232529313335394143454749555759636567697173757779131719212327[[#This Row],[Thresh]]*2.5</f>
        <v>2.3721327861952858E-3</v>
      </c>
      <c r="O97" s="25">
        <f>WO2025Jan7men119151719232529313335394143454749555759636567697173757779131719212327[[#This Row],[CV]]</f>
        <v>9.0759863123993545E-4</v>
      </c>
      <c r="P97" s="28">
        <f>WO2025Jan7men119151719232529313335394143454749555759636567697173757779131719212327[[#This Row],[CV]]*2.5</f>
        <v>2.2689965780998385E-3</v>
      </c>
      <c r="Q97" s="25">
        <f>WO2025Jan7men119151719232529313335394143454749555759636567697173757779131719212327[[#This Row],[I]]</f>
        <v>8.611111111111111E-4</v>
      </c>
      <c r="R97" s="28">
        <f>WO2025Jan7men119151719232529313335394143454749555759636567697173757779131719212327[[#This Row],[I]]*2.5</f>
        <v>2.1527777777777778E-3</v>
      </c>
      <c r="S97" s="25">
        <f>WO2025Jan7men119151719232529313335394143454749555759636567697173757779131719212327[[#This Row],[VO2]]</f>
        <v>8.3499074074074064E-4</v>
      </c>
      <c r="T97" s="25"/>
      <c r="U97" s="28"/>
      <c r="V97" s="25"/>
      <c r="W97" s="15" t="s">
        <v>35</v>
      </c>
      <c r="X97" s="52"/>
    </row>
    <row r="98" spans="1:24" ht="20.45" customHeight="1">
      <c r="A98" s="10" t="s">
        <v>114</v>
      </c>
      <c r="B98" s="11">
        <v>1.087962962962963E-2</v>
      </c>
      <c r="C98" s="11">
        <v>3.0671296296296297E-3</v>
      </c>
      <c r="D98" s="11">
        <f>B98*E98</f>
        <v>6.3297685185185184E-3</v>
      </c>
      <c r="E98" s="12">
        <v>0.58179999999999998</v>
      </c>
      <c r="F98" s="11">
        <f>C98/4</f>
        <v>7.6678240740740743E-4</v>
      </c>
      <c r="G98" s="11">
        <f>D98/7.5</f>
        <v>8.4396913580246917E-4</v>
      </c>
      <c r="H98" s="11">
        <f>B98/12.5</f>
        <v>8.7037037037037042E-4</v>
      </c>
      <c r="I98" s="11">
        <f>G98/0.93</f>
        <v>9.0749369441125711E-4</v>
      </c>
      <c r="J98" s="11">
        <f>G98/0.92</f>
        <v>9.173577563070317E-4</v>
      </c>
      <c r="K98" s="11">
        <f>G98/0.88</f>
        <v>9.5905583613916951E-4</v>
      </c>
      <c r="L98" s="11">
        <f>G98/0.84</f>
        <v>1.0047251616696062E-3</v>
      </c>
      <c r="M98" s="25">
        <f>WO2025Jan7men119151719232529313335394143454749555759636567697173757779131719212327[[#This Row],[Thresh]]</f>
        <v>9.5905583613916951E-4</v>
      </c>
      <c r="N98" s="28">
        <f>WO2025Jan7men119151719232529313335394143454749555759636567697173757779131719212327[[#This Row],[Thresh]]*2.5</f>
        <v>2.3976395903479238E-3</v>
      </c>
      <c r="O98" s="25">
        <f>WO2025Jan7men119151719232529313335394143454749555759636567697173757779131719212327[[#This Row],[CV]]</f>
        <v>9.173577563070317E-4</v>
      </c>
      <c r="P98" s="28">
        <f>WO2025Jan7men119151719232529313335394143454749555759636567697173757779131719212327[[#This Row],[CV]]*2.5</f>
        <v>2.2933943907675791E-3</v>
      </c>
      <c r="Q98" s="25">
        <f>WO2025Jan7men119151719232529313335394143454749555759636567697173757779131719212327[[#This Row],[I]]</f>
        <v>8.7037037037037042E-4</v>
      </c>
      <c r="R98" s="28">
        <f>WO2025Jan7men119151719232529313335394143454749555759636567697173757779131719212327[[#This Row],[I]]*2.5</f>
        <v>2.1759259259259262E-3</v>
      </c>
      <c r="S98" s="25">
        <f>WO2025Jan7men119151719232529313335394143454749555759636567697173757779131719212327[[#This Row],[VO2]]</f>
        <v>8.4396913580246917E-4</v>
      </c>
      <c r="T98" s="25"/>
      <c r="U98" s="28"/>
      <c r="V98" s="28"/>
      <c r="W98" s="15" t="s">
        <v>35</v>
      </c>
      <c r="X98" s="52"/>
    </row>
    <row r="99" spans="1:24" ht="20.45" customHeight="1">
      <c r="A99" s="10" t="s">
        <v>132</v>
      </c>
      <c r="B99" s="11">
        <v>1.087962962962963E-2</v>
      </c>
      <c r="C99" s="11"/>
      <c r="D99" s="11">
        <f t="shared" si="24"/>
        <v>6.3297685185185184E-3</v>
      </c>
      <c r="E99" s="12">
        <v>0.58179999999999998</v>
      </c>
      <c r="F99" s="11">
        <f t="shared" si="25"/>
        <v>0</v>
      </c>
      <c r="G99" s="11">
        <f t="shared" si="26"/>
        <v>8.4396913580246917E-4</v>
      </c>
      <c r="H99" s="11">
        <f t="shared" si="27"/>
        <v>8.7037037037037042E-4</v>
      </c>
      <c r="I99" s="11">
        <f t="shared" si="28"/>
        <v>9.0749369441125711E-4</v>
      </c>
      <c r="J99" s="11">
        <f t="shared" si="29"/>
        <v>9.173577563070317E-4</v>
      </c>
      <c r="K99" s="11">
        <f t="shared" si="30"/>
        <v>9.5905583613916951E-4</v>
      </c>
      <c r="L99" s="11">
        <f t="shared" si="31"/>
        <v>1.0047251616696062E-3</v>
      </c>
      <c r="M99" s="25">
        <f>WO2025Jan7men119151719232529313335394143454749555759636567697173757779131719212327[[#This Row],[Thresh]]</f>
        <v>9.5905583613916951E-4</v>
      </c>
      <c r="N99" s="28">
        <f>WO2025Jan7men119151719232529313335394143454749555759636567697173757779131719212327[[#This Row],[Thresh]]*2.5</f>
        <v>2.3976395903479238E-3</v>
      </c>
      <c r="O99" s="25">
        <f>WO2025Jan7men119151719232529313335394143454749555759636567697173757779131719212327[[#This Row],[CV]]</f>
        <v>9.173577563070317E-4</v>
      </c>
      <c r="P99" s="28">
        <f>WO2025Jan7men119151719232529313335394143454749555759636567697173757779131719212327[[#This Row],[CV]]*2.5</f>
        <v>2.2933943907675791E-3</v>
      </c>
      <c r="Q99" s="25">
        <f>WO2025Jan7men119151719232529313335394143454749555759636567697173757779131719212327[[#This Row],[I]]</f>
        <v>8.7037037037037042E-4</v>
      </c>
      <c r="R99" s="28">
        <f>WO2025Jan7men119151719232529313335394143454749555759636567697173757779131719212327[[#This Row],[I]]*2.5</f>
        <v>2.1759259259259262E-3</v>
      </c>
      <c r="S99" s="25">
        <f>WO2025Jan7men119151719232529313335394143454749555759636567697173757779131719212327[[#This Row],[VO2]]</f>
        <v>8.4396913580246917E-4</v>
      </c>
      <c r="T99" s="25"/>
      <c r="U99" s="28"/>
      <c r="V99" s="28"/>
      <c r="W99" s="27" t="s">
        <v>35</v>
      </c>
      <c r="X99" s="52"/>
    </row>
    <row r="100" spans="1:24" ht="20.45" customHeight="1">
      <c r="A100" s="10" t="s">
        <v>133</v>
      </c>
      <c r="B100" s="11">
        <v>1.087962962962963E-2</v>
      </c>
      <c r="C100" s="11">
        <v>3.1250000000000002E-3</v>
      </c>
      <c r="D100" s="11">
        <f t="shared" si="24"/>
        <v>6.3297685185185184E-3</v>
      </c>
      <c r="E100" s="12">
        <v>0.58179999999999998</v>
      </c>
      <c r="F100" s="11">
        <f t="shared" si="25"/>
        <v>7.8125000000000004E-4</v>
      </c>
      <c r="G100" s="11">
        <f t="shared" si="26"/>
        <v>8.4396913580246917E-4</v>
      </c>
      <c r="H100" s="11">
        <f t="shared" si="27"/>
        <v>8.7037037037037042E-4</v>
      </c>
      <c r="I100" s="11">
        <f t="shared" si="28"/>
        <v>9.0749369441125711E-4</v>
      </c>
      <c r="J100" s="11">
        <f t="shared" si="29"/>
        <v>9.173577563070317E-4</v>
      </c>
      <c r="K100" s="11">
        <f t="shared" si="30"/>
        <v>9.5905583613916951E-4</v>
      </c>
      <c r="L100" s="11">
        <f t="shared" si="31"/>
        <v>1.0047251616696062E-3</v>
      </c>
      <c r="M100" s="25">
        <f>WO2025Jan7men119151719232529313335394143454749555759636567697173757779131719212327[[#This Row],[Thresh]]</f>
        <v>9.5905583613916951E-4</v>
      </c>
      <c r="N100" s="28">
        <f>WO2025Jan7men119151719232529313335394143454749555759636567697173757779131719212327[[#This Row],[Thresh]]*2.5</f>
        <v>2.3976395903479238E-3</v>
      </c>
      <c r="O100" s="25">
        <f>WO2025Jan7men119151719232529313335394143454749555759636567697173757779131719212327[[#This Row],[CV]]</f>
        <v>9.173577563070317E-4</v>
      </c>
      <c r="P100" s="28">
        <f>WO2025Jan7men119151719232529313335394143454749555759636567697173757779131719212327[[#This Row],[CV]]*2.5</f>
        <v>2.2933943907675791E-3</v>
      </c>
      <c r="Q100" s="25">
        <f>WO2025Jan7men119151719232529313335394143454749555759636567697173757779131719212327[[#This Row],[I]]</f>
        <v>8.7037037037037042E-4</v>
      </c>
      <c r="R100" s="28">
        <f>WO2025Jan7men119151719232529313335394143454749555759636567697173757779131719212327[[#This Row],[I]]*2.5</f>
        <v>2.1759259259259262E-3</v>
      </c>
      <c r="S100" s="25">
        <f>WO2025Jan7men119151719232529313335394143454749555759636567697173757779131719212327[[#This Row],[VO2]]</f>
        <v>8.4396913580246917E-4</v>
      </c>
      <c r="T100" s="25"/>
      <c r="U100" s="28"/>
      <c r="V100" s="25"/>
      <c r="W100" s="15" t="s">
        <v>26</v>
      </c>
      <c r="X100" s="52"/>
    </row>
    <row r="101" spans="1:24" ht="20.45" customHeight="1">
      <c r="A101" s="10" t="s">
        <v>113</v>
      </c>
      <c r="B101" s="11">
        <v>1.087962962962963E-2</v>
      </c>
      <c r="C101" s="11">
        <v>3.2986111111111111E-3</v>
      </c>
      <c r="D101" s="11">
        <f t="shared" si="24"/>
        <v>6.3297685185185184E-3</v>
      </c>
      <c r="E101" s="12">
        <v>0.58179999999999998</v>
      </c>
      <c r="F101" s="11">
        <f t="shared" si="25"/>
        <v>8.2465277777777778E-4</v>
      </c>
      <c r="G101" s="11">
        <f t="shared" si="26"/>
        <v>8.4396913580246917E-4</v>
      </c>
      <c r="H101" s="11">
        <f t="shared" si="27"/>
        <v>8.7037037037037042E-4</v>
      </c>
      <c r="I101" s="11">
        <f t="shared" si="28"/>
        <v>9.0749369441125711E-4</v>
      </c>
      <c r="J101" s="11">
        <f t="shared" si="29"/>
        <v>9.173577563070317E-4</v>
      </c>
      <c r="K101" s="11">
        <f t="shared" si="30"/>
        <v>9.5905583613916951E-4</v>
      </c>
      <c r="L101" s="11">
        <f t="shared" si="31"/>
        <v>1.0047251616696062E-3</v>
      </c>
      <c r="M101" s="25">
        <f>WO2025Jan7men119151719232529313335394143454749555759636567697173757779131719212327[[#This Row],[Thresh]]</f>
        <v>9.5905583613916951E-4</v>
      </c>
      <c r="N101" s="28">
        <f>WO2025Jan7men119151719232529313335394143454749555759636567697173757779131719212327[[#This Row],[Thresh]]*2.5</f>
        <v>2.3976395903479238E-3</v>
      </c>
      <c r="O101" s="25">
        <f>WO2025Jan7men119151719232529313335394143454749555759636567697173757779131719212327[[#This Row],[CV]]</f>
        <v>9.173577563070317E-4</v>
      </c>
      <c r="P101" s="28">
        <f>WO2025Jan7men119151719232529313335394143454749555759636567697173757779131719212327[[#This Row],[CV]]*2.5</f>
        <v>2.2933943907675791E-3</v>
      </c>
      <c r="Q101" s="25">
        <f>WO2025Jan7men119151719232529313335394143454749555759636567697173757779131719212327[[#This Row],[I]]</f>
        <v>8.7037037037037042E-4</v>
      </c>
      <c r="R101" s="28">
        <f>WO2025Jan7men119151719232529313335394143454749555759636567697173757779131719212327[[#This Row],[I]]*2.5</f>
        <v>2.1759259259259262E-3</v>
      </c>
      <c r="S101" s="25">
        <f>WO2025Jan7men119151719232529313335394143454749555759636567697173757779131719212327[[#This Row],[VO2]]</f>
        <v>8.4396913580246917E-4</v>
      </c>
      <c r="T101" s="25"/>
      <c r="U101" s="28"/>
      <c r="V101" s="25"/>
      <c r="W101" s="15" t="s">
        <v>26</v>
      </c>
      <c r="X101" s="52"/>
    </row>
    <row r="102" spans="1:24" ht="20.45" customHeight="1">
      <c r="A102" s="10" t="s">
        <v>128</v>
      </c>
      <c r="B102" s="11">
        <v>1.087962962962963E-2</v>
      </c>
      <c r="C102" s="11"/>
      <c r="D102" s="11">
        <f>B102*E102</f>
        <v>6.3297685185185184E-3</v>
      </c>
      <c r="E102" s="12">
        <v>0.58179999999999998</v>
      </c>
      <c r="F102" s="11">
        <f>C102/4</f>
        <v>0</v>
      </c>
      <c r="G102" s="11">
        <f>D102/7.5</f>
        <v>8.4396913580246917E-4</v>
      </c>
      <c r="H102" s="11">
        <f>B102/12.5</f>
        <v>8.7037037037037042E-4</v>
      </c>
      <c r="I102" s="11">
        <f>G102/0.93</f>
        <v>9.0749369441125711E-4</v>
      </c>
      <c r="J102" s="11">
        <f>G102/0.92</f>
        <v>9.173577563070317E-4</v>
      </c>
      <c r="K102" s="11">
        <f>G102/0.88</f>
        <v>9.5905583613916951E-4</v>
      </c>
      <c r="L102" s="11">
        <f>G102/0.84</f>
        <v>1.0047251616696062E-3</v>
      </c>
      <c r="M102" s="25">
        <f>WO2025Jan7men119151719232529313335394143454749555759636567697173757779131719212327[[#This Row],[Thresh]]</f>
        <v>9.5905583613916951E-4</v>
      </c>
      <c r="N102" s="28">
        <f>WO2025Jan7men119151719232529313335394143454749555759636567697173757779131719212327[[#This Row],[Thresh]]*2.5</f>
        <v>2.3976395903479238E-3</v>
      </c>
      <c r="O102" s="25">
        <f>WO2025Jan7men119151719232529313335394143454749555759636567697173757779131719212327[[#This Row],[CV]]</f>
        <v>9.173577563070317E-4</v>
      </c>
      <c r="P102" s="28">
        <f>WO2025Jan7men119151719232529313335394143454749555759636567697173757779131719212327[[#This Row],[CV]]*2.5</f>
        <v>2.2933943907675791E-3</v>
      </c>
      <c r="Q102" s="25">
        <f>WO2025Jan7men119151719232529313335394143454749555759636567697173757779131719212327[[#This Row],[I]]</f>
        <v>8.7037037037037042E-4</v>
      </c>
      <c r="R102" s="28">
        <f>WO2025Jan7men119151719232529313335394143454749555759636567697173757779131719212327[[#This Row],[I]]*2.5</f>
        <v>2.1759259259259262E-3</v>
      </c>
      <c r="S102" s="25">
        <f>WO2025Jan7men119151719232529313335394143454749555759636567697173757779131719212327[[#This Row],[VO2]]</f>
        <v>8.4396913580246917E-4</v>
      </c>
      <c r="T102" s="25"/>
      <c r="U102" s="28"/>
      <c r="V102" s="28"/>
      <c r="W102" s="27" t="s">
        <v>35</v>
      </c>
      <c r="X102" s="52"/>
    </row>
    <row r="103" spans="1:24" ht="20.45" customHeight="1">
      <c r="A103" s="10" t="s">
        <v>136</v>
      </c>
      <c r="B103" s="11">
        <v>1.1111111111111112E-2</v>
      </c>
      <c r="C103" s="11">
        <v>3.1828703703703702E-3</v>
      </c>
      <c r="D103" s="11">
        <f>B103*E103</f>
        <v>6.4644444444444445E-3</v>
      </c>
      <c r="E103" s="12">
        <v>0.58179999999999998</v>
      </c>
      <c r="F103" s="11">
        <f>C103/4</f>
        <v>7.9571759259259255E-4</v>
      </c>
      <c r="G103" s="11">
        <f>D103/7.5</f>
        <v>8.6192592592592592E-4</v>
      </c>
      <c r="H103" s="11">
        <f>B103/12.5</f>
        <v>8.8888888888888893E-4</v>
      </c>
      <c r="I103" s="11">
        <f>G103/0.93</f>
        <v>9.2680207088809239E-4</v>
      </c>
      <c r="J103" s="11">
        <f>G103/0.92</f>
        <v>9.3687600644122375E-4</v>
      </c>
      <c r="K103" s="11">
        <f>G103/0.88</f>
        <v>9.7946127946127947E-4</v>
      </c>
      <c r="L103" s="11">
        <f>G103/0.84</f>
        <v>1.0261022927689596E-3</v>
      </c>
      <c r="M103" s="25">
        <f>WO2025Jan7men119151719232529313335394143454749555759636567697173757779131719212327[[#This Row],[Thresh]]</f>
        <v>9.7946127946127947E-4</v>
      </c>
      <c r="N103" s="28">
        <f>WO2025Jan7men119151719232529313335394143454749555759636567697173757779131719212327[[#This Row],[Thresh]]*2.5</f>
        <v>2.4486531986531988E-3</v>
      </c>
      <c r="O103" s="25">
        <f>WO2025Jan7men119151719232529313335394143454749555759636567697173757779131719212327[[#This Row],[CV]]</f>
        <v>9.3687600644122375E-4</v>
      </c>
      <c r="P103" s="28">
        <f>WO2025Jan7men119151719232529313335394143454749555759636567697173757779131719212327[[#This Row],[CV]]*2.5</f>
        <v>2.3421900161030595E-3</v>
      </c>
      <c r="Q103" s="25">
        <f>WO2025Jan7men119151719232529313335394143454749555759636567697173757779131719212327[[#This Row],[I]]</f>
        <v>8.8888888888888893E-4</v>
      </c>
      <c r="R103" s="28">
        <f>WO2025Jan7men119151719232529313335394143454749555759636567697173757779131719212327[[#This Row],[I]]*2.5</f>
        <v>2.2222222222222222E-3</v>
      </c>
      <c r="S103" s="25">
        <f>WO2025Jan7men119151719232529313335394143454749555759636567697173757779131719212327[[#This Row],[VO2]]</f>
        <v>8.6192592592592592E-4</v>
      </c>
      <c r="T103" s="25"/>
      <c r="U103" s="28"/>
      <c r="V103" s="25"/>
      <c r="W103" s="15" t="s">
        <v>35</v>
      </c>
      <c r="X103" s="52"/>
    </row>
    <row r="104" spans="1:24" ht="20.45" customHeight="1">
      <c r="A104" s="10" t="s">
        <v>134</v>
      </c>
      <c r="B104" s="11">
        <v>1.1631944444444445E-2</v>
      </c>
      <c r="C104" s="11"/>
      <c r="D104" s="11">
        <f>B104*E104</f>
        <v>6.7674652777777776E-3</v>
      </c>
      <c r="E104" s="12">
        <v>0.58179999999999998</v>
      </c>
      <c r="F104" s="11">
        <f>C104/4</f>
        <v>0</v>
      </c>
      <c r="G104" s="11">
        <f>D104/7.5</f>
        <v>9.0232870370370369E-4</v>
      </c>
      <c r="H104" s="11">
        <f>B104/12.5</f>
        <v>9.3055555555555556E-4</v>
      </c>
      <c r="I104" s="11">
        <f>G104/0.93</f>
        <v>9.7024591796097167E-4</v>
      </c>
      <c r="J104" s="11">
        <f>G104/0.92</f>
        <v>9.8079206924315621E-4</v>
      </c>
      <c r="K104" s="11">
        <f>G104/0.88</f>
        <v>1.0253735269360269E-3</v>
      </c>
      <c r="L104" s="11">
        <f>G104/0.84</f>
        <v>1.0742008377425045E-3</v>
      </c>
      <c r="M104" s="25">
        <f>WO2025Jan7men119151719232529313335394143454749555759636567697173757779131719212327[[#This Row],[Thresh]]</f>
        <v>1.0253735269360269E-3</v>
      </c>
      <c r="N104" s="28">
        <f>WO2025Jan7men119151719232529313335394143454749555759636567697173757779131719212327[[#This Row],[Thresh]]*2.5</f>
        <v>2.5634338173400675E-3</v>
      </c>
      <c r="O104" s="25">
        <f>WO2025Jan7men119151719232529313335394143454749555759636567697173757779131719212327[[#This Row],[CV]]</f>
        <v>9.8079206924315621E-4</v>
      </c>
      <c r="P104" s="28">
        <f>WO2025Jan7men119151719232529313335394143454749555759636567697173757779131719212327[[#This Row],[CV]]*2.5</f>
        <v>2.4519801731078903E-3</v>
      </c>
      <c r="Q104" s="25">
        <f>WO2025Jan7men119151719232529313335394143454749555759636567697173757779131719212327[[#This Row],[I]]</f>
        <v>9.3055555555555556E-4</v>
      </c>
      <c r="R104" s="28">
        <f>WO2025Jan7men119151719232529313335394143454749555759636567697173757779131719212327[[#This Row],[I]]*2.5</f>
        <v>2.3263888888888891E-3</v>
      </c>
      <c r="S104" s="25">
        <f>WO2025Jan7men119151719232529313335394143454749555759636567697173757779131719212327[[#This Row],[VO2]]</f>
        <v>9.0232870370370369E-4</v>
      </c>
      <c r="T104" s="25"/>
      <c r="U104" s="28"/>
      <c r="V104" s="28"/>
      <c r="W104" s="27" t="s">
        <v>35</v>
      </c>
      <c r="X104" s="52"/>
    </row>
    <row r="105" spans="1:24" ht="20.45" customHeight="1">
      <c r="A105" s="10" t="s">
        <v>135</v>
      </c>
      <c r="B105" s="11">
        <v>1.1631944444444445E-2</v>
      </c>
      <c r="C105" s="11">
        <v>3.414351851851852E-3</v>
      </c>
      <c r="D105" s="11">
        <f>B105*E105</f>
        <v>6.7674652777777776E-3</v>
      </c>
      <c r="E105" s="12">
        <v>0.58179999999999998</v>
      </c>
      <c r="F105" s="11">
        <f>C105/4</f>
        <v>8.53587962962963E-4</v>
      </c>
      <c r="G105" s="11">
        <f>D105/7.5</f>
        <v>9.0232870370370369E-4</v>
      </c>
      <c r="H105" s="11">
        <f>B105/12.5</f>
        <v>9.3055555555555556E-4</v>
      </c>
      <c r="I105" s="11">
        <f>G105/0.93</f>
        <v>9.7024591796097167E-4</v>
      </c>
      <c r="J105" s="11">
        <f>G105/0.92</f>
        <v>9.8079206924315621E-4</v>
      </c>
      <c r="K105" s="11">
        <f>G105/0.88</f>
        <v>1.0253735269360269E-3</v>
      </c>
      <c r="L105" s="17">
        <f>G105/0.84</f>
        <v>1.0742008377425045E-3</v>
      </c>
      <c r="M105" s="25">
        <f>WO2025Jan7men119151719232529313335394143454749555759636567697173757779131719212327[[#This Row],[Thresh]]</f>
        <v>1.0253735269360269E-3</v>
      </c>
      <c r="N105" s="28">
        <f>WO2025Jan7men119151719232529313335394143454749555759636567697173757779131719212327[[#This Row],[Thresh]]*2.5</f>
        <v>2.5634338173400675E-3</v>
      </c>
      <c r="O105" s="25">
        <f>WO2025Jan7men119151719232529313335394143454749555759636567697173757779131719212327[[#This Row],[CV]]</f>
        <v>9.8079206924315621E-4</v>
      </c>
      <c r="P105" s="28">
        <f>WO2025Jan7men119151719232529313335394143454749555759636567697173757779131719212327[[#This Row],[CV]]*2.5</f>
        <v>2.4519801731078903E-3</v>
      </c>
      <c r="Q105" s="25">
        <f>WO2025Jan7men119151719232529313335394143454749555759636567697173757779131719212327[[#This Row],[I]]</f>
        <v>9.3055555555555556E-4</v>
      </c>
      <c r="R105" s="28">
        <f>WO2025Jan7men119151719232529313335394143454749555759636567697173757779131719212327[[#This Row],[I]]*2.5</f>
        <v>2.3263888888888891E-3</v>
      </c>
      <c r="S105" s="25">
        <f>WO2025Jan7men119151719232529313335394143454749555759636567697173757779131719212327[[#This Row],[VO2]]</f>
        <v>9.0232870370370369E-4</v>
      </c>
      <c r="T105" s="25"/>
      <c r="U105" s="28"/>
      <c r="V105" s="44"/>
      <c r="W105" s="28" t="s">
        <v>35</v>
      </c>
      <c r="X105" s="52"/>
    </row>
    <row r="106" spans="1:24" ht="20.45" customHeight="1">
      <c r="A106" s="10"/>
      <c r="B106" s="11"/>
      <c r="C106" s="11"/>
      <c r="D106" s="11"/>
      <c r="E106" s="12"/>
      <c r="F106" s="11"/>
      <c r="G106" s="11"/>
      <c r="H106" s="11"/>
      <c r="I106" s="11"/>
      <c r="J106" s="11"/>
      <c r="K106" s="11"/>
      <c r="L106" s="11"/>
      <c r="M106" s="25"/>
      <c r="N106" s="28"/>
      <c r="O106" s="25"/>
      <c r="P106" s="28"/>
      <c r="Q106" s="25"/>
      <c r="R106" s="28"/>
      <c r="S106" s="25"/>
      <c r="T106" s="28"/>
      <c r="U106" s="28"/>
      <c r="V106" s="25"/>
      <c r="W106" s="15"/>
      <c r="X106" s="52"/>
    </row>
    <row r="107" spans="1:24" ht="20.45" customHeight="1">
      <c r="A107" s="19"/>
      <c r="B107" s="6"/>
      <c r="C107" s="6"/>
      <c r="D107" s="6"/>
      <c r="E107" s="20"/>
      <c r="F107" s="6"/>
      <c r="G107" s="6"/>
      <c r="H107" s="6"/>
      <c r="I107" s="6"/>
      <c r="J107" s="6"/>
      <c r="K107" s="6"/>
      <c r="L107" s="6"/>
      <c r="M107" s="6"/>
      <c r="N107" s="6"/>
      <c r="O107" s="6"/>
      <c r="P107" s="6"/>
      <c r="Q107" s="6"/>
      <c r="R107" s="6"/>
      <c r="S107" s="6"/>
      <c r="T107" s="6"/>
      <c r="U107" s="6"/>
      <c r="V107" s="23"/>
      <c r="W107" s="35"/>
      <c r="X107" s="52"/>
    </row>
    <row r="108" spans="1:24" ht="20.45" customHeight="1">
      <c r="A108" s="10" t="s">
        <v>107</v>
      </c>
      <c r="B108" s="11">
        <v>1.1111111111111112E-2</v>
      </c>
      <c r="C108" s="11">
        <v>3.2407407407407406E-3</v>
      </c>
      <c r="D108" s="11">
        <f t="shared" ref="D108:D112" si="32">B108*E108</f>
        <v>6.4644444444444445E-3</v>
      </c>
      <c r="E108" s="12">
        <v>0.58179999999999998</v>
      </c>
      <c r="F108" s="11">
        <f t="shared" ref="F108:F112" si="33">C108/4</f>
        <v>8.1018518518518516E-4</v>
      </c>
      <c r="G108" s="11">
        <f t="shared" ref="G108:G112" si="34">D108/7.5</f>
        <v>8.6192592592592592E-4</v>
      </c>
      <c r="H108" s="11">
        <f t="shared" ref="H108:H112" si="35">B108/12.5</f>
        <v>8.8888888888888893E-4</v>
      </c>
      <c r="I108" s="11">
        <f t="shared" ref="I108:I112" si="36">G108/0.93</f>
        <v>9.2680207088809239E-4</v>
      </c>
      <c r="J108" s="11">
        <f t="shared" ref="J108:J112" si="37">G108/0.92</f>
        <v>9.3687600644122375E-4</v>
      </c>
      <c r="K108" s="11">
        <f t="shared" ref="K108:K112" si="38">G108/0.88</f>
        <v>9.7946127946127947E-4</v>
      </c>
      <c r="L108" s="11">
        <f t="shared" ref="L108:L112" si="39">G108/0.84</f>
        <v>1.0261022927689596E-3</v>
      </c>
      <c r="M108" s="25"/>
      <c r="N108" s="28"/>
      <c r="O108" s="25"/>
      <c r="P108" s="25"/>
      <c r="Q108" s="25"/>
      <c r="R108" s="28"/>
      <c r="S108" s="25"/>
      <c r="T108" s="25"/>
      <c r="U108" s="28"/>
      <c r="V108" s="28"/>
      <c r="W108" s="15" t="s">
        <v>52</v>
      </c>
      <c r="X108" s="52"/>
    </row>
    <row r="109" spans="1:24" ht="20.45" customHeight="1">
      <c r="A109" s="10" t="s">
        <v>106</v>
      </c>
      <c r="B109" s="11">
        <v>1.0532407407407407E-2</v>
      </c>
      <c r="C109" s="11">
        <v>2.9745370370370373E-3</v>
      </c>
      <c r="D109" s="11">
        <f t="shared" si="32"/>
        <v>6.1277546296296288E-3</v>
      </c>
      <c r="E109" s="12">
        <v>0.58179999999999998</v>
      </c>
      <c r="F109" s="11">
        <f t="shared" si="33"/>
        <v>7.4363425925925931E-4</v>
      </c>
      <c r="G109" s="11">
        <f t="shared" si="34"/>
        <v>8.1703395061728389E-4</v>
      </c>
      <c r="H109" s="11">
        <f t="shared" si="35"/>
        <v>8.4259259259259259E-4</v>
      </c>
      <c r="I109" s="11">
        <f t="shared" si="36"/>
        <v>8.7853112969600415E-4</v>
      </c>
      <c r="J109" s="11">
        <f t="shared" si="37"/>
        <v>8.8808038110574329E-4</v>
      </c>
      <c r="K109" s="11">
        <f t="shared" si="38"/>
        <v>9.2844767115600447E-4</v>
      </c>
      <c r="L109" s="11">
        <f t="shared" si="39"/>
        <v>9.7265946502057604E-4</v>
      </c>
      <c r="M109" s="25"/>
      <c r="N109" s="28"/>
      <c r="O109" s="25"/>
      <c r="P109" s="25"/>
      <c r="Q109" s="25"/>
      <c r="R109" s="25"/>
      <c r="S109" s="25"/>
      <c r="T109" s="25"/>
      <c r="U109" s="28"/>
      <c r="V109" s="25"/>
      <c r="W109" s="15" t="s">
        <v>52</v>
      </c>
      <c r="X109" s="52"/>
    </row>
    <row r="110" spans="1:24" ht="20.45" customHeight="1">
      <c r="A110" s="10" t="s">
        <v>164</v>
      </c>
      <c r="B110" s="11">
        <v>1.1342592592592593E-2</v>
      </c>
      <c r="C110" s="11">
        <v>3.2407407407407406E-3</v>
      </c>
      <c r="D110" s="11">
        <f t="shared" si="32"/>
        <v>6.5991203703703706E-3</v>
      </c>
      <c r="E110" s="12">
        <v>0.58179999999999998</v>
      </c>
      <c r="F110" s="11">
        <f t="shared" si="33"/>
        <v>8.1018518518518516E-4</v>
      </c>
      <c r="G110" s="11">
        <f t="shared" si="34"/>
        <v>8.7988271604938278E-4</v>
      </c>
      <c r="H110" s="11">
        <f t="shared" si="35"/>
        <v>9.0740740740740745E-4</v>
      </c>
      <c r="I110" s="11">
        <f t="shared" si="36"/>
        <v>9.4611044736492766E-4</v>
      </c>
      <c r="J110" s="11">
        <f t="shared" si="37"/>
        <v>9.5639425657541603E-4</v>
      </c>
      <c r="K110" s="11">
        <f t="shared" si="38"/>
        <v>9.9986672278338943E-4</v>
      </c>
      <c r="L110" s="11">
        <f t="shared" si="39"/>
        <v>1.0474794238683129E-3</v>
      </c>
      <c r="M110" s="25"/>
      <c r="N110" s="28"/>
      <c r="O110" s="25"/>
      <c r="P110" s="28"/>
      <c r="Q110" s="28"/>
      <c r="R110" s="11"/>
      <c r="S110" s="14"/>
      <c r="T110" s="14"/>
      <c r="U110" s="26"/>
      <c r="V110" s="28"/>
      <c r="W110" s="27" t="s">
        <v>52</v>
      </c>
      <c r="X110" s="52"/>
    </row>
    <row r="111" spans="1:24" ht="20.45" customHeight="1">
      <c r="A111" s="10" t="s">
        <v>108</v>
      </c>
      <c r="B111" s="11">
        <v>1.0763888888888891E-2</v>
      </c>
      <c r="C111" s="11">
        <v>3.0671296296296297E-3</v>
      </c>
      <c r="D111" s="11">
        <f t="shared" si="32"/>
        <v>6.2624305555555567E-3</v>
      </c>
      <c r="E111" s="12">
        <v>0.58179999999999998</v>
      </c>
      <c r="F111" s="11">
        <f t="shared" si="33"/>
        <v>7.6678240740740743E-4</v>
      </c>
      <c r="G111" s="11">
        <f t="shared" si="34"/>
        <v>8.3499074074074085E-4</v>
      </c>
      <c r="H111" s="11">
        <f t="shared" si="35"/>
        <v>8.6111111111111121E-4</v>
      </c>
      <c r="I111" s="11">
        <f t="shared" si="36"/>
        <v>8.9783950617283953E-4</v>
      </c>
      <c r="J111" s="11">
        <f t="shared" si="37"/>
        <v>9.0759863123993567E-4</v>
      </c>
      <c r="K111" s="11">
        <f t="shared" si="38"/>
        <v>9.4885311447811464E-4</v>
      </c>
      <c r="L111" s="11">
        <f t="shared" si="39"/>
        <v>9.9403659611992969E-4</v>
      </c>
      <c r="M111" s="25"/>
      <c r="N111" s="28"/>
      <c r="O111" s="25"/>
      <c r="P111" s="28"/>
      <c r="Q111" s="25"/>
      <c r="R111" s="28"/>
      <c r="S111" s="25"/>
      <c r="T111" s="25"/>
      <c r="U111" s="28"/>
      <c r="V111" s="28"/>
      <c r="W111" s="15" t="s">
        <v>52</v>
      </c>
      <c r="X111" s="52"/>
    </row>
    <row r="112" spans="1:24" ht="20.45" customHeight="1">
      <c r="A112" s="10" t="s">
        <v>105</v>
      </c>
      <c r="B112" s="11">
        <v>1.0648148148148148E-2</v>
      </c>
      <c r="C112" s="11">
        <v>2.9745370370370373E-3</v>
      </c>
      <c r="D112" s="11">
        <f t="shared" si="32"/>
        <v>6.1950925925925923E-3</v>
      </c>
      <c r="E112" s="12">
        <v>0.58179999999999998</v>
      </c>
      <c r="F112" s="11">
        <f t="shared" si="33"/>
        <v>7.4363425925925931E-4</v>
      </c>
      <c r="G112" s="11">
        <f t="shared" si="34"/>
        <v>8.2601234567901232E-4</v>
      </c>
      <c r="H112" s="11">
        <f t="shared" si="35"/>
        <v>8.5185185185185179E-4</v>
      </c>
      <c r="I112" s="11">
        <f t="shared" si="36"/>
        <v>8.8818531793442184E-4</v>
      </c>
      <c r="J112" s="11">
        <f t="shared" si="37"/>
        <v>8.9783950617283942E-4</v>
      </c>
      <c r="K112" s="11">
        <f t="shared" si="38"/>
        <v>9.3865039281705945E-4</v>
      </c>
      <c r="L112" s="11">
        <f t="shared" si="39"/>
        <v>9.833480305702527E-4</v>
      </c>
      <c r="M112" s="37"/>
      <c r="N112" s="28"/>
      <c r="O112" s="25"/>
      <c r="P112" s="25"/>
      <c r="Q112" s="25"/>
      <c r="R112" s="25"/>
      <c r="S112" s="25"/>
      <c r="T112" s="25"/>
      <c r="U112" s="28"/>
      <c r="V112" s="25"/>
      <c r="W112" s="15" t="s">
        <v>52</v>
      </c>
      <c r="X112" s="52"/>
    </row>
    <row r="113" spans="1:24" ht="20.45" customHeight="1">
      <c r="A113" s="10"/>
      <c r="B113" s="11"/>
      <c r="C113" s="11"/>
      <c r="D113" s="11"/>
      <c r="E113" s="12"/>
      <c r="F113" s="11"/>
      <c r="G113" s="11"/>
      <c r="H113" s="11"/>
      <c r="I113" s="11"/>
      <c r="J113" s="11"/>
      <c r="K113" s="11"/>
      <c r="L113" s="11"/>
      <c r="M113" s="25"/>
      <c r="N113" s="28"/>
      <c r="O113" s="25"/>
      <c r="P113" s="25"/>
      <c r="Q113" s="25"/>
      <c r="R113" s="28"/>
      <c r="S113" s="25"/>
      <c r="T113" s="25"/>
      <c r="U113" s="28"/>
      <c r="V113" s="25"/>
      <c r="W113" s="15"/>
      <c r="X113" s="52"/>
    </row>
    <row r="114" spans="1:24" ht="20.45" customHeight="1">
      <c r="A114" s="10"/>
      <c r="B114" s="11"/>
      <c r="C114" s="11"/>
      <c r="D114" s="11"/>
      <c r="E114" s="12"/>
      <c r="F114" s="11"/>
      <c r="G114" s="11"/>
      <c r="H114" s="11"/>
      <c r="I114" s="11"/>
      <c r="J114" s="11"/>
      <c r="K114" s="11"/>
      <c r="L114" s="11"/>
      <c r="M114" s="25"/>
      <c r="N114" s="28"/>
      <c r="O114" s="25"/>
      <c r="P114" s="25"/>
      <c r="Q114" s="28"/>
      <c r="R114" s="28"/>
      <c r="S114" s="25"/>
      <c r="T114" s="25"/>
      <c r="U114" s="28"/>
      <c r="V114" s="28"/>
      <c r="W114" s="15"/>
      <c r="X114" s="52"/>
    </row>
    <row r="115" spans="1:24" ht="20.45" customHeight="1" thickBot="1">
      <c r="A115" s="10"/>
      <c r="B115" s="11"/>
      <c r="C115" s="11"/>
      <c r="D115" s="11"/>
      <c r="E115" s="12"/>
      <c r="F115" s="11"/>
      <c r="G115" s="11"/>
      <c r="H115" s="11"/>
      <c r="I115" s="11"/>
      <c r="J115" s="11"/>
      <c r="K115" s="11"/>
      <c r="L115" s="11"/>
      <c r="M115" s="25"/>
      <c r="N115" s="28"/>
      <c r="O115" s="25"/>
      <c r="P115" s="28"/>
      <c r="Q115" s="25"/>
      <c r="R115" s="28"/>
      <c r="S115" s="25"/>
      <c r="T115" s="25"/>
      <c r="U115" s="28"/>
      <c r="V115" s="28"/>
      <c r="W115" s="27"/>
      <c r="X115" s="52"/>
    </row>
    <row r="116" spans="1:24" ht="20.45" customHeight="1">
      <c r="A116" s="1" t="s">
        <v>251</v>
      </c>
      <c r="B116" s="6"/>
      <c r="C116" s="6"/>
      <c r="D116" s="6"/>
      <c r="E116" s="20"/>
      <c r="F116" s="6"/>
      <c r="G116" s="6"/>
      <c r="H116" s="6"/>
      <c r="I116" s="6"/>
      <c r="J116" s="6"/>
      <c r="K116" s="6"/>
      <c r="L116" s="6"/>
      <c r="M116" s="6" t="s">
        <v>12</v>
      </c>
      <c r="N116" s="6" t="s">
        <v>13</v>
      </c>
      <c r="O116" s="6"/>
      <c r="P116" s="6"/>
      <c r="Q116" s="22"/>
      <c r="R116" s="6"/>
      <c r="S116" s="6"/>
      <c r="T116" s="6"/>
      <c r="U116" s="6"/>
      <c r="V116" s="23"/>
      <c r="W116" s="35"/>
      <c r="X116" s="52"/>
    </row>
    <row r="117" spans="1:24" ht="20.45" customHeight="1">
      <c r="A117" s="10" t="s">
        <v>96</v>
      </c>
      <c r="B117" s="11">
        <v>1.0648148148148148E-2</v>
      </c>
      <c r="C117" s="11">
        <v>2.9513888888888888E-3</v>
      </c>
      <c r="D117" s="11">
        <f>B117*E117</f>
        <v>6.1950925925925923E-3</v>
      </c>
      <c r="E117" s="12">
        <v>0.58179999999999998</v>
      </c>
      <c r="F117" s="11">
        <f>C117/4</f>
        <v>7.378472222222222E-4</v>
      </c>
      <c r="G117" s="11">
        <f>D117/7.5</f>
        <v>8.2601234567901232E-4</v>
      </c>
      <c r="H117" s="11">
        <f>B117/12.5</f>
        <v>8.5185185185185179E-4</v>
      </c>
      <c r="I117" s="11">
        <f>G117/0.93</f>
        <v>8.8818531793442184E-4</v>
      </c>
      <c r="J117" s="11">
        <f>G117/0.92</f>
        <v>8.9783950617283942E-4</v>
      </c>
      <c r="K117" s="11">
        <f>G117/0.88</f>
        <v>9.3865039281705945E-4</v>
      </c>
      <c r="L117" s="17">
        <f>G117/0.84</f>
        <v>9.833480305702527E-4</v>
      </c>
      <c r="M117" s="25">
        <f>WO2025Jan7men119151719232529313335394143454749555759636567697173757779131719212327[[#This Row],[Thresh]]</f>
        <v>9.3865039281705945E-4</v>
      </c>
      <c r="N117" s="28">
        <f>WO2025Jan7men119151719232529313335394143454749555759636567697173757779131719212327[[#This Row],[Thresh]]*2.5</f>
        <v>2.3466259820426488E-3</v>
      </c>
      <c r="O117" s="25"/>
      <c r="P117" s="25"/>
      <c r="Q117" s="25"/>
      <c r="R117" s="25"/>
      <c r="S117" s="25"/>
      <c r="T117" s="25"/>
      <c r="U117" s="25"/>
      <c r="V117" s="25"/>
      <c r="W117" s="15" t="s">
        <v>48</v>
      </c>
      <c r="X117" s="52"/>
    </row>
    <row r="118" spans="1:24" ht="20.45" customHeight="1">
      <c r="A118" s="10" t="s">
        <v>97</v>
      </c>
      <c r="B118" s="11">
        <v>1.0763888888888889E-2</v>
      </c>
      <c r="C118" s="11">
        <v>2.9513888888888888E-3</v>
      </c>
      <c r="D118" s="11">
        <f t="shared" ref="D118:D122" si="40">B118*E118</f>
        <v>6.2624305555555549E-3</v>
      </c>
      <c r="E118" s="12">
        <v>0.58179999999999998</v>
      </c>
      <c r="F118" s="11">
        <f t="shared" ref="F118:F122" si="41">C118/4</f>
        <v>7.378472222222222E-4</v>
      </c>
      <c r="G118" s="11">
        <f t="shared" ref="G118:G122" si="42">D118/7.5</f>
        <v>8.3499074074074064E-4</v>
      </c>
      <c r="H118" s="11">
        <f t="shared" ref="H118:H122" si="43">B118/12.5</f>
        <v>8.611111111111111E-4</v>
      </c>
      <c r="I118" s="11">
        <f t="shared" ref="I118:I122" si="44">G118/0.93</f>
        <v>8.9783950617283931E-4</v>
      </c>
      <c r="J118" s="11">
        <f t="shared" ref="J118:J122" si="45">G118/0.92</f>
        <v>9.0759863123993545E-4</v>
      </c>
      <c r="K118" s="11">
        <f t="shared" ref="K118:K122" si="46">G118/0.88</f>
        <v>9.4885311447811432E-4</v>
      </c>
      <c r="L118" s="11">
        <f t="shared" ref="L118:L122" si="47">G118/0.84</f>
        <v>9.9403659611992947E-4</v>
      </c>
      <c r="M118" s="25">
        <f>WO2025Jan7men119151719232529313335394143454749555759636567697173757779131719212327[[#This Row],[Thresh]]</f>
        <v>9.4885311447811432E-4</v>
      </c>
      <c r="N118" s="28">
        <f>WO2025Jan7men119151719232529313335394143454749555759636567697173757779131719212327[[#This Row],[Thresh]]*2.5</f>
        <v>2.3721327861952858E-3</v>
      </c>
      <c r="O118" s="25"/>
      <c r="P118" s="25"/>
      <c r="Q118" s="25"/>
      <c r="R118" s="25"/>
      <c r="S118" s="25"/>
      <c r="T118" s="25"/>
      <c r="U118" s="25"/>
      <c r="V118" s="25"/>
      <c r="W118" s="15" t="s">
        <v>48</v>
      </c>
      <c r="X118" s="50"/>
    </row>
    <row r="119" spans="1:24" ht="20.45" customHeight="1">
      <c r="A119" s="10" t="s">
        <v>101</v>
      </c>
      <c r="B119" s="11">
        <v>1.1111111111111112E-2</v>
      </c>
      <c r="C119" s="11">
        <v>3.0671296296296297E-3</v>
      </c>
      <c r="D119" s="11">
        <f t="shared" si="40"/>
        <v>6.4644444444444445E-3</v>
      </c>
      <c r="E119" s="12">
        <v>0.58179999999999998</v>
      </c>
      <c r="F119" s="11">
        <f t="shared" si="41"/>
        <v>7.6678240740740743E-4</v>
      </c>
      <c r="G119" s="11">
        <f t="shared" si="42"/>
        <v>8.6192592592592592E-4</v>
      </c>
      <c r="H119" s="11">
        <f t="shared" si="43"/>
        <v>8.8888888888888893E-4</v>
      </c>
      <c r="I119" s="11">
        <f t="shared" si="44"/>
        <v>9.2680207088809239E-4</v>
      </c>
      <c r="J119" s="11">
        <f t="shared" si="45"/>
        <v>9.3687600644122375E-4</v>
      </c>
      <c r="K119" s="11">
        <f t="shared" si="46"/>
        <v>9.7946127946127947E-4</v>
      </c>
      <c r="L119" s="11">
        <f t="shared" si="47"/>
        <v>1.0261022927689596E-3</v>
      </c>
      <c r="M119" s="25">
        <f>WO2025Jan7men119151719232529313335394143454749555759636567697173757779131719212327[[#This Row],[Thresh]]</f>
        <v>9.7946127946127947E-4</v>
      </c>
      <c r="N119" s="28">
        <f>WO2025Jan7men119151719232529313335394143454749555759636567697173757779131719212327[[#This Row],[Thresh]]*2.5</f>
        <v>2.4486531986531988E-3</v>
      </c>
      <c r="O119" s="25"/>
      <c r="P119" s="25"/>
      <c r="Q119" s="25"/>
      <c r="R119" s="25"/>
      <c r="S119" s="25"/>
      <c r="T119" s="25"/>
      <c r="U119" s="25"/>
      <c r="V119" s="25"/>
      <c r="W119" s="15" t="s">
        <v>48</v>
      </c>
      <c r="X119" s="50"/>
    </row>
    <row r="120" spans="1:24" ht="20.45" customHeight="1">
      <c r="A120" s="10" t="s">
        <v>98</v>
      </c>
      <c r="B120" s="11">
        <v>1.1111111111111112E-2</v>
      </c>
      <c r="C120" s="11">
        <v>3.0671296296296297E-3</v>
      </c>
      <c r="D120" s="11">
        <f t="shared" si="40"/>
        <v>6.4644444444444445E-3</v>
      </c>
      <c r="E120" s="12">
        <v>0.58179999999999998</v>
      </c>
      <c r="F120" s="11">
        <f t="shared" si="41"/>
        <v>7.6678240740740743E-4</v>
      </c>
      <c r="G120" s="11">
        <f t="shared" si="42"/>
        <v>8.6192592592592592E-4</v>
      </c>
      <c r="H120" s="11">
        <f t="shared" si="43"/>
        <v>8.8888888888888893E-4</v>
      </c>
      <c r="I120" s="11">
        <f t="shared" si="44"/>
        <v>9.2680207088809239E-4</v>
      </c>
      <c r="J120" s="11">
        <f t="shared" si="45"/>
        <v>9.3687600644122375E-4</v>
      </c>
      <c r="K120" s="11">
        <f t="shared" si="46"/>
        <v>9.7946127946127947E-4</v>
      </c>
      <c r="L120" s="11">
        <f t="shared" si="47"/>
        <v>1.0261022927689596E-3</v>
      </c>
      <c r="M120" s="25">
        <f>WO2025Jan7men119151719232529313335394143454749555759636567697173757779131719212327[[#This Row],[Thresh]]</f>
        <v>9.7946127946127947E-4</v>
      </c>
      <c r="N120" s="28">
        <f>WO2025Jan7men119151719232529313335394143454749555759636567697173757779131719212327[[#This Row],[Thresh]]*2.5</f>
        <v>2.4486531986531988E-3</v>
      </c>
      <c r="O120" s="25"/>
      <c r="P120" s="25"/>
      <c r="Q120" s="25"/>
      <c r="R120" s="25"/>
      <c r="S120" s="25"/>
      <c r="T120" s="25"/>
      <c r="U120" s="25"/>
      <c r="V120" s="25"/>
      <c r="W120" s="27" t="s">
        <v>48</v>
      </c>
      <c r="X120" s="50"/>
    </row>
    <row r="121" spans="1:24" ht="20.45" customHeight="1">
      <c r="A121" s="10" t="s">
        <v>103</v>
      </c>
      <c r="B121" s="11">
        <v>1.1111111111111112E-2</v>
      </c>
      <c r="C121" s="11">
        <v>3.0671296296296297E-3</v>
      </c>
      <c r="D121" s="11">
        <f t="shared" si="40"/>
        <v>6.4644444444444445E-3</v>
      </c>
      <c r="E121" s="12">
        <v>0.58179999999999998</v>
      </c>
      <c r="F121" s="11">
        <f t="shared" si="41"/>
        <v>7.6678240740740743E-4</v>
      </c>
      <c r="G121" s="11">
        <f t="shared" si="42"/>
        <v>8.6192592592592592E-4</v>
      </c>
      <c r="H121" s="11">
        <f t="shared" si="43"/>
        <v>8.8888888888888893E-4</v>
      </c>
      <c r="I121" s="11">
        <f t="shared" si="44"/>
        <v>9.2680207088809239E-4</v>
      </c>
      <c r="J121" s="11">
        <f t="shared" si="45"/>
        <v>9.3687600644122375E-4</v>
      </c>
      <c r="K121" s="11">
        <f t="shared" si="46"/>
        <v>9.7946127946127947E-4</v>
      </c>
      <c r="L121" s="17">
        <f t="shared" si="47"/>
        <v>1.0261022927689596E-3</v>
      </c>
      <c r="M121" s="25">
        <f>WO2025Jan7men119151719232529313335394143454749555759636567697173757779131719212327[[#This Row],[Thresh]]</f>
        <v>9.7946127946127947E-4</v>
      </c>
      <c r="N121" s="28">
        <f>WO2025Jan7men119151719232529313335394143454749555759636567697173757779131719212327[[#This Row],[Thresh]]*2.5</f>
        <v>2.4486531986531988E-3</v>
      </c>
      <c r="O121" s="25"/>
      <c r="P121" s="25"/>
      <c r="Q121" s="25"/>
      <c r="R121" s="25"/>
      <c r="S121" s="25"/>
      <c r="T121" s="25"/>
      <c r="U121" s="25"/>
      <c r="V121" s="25"/>
      <c r="W121" s="15" t="s">
        <v>48</v>
      </c>
      <c r="X121" s="50"/>
    </row>
    <row r="122" spans="1:24" ht="20.45" customHeight="1">
      <c r="A122" s="10" t="s">
        <v>104</v>
      </c>
      <c r="B122" s="11">
        <v>1.1458333333333333E-2</v>
      </c>
      <c r="C122" s="11">
        <v>3.2986111111111111E-3</v>
      </c>
      <c r="D122" s="11">
        <f t="shared" si="40"/>
        <v>6.6664583333333324E-3</v>
      </c>
      <c r="E122" s="12">
        <v>0.58179999999999998</v>
      </c>
      <c r="F122" s="11">
        <f t="shared" si="41"/>
        <v>8.2465277777777778E-4</v>
      </c>
      <c r="G122" s="11">
        <f t="shared" si="42"/>
        <v>8.8886111111111099E-4</v>
      </c>
      <c r="H122" s="11">
        <f t="shared" si="43"/>
        <v>9.1666666666666665E-4</v>
      </c>
      <c r="I122" s="11">
        <f t="shared" si="44"/>
        <v>9.5576463560334514E-4</v>
      </c>
      <c r="J122" s="11">
        <f t="shared" si="45"/>
        <v>9.6615338164251195E-4</v>
      </c>
      <c r="K122" s="11">
        <f t="shared" si="46"/>
        <v>1.0100694444444443E-3</v>
      </c>
      <c r="L122" s="11">
        <f t="shared" si="47"/>
        <v>1.0581679894179892E-3</v>
      </c>
      <c r="M122" s="25">
        <f>WO2025Jan7men119151719232529313335394143454749555759636567697173757779131719212327[[#This Row],[Thresh]]</f>
        <v>1.0100694444444443E-3</v>
      </c>
      <c r="N122" s="28">
        <f>WO2025Jan7men119151719232529313335394143454749555759636567697173757779131719212327[[#This Row],[Thresh]]*2.5</f>
        <v>2.5251736111111108E-3</v>
      </c>
      <c r="O122" s="25"/>
      <c r="P122" s="25"/>
      <c r="Q122" s="25"/>
      <c r="R122" s="25"/>
      <c r="S122" s="25"/>
      <c r="T122" s="25"/>
      <c r="U122" s="25"/>
      <c r="V122" s="25"/>
      <c r="W122" s="15" t="s">
        <v>48</v>
      </c>
      <c r="X122" s="50"/>
    </row>
    <row r="123" spans="1:24" ht="20.45" customHeight="1">
      <c r="A123" s="10" t="s">
        <v>99</v>
      </c>
      <c r="B123" s="11">
        <v>1.1458333333333333E-2</v>
      </c>
      <c r="C123" s="11">
        <v>3.0092592592592593E-3</v>
      </c>
      <c r="D123" s="11">
        <f>B123*E123</f>
        <v>6.6664583333333324E-3</v>
      </c>
      <c r="E123" s="12">
        <v>0.58179999999999998</v>
      </c>
      <c r="F123" s="11">
        <f>C123/4</f>
        <v>7.5231481481481482E-4</v>
      </c>
      <c r="G123" s="11">
        <f>D123/7.5</f>
        <v>8.8886111111111099E-4</v>
      </c>
      <c r="H123" s="11">
        <f>B123/12.5</f>
        <v>9.1666666666666665E-4</v>
      </c>
      <c r="I123" s="11">
        <f>G123/0.93</f>
        <v>9.5576463560334514E-4</v>
      </c>
      <c r="J123" s="11">
        <f>G123/0.92</f>
        <v>9.6615338164251195E-4</v>
      </c>
      <c r="K123" s="11">
        <f>G123/0.88</f>
        <v>1.0100694444444443E-3</v>
      </c>
      <c r="L123" s="11">
        <f>G123/0.84</f>
        <v>1.0581679894179892E-3</v>
      </c>
      <c r="M123" s="25">
        <f>WO2025Jan7men119151719232529313335394143454749555759636567697173757779131719212327[[#This Row],[Thresh]]</f>
        <v>1.0100694444444443E-3</v>
      </c>
      <c r="N123" s="28">
        <f>WO2025Jan7men119151719232529313335394143454749555759636567697173757779131719212327[[#This Row],[Thresh]]*2.5</f>
        <v>2.5251736111111108E-3</v>
      </c>
      <c r="O123" s="25"/>
      <c r="P123" s="25"/>
      <c r="Q123" s="25"/>
      <c r="R123" s="25"/>
      <c r="S123" s="25"/>
      <c r="T123" s="25"/>
      <c r="U123" s="25"/>
      <c r="V123" s="25"/>
      <c r="W123" s="27" t="s">
        <v>48</v>
      </c>
      <c r="X123" s="50"/>
    </row>
    <row r="124" spans="1:24" ht="20.45" customHeight="1">
      <c r="A124" s="10" t="s">
        <v>102</v>
      </c>
      <c r="B124" s="11">
        <v>1.1458333333333333E-2</v>
      </c>
      <c r="C124" s="11">
        <v>3.0671296296296297E-3</v>
      </c>
      <c r="D124" s="11">
        <f>B124*E124</f>
        <v>6.6664583333333324E-3</v>
      </c>
      <c r="E124" s="12">
        <v>0.58179999999999998</v>
      </c>
      <c r="F124" s="11">
        <f>C124/4</f>
        <v>7.6678240740740743E-4</v>
      </c>
      <c r="G124" s="11">
        <f>D124/7.5</f>
        <v>8.8886111111111099E-4</v>
      </c>
      <c r="H124" s="11">
        <f>B124/12.5</f>
        <v>9.1666666666666665E-4</v>
      </c>
      <c r="I124" s="11">
        <f>G124/0.93</f>
        <v>9.5576463560334514E-4</v>
      </c>
      <c r="J124" s="11">
        <f>G124/0.92</f>
        <v>9.6615338164251195E-4</v>
      </c>
      <c r="K124" s="11">
        <f>G124/0.88</f>
        <v>1.0100694444444443E-3</v>
      </c>
      <c r="L124" s="11">
        <f>G124/0.84</f>
        <v>1.0581679894179892E-3</v>
      </c>
      <c r="M124" s="25">
        <f>WO2025Jan7men119151719232529313335394143454749555759636567697173757779131719212327[[#This Row],[Thresh]]</f>
        <v>1.0100694444444443E-3</v>
      </c>
      <c r="N124" s="28">
        <f>WO2025Jan7men119151719232529313335394143454749555759636567697173757779131719212327[[#This Row],[Thresh]]*2.5</f>
        <v>2.5251736111111108E-3</v>
      </c>
      <c r="O124" s="25"/>
      <c r="P124" s="25"/>
      <c r="Q124" s="25"/>
      <c r="R124" s="25"/>
      <c r="S124" s="25"/>
      <c r="T124" s="25"/>
      <c r="U124" s="25"/>
      <c r="V124" s="25"/>
      <c r="W124" s="27" t="s">
        <v>48</v>
      </c>
      <c r="X124" s="50"/>
    </row>
    <row r="125" spans="1:24" ht="20.45" customHeight="1">
      <c r="A125" s="10"/>
      <c r="B125" s="11"/>
      <c r="C125" s="11"/>
      <c r="D125" s="11"/>
      <c r="E125" s="12"/>
      <c r="F125" s="11"/>
      <c r="G125" s="11"/>
      <c r="H125" s="11"/>
      <c r="I125" s="11"/>
      <c r="J125" s="11"/>
      <c r="K125" s="11"/>
      <c r="L125" s="17"/>
      <c r="M125" s="25"/>
      <c r="N125" s="28"/>
      <c r="O125" s="25"/>
      <c r="P125" s="25"/>
      <c r="Q125" s="25"/>
      <c r="R125" s="25"/>
      <c r="S125" s="25"/>
      <c r="T125" s="25"/>
      <c r="U125" s="28"/>
      <c r="V125" s="25"/>
      <c r="W125" s="15"/>
      <c r="X125" s="50"/>
    </row>
    <row r="126" spans="1:24" ht="20.45" customHeight="1">
      <c r="A126" s="10"/>
      <c r="B126" s="11"/>
      <c r="C126" s="11"/>
      <c r="D126" s="11"/>
      <c r="E126" s="12"/>
      <c r="F126" s="11"/>
      <c r="G126" s="11"/>
      <c r="H126" s="11"/>
      <c r="I126" s="11"/>
      <c r="J126" s="11"/>
      <c r="K126" s="11"/>
      <c r="L126" s="11"/>
      <c r="M126" s="25"/>
      <c r="N126" s="28"/>
      <c r="O126" s="25"/>
      <c r="P126" s="25"/>
      <c r="Q126" s="25"/>
      <c r="R126" s="28"/>
      <c r="S126" s="25"/>
      <c r="T126" s="25"/>
      <c r="U126" s="28"/>
      <c r="V126" s="25"/>
      <c r="W126" s="15"/>
      <c r="X126" s="50"/>
    </row>
    <row r="127" spans="1:24" ht="20.45" customHeight="1">
      <c r="A127" s="10"/>
      <c r="B127" s="11"/>
      <c r="C127" s="11"/>
      <c r="D127" s="11"/>
      <c r="E127" s="12"/>
      <c r="F127" s="11"/>
      <c r="G127" s="11"/>
      <c r="H127" s="11"/>
      <c r="I127" s="11"/>
      <c r="J127" s="11"/>
      <c r="K127" s="11"/>
      <c r="L127" s="11"/>
      <c r="M127" s="25"/>
      <c r="N127" s="28"/>
      <c r="O127" s="25"/>
      <c r="P127" s="25"/>
      <c r="Q127" s="25"/>
      <c r="R127" s="25"/>
      <c r="S127" s="25"/>
      <c r="T127" s="25"/>
      <c r="U127" s="28"/>
      <c r="V127" s="25"/>
      <c r="W127" s="15"/>
      <c r="X127" s="50"/>
    </row>
    <row r="128" spans="1:24" ht="20.45" customHeight="1">
      <c r="A128" s="10"/>
      <c r="B128" s="11"/>
      <c r="C128" s="11"/>
      <c r="D128" s="11"/>
      <c r="E128" s="12"/>
      <c r="F128" s="11"/>
      <c r="G128" s="11"/>
      <c r="H128" s="11"/>
      <c r="I128" s="11"/>
      <c r="J128" s="11"/>
      <c r="K128" s="11"/>
      <c r="L128" s="11"/>
      <c r="M128" s="25"/>
      <c r="N128" s="28"/>
      <c r="O128" s="25"/>
      <c r="P128" s="25"/>
      <c r="Q128" s="25"/>
      <c r="R128" s="25"/>
      <c r="S128" s="25"/>
      <c r="T128" s="25"/>
      <c r="U128" s="28"/>
      <c r="V128" s="25"/>
      <c r="W128" s="15"/>
      <c r="X128" s="50"/>
    </row>
    <row r="129" spans="1:24" ht="20.45" customHeight="1">
      <c r="A129" s="10"/>
      <c r="B129" s="11"/>
      <c r="C129" s="11"/>
      <c r="D129" s="11"/>
      <c r="E129" s="12"/>
      <c r="F129" s="11"/>
      <c r="G129" s="11"/>
      <c r="H129" s="11"/>
      <c r="I129" s="11"/>
      <c r="J129" s="11"/>
      <c r="K129" s="11"/>
      <c r="L129" s="17"/>
      <c r="M129" s="11"/>
      <c r="N129" s="26"/>
      <c r="P129" s="26"/>
      <c r="Q129" s="26"/>
      <c r="R129" s="26"/>
      <c r="S129" s="14"/>
      <c r="T129" s="14"/>
      <c r="U129" s="26"/>
      <c r="V129" s="38"/>
      <c r="W129" s="31"/>
      <c r="X129" s="50"/>
    </row>
    <row r="130" spans="1:24" ht="20.45" customHeight="1">
      <c r="A130" s="10"/>
      <c r="B130" s="11"/>
      <c r="C130" s="11"/>
      <c r="D130" s="11"/>
      <c r="E130" s="12"/>
      <c r="F130" s="11"/>
      <c r="G130" s="11"/>
      <c r="H130" s="11"/>
      <c r="I130" s="11"/>
      <c r="J130" s="11"/>
      <c r="K130" s="11"/>
      <c r="L130" s="17"/>
      <c r="M130" s="11"/>
      <c r="N130" s="26"/>
      <c r="P130" s="26"/>
      <c r="Q130" s="26"/>
      <c r="R130" s="26"/>
      <c r="S130" s="14"/>
      <c r="T130" s="14"/>
      <c r="U130" s="26"/>
      <c r="V130" s="38"/>
      <c r="W130" s="31"/>
      <c r="X130" s="50"/>
    </row>
    <row r="131" spans="1:24" ht="20.45" customHeight="1">
      <c r="A131" s="10"/>
      <c r="B131" s="11"/>
      <c r="C131" s="11"/>
      <c r="D131" s="11"/>
      <c r="E131" s="12"/>
      <c r="F131" s="11"/>
      <c r="G131" s="11"/>
      <c r="H131" s="11"/>
      <c r="I131" s="11"/>
      <c r="J131" s="11"/>
      <c r="K131" s="11"/>
      <c r="L131" s="11"/>
      <c r="M131" s="25"/>
      <c r="N131" s="28"/>
      <c r="O131" s="25"/>
      <c r="P131" s="25"/>
      <c r="Q131" s="25"/>
      <c r="R131" s="25"/>
      <c r="S131" s="25"/>
      <c r="T131" s="25"/>
      <c r="U131" s="28"/>
      <c r="V131" s="25"/>
      <c r="W131" s="15"/>
      <c r="X131" s="50"/>
    </row>
    <row r="132" spans="1:24" ht="20.45" customHeight="1">
      <c r="A132" s="10"/>
      <c r="B132" s="11"/>
      <c r="C132" s="11"/>
      <c r="D132" s="11"/>
      <c r="E132" s="12"/>
      <c r="F132" s="11"/>
      <c r="G132" s="11"/>
      <c r="H132" s="11"/>
      <c r="I132" s="11"/>
      <c r="J132" s="11"/>
      <c r="K132" s="11"/>
      <c r="L132" s="11"/>
      <c r="M132" s="25"/>
      <c r="N132" s="28"/>
      <c r="O132" s="25"/>
      <c r="P132" s="25"/>
      <c r="Q132" s="25"/>
      <c r="R132" s="25"/>
      <c r="S132" s="25"/>
      <c r="T132" s="25"/>
      <c r="U132" s="25"/>
      <c r="V132" s="25"/>
      <c r="W132" s="27"/>
      <c r="X132" s="50"/>
    </row>
    <row r="133" spans="1:24" ht="20.45" customHeight="1">
      <c r="A133" s="10"/>
      <c r="B133" s="11"/>
      <c r="C133" s="11"/>
      <c r="D133" s="11"/>
      <c r="E133" s="12"/>
      <c r="F133" s="11"/>
      <c r="G133" s="11"/>
      <c r="H133" s="11"/>
      <c r="I133" s="11"/>
      <c r="J133" s="11"/>
      <c r="K133" s="11"/>
      <c r="L133" s="11"/>
      <c r="M133" s="25"/>
      <c r="N133" s="28"/>
      <c r="O133" s="25"/>
      <c r="P133" s="25"/>
      <c r="Q133" s="28"/>
      <c r="R133" s="28"/>
      <c r="S133" s="25"/>
      <c r="T133" s="25"/>
      <c r="U133" s="28"/>
      <c r="V133" s="25"/>
      <c r="W133" s="15"/>
      <c r="X133" s="50"/>
    </row>
    <row r="134" spans="1:24" ht="20.45" customHeight="1">
      <c r="A134" s="10"/>
      <c r="B134" s="11"/>
      <c r="C134" s="11"/>
      <c r="D134" s="11"/>
      <c r="E134" s="12"/>
      <c r="F134" s="11"/>
      <c r="G134" s="11"/>
      <c r="H134" s="11"/>
      <c r="I134" s="11"/>
      <c r="J134" s="11"/>
      <c r="K134" s="11"/>
      <c r="L134" s="17"/>
      <c r="M134" s="25"/>
      <c r="N134" s="28"/>
      <c r="O134" s="25"/>
      <c r="P134" s="25"/>
      <c r="Q134" s="25"/>
      <c r="R134" s="25"/>
      <c r="S134" s="25"/>
      <c r="T134" s="25"/>
      <c r="U134" s="28"/>
      <c r="V134" s="25"/>
      <c r="W134" s="15"/>
      <c r="X134" s="50"/>
    </row>
    <row r="135" spans="1:24" ht="20.45" customHeight="1">
      <c r="A135" s="10"/>
      <c r="B135" s="11"/>
      <c r="C135" s="11"/>
      <c r="D135" s="11"/>
      <c r="E135" s="12"/>
      <c r="F135" s="11"/>
      <c r="G135" s="11"/>
      <c r="H135" s="11"/>
      <c r="I135" s="11"/>
      <c r="J135" s="11"/>
      <c r="K135" s="11"/>
      <c r="L135" s="11"/>
      <c r="M135" s="25"/>
      <c r="N135" s="28"/>
      <c r="O135" s="25"/>
      <c r="P135" s="25"/>
      <c r="Q135" s="25"/>
      <c r="R135" s="28"/>
      <c r="S135" s="25"/>
      <c r="T135" s="25"/>
      <c r="U135" s="28"/>
      <c r="V135" s="25"/>
      <c r="W135" s="15"/>
      <c r="X135" s="50"/>
    </row>
    <row r="136" spans="1:24" ht="20.45" customHeight="1">
      <c r="A136" s="10"/>
      <c r="B136" s="11"/>
      <c r="C136" s="11"/>
      <c r="D136" s="11"/>
      <c r="E136" s="12"/>
      <c r="F136" s="11"/>
      <c r="G136" s="11"/>
      <c r="H136" s="11"/>
      <c r="I136" s="11"/>
      <c r="J136" s="11"/>
      <c r="K136" s="11"/>
      <c r="L136" s="17"/>
      <c r="M136" s="25"/>
      <c r="N136" s="28"/>
      <c r="O136" s="25"/>
      <c r="P136" s="25"/>
      <c r="Q136" s="25"/>
      <c r="R136" s="28"/>
      <c r="S136" s="25"/>
      <c r="T136" s="25"/>
      <c r="U136" s="28"/>
      <c r="V136" s="25"/>
      <c r="W136" s="15"/>
      <c r="X136" s="50"/>
    </row>
    <row r="137" spans="1:24" ht="20.45" customHeight="1">
      <c r="A137" s="10"/>
      <c r="B137" s="11"/>
      <c r="C137" s="11"/>
      <c r="D137" s="11"/>
      <c r="E137" s="12"/>
      <c r="F137" s="11"/>
      <c r="G137" s="11"/>
      <c r="H137" s="11"/>
      <c r="I137" s="11"/>
      <c r="J137" s="11"/>
      <c r="K137" s="11"/>
      <c r="L137" s="11"/>
      <c r="M137" s="25"/>
      <c r="N137" s="28"/>
      <c r="O137" s="25"/>
      <c r="P137" s="25"/>
      <c r="Q137" s="28"/>
      <c r="R137" s="28"/>
      <c r="S137" s="25"/>
      <c r="T137" s="25"/>
      <c r="U137" s="28"/>
      <c r="V137" s="25"/>
      <c r="W137" s="15"/>
      <c r="X137" s="50"/>
    </row>
    <row r="138" spans="1:24" ht="20.45" customHeight="1">
      <c r="A138" s="10"/>
      <c r="B138" s="11"/>
      <c r="C138" s="11"/>
      <c r="D138" s="11"/>
      <c r="E138" s="12"/>
      <c r="F138" s="11"/>
      <c r="G138" s="11"/>
      <c r="H138" s="11"/>
      <c r="I138" s="11"/>
      <c r="J138" s="11"/>
      <c r="K138" s="11"/>
      <c r="L138" s="11"/>
      <c r="M138" s="25"/>
      <c r="N138" s="28"/>
      <c r="O138" s="25"/>
      <c r="P138" s="28"/>
      <c r="Q138" s="25"/>
      <c r="R138" s="28"/>
      <c r="S138" s="25"/>
      <c r="T138" s="28"/>
      <c r="U138" s="28"/>
      <c r="V138" s="25"/>
      <c r="W138" s="15"/>
      <c r="X138" s="51"/>
    </row>
    <row r="139" spans="1:24" ht="20.45" customHeight="1">
      <c r="A139" s="10"/>
      <c r="B139" s="11"/>
      <c r="C139" s="11"/>
      <c r="D139" s="11"/>
      <c r="E139" s="12"/>
      <c r="F139" s="11"/>
      <c r="G139" s="11"/>
      <c r="H139" s="11"/>
      <c r="I139" s="11"/>
      <c r="J139" s="11"/>
      <c r="K139" s="11"/>
      <c r="L139" s="11"/>
      <c r="M139" s="25"/>
      <c r="N139" s="28"/>
      <c r="O139" s="25"/>
      <c r="P139" s="25"/>
      <c r="Q139" s="25"/>
      <c r="R139" s="25"/>
      <c r="S139" s="25"/>
      <c r="T139" s="25"/>
      <c r="U139" s="28"/>
      <c r="V139" s="25"/>
      <c r="W139" s="15"/>
      <c r="X139" s="51"/>
    </row>
    <row r="140" spans="1:24" ht="20.45" customHeight="1">
      <c r="A140" s="10"/>
      <c r="B140" s="11"/>
      <c r="C140" s="11"/>
      <c r="D140" s="11"/>
      <c r="E140" s="12"/>
      <c r="F140" s="11"/>
      <c r="G140" s="11"/>
      <c r="H140" s="11"/>
      <c r="I140" s="11"/>
      <c r="J140" s="11"/>
      <c r="K140" s="11"/>
      <c r="L140" s="17"/>
      <c r="M140" s="25"/>
      <c r="N140" s="28"/>
      <c r="O140" s="25"/>
      <c r="P140" s="28"/>
      <c r="Q140" s="25"/>
      <c r="R140" s="28"/>
      <c r="S140" s="25"/>
      <c r="T140" s="25"/>
      <c r="U140" s="28"/>
      <c r="V140" s="28"/>
      <c r="W140" s="27"/>
      <c r="X140" s="51"/>
    </row>
    <row r="141" spans="1:24" ht="20.45" customHeight="1">
      <c r="A141" s="10"/>
      <c r="B141" s="11"/>
      <c r="C141" s="11"/>
      <c r="D141" s="11"/>
      <c r="E141" s="12"/>
      <c r="F141" s="11"/>
      <c r="G141" s="11"/>
      <c r="H141" s="11"/>
      <c r="I141" s="11"/>
      <c r="J141" s="11"/>
      <c r="K141" s="11"/>
      <c r="L141" s="11"/>
      <c r="M141" s="11"/>
      <c r="N141" s="26"/>
      <c r="P141" s="26"/>
      <c r="Q141" s="26"/>
      <c r="R141" s="26"/>
      <c r="S141" s="14"/>
      <c r="T141" s="14"/>
      <c r="U141" s="26"/>
      <c r="V141" s="28"/>
      <c r="W141" s="27"/>
      <c r="X141" s="51"/>
    </row>
    <row r="142" spans="1:24" ht="20.100000000000001" customHeight="1">
      <c r="A142" s="10"/>
      <c r="B142" s="11"/>
      <c r="C142" s="11"/>
      <c r="D142" s="11">
        <f>B142*E142</f>
        <v>0</v>
      </c>
      <c r="E142" s="12"/>
      <c r="F142" s="11">
        <f>C142/4</f>
        <v>0</v>
      </c>
      <c r="G142" s="11">
        <f>D142/7.5</f>
        <v>0</v>
      </c>
      <c r="H142" s="11">
        <f>B142/12.5</f>
        <v>0</v>
      </c>
      <c r="I142" s="11">
        <f>G142/0.93</f>
        <v>0</v>
      </c>
      <c r="J142" s="11">
        <f>G142/0.92</f>
        <v>0</v>
      </c>
      <c r="K142" s="11">
        <f>G142/0.88</f>
        <v>0</v>
      </c>
      <c r="L142" s="17">
        <f>G142/0.84</f>
        <v>0</v>
      </c>
      <c r="M142" s="11"/>
      <c r="N142" s="26"/>
      <c r="P142" s="26"/>
      <c r="Q142" s="26"/>
      <c r="R142" s="26"/>
      <c r="S142" s="14"/>
      <c r="T142" s="14"/>
      <c r="U142" s="26"/>
      <c r="V142" s="38"/>
      <c r="W142" s="31"/>
      <c r="X142" s="51"/>
    </row>
    <row r="143" spans="1:24" ht="20.100000000000001" customHeight="1">
      <c r="A143" s="10"/>
      <c r="B143" s="11"/>
      <c r="C143" s="11"/>
      <c r="D143" s="11">
        <f>B143*E143</f>
        <v>0</v>
      </c>
      <c r="E143" s="12"/>
      <c r="F143" s="11">
        <f>C143/4</f>
        <v>0</v>
      </c>
      <c r="G143" s="11">
        <f>D143/7.5</f>
        <v>0</v>
      </c>
      <c r="H143" s="11">
        <f>B143/12.5</f>
        <v>0</v>
      </c>
      <c r="I143" s="11">
        <f>G143/0.93</f>
        <v>0</v>
      </c>
      <c r="J143" s="11">
        <f>G143/0.92</f>
        <v>0</v>
      </c>
      <c r="K143" s="11">
        <f>G143/0.88</f>
        <v>0</v>
      </c>
      <c r="L143" s="17">
        <f>G143/0.84</f>
        <v>0</v>
      </c>
      <c r="M143" s="11"/>
      <c r="N143" s="26"/>
      <c r="P143" s="26"/>
      <c r="Q143" s="26"/>
      <c r="R143" s="26"/>
      <c r="S143" s="14"/>
      <c r="T143" s="14"/>
      <c r="U143" s="26"/>
      <c r="V143" s="38"/>
      <c r="W143" s="31"/>
      <c r="X143" s="51"/>
    </row>
    <row r="144" spans="1:24" ht="20.100000000000001" customHeight="1">
      <c r="A144" s="10"/>
      <c r="B144" s="11"/>
      <c r="C144" s="11"/>
      <c r="D144" s="11">
        <f>B144*E144</f>
        <v>0</v>
      </c>
      <c r="E144" s="12"/>
      <c r="F144" s="11">
        <f>C144/4</f>
        <v>0</v>
      </c>
      <c r="G144" s="11">
        <f>D144/7.5</f>
        <v>0</v>
      </c>
      <c r="H144" s="11">
        <f>B144/12.5</f>
        <v>0</v>
      </c>
      <c r="I144" s="11">
        <f>G144/0.93</f>
        <v>0</v>
      </c>
      <c r="J144" s="11">
        <f>G144/0.92</f>
        <v>0</v>
      </c>
      <c r="K144" s="11">
        <f>G144/0.88</f>
        <v>0</v>
      </c>
      <c r="L144" s="17">
        <f>G144/0.84</f>
        <v>0</v>
      </c>
      <c r="M144" s="11"/>
      <c r="N144" s="26"/>
      <c r="P144" s="26"/>
      <c r="Q144" s="26"/>
      <c r="R144" s="26"/>
      <c r="S144" s="14"/>
      <c r="T144" s="14"/>
      <c r="U144" s="26"/>
      <c r="V144" s="38"/>
      <c r="W144" s="31"/>
      <c r="X144" s="51"/>
    </row>
  </sheetData>
  <mergeCells count="15">
    <mergeCell ref="X51:X57"/>
    <mergeCell ref="X1:X10"/>
    <mergeCell ref="X11:X20"/>
    <mergeCell ref="X21:X30"/>
    <mergeCell ref="X31:X40"/>
    <mergeCell ref="X41:X50"/>
    <mergeCell ref="X118:X127"/>
    <mergeCell ref="X128:X137"/>
    <mergeCell ref="X138:X144"/>
    <mergeCell ref="X58:X67"/>
    <mergeCell ref="X68:X77"/>
    <mergeCell ref="X78:X87"/>
    <mergeCell ref="X88:X97"/>
    <mergeCell ref="X98:X107"/>
    <mergeCell ref="X108:X117"/>
  </mergeCells>
  <pageMargins left="0.25" right="0.25" top="0.25" bottom="0.25" header="0" footer="0"/>
  <pageSetup scale="95" fitToHeight="0" orientation="landscape" r:id="rId1"/>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E5647-CF13-4CBE-BD33-03CC358F6AC0}">
  <sheetPr>
    <pageSetUpPr fitToPage="1"/>
  </sheetPr>
  <dimension ref="A1:Z144"/>
  <sheetViews>
    <sheetView topLeftCell="A63" zoomScale="70" zoomScaleNormal="70" workbookViewId="0">
      <selection activeCell="A133" sqref="A133"/>
    </sheetView>
  </sheetViews>
  <sheetFormatPr defaultColWidth="8.7109375" defaultRowHeight="14.45"/>
  <cols>
    <col min="1" max="1" width="19.5703125" customWidth="1"/>
    <col min="2" max="2" width="8.7109375" style="29" hidden="1" customWidth="1"/>
    <col min="3" max="3" width="10.140625" hidden="1" customWidth="1"/>
    <col min="4" max="4" width="8.7109375" style="29" hidden="1" customWidth="1"/>
    <col min="5" max="5" width="9.28515625" hidden="1" customWidth="1"/>
    <col min="6" max="6" width="8.7109375" hidden="1" customWidth="1"/>
    <col min="7" max="7" width="9.28515625" hidden="1" customWidth="1"/>
    <col min="8" max="9" width="8.7109375" hidden="1" customWidth="1"/>
    <col min="10" max="10" width="10.7109375" hidden="1" customWidth="1"/>
    <col min="11" max="11" width="11.42578125" hidden="1" customWidth="1"/>
    <col min="12" max="12" width="6.140625" hidden="1" customWidth="1"/>
    <col min="13" max="13" width="8.7109375" customWidth="1"/>
    <col min="14" max="19" width="10.140625" customWidth="1"/>
    <col min="20" max="22" width="8.7109375" customWidth="1"/>
    <col min="23" max="23" width="3.42578125" customWidth="1"/>
    <col min="24" max="24" width="20.42578125" customWidth="1"/>
    <col min="25" max="25" width="12.28515625" bestFit="1" customWidth="1"/>
    <col min="26" max="27" width="12.85546875" bestFit="1" customWidth="1"/>
  </cols>
  <sheetData>
    <row r="1" spans="1:26" ht="14.45" customHeight="1">
      <c r="A1" s="1" t="s">
        <v>260</v>
      </c>
      <c r="B1" s="2" t="s">
        <v>1</v>
      </c>
      <c r="C1" s="2" t="s">
        <v>2</v>
      </c>
      <c r="D1" s="2" t="s">
        <v>3</v>
      </c>
      <c r="E1" s="3" t="s">
        <v>4</v>
      </c>
      <c r="F1" s="2" t="s">
        <v>5</v>
      </c>
      <c r="G1" s="2" t="s">
        <v>6</v>
      </c>
      <c r="H1" s="2" t="s">
        <v>7</v>
      </c>
      <c r="I1" s="4" t="s">
        <v>8</v>
      </c>
      <c r="J1" s="2" t="s">
        <v>9</v>
      </c>
      <c r="K1" s="2" t="s">
        <v>10</v>
      </c>
      <c r="L1" s="2" t="s">
        <v>11</v>
      </c>
      <c r="M1" s="6" t="s">
        <v>206</v>
      </c>
      <c r="N1" s="6" t="s">
        <v>207</v>
      </c>
      <c r="O1" s="7" t="s">
        <v>208</v>
      </c>
      <c r="P1" s="8" t="s">
        <v>209</v>
      </c>
      <c r="Q1" s="8" t="s">
        <v>147</v>
      </c>
      <c r="R1" s="7" t="s">
        <v>148</v>
      </c>
      <c r="S1" s="7" t="s">
        <v>149</v>
      </c>
      <c r="T1" s="7" t="s">
        <v>77</v>
      </c>
      <c r="U1" s="7" t="s">
        <v>20</v>
      </c>
      <c r="V1" s="7" t="s">
        <v>21</v>
      </c>
      <c r="W1" s="9" t="s">
        <v>22</v>
      </c>
      <c r="X1" s="52" t="s">
        <v>210</v>
      </c>
    </row>
    <row r="2" spans="1:26" ht="21" customHeight="1">
      <c r="A2" s="10" t="s">
        <v>34</v>
      </c>
      <c r="B2" s="11">
        <v>1.1979166666666667E-2</v>
      </c>
      <c r="C2" s="11">
        <v>3.472222222222222E-3</v>
      </c>
      <c r="D2" s="11">
        <f t="shared" ref="D2:D44" si="0">B2*E2</f>
        <v>6.9694791666666672E-3</v>
      </c>
      <c r="E2" s="12">
        <v>0.58179999999999998</v>
      </c>
      <c r="F2" s="11">
        <f t="shared" ref="F2:F44" si="1">C2/4</f>
        <v>8.6805555555555551E-4</v>
      </c>
      <c r="G2" s="11">
        <f t="shared" ref="G2:G44" si="2">D2/7.5</f>
        <v>9.2926388888888898E-4</v>
      </c>
      <c r="H2" s="11">
        <f t="shared" ref="H2:H44" si="3">B2/12.5</f>
        <v>9.5833333333333339E-4</v>
      </c>
      <c r="I2" s="11">
        <f t="shared" ref="I2:I44" si="4">G2/0.93</f>
        <v>9.9920848267622464E-4</v>
      </c>
      <c r="J2" s="11">
        <f t="shared" ref="J2:J44" si="5">G2/0.92</f>
        <v>1.0100694444444445E-3</v>
      </c>
      <c r="K2" s="11">
        <f t="shared" ref="K2:K44" si="6">G2/0.88</f>
        <v>1.055981691919192E-3</v>
      </c>
      <c r="L2" s="11">
        <f t="shared" ref="L2:L44" si="7">G2/0.84</f>
        <v>1.1062665343915346E-3</v>
      </c>
      <c r="M2" s="25"/>
      <c r="N2" s="28"/>
      <c r="O2" s="25"/>
      <c r="P2" s="28"/>
      <c r="Q2" s="25"/>
      <c r="R2" s="25"/>
      <c r="S2" s="25"/>
      <c r="T2" s="28"/>
      <c r="U2" s="11"/>
      <c r="V2" s="36"/>
      <c r="W2" s="15" t="s">
        <v>26</v>
      </c>
      <c r="X2" s="52"/>
    </row>
    <row r="3" spans="1:26" ht="21" customHeight="1">
      <c r="A3" s="10" t="s">
        <v>24</v>
      </c>
      <c r="B3" s="11">
        <v>1.2152777777777778E-2</v>
      </c>
      <c r="C3" s="11">
        <v>3.5300925925925925E-3</v>
      </c>
      <c r="D3" s="11">
        <f t="shared" si="0"/>
        <v>7.0704861111111107E-3</v>
      </c>
      <c r="E3" s="12">
        <v>0.58179999999999998</v>
      </c>
      <c r="F3" s="11">
        <f t="shared" si="1"/>
        <v>8.8252314814814812E-4</v>
      </c>
      <c r="G3" s="11">
        <f t="shared" si="2"/>
        <v>9.4273148148148146E-4</v>
      </c>
      <c r="H3" s="11">
        <f t="shared" si="3"/>
        <v>9.7222222222222219E-4</v>
      </c>
      <c r="I3" s="11">
        <f t="shared" si="4"/>
        <v>1.0136897650338511E-3</v>
      </c>
      <c r="J3" s="11">
        <f t="shared" si="5"/>
        <v>1.0247081320450884E-3</v>
      </c>
      <c r="K3" s="11">
        <f t="shared" si="6"/>
        <v>1.0712857744107744E-3</v>
      </c>
      <c r="L3" s="11">
        <f t="shared" si="7"/>
        <v>1.1222993827160494E-3</v>
      </c>
      <c r="M3" s="25"/>
      <c r="N3" s="28"/>
      <c r="O3" s="25"/>
      <c r="P3" s="28"/>
      <c r="Q3" s="25"/>
      <c r="R3" s="25"/>
      <c r="S3" s="25"/>
      <c r="T3" s="28"/>
      <c r="U3" s="11"/>
      <c r="V3" s="28"/>
      <c r="W3" s="15" t="s">
        <v>26</v>
      </c>
      <c r="X3" s="52"/>
      <c r="Z3" s="16"/>
    </row>
    <row r="4" spans="1:26" ht="21" customHeight="1">
      <c r="A4" s="10" t="s">
        <v>60</v>
      </c>
      <c r="B4" s="11">
        <v>1.2152777777777778E-2</v>
      </c>
      <c r="C4" s="11">
        <v>3.6458333333333334E-3</v>
      </c>
      <c r="D4" s="11">
        <f t="shared" si="0"/>
        <v>7.0704861111111107E-3</v>
      </c>
      <c r="E4" s="12">
        <v>0.58179999999999998</v>
      </c>
      <c r="F4" s="11">
        <f t="shared" si="1"/>
        <v>9.1145833333333335E-4</v>
      </c>
      <c r="G4" s="11">
        <f t="shared" si="2"/>
        <v>9.4273148148148146E-4</v>
      </c>
      <c r="H4" s="11">
        <f t="shared" si="3"/>
        <v>9.7222222222222219E-4</v>
      </c>
      <c r="I4" s="11">
        <f t="shared" si="4"/>
        <v>1.0136897650338511E-3</v>
      </c>
      <c r="J4" s="11">
        <f t="shared" si="5"/>
        <v>1.0247081320450884E-3</v>
      </c>
      <c r="K4" s="11">
        <f t="shared" si="6"/>
        <v>1.0712857744107744E-3</v>
      </c>
      <c r="L4" s="11">
        <f t="shared" si="7"/>
        <v>1.1222993827160494E-3</v>
      </c>
      <c r="M4" s="25"/>
      <c r="N4" s="28"/>
      <c r="O4" s="25"/>
      <c r="P4" s="28"/>
      <c r="Q4" s="25"/>
      <c r="R4" s="25"/>
      <c r="S4" s="25"/>
      <c r="T4" s="28"/>
      <c r="U4" s="11"/>
      <c r="V4" s="28"/>
      <c r="W4" s="15" t="s">
        <v>26</v>
      </c>
      <c r="X4" s="52"/>
    </row>
    <row r="5" spans="1:26" ht="21" customHeight="1">
      <c r="A5" s="10" t="s">
        <v>27</v>
      </c>
      <c r="B5" s="11">
        <v>1.238425925925926E-2</v>
      </c>
      <c r="C5" s="11">
        <v>3.6458333333333334E-3</v>
      </c>
      <c r="D5" s="11">
        <f t="shared" si="0"/>
        <v>7.2051620370370368E-3</v>
      </c>
      <c r="E5" s="12">
        <v>0.58179999999999998</v>
      </c>
      <c r="F5" s="11">
        <f t="shared" si="1"/>
        <v>9.1145833333333335E-4</v>
      </c>
      <c r="G5" s="11">
        <f t="shared" si="2"/>
        <v>9.6068827160493821E-4</v>
      </c>
      <c r="H5" s="11">
        <f t="shared" si="3"/>
        <v>9.9074074074074082E-4</v>
      </c>
      <c r="I5" s="11">
        <f t="shared" si="4"/>
        <v>1.0329981415106862E-3</v>
      </c>
      <c r="J5" s="11">
        <f t="shared" si="5"/>
        <v>1.0442263821792807E-3</v>
      </c>
      <c r="K5" s="11">
        <f t="shared" si="6"/>
        <v>1.0916912177328843E-3</v>
      </c>
      <c r="L5" s="11">
        <f t="shared" si="7"/>
        <v>1.1436765138154027E-3</v>
      </c>
      <c r="M5" s="25"/>
      <c r="N5" s="28"/>
      <c r="O5" s="25"/>
      <c r="P5" s="28"/>
      <c r="Q5" s="25"/>
      <c r="R5" s="25"/>
      <c r="S5" s="25"/>
      <c r="T5" s="28"/>
      <c r="U5" s="11"/>
      <c r="V5" s="28"/>
      <c r="W5" s="15" t="s">
        <v>26</v>
      </c>
      <c r="X5" s="52"/>
    </row>
    <row r="6" spans="1:26" ht="21" customHeight="1">
      <c r="A6" s="10" t="s">
        <v>31</v>
      </c>
      <c r="B6" s="11">
        <v>1.238425925925926E-2</v>
      </c>
      <c r="C6" s="11">
        <v>3.7037037037037038E-3</v>
      </c>
      <c r="D6" s="11">
        <f t="shared" si="0"/>
        <v>7.2051620370370368E-3</v>
      </c>
      <c r="E6" s="12">
        <v>0.58179999999999998</v>
      </c>
      <c r="F6" s="11">
        <f t="shared" si="1"/>
        <v>9.2592592592592596E-4</v>
      </c>
      <c r="G6" s="11">
        <f t="shared" si="2"/>
        <v>9.6068827160493821E-4</v>
      </c>
      <c r="H6" s="11">
        <f t="shared" si="3"/>
        <v>9.9074074074074082E-4</v>
      </c>
      <c r="I6" s="11">
        <f t="shared" si="4"/>
        <v>1.0329981415106862E-3</v>
      </c>
      <c r="J6" s="11">
        <f t="shared" si="5"/>
        <v>1.0442263821792807E-3</v>
      </c>
      <c r="K6" s="11">
        <f t="shared" si="6"/>
        <v>1.0916912177328843E-3</v>
      </c>
      <c r="L6" s="11">
        <f t="shared" si="7"/>
        <v>1.1436765138154027E-3</v>
      </c>
      <c r="M6" s="25"/>
      <c r="N6" s="28"/>
      <c r="O6" s="25"/>
      <c r="P6" s="28"/>
      <c r="Q6" s="25"/>
      <c r="R6" s="25"/>
      <c r="S6" s="25"/>
      <c r="T6" s="28"/>
      <c r="U6" s="11"/>
      <c r="V6" s="28"/>
      <c r="W6" s="15" t="s">
        <v>26</v>
      </c>
      <c r="X6" s="52"/>
    </row>
    <row r="7" spans="1:26" ht="21" customHeight="1">
      <c r="A7" s="10" t="s">
        <v>59</v>
      </c>
      <c r="B7" s="11">
        <v>1.2500000000000001E-2</v>
      </c>
      <c r="C7" s="11">
        <v>3.7037037037037038E-3</v>
      </c>
      <c r="D7" s="11">
        <f t="shared" si="0"/>
        <v>7.2725000000000003E-3</v>
      </c>
      <c r="E7" s="12">
        <v>0.58179999999999998</v>
      </c>
      <c r="F7" s="11">
        <f t="shared" si="1"/>
        <v>9.2592592592592596E-4</v>
      </c>
      <c r="G7" s="11">
        <f t="shared" si="2"/>
        <v>9.6966666666666675E-4</v>
      </c>
      <c r="H7" s="11">
        <f t="shared" si="3"/>
        <v>1E-3</v>
      </c>
      <c r="I7" s="11">
        <f t="shared" si="4"/>
        <v>1.0426523297491039E-3</v>
      </c>
      <c r="J7" s="11">
        <f t="shared" si="5"/>
        <v>1.0539855072463768E-3</v>
      </c>
      <c r="K7" s="11">
        <f t="shared" si="6"/>
        <v>1.1018939393939394E-3</v>
      </c>
      <c r="L7" s="17">
        <f t="shared" si="7"/>
        <v>1.1543650793650795E-3</v>
      </c>
      <c r="M7" s="25"/>
      <c r="N7" s="28"/>
      <c r="O7" s="25"/>
      <c r="P7" s="28"/>
      <c r="Q7" s="25"/>
      <c r="R7" s="25"/>
      <c r="S7" s="25"/>
      <c r="T7" s="28"/>
      <c r="U7" s="11"/>
      <c r="V7" s="38"/>
      <c r="W7" s="15" t="s">
        <v>26</v>
      </c>
      <c r="X7" s="52"/>
    </row>
    <row r="8" spans="1:26" ht="21" customHeight="1">
      <c r="A8" s="10" t="s">
        <v>28</v>
      </c>
      <c r="B8" s="11">
        <v>1.2500000000000001E-2</v>
      </c>
      <c r="C8" s="11">
        <v>3.7037037037037038E-3</v>
      </c>
      <c r="D8" s="11">
        <f t="shared" si="0"/>
        <v>7.2725000000000003E-3</v>
      </c>
      <c r="E8" s="12">
        <v>0.58179999999999998</v>
      </c>
      <c r="F8" s="11">
        <f t="shared" si="1"/>
        <v>9.2592592592592596E-4</v>
      </c>
      <c r="G8" s="11">
        <f t="shared" si="2"/>
        <v>9.6966666666666675E-4</v>
      </c>
      <c r="H8" s="11">
        <f t="shared" si="3"/>
        <v>1E-3</v>
      </c>
      <c r="I8" s="11">
        <f t="shared" si="4"/>
        <v>1.0426523297491039E-3</v>
      </c>
      <c r="J8" s="11">
        <f t="shared" si="5"/>
        <v>1.0539855072463768E-3</v>
      </c>
      <c r="K8" s="11">
        <f t="shared" si="6"/>
        <v>1.1018939393939394E-3</v>
      </c>
      <c r="L8" s="11">
        <f t="shared" si="7"/>
        <v>1.1543650793650795E-3</v>
      </c>
      <c r="M8" s="25"/>
      <c r="N8" s="28"/>
      <c r="O8" s="25"/>
      <c r="P8" s="28"/>
      <c r="Q8" s="25"/>
      <c r="R8" s="25"/>
      <c r="S8" s="25"/>
      <c r="T8" s="28"/>
      <c r="U8" s="11"/>
      <c r="V8" s="28"/>
      <c r="W8" s="15" t="s">
        <v>26</v>
      </c>
      <c r="X8" s="52"/>
    </row>
    <row r="9" spans="1:26" ht="21" customHeight="1">
      <c r="A9" s="10" t="s">
        <v>29</v>
      </c>
      <c r="B9" s="11">
        <v>1.2500000000000001E-2</v>
      </c>
      <c r="C9" s="11">
        <v>3.8194444444444443E-3</v>
      </c>
      <c r="D9" s="11">
        <f t="shared" si="0"/>
        <v>7.2725000000000003E-3</v>
      </c>
      <c r="E9" s="12">
        <v>0.58179999999999998</v>
      </c>
      <c r="F9" s="11">
        <f t="shared" si="1"/>
        <v>9.5486111111111108E-4</v>
      </c>
      <c r="G9" s="11">
        <f t="shared" si="2"/>
        <v>9.6966666666666675E-4</v>
      </c>
      <c r="H9" s="11">
        <f t="shared" si="3"/>
        <v>1E-3</v>
      </c>
      <c r="I9" s="11">
        <f t="shared" si="4"/>
        <v>1.0426523297491039E-3</v>
      </c>
      <c r="J9" s="11">
        <f t="shared" si="5"/>
        <v>1.0539855072463768E-3</v>
      </c>
      <c r="K9" s="11">
        <f t="shared" si="6"/>
        <v>1.1018939393939394E-3</v>
      </c>
      <c r="L9" s="11">
        <f t="shared" si="7"/>
        <v>1.1543650793650795E-3</v>
      </c>
      <c r="M9" s="25"/>
      <c r="N9" s="28"/>
      <c r="O9" s="25"/>
      <c r="P9" s="28"/>
      <c r="Q9" s="25"/>
      <c r="R9" s="25"/>
      <c r="S9" s="25"/>
      <c r="T9" s="28"/>
      <c r="U9" s="11"/>
      <c r="V9" s="38"/>
      <c r="W9" s="18" t="s">
        <v>26</v>
      </c>
      <c r="X9" s="52"/>
    </row>
    <row r="10" spans="1:26" ht="21" customHeight="1">
      <c r="A10" s="10" t="s">
        <v>30</v>
      </c>
      <c r="B10" s="11">
        <v>1.2500000000000001E-2</v>
      </c>
      <c r="C10" s="11">
        <v>3.6458333333333334E-3</v>
      </c>
      <c r="D10" s="11">
        <f t="shared" si="0"/>
        <v>7.2725000000000003E-3</v>
      </c>
      <c r="E10" s="12">
        <v>0.58179999999999998</v>
      </c>
      <c r="F10" s="11">
        <f t="shared" si="1"/>
        <v>9.1145833333333335E-4</v>
      </c>
      <c r="G10" s="11">
        <f t="shared" si="2"/>
        <v>9.6966666666666675E-4</v>
      </c>
      <c r="H10" s="11">
        <f t="shared" si="3"/>
        <v>1E-3</v>
      </c>
      <c r="I10" s="11">
        <f t="shared" si="4"/>
        <v>1.0426523297491039E-3</v>
      </c>
      <c r="J10" s="11">
        <f t="shared" si="5"/>
        <v>1.0539855072463768E-3</v>
      </c>
      <c r="K10" s="11">
        <f t="shared" si="6"/>
        <v>1.1018939393939394E-3</v>
      </c>
      <c r="L10" s="11">
        <f t="shared" si="7"/>
        <v>1.1543650793650795E-3</v>
      </c>
      <c r="M10" s="25"/>
      <c r="N10" s="28"/>
      <c r="O10" s="25"/>
      <c r="P10" s="28"/>
      <c r="Q10" s="25"/>
      <c r="R10" s="25"/>
      <c r="S10" s="25"/>
      <c r="T10" s="28"/>
      <c r="U10" s="11"/>
      <c r="V10" s="28"/>
      <c r="W10" s="15" t="s">
        <v>26</v>
      </c>
      <c r="X10" s="52"/>
    </row>
    <row r="11" spans="1:26" ht="21" customHeight="1">
      <c r="A11" s="10" t="s">
        <v>55</v>
      </c>
      <c r="B11" s="11">
        <v>1.2500000000000001E-2</v>
      </c>
      <c r="C11" s="11">
        <v>3.5879629629629629E-3</v>
      </c>
      <c r="D11" s="11">
        <f t="shared" si="0"/>
        <v>7.2725000000000003E-3</v>
      </c>
      <c r="E11" s="12">
        <v>0.58179999999999998</v>
      </c>
      <c r="F11" s="11">
        <f t="shared" si="1"/>
        <v>8.9699074074074073E-4</v>
      </c>
      <c r="G11" s="11">
        <f t="shared" si="2"/>
        <v>9.6966666666666675E-4</v>
      </c>
      <c r="H11" s="11">
        <f t="shared" si="3"/>
        <v>1E-3</v>
      </c>
      <c r="I11" s="11">
        <f t="shared" si="4"/>
        <v>1.0426523297491039E-3</v>
      </c>
      <c r="J11" s="11">
        <f t="shared" si="5"/>
        <v>1.0539855072463768E-3</v>
      </c>
      <c r="K11" s="11">
        <f t="shared" si="6"/>
        <v>1.1018939393939394E-3</v>
      </c>
      <c r="L11" s="11">
        <f t="shared" si="7"/>
        <v>1.1543650793650795E-3</v>
      </c>
      <c r="M11" s="25"/>
      <c r="N11" s="28"/>
      <c r="O11" s="25"/>
      <c r="P11" s="28"/>
      <c r="Q11" s="25"/>
      <c r="R11" s="25"/>
      <c r="S11" s="25"/>
      <c r="T11" s="28"/>
      <c r="U11" s="11"/>
      <c r="V11" s="17"/>
      <c r="W11" s="18" t="s">
        <v>26</v>
      </c>
      <c r="X11" s="52" t="s">
        <v>211</v>
      </c>
    </row>
    <row r="12" spans="1:26" ht="21" customHeight="1">
      <c r="A12" s="10" t="s">
        <v>62</v>
      </c>
      <c r="B12" s="11">
        <v>1.2500000000000001E-2</v>
      </c>
      <c r="C12" s="11">
        <v>3.6458333333333334E-3</v>
      </c>
      <c r="D12" s="11">
        <f>B12*E12</f>
        <v>7.2725000000000003E-3</v>
      </c>
      <c r="E12" s="12">
        <v>0.58179999999999998</v>
      </c>
      <c r="F12" s="11">
        <f>C12/4</f>
        <v>9.1145833333333335E-4</v>
      </c>
      <c r="G12" s="11">
        <f>D12/7.5</f>
        <v>9.6966666666666675E-4</v>
      </c>
      <c r="H12" s="11">
        <f>B12/12.5</f>
        <v>1E-3</v>
      </c>
      <c r="I12" s="11">
        <f>G12/0.93</f>
        <v>1.0426523297491039E-3</v>
      </c>
      <c r="J12" s="11">
        <f>G12/0.92</f>
        <v>1.0539855072463768E-3</v>
      </c>
      <c r="K12" s="11">
        <f>G12/0.88</f>
        <v>1.1018939393939394E-3</v>
      </c>
      <c r="L12" s="11">
        <f>G12/0.84</f>
        <v>1.1543650793650795E-3</v>
      </c>
      <c r="M12" s="25"/>
      <c r="N12" s="28"/>
      <c r="O12" s="25"/>
      <c r="P12" s="28"/>
      <c r="Q12" s="25"/>
      <c r="R12" s="25"/>
      <c r="S12" s="25"/>
      <c r="T12" s="28"/>
      <c r="U12" s="11"/>
      <c r="V12" s="17"/>
      <c r="W12" s="18" t="s">
        <v>26</v>
      </c>
      <c r="X12" s="52"/>
    </row>
    <row r="13" spans="1:26" ht="21" customHeight="1">
      <c r="A13" s="10" t="s">
        <v>65</v>
      </c>
      <c r="B13" s="11">
        <v>1.2731481481481481E-2</v>
      </c>
      <c r="C13" s="11">
        <v>3.8194444444444443E-3</v>
      </c>
      <c r="D13" s="11">
        <f t="shared" si="0"/>
        <v>7.4071759259259256E-3</v>
      </c>
      <c r="E13" s="12">
        <v>0.58179999999999998</v>
      </c>
      <c r="F13" s="11">
        <f t="shared" si="1"/>
        <v>9.5486111111111108E-4</v>
      </c>
      <c r="G13" s="11">
        <f t="shared" si="2"/>
        <v>9.8762345679012349E-4</v>
      </c>
      <c r="H13" s="11">
        <f t="shared" si="3"/>
        <v>1.0185185185185184E-3</v>
      </c>
      <c r="I13" s="11">
        <f t="shared" si="4"/>
        <v>1.0619607062259391E-3</v>
      </c>
      <c r="J13" s="11">
        <f t="shared" si="5"/>
        <v>1.073503757380569E-3</v>
      </c>
      <c r="K13" s="11">
        <f t="shared" si="6"/>
        <v>1.1222993827160494E-3</v>
      </c>
      <c r="L13" s="11">
        <f t="shared" si="7"/>
        <v>1.1757422104644328E-3</v>
      </c>
      <c r="M13" s="25"/>
      <c r="N13" s="28"/>
      <c r="O13" s="25"/>
      <c r="P13" s="28"/>
      <c r="Q13" s="25"/>
      <c r="R13" s="25"/>
      <c r="S13" s="25"/>
      <c r="T13" s="28"/>
      <c r="U13" s="11"/>
      <c r="V13" s="28"/>
      <c r="W13" s="15" t="s">
        <v>26</v>
      </c>
      <c r="X13" s="52"/>
    </row>
    <row r="14" spans="1:26" ht="21" customHeight="1">
      <c r="A14" s="10"/>
      <c r="B14" s="11"/>
      <c r="C14" s="11"/>
      <c r="D14" s="11"/>
      <c r="E14" s="12"/>
      <c r="F14" s="11"/>
      <c r="G14" s="11"/>
      <c r="H14" s="11"/>
      <c r="I14" s="11"/>
      <c r="J14" s="11"/>
      <c r="K14" s="11"/>
      <c r="L14" s="11"/>
      <c r="M14" s="25"/>
      <c r="N14" s="28"/>
      <c r="O14" s="25"/>
      <c r="P14" s="11"/>
      <c r="Q14" s="14"/>
      <c r="R14" s="11"/>
      <c r="S14" s="14"/>
      <c r="T14" s="14"/>
      <c r="U14" s="14"/>
      <c r="V14" s="17"/>
      <c r="W14" s="18"/>
      <c r="X14" s="52"/>
    </row>
    <row r="15" spans="1:26" ht="21" customHeight="1">
      <c r="A15" s="19"/>
      <c r="B15" s="6"/>
      <c r="C15" s="6"/>
      <c r="D15" s="6"/>
      <c r="E15" s="20"/>
      <c r="F15" s="6"/>
      <c r="G15" s="6"/>
      <c r="H15" s="6"/>
      <c r="I15" s="6"/>
      <c r="J15" s="6"/>
      <c r="K15" s="6"/>
      <c r="L15" s="6"/>
      <c r="M15" s="6"/>
      <c r="N15" s="6"/>
      <c r="O15" s="6"/>
      <c r="P15" s="6"/>
      <c r="Q15" s="6"/>
      <c r="R15" s="6"/>
      <c r="S15" s="6"/>
      <c r="T15" s="6"/>
      <c r="U15" s="6"/>
      <c r="V15" s="6"/>
      <c r="W15" s="35"/>
      <c r="X15" s="52"/>
    </row>
    <row r="16" spans="1:26" ht="21" customHeight="1">
      <c r="A16" s="10" t="s">
        <v>36</v>
      </c>
      <c r="B16" s="11">
        <v>1.2731481481481481E-2</v>
      </c>
      <c r="C16" s="11">
        <v>3.6458333333333334E-3</v>
      </c>
      <c r="D16" s="11">
        <f t="shared" ref="D16:D19" si="8">B16*E16</f>
        <v>7.4071759259259256E-3</v>
      </c>
      <c r="E16" s="12">
        <v>0.58179999999999998</v>
      </c>
      <c r="F16" s="11">
        <f t="shared" ref="F16:F19" si="9">C16/4</f>
        <v>9.1145833333333335E-4</v>
      </c>
      <c r="G16" s="11">
        <f t="shared" ref="G16:G19" si="10">D16/7.5</f>
        <v>9.8762345679012349E-4</v>
      </c>
      <c r="H16" s="11">
        <f t="shared" ref="H16:H19" si="11">B16/12.5</f>
        <v>1.0185185185185184E-3</v>
      </c>
      <c r="I16" s="11">
        <f t="shared" ref="I16:I19" si="12">G16/0.93</f>
        <v>1.0619607062259391E-3</v>
      </c>
      <c r="J16" s="11">
        <f t="shared" ref="J16:J19" si="13">G16/0.92</f>
        <v>1.073503757380569E-3</v>
      </c>
      <c r="K16" s="11">
        <f t="shared" ref="K16:K19" si="14">G16/0.88</f>
        <v>1.1222993827160494E-3</v>
      </c>
      <c r="L16" s="11">
        <f t="shared" ref="L16:L19" si="15">G16/0.84</f>
        <v>1.1757422104644328E-3</v>
      </c>
      <c r="M16" s="25"/>
      <c r="N16" s="28"/>
      <c r="O16" s="25"/>
      <c r="P16" s="28"/>
      <c r="Q16" s="25"/>
      <c r="R16" s="25"/>
      <c r="S16" s="25"/>
      <c r="T16" s="25"/>
      <c r="U16" s="25"/>
      <c r="V16" s="25"/>
      <c r="W16" s="15" t="s">
        <v>261</v>
      </c>
      <c r="X16" s="52"/>
    </row>
    <row r="17" spans="1:24" ht="21" customHeight="1">
      <c r="A17" s="10" t="s">
        <v>50</v>
      </c>
      <c r="B17" s="11">
        <v>1.3020833333333334E-2</v>
      </c>
      <c r="C17" s="11">
        <v>3.7037037037037038E-3</v>
      </c>
      <c r="D17" s="11">
        <f t="shared" si="8"/>
        <v>7.5755208333333334E-3</v>
      </c>
      <c r="E17" s="12">
        <v>0.58179999999999998</v>
      </c>
      <c r="F17" s="11">
        <f t="shared" si="9"/>
        <v>9.2592592592592596E-4</v>
      </c>
      <c r="G17" s="11">
        <f t="shared" si="10"/>
        <v>1.0100694444444445E-3</v>
      </c>
      <c r="H17" s="11">
        <f t="shared" si="11"/>
        <v>1.0416666666666667E-3</v>
      </c>
      <c r="I17" s="11">
        <f t="shared" si="12"/>
        <v>1.0860961768219832E-3</v>
      </c>
      <c r="J17" s="11">
        <f t="shared" si="13"/>
        <v>1.0979015700483092E-3</v>
      </c>
      <c r="K17" s="11">
        <f t="shared" si="14"/>
        <v>1.1478061868686869E-3</v>
      </c>
      <c r="L17" s="11">
        <f t="shared" si="15"/>
        <v>1.2024636243386244E-3</v>
      </c>
      <c r="M17" s="25"/>
      <c r="N17" s="28"/>
      <c r="O17" s="25"/>
      <c r="P17" s="28"/>
      <c r="Q17" s="25"/>
      <c r="R17" s="25"/>
      <c r="S17" s="25"/>
      <c r="T17" s="25"/>
      <c r="U17" s="25"/>
      <c r="V17" s="25"/>
      <c r="W17" s="15" t="s">
        <v>261</v>
      </c>
      <c r="X17" s="52"/>
    </row>
    <row r="18" spans="1:24" ht="21" customHeight="1">
      <c r="A18" s="10" t="s">
        <v>47</v>
      </c>
      <c r="B18" s="11">
        <v>1.3020833333333334E-2</v>
      </c>
      <c r="C18" s="11">
        <v>3.7037037037037038E-3</v>
      </c>
      <c r="D18" s="11">
        <f t="shared" si="8"/>
        <v>7.5755208333333334E-3</v>
      </c>
      <c r="E18" s="12">
        <v>0.58179999999999998</v>
      </c>
      <c r="F18" s="11">
        <f t="shared" si="9"/>
        <v>9.2592592592592596E-4</v>
      </c>
      <c r="G18" s="11">
        <f t="shared" si="10"/>
        <v>1.0100694444444445E-3</v>
      </c>
      <c r="H18" s="11">
        <f t="shared" si="11"/>
        <v>1.0416666666666667E-3</v>
      </c>
      <c r="I18" s="11">
        <f t="shared" si="12"/>
        <v>1.0860961768219832E-3</v>
      </c>
      <c r="J18" s="11">
        <f t="shared" si="13"/>
        <v>1.0979015700483092E-3</v>
      </c>
      <c r="K18" s="11">
        <f t="shared" si="14"/>
        <v>1.1478061868686869E-3</v>
      </c>
      <c r="L18" s="11">
        <f t="shared" si="15"/>
        <v>1.2024636243386244E-3</v>
      </c>
      <c r="M18" s="25"/>
      <c r="N18" s="28"/>
      <c r="O18" s="25"/>
      <c r="P18" s="28"/>
      <c r="Q18" s="25"/>
      <c r="R18" s="25"/>
      <c r="S18" s="25"/>
      <c r="T18" s="25"/>
      <c r="U18" s="25"/>
      <c r="V18" s="25"/>
      <c r="W18" s="15" t="s">
        <v>261</v>
      </c>
      <c r="X18" s="52"/>
    </row>
    <row r="19" spans="1:24" ht="21" customHeight="1">
      <c r="A19" s="10" t="s">
        <v>198</v>
      </c>
      <c r="B19" s="11">
        <v>1.4583333333333334E-2</v>
      </c>
      <c r="C19" s="11">
        <v>4.1666666666666666E-3</v>
      </c>
      <c r="D19" s="11">
        <f t="shared" si="8"/>
        <v>8.4845833333333336E-3</v>
      </c>
      <c r="E19" s="12">
        <v>0.58179999999999998</v>
      </c>
      <c r="F19" s="11">
        <f t="shared" si="9"/>
        <v>1.0416666666666667E-3</v>
      </c>
      <c r="G19" s="11">
        <f t="shared" si="10"/>
        <v>1.1312777777777777E-3</v>
      </c>
      <c r="H19" s="11">
        <f t="shared" si="11"/>
        <v>1.1666666666666668E-3</v>
      </c>
      <c r="I19" s="11">
        <f t="shared" si="12"/>
        <v>1.2164277180406211E-3</v>
      </c>
      <c r="J19" s="11">
        <f t="shared" si="13"/>
        <v>1.2296497584541061E-3</v>
      </c>
      <c r="K19" s="11">
        <f t="shared" si="14"/>
        <v>1.2855429292929293E-3</v>
      </c>
      <c r="L19" s="11">
        <f t="shared" si="15"/>
        <v>1.3467592592592591E-3</v>
      </c>
      <c r="M19" s="25"/>
      <c r="N19" s="28"/>
      <c r="O19" s="25"/>
      <c r="P19" s="28"/>
      <c r="Q19" s="25"/>
      <c r="R19" s="25"/>
      <c r="S19" s="25"/>
      <c r="T19" s="25"/>
      <c r="U19" s="25"/>
      <c r="V19" s="25"/>
      <c r="W19" s="15" t="s">
        <v>261</v>
      </c>
      <c r="X19" s="52"/>
    </row>
    <row r="20" spans="1:24" ht="21" customHeight="1">
      <c r="A20" s="10"/>
      <c r="B20" s="11"/>
      <c r="C20" s="11"/>
      <c r="D20" s="11"/>
      <c r="E20" s="12"/>
      <c r="F20" s="11"/>
      <c r="G20" s="11"/>
      <c r="H20" s="11"/>
      <c r="I20" s="11"/>
      <c r="J20" s="11"/>
      <c r="K20" s="11"/>
      <c r="L20" s="11"/>
      <c r="M20" s="25"/>
      <c r="N20" s="28"/>
      <c r="O20" s="25"/>
      <c r="P20" s="28"/>
      <c r="Q20" s="25"/>
      <c r="R20" s="11"/>
      <c r="S20" s="14"/>
      <c r="T20" s="11"/>
      <c r="U20" s="11"/>
      <c r="V20" s="17"/>
      <c r="W20" s="18"/>
      <c r="X20" s="52"/>
    </row>
    <row r="21" spans="1:24" ht="21" customHeight="1">
      <c r="A21" s="19"/>
      <c r="B21" s="6"/>
      <c r="C21" s="6"/>
      <c r="D21" s="6"/>
      <c r="E21" s="20"/>
      <c r="F21" s="6"/>
      <c r="G21" s="6"/>
      <c r="H21" s="6"/>
      <c r="I21" s="6"/>
      <c r="J21" s="6"/>
      <c r="K21" s="6"/>
      <c r="L21" s="6"/>
      <c r="M21" s="6"/>
      <c r="N21" s="6"/>
      <c r="O21" s="6"/>
      <c r="P21" s="6"/>
      <c r="Q21" s="6"/>
      <c r="R21" s="6"/>
      <c r="S21" s="6"/>
      <c r="T21" s="6"/>
      <c r="U21" s="6"/>
      <c r="V21" s="6"/>
      <c r="W21" s="35"/>
      <c r="X21" s="52" t="s">
        <v>262</v>
      </c>
    </row>
    <row r="22" spans="1:24" ht="21" customHeight="1">
      <c r="A22" s="10" t="s">
        <v>61</v>
      </c>
      <c r="B22" s="11">
        <v>1.4583333333333334E-2</v>
      </c>
      <c r="C22" s="11">
        <v>4.3981481481481484E-3</v>
      </c>
      <c r="D22" s="11">
        <f>B22*E22</f>
        <v>8.4845833333333336E-3</v>
      </c>
      <c r="E22" s="12">
        <v>0.58179999999999998</v>
      </c>
      <c r="F22" s="11">
        <f>C22/4</f>
        <v>1.0995370370370371E-3</v>
      </c>
      <c r="G22" s="11">
        <f>D22/7.5</f>
        <v>1.1312777777777777E-3</v>
      </c>
      <c r="H22" s="11">
        <f>B22/12.5</f>
        <v>1.1666666666666668E-3</v>
      </c>
      <c r="I22" s="11">
        <f>G22/0.93</f>
        <v>1.2164277180406211E-3</v>
      </c>
      <c r="J22" s="11">
        <f>G22/0.92</f>
        <v>1.2296497584541061E-3</v>
      </c>
      <c r="K22" s="11">
        <f>G22/0.88</f>
        <v>1.2855429292929293E-3</v>
      </c>
      <c r="L22" s="11">
        <f>G22/0.84</f>
        <v>1.3467592592592591E-3</v>
      </c>
      <c r="M22" s="25"/>
      <c r="N22" s="28"/>
      <c r="O22" s="25"/>
      <c r="P22" s="25"/>
      <c r="Q22" s="25"/>
      <c r="R22" s="25"/>
      <c r="S22" s="28"/>
      <c r="T22" s="28"/>
      <c r="U22" s="28"/>
      <c r="V22" s="28"/>
      <c r="W22" s="15" t="s">
        <v>52</v>
      </c>
      <c r="X22" s="52"/>
    </row>
    <row r="23" spans="1:24" ht="21" customHeight="1">
      <c r="A23" s="10" t="s">
        <v>57</v>
      </c>
      <c r="B23" s="11"/>
      <c r="C23" s="11"/>
      <c r="D23" s="11"/>
      <c r="E23" s="12"/>
      <c r="F23" s="11"/>
      <c r="G23" s="11"/>
      <c r="H23" s="11"/>
      <c r="I23" s="11"/>
      <c r="J23" s="11"/>
      <c r="K23" s="11"/>
      <c r="L23" s="11"/>
      <c r="M23" s="25"/>
      <c r="N23" s="28"/>
      <c r="O23" s="25"/>
      <c r="P23" s="28"/>
      <c r="Q23" s="25"/>
      <c r="R23" s="28"/>
      <c r="S23" s="28"/>
      <c r="T23" s="11"/>
      <c r="U23" s="11"/>
      <c r="V23" s="11"/>
      <c r="W23" s="15" t="s">
        <v>52</v>
      </c>
      <c r="X23" s="52"/>
    </row>
    <row r="24" spans="1:24" ht="21" customHeight="1">
      <c r="A24" s="39"/>
      <c r="B24" s="40"/>
      <c r="C24" s="40"/>
      <c r="D24" s="40"/>
      <c r="E24" s="41"/>
      <c r="F24" s="40"/>
      <c r="G24" s="40"/>
      <c r="H24" s="40"/>
      <c r="I24" s="40"/>
      <c r="J24" s="40"/>
      <c r="K24" s="40"/>
      <c r="L24" s="40"/>
      <c r="M24" s="40" t="s">
        <v>39</v>
      </c>
      <c r="N24" s="40"/>
      <c r="O24" s="40"/>
      <c r="P24" s="40"/>
      <c r="Q24" s="40"/>
      <c r="R24" s="40"/>
      <c r="S24" s="40"/>
      <c r="T24" s="40"/>
      <c r="U24" s="40"/>
      <c r="V24" s="40"/>
      <c r="W24" s="42"/>
      <c r="X24" s="52"/>
    </row>
    <row r="25" spans="1:24" ht="21" customHeight="1">
      <c r="A25" s="10"/>
      <c r="B25" s="11"/>
      <c r="C25" s="11"/>
      <c r="D25" s="11"/>
      <c r="E25" s="12"/>
      <c r="F25" s="11"/>
      <c r="G25" s="11"/>
      <c r="H25" s="11"/>
      <c r="I25" s="11"/>
      <c r="J25" s="11"/>
      <c r="K25" s="11"/>
      <c r="L25" s="11"/>
      <c r="M25" s="13"/>
      <c r="N25" s="11"/>
      <c r="O25" s="11"/>
      <c r="P25" s="11"/>
      <c r="Q25" s="14"/>
      <c r="R25" s="11"/>
      <c r="S25" s="14"/>
      <c r="T25" s="14"/>
      <c r="U25" s="14"/>
      <c r="V25" s="17"/>
      <c r="W25" s="18"/>
      <c r="X25" s="52"/>
    </row>
    <row r="26" spans="1:24" ht="21" customHeight="1">
      <c r="A26" s="39"/>
      <c r="B26" s="40"/>
      <c r="C26" s="40"/>
      <c r="D26" s="40"/>
      <c r="E26" s="41"/>
      <c r="F26" s="40"/>
      <c r="G26" s="40"/>
      <c r="H26" s="40"/>
      <c r="I26" s="40"/>
      <c r="J26" s="40"/>
      <c r="K26" s="40"/>
      <c r="L26" s="40"/>
      <c r="M26" s="40"/>
      <c r="N26" s="40"/>
      <c r="O26" s="40"/>
      <c r="P26" s="40"/>
      <c r="Q26" s="40"/>
      <c r="R26" s="40"/>
      <c r="S26" s="40"/>
      <c r="T26" s="40"/>
      <c r="U26" s="40"/>
      <c r="V26" s="40"/>
      <c r="W26" s="42"/>
      <c r="X26" s="52"/>
    </row>
    <row r="27" spans="1:24" ht="21" customHeight="1">
      <c r="A27" s="10"/>
      <c r="B27" s="11"/>
      <c r="C27" s="11"/>
      <c r="D27" s="11"/>
      <c r="E27" s="12"/>
      <c r="F27" s="11"/>
      <c r="G27" s="11"/>
      <c r="H27" s="11"/>
      <c r="I27" s="11"/>
      <c r="J27" s="11"/>
      <c r="K27" s="11"/>
      <c r="L27" s="11"/>
      <c r="M27" s="45"/>
      <c r="N27" s="11"/>
      <c r="O27" s="11"/>
      <c r="P27" s="11"/>
      <c r="Q27" s="14"/>
      <c r="R27" s="11"/>
      <c r="S27" s="14"/>
      <c r="T27" s="11"/>
      <c r="U27" s="14"/>
      <c r="V27" s="17"/>
      <c r="W27" s="18"/>
      <c r="X27" s="52"/>
    </row>
    <row r="28" spans="1:24" ht="21" customHeight="1">
      <c r="A28" s="10"/>
      <c r="B28" s="11"/>
      <c r="C28" s="11"/>
      <c r="D28" s="11"/>
      <c r="E28" s="12"/>
      <c r="F28" s="11"/>
      <c r="G28" s="11"/>
      <c r="H28" s="11"/>
      <c r="I28" s="11"/>
      <c r="J28" s="11"/>
      <c r="K28" s="11"/>
      <c r="L28" s="11"/>
      <c r="M28" s="45"/>
      <c r="N28" s="11"/>
      <c r="O28" s="11"/>
      <c r="P28" s="11"/>
      <c r="Q28" s="14"/>
      <c r="R28" s="11"/>
      <c r="S28" s="14"/>
      <c r="T28" s="11"/>
      <c r="U28" s="14"/>
      <c r="V28" s="17"/>
      <c r="W28" s="18"/>
      <c r="X28" s="52"/>
    </row>
    <row r="29" spans="1:24" ht="21" customHeight="1" thickBot="1">
      <c r="A29" s="10"/>
      <c r="B29" s="11"/>
      <c r="C29" s="11"/>
      <c r="D29" s="11"/>
      <c r="E29" s="12"/>
      <c r="F29" s="11"/>
      <c r="G29" s="11"/>
      <c r="H29" s="11"/>
      <c r="I29" s="11"/>
      <c r="J29" s="11"/>
      <c r="K29" s="11"/>
      <c r="L29" s="11"/>
      <c r="M29" s="14"/>
      <c r="N29" s="11"/>
      <c r="O29" s="14"/>
      <c r="P29" s="11"/>
      <c r="Q29" s="14"/>
      <c r="R29" s="11"/>
      <c r="S29" s="14"/>
      <c r="T29" s="14"/>
      <c r="U29" s="14"/>
      <c r="V29" s="11"/>
      <c r="W29" s="15"/>
      <c r="X29" s="52"/>
    </row>
    <row r="30" spans="1:24" ht="21" customHeight="1">
      <c r="A30" s="1" t="s">
        <v>260</v>
      </c>
      <c r="B30" s="6"/>
      <c r="C30" s="6"/>
      <c r="D30" s="6"/>
      <c r="E30" s="20"/>
      <c r="F30" s="6"/>
      <c r="G30" s="6"/>
      <c r="H30" s="6"/>
      <c r="I30" s="6"/>
      <c r="J30" s="6"/>
      <c r="K30" s="6"/>
      <c r="L30" s="6"/>
      <c r="M30" s="6"/>
      <c r="N30" s="6"/>
      <c r="O30" s="6"/>
      <c r="P30" s="6"/>
      <c r="Q30" s="6"/>
      <c r="R30" s="6"/>
      <c r="S30" s="6"/>
      <c r="T30" s="6"/>
      <c r="U30" s="6"/>
      <c r="V30" s="21"/>
      <c r="W30" s="35"/>
      <c r="X30" s="52"/>
    </row>
    <row r="31" spans="1:24" ht="21" customHeight="1">
      <c r="A31" s="10" t="s">
        <v>38</v>
      </c>
      <c r="B31" s="11">
        <v>1.238425925925926E-2</v>
      </c>
      <c r="C31" s="11">
        <v>3.5300925925925925E-3</v>
      </c>
      <c r="D31" s="11">
        <f t="shared" ref="D31:D37" si="16">B31*E31</f>
        <v>7.2051620370370368E-3</v>
      </c>
      <c r="E31" s="12">
        <v>0.58179999999999998</v>
      </c>
      <c r="F31" s="11">
        <f t="shared" ref="F31:F37" si="17">C31/4</f>
        <v>8.8252314814814812E-4</v>
      </c>
      <c r="G31" s="11">
        <f t="shared" ref="G31:G37" si="18">D31/7.5</f>
        <v>9.6068827160493821E-4</v>
      </c>
      <c r="H31" s="11">
        <f t="shared" ref="H31:H37" si="19">B31/12.5</f>
        <v>9.9074074074074082E-4</v>
      </c>
      <c r="I31" s="11">
        <f t="shared" ref="I31:I37" si="20">G31/0.93</f>
        <v>1.0329981415106862E-3</v>
      </c>
      <c r="J31" s="11">
        <f t="shared" ref="J31:J37" si="21">G31/0.92</f>
        <v>1.0442263821792807E-3</v>
      </c>
      <c r="K31" s="11">
        <f t="shared" ref="K31:K37" si="22">G31/0.88</f>
        <v>1.0916912177328843E-3</v>
      </c>
      <c r="L31" s="11">
        <f t="shared" ref="L31:L37" si="23">G31/0.84</f>
        <v>1.1436765138154027E-3</v>
      </c>
      <c r="M31" s="25"/>
      <c r="N31" s="28"/>
      <c r="O31" s="25"/>
      <c r="P31" s="28"/>
      <c r="Q31" s="25"/>
      <c r="R31" s="25"/>
      <c r="S31" s="25"/>
      <c r="T31" s="28"/>
      <c r="U31" s="11"/>
      <c r="V31" s="28"/>
      <c r="W31" s="15" t="s">
        <v>35</v>
      </c>
      <c r="X31" s="52" t="s">
        <v>215</v>
      </c>
    </row>
    <row r="32" spans="1:24" ht="21" customHeight="1">
      <c r="A32" s="10" t="s">
        <v>64</v>
      </c>
      <c r="B32" s="11">
        <v>1.2731481481481481E-2</v>
      </c>
      <c r="C32" s="11">
        <v>3.5879629629629629E-3</v>
      </c>
      <c r="D32" s="11">
        <f t="shared" si="16"/>
        <v>7.4071759259259256E-3</v>
      </c>
      <c r="E32" s="12">
        <v>0.58179999999999998</v>
      </c>
      <c r="F32" s="11">
        <f t="shared" si="17"/>
        <v>8.9699074074074073E-4</v>
      </c>
      <c r="G32" s="11">
        <f t="shared" si="18"/>
        <v>9.8762345679012349E-4</v>
      </c>
      <c r="H32" s="11">
        <f t="shared" si="19"/>
        <v>1.0185185185185184E-3</v>
      </c>
      <c r="I32" s="11">
        <f t="shared" si="20"/>
        <v>1.0619607062259391E-3</v>
      </c>
      <c r="J32" s="11">
        <f t="shared" si="21"/>
        <v>1.073503757380569E-3</v>
      </c>
      <c r="K32" s="11">
        <f t="shared" si="22"/>
        <v>1.1222993827160494E-3</v>
      </c>
      <c r="L32" s="11">
        <f t="shared" si="23"/>
        <v>1.1757422104644328E-3</v>
      </c>
      <c r="M32" s="25"/>
      <c r="N32" s="28"/>
      <c r="O32" s="25"/>
      <c r="P32" s="28"/>
      <c r="Q32" s="25"/>
      <c r="R32" s="25"/>
      <c r="S32" s="25"/>
      <c r="T32" s="28"/>
      <c r="U32" s="11"/>
      <c r="V32" s="48"/>
      <c r="W32" s="15" t="s">
        <v>35</v>
      </c>
      <c r="X32" s="52"/>
    </row>
    <row r="33" spans="1:24" ht="21" customHeight="1">
      <c r="A33" s="10" t="s">
        <v>49</v>
      </c>
      <c r="B33" s="11">
        <v>1.2731481481481481E-2</v>
      </c>
      <c r="C33" s="11">
        <v>3.5879629629629629E-3</v>
      </c>
      <c r="D33" s="11">
        <f t="shared" si="16"/>
        <v>7.4071759259259256E-3</v>
      </c>
      <c r="E33" s="12">
        <v>0.58179999999999998</v>
      </c>
      <c r="F33" s="11">
        <f t="shared" si="17"/>
        <v>8.9699074074074073E-4</v>
      </c>
      <c r="G33" s="11">
        <f t="shared" si="18"/>
        <v>9.8762345679012349E-4</v>
      </c>
      <c r="H33" s="11">
        <f t="shared" si="19"/>
        <v>1.0185185185185184E-3</v>
      </c>
      <c r="I33" s="11">
        <f t="shared" si="20"/>
        <v>1.0619607062259391E-3</v>
      </c>
      <c r="J33" s="11">
        <f t="shared" si="21"/>
        <v>1.073503757380569E-3</v>
      </c>
      <c r="K33" s="11">
        <f t="shared" si="22"/>
        <v>1.1222993827160494E-3</v>
      </c>
      <c r="L33" s="11">
        <f t="shared" si="23"/>
        <v>1.1757422104644328E-3</v>
      </c>
      <c r="M33" s="25"/>
      <c r="N33" s="28"/>
      <c r="O33" s="25"/>
      <c r="P33" s="28"/>
      <c r="Q33" s="25"/>
      <c r="R33" s="25"/>
      <c r="S33" s="25"/>
      <c r="T33" s="28"/>
      <c r="U33" s="11"/>
      <c r="V33" s="11"/>
      <c r="W33" s="15" t="s">
        <v>35</v>
      </c>
      <c r="X33" s="52"/>
    </row>
    <row r="34" spans="1:24" ht="21" customHeight="1">
      <c r="A34" s="10" t="s">
        <v>67</v>
      </c>
      <c r="B34" s="11">
        <v>1.3020833333333334E-2</v>
      </c>
      <c r="C34" s="11">
        <v>3.8194444444444443E-3</v>
      </c>
      <c r="D34" s="11">
        <f t="shared" si="16"/>
        <v>7.5755208333333334E-3</v>
      </c>
      <c r="E34" s="12">
        <v>0.58179999999999998</v>
      </c>
      <c r="F34" s="11">
        <f t="shared" si="17"/>
        <v>9.5486111111111108E-4</v>
      </c>
      <c r="G34" s="11">
        <f t="shared" si="18"/>
        <v>1.0100694444444445E-3</v>
      </c>
      <c r="H34" s="11">
        <f t="shared" si="19"/>
        <v>1.0416666666666667E-3</v>
      </c>
      <c r="I34" s="11">
        <f t="shared" si="20"/>
        <v>1.0860961768219832E-3</v>
      </c>
      <c r="J34" s="11">
        <f t="shared" si="21"/>
        <v>1.0979015700483092E-3</v>
      </c>
      <c r="K34" s="11">
        <f t="shared" si="22"/>
        <v>1.1478061868686869E-3</v>
      </c>
      <c r="L34" s="11">
        <f t="shared" si="23"/>
        <v>1.2024636243386244E-3</v>
      </c>
      <c r="M34" s="25"/>
      <c r="N34" s="28"/>
      <c r="O34" s="25"/>
      <c r="P34" s="28"/>
      <c r="Q34" s="25"/>
      <c r="R34" s="25"/>
      <c r="S34" s="25"/>
      <c r="T34" s="28"/>
      <c r="U34" s="11"/>
      <c r="V34" s="28"/>
      <c r="W34" s="18" t="s">
        <v>35</v>
      </c>
      <c r="X34" s="52"/>
    </row>
    <row r="35" spans="1:24" ht="21" customHeight="1">
      <c r="A35" s="10" t="s">
        <v>58</v>
      </c>
      <c r="B35" s="11">
        <v>1.3020833333333334E-2</v>
      </c>
      <c r="C35" s="11">
        <v>4.1087962962962962E-3</v>
      </c>
      <c r="D35" s="11">
        <f t="shared" si="16"/>
        <v>7.5755208333333334E-3</v>
      </c>
      <c r="E35" s="12">
        <v>0.58179999999999998</v>
      </c>
      <c r="F35" s="11">
        <f t="shared" si="17"/>
        <v>1.027199074074074E-3</v>
      </c>
      <c r="G35" s="11">
        <f t="shared" si="18"/>
        <v>1.0100694444444445E-3</v>
      </c>
      <c r="H35" s="11">
        <f t="shared" si="19"/>
        <v>1.0416666666666667E-3</v>
      </c>
      <c r="I35" s="11">
        <f t="shared" si="20"/>
        <v>1.0860961768219832E-3</v>
      </c>
      <c r="J35" s="11">
        <f t="shared" si="21"/>
        <v>1.0979015700483092E-3</v>
      </c>
      <c r="K35" s="11">
        <f t="shared" si="22"/>
        <v>1.1478061868686869E-3</v>
      </c>
      <c r="L35" s="11">
        <f t="shared" si="23"/>
        <v>1.2024636243386244E-3</v>
      </c>
      <c r="M35" s="25"/>
      <c r="N35" s="28"/>
      <c r="O35" s="25"/>
      <c r="P35" s="28"/>
      <c r="Q35" s="25"/>
      <c r="R35" s="25"/>
      <c r="S35" s="25"/>
      <c r="T35" s="28"/>
      <c r="U35" s="11"/>
      <c r="V35" s="38"/>
      <c r="W35" s="15" t="s">
        <v>35</v>
      </c>
      <c r="X35" s="52"/>
    </row>
    <row r="36" spans="1:24" ht="21" customHeight="1">
      <c r="A36" s="10" t="s">
        <v>63</v>
      </c>
      <c r="B36" s="11">
        <v>1.2615740740740742E-2</v>
      </c>
      <c r="C36" s="11">
        <v>3.7037037037037038E-3</v>
      </c>
      <c r="D36" s="11">
        <f t="shared" si="16"/>
        <v>7.3398379629629629E-3</v>
      </c>
      <c r="E36" s="12">
        <v>0.58179999999999998</v>
      </c>
      <c r="F36" s="11">
        <f t="shared" si="17"/>
        <v>9.2592592592592596E-4</v>
      </c>
      <c r="G36" s="11">
        <f t="shared" si="18"/>
        <v>9.7864506172839496E-4</v>
      </c>
      <c r="H36" s="11">
        <f t="shared" si="19"/>
        <v>1.0092592592592592E-3</v>
      </c>
      <c r="I36" s="11">
        <f t="shared" si="20"/>
        <v>1.0523065179875214E-3</v>
      </c>
      <c r="J36" s="11">
        <f t="shared" si="21"/>
        <v>1.0637446323134728E-3</v>
      </c>
      <c r="K36" s="11">
        <f t="shared" si="22"/>
        <v>1.1120966610549943E-3</v>
      </c>
      <c r="L36" s="11">
        <f t="shared" si="23"/>
        <v>1.165053644914756E-3</v>
      </c>
      <c r="M36" s="25"/>
      <c r="N36" s="28"/>
      <c r="O36" s="25"/>
      <c r="P36" s="28"/>
      <c r="Q36" s="25"/>
      <c r="R36" s="25"/>
      <c r="S36" s="25"/>
      <c r="T36" s="28"/>
      <c r="U36" s="11"/>
      <c r="V36" s="36"/>
      <c r="W36" s="15" t="s">
        <v>35</v>
      </c>
      <c r="X36" s="52"/>
    </row>
    <row r="37" spans="1:24" ht="21" customHeight="1">
      <c r="A37" s="10" t="s">
        <v>51</v>
      </c>
      <c r="B37" s="11">
        <v>1.2615740740740742E-2</v>
      </c>
      <c r="C37" s="11">
        <v>3.5879629629629629E-3</v>
      </c>
      <c r="D37" s="11">
        <f t="shared" si="16"/>
        <v>7.3398379629629629E-3</v>
      </c>
      <c r="E37" s="12">
        <v>0.58179999999999998</v>
      </c>
      <c r="F37" s="11">
        <f t="shared" si="17"/>
        <v>8.9699074074074073E-4</v>
      </c>
      <c r="G37" s="11">
        <f t="shared" si="18"/>
        <v>9.7864506172839496E-4</v>
      </c>
      <c r="H37" s="11">
        <f t="shared" si="19"/>
        <v>1.0092592592592592E-3</v>
      </c>
      <c r="I37" s="11">
        <f t="shared" si="20"/>
        <v>1.0523065179875214E-3</v>
      </c>
      <c r="J37" s="11">
        <f t="shared" si="21"/>
        <v>1.0637446323134728E-3</v>
      </c>
      <c r="K37" s="11">
        <f t="shared" si="22"/>
        <v>1.1120966610549943E-3</v>
      </c>
      <c r="L37" s="11">
        <f t="shared" si="23"/>
        <v>1.165053644914756E-3</v>
      </c>
      <c r="M37" s="25"/>
      <c r="N37" s="28"/>
      <c r="O37" s="25"/>
      <c r="P37" s="28"/>
      <c r="Q37" s="25"/>
      <c r="R37" s="25"/>
      <c r="S37" s="25"/>
      <c r="T37" s="28"/>
      <c r="U37" s="11"/>
      <c r="V37" s="36"/>
      <c r="W37" s="15" t="s">
        <v>35</v>
      </c>
      <c r="X37" s="52"/>
    </row>
    <row r="38" spans="1:24" ht="21" customHeight="1">
      <c r="A38" s="10" t="s">
        <v>69</v>
      </c>
      <c r="B38" s="11">
        <v>1.3368055555555555E-2</v>
      </c>
      <c r="C38" s="11"/>
      <c r="D38" s="11">
        <f t="shared" si="0"/>
        <v>7.7775347222222213E-3</v>
      </c>
      <c r="E38" s="12">
        <v>0.58179999999999998</v>
      </c>
      <c r="F38" s="11">
        <f t="shared" si="1"/>
        <v>0</v>
      </c>
      <c r="G38" s="11">
        <f t="shared" si="2"/>
        <v>1.0370046296296295E-3</v>
      </c>
      <c r="H38" s="11">
        <f t="shared" si="3"/>
        <v>1.0694444444444445E-3</v>
      </c>
      <c r="I38" s="11">
        <f t="shared" si="4"/>
        <v>1.1150587415372358E-3</v>
      </c>
      <c r="J38" s="11">
        <f t="shared" si="5"/>
        <v>1.1271789452495973E-3</v>
      </c>
      <c r="K38" s="11">
        <f t="shared" si="6"/>
        <v>1.1784143518518517E-3</v>
      </c>
      <c r="L38" s="11">
        <f t="shared" si="7"/>
        <v>1.2345293209876543E-3</v>
      </c>
      <c r="M38" s="25"/>
      <c r="N38" s="28"/>
      <c r="O38" s="25"/>
      <c r="P38" s="28"/>
      <c r="Q38" s="25"/>
      <c r="R38" s="25"/>
      <c r="S38" s="25"/>
      <c r="T38" s="28"/>
      <c r="U38" s="11"/>
      <c r="V38" s="36"/>
      <c r="W38" s="15" t="s">
        <v>35</v>
      </c>
      <c r="X38" s="52"/>
    </row>
    <row r="39" spans="1:24" ht="21" customHeight="1">
      <c r="A39" s="10" t="s">
        <v>70</v>
      </c>
      <c r="B39" s="11">
        <v>1.3368055555555555E-2</v>
      </c>
      <c r="C39" s="11">
        <v>4.0509259259259257E-3</v>
      </c>
      <c r="D39" s="11">
        <f t="shared" si="0"/>
        <v>7.7775347222222213E-3</v>
      </c>
      <c r="E39" s="12">
        <v>0.58179999999999998</v>
      </c>
      <c r="F39" s="11">
        <f t="shared" si="1"/>
        <v>1.0127314814814814E-3</v>
      </c>
      <c r="G39" s="11">
        <f t="shared" si="2"/>
        <v>1.0370046296296295E-3</v>
      </c>
      <c r="H39" s="11">
        <f t="shared" si="3"/>
        <v>1.0694444444444445E-3</v>
      </c>
      <c r="I39" s="11">
        <f t="shared" si="4"/>
        <v>1.1150587415372358E-3</v>
      </c>
      <c r="J39" s="11">
        <f t="shared" si="5"/>
        <v>1.1271789452495973E-3</v>
      </c>
      <c r="K39" s="11">
        <f t="shared" si="6"/>
        <v>1.1784143518518517E-3</v>
      </c>
      <c r="L39" s="11">
        <f t="shared" si="7"/>
        <v>1.2345293209876543E-3</v>
      </c>
      <c r="M39" s="25"/>
      <c r="N39" s="28"/>
      <c r="O39" s="25"/>
      <c r="P39" s="28"/>
      <c r="Q39" s="25"/>
      <c r="R39" s="25"/>
      <c r="S39" s="25"/>
      <c r="T39" s="28"/>
      <c r="U39" s="11"/>
      <c r="V39" s="38"/>
      <c r="W39" s="15" t="s">
        <v>35</v>
      </c>
      <c r="X39" s="52"/>
    </row>
    <row r="40" spans="1:24" ht="21" customHeight="1">
      <c r="A40" s="10" t="s">
        <v>68</v>
      </c>
      <c r="B40" s="11">
        <v>1.3368055555555555E-2</v>
      </c>
      <c r="C40" s="11"/>
      <c r="D40" s="11">
        <f>B40*E40</f>
        <v>7.7775347222222213E-3</v>
      </c>
      <c r="E40" s="12">
        <v>0.58179999999999998</v>
      </c>
      <c r="F40" s="11">
        <f>C40/4</f>
        <v>0</v>
      </c>
      <c r="G40" s="11">
        <f>D40/7.5</f>
        <v>1.0370046296296295E-3</v>
      </c>
      <c r="H40" s="11">
        <f>B40/12.5</f>
        <v>1.0694444444444445E-3</v>
      </c>
      <c r="I40" s="11">
        <f>G40/0.93</f>
        <v>1.1150587415372358E-3</v>
      </c>
      <c r="J40" s="11">
        <f>G40/0.92</f>
        <v>1.1271789452495973E-3</v>
      </c>
      <c r="K40" s="11">
        <f>G40/0.88</f>
        <v>1.1784143518518517E-3</v>
      </c>
      <c r="L40" s="11">
        <f>G40/0.84</f>
        <v>1.2345293209876543E-3</v>
      </c>
      <c r="M40" s="25"/>
      <c r="N40" s="28"/>
      <c r="O40" s="25"/>
      <c r="P40" s="28"/>
      <c r="Q40" s="25"/>
      <c r="R40" s="25"/>
      <c r="S40" s="25"/>
      <c r="T40" s="28"/>
      <c r="U40" s="11"/>
      <c r="V40" s="11"/>
      <c r="W40" s="15" t="s">
        <v>35</v>
      </c>
      <c r="X40" s="52"/>
    </row>
    <row r="41" spans="1:24" ht="21" customHeight="1">
      <c r="A41" s="10" t="s">
        <v>71</v>
      </c>
      <c r="B41" s="11">
        <v>1.3541666666666667E-2</v>
      </c>
      <c r="C41" s="11">
        <v>4.0509259259259257E-3</v>
      </c>
      <c r="D41" s="11">
        <f>B41*E41</f>
        <v>7.8785416666666674E-3</v>
      </c>
      <c r="E41" s="12">
        <v>0.58179999999999998</v>
      </c>
      <c r="F41" s="11">
        <f>C41/4</f>
        <v>1.0127314814814814E-3</v>
      </c>
      <c r="G41" s="11">
        <f>D41/7.5</f>
        <v>1.0504722222222224E-3</v>
      </c>
      <c r="H41" s="11">
        <f>B41/12.5</f>
        <v>1.0833333333333333E-3</v>
      </c>
      <c r="I41" s="11">
        <f>G41/0.93</f>
        <v>1.1295400238948627E-3</v>
      </c>
      <c r="J41" s="11">
        <f>G41/0.92</f>
        <v>1.1418176328502417E-3</v>
      </c>
      <c r="K41" s="11">
        <f>G41/0.88</f>
        <v>1.1937184343434346E-3</v>
      </c>
      <c r="L41" s="11">
        <f>G41/0.84</f>
        <v>1.2505621693121695E-3</v>
      </c>
      <c r="M41" s="25"/>
      <c r="N41" s="28"/>
      <c r="O41" s="25"/>
      <c r="P41" s="28"/>
      <c r="Q41" s="25"/>
      <c r="R41" s="25"/>
      <c r="S41" s="25"/>
      <c r="T41" s="28"/>
      <c r="U41" s="11"/>
      <c r="V41" s="38"/>
      <c r="W41" s="18" t="s">
        <v>35</v>
      </c>
      <c r="X41" s="52"/>
    </row>
    <row r="42" spans="1:24" ht="21" customHeight="1">
      <c r="A42" s="10" t="s">
        <v>72</v>
      </c>
      <c r="B42" s="11">
        <v>1.3541666666666667E-2</v>
      </c>
      <c r="C42" s="11">
        <v>4.0509259259259257E-3</v>
      </c>
      <c r="D42" s="11">
        <f t="shared" si="0"/>
        <v>7.8785416666666674E-3</v>
      </c>
      <c r="E42" s="12">
        <v>0.58179999999999998</v>
      </c>
      <c r="F42" s="11">
        <f t="shared" si="1"/>
        <v>1.0127314814814814E-3</v>
      </c>
      <c r="G42" s="11">
        <f t="shared" si="2"/>
        <v>1.0504722222222224E-3</v>
      </c>
      <c r="H42" s="11">
        <f t="shared" si="3"/>
        <v>1.0833333333333333E-3</v>
      </c>
      <c r="I42" s="11">
        <f t="shared" si="4"/>
        <v>1.1295400238948627E-3</v>
      </c>
      <c r="J42" s="11">
        <f t="shared" si="5"/>
        <v>1.1418176328502417E-3</v>
      </c>
      <c r="K42" s="11">
        <f t="shared" si="6"/>
        <v>1.1937184343434346E-3</v>
      </c>
      <c r="L42" s="11">
        <f t="shared" si="7"/>
        <v>1.2505621693121695E-3</v>
      </c>
      <c r="M42" s="25"/>
      <c r="N42" s="28"/>
      <c r="O42" s="25"/>
      <c r="P42" s="28"/>
      <c r="Q42" s="25"/>
      <c r="R42" s="25"/>
      <c r="S42" s="25"/>
      <c r="T42" s="28"/>
      <c r="U42" s="11"/>
      <c r="V42" s="28"/>
      <c r="W42" s="15" t="s">
        <v>35</v>
      </c>
      <c r="X42" s="52"/>
    </row>
    <row r="43" spans="1:24" ht="21" customHeight="1">
      <c r="A43" s="10" t="s">
        <v>73</v>
      </c>
      <c r="B43" s="11">
        <v>1.40625E-2</v>
      </c>
      <c r="C43" s="11">
        <v>4.3981481481481484E-3</v>
      </c>
      <c r="D43" s="11">
        <f t="shared" si="0"/>
        <v>8.1815624999999996E-3</v>
      </c>
      <c r="E43" s="12">
        <v>0.58179999999999998</v>
      </c>
      <c r="F43" s="11">
        <f t="shared" si="1"/>
        <v>1.0995370370370371E-3</v>
      </c>
      <c r="G43" s="11">
        <f t="shared" si="2"/>
        <v>1.090875E-3</v>
      </c>
      <c r="H43" s="11">
        <f t="shared" si="3"/>
        <v>1.1250000000000001E-3</v>
      </c>
      <c r="I43" s="11">
        <f t="shared" si="4"/>
        <v>1.172983870967742E-3</v>
      </c>
      <c r="J43" s="11">
        <f t="shared" si="5"/>
        <v>1.1857336956521739E-3</v>
      </c>
      <c r="K43" s="11">
        <f t="shared" si="6"/>
        <v>1.2396306818181818E-3</v>
      </c>
      <c r="L43" s="11">
        <f t="shared" si="7"/>
        <v>1.2986607142857144E-3</v>
      </c>
      <c r="M43" s="25"/>
      <c r="N43" s="28"/>
      <c r="O43" s="25"/>
      <c r="P43" s="28"/>
      <c r="Q43" s="25"/>
      <c r="R43" s="25"/>
      <c r="S43" s="25"/>
      <c r="T43" s="28"/>
      <c r="U43" s="11"/>
      <c r="V43" s="28"/>
      <c r="W43" s="15" t="s">
        <v>35</v>
      </c>
      <c r="X43" s="52"/>
    </row>
    <row r="44" spans="1:24" ht="21" customHeight="1">
      <c r="A44" s="10" t="s">
        <v>76</v>
      </c>
      <c r="B44" s="11">
        <v>1.40625E-2</v>
      </c>
      <c r="C44" s="11"/>
      <c r="D44" s="11">
        <f t="shared" si="0"/>
        <v>8.1815624999999996E-3</v>
      </c>
      <c r="E44" s="12">
        <v>0.58179999999999998</v>
      </c>
      <c r="F44" s="11">
        <f t="shared" si="1"/>
        <v>0</v>
      </c>
      <c r="G44" s="11">
        <f t="shared" si="2"/>
        <v>1.090875E-3</v>
      </c>
      <c r="H44" s="11">
        <f t="shared" si="3"/>
        <v>1.1250000000000001E-3</v>
      </c>
      <c r="I44" s="11">
        <f t="shared" si="4"/>
        <v>1.172983870967742E-3</v>
      </c>
      <c r="J44" s="11">
        <f t="shared" si="5"/>
        <v>1.1857336956521739E-3</v>
      </c>
      <c r="K44" s="11">
        <f t="shared" si="6"/>
        <v>1.2396306818181818E-3</v>
      </c>
      <c r="L44" s="11">
        <f t="shared" si="7"/>
        <v>1.2986607142857144E-3</v>
      </c>
      <c r="M44" s="25"/>
      <c r="N44" s="28"/>
      <c r="O44" s="25"/>
      <c r="P44" s="28"/>
      <c r="Q44" s="25"/>
      <c r="R44" s="25"/>
      <c r="S44" s="25"/>
      <c r="T44" s="28"/>
      <c r="U44" s="11"/>
      <c r="V44" s="28"/>
      <c r="W44" s="15" t="s">
        <v>35</v>
      </c>
      <c r="X44" s="52"/>
    </row>
    <row r="45" spans="1:24" ht="21" customHeight="1">
      <c r="A45" s="10" t="s">
        <v>66</v>
      </c>
      <c r="B45" s="11">
        <v>1.2731481481481481E-2</v>
      </c>
      <c r="C45" s="11">
        <v>3.6458333333333334E-3</v>
      </c>
      <c r="D45" s="11">
        <f>B45*E45</f>
        <v>7.4071759259259256E-3</v>
      </c>
      <c r="E45" s="12">
        <v>0.58179999999999998</v>
      </c>
      <c r="F45" s="11">
        <f>C45/4</f>
        <v>9.1145833333333335E-4</v>
      </c>
      <c r="G45" s="11">
        <f>D45/7.5</f>
        <v>9.8762345679012349E-4</v>
      </c>
      <c r="H45" s="11">
        <f>B45/12.5</f>
        <v>1.0185185185185184E-3</v>
      </c>
      <c r="I45" s="11">
        <f>G45/0.93</f>
        <v>1.0619607062259391E-3</v>
      </c>
      <c r="J45" s="11">
        <f>G45/0.92</f>
        <v>1.073503757380569E-3</v>
      </c>
      <c r="K45" s="11">
        <f>G45/0.88</f>
        <v>1.1222993827160494E-3</v>
      </c>
      <c r="L45" s="17">
        <f>G45/0.84</f>
        <v>1.1757422104644328E-3</v>
      </c>
      <c r="M45" s="25"/>
      <c r="N45" s="28"/>
      <c r="O45" s="25"/>
      <c r="P45" s="28"/>
      <c r="Q45" s="25"/>
      <c r="R45" s="25"/>
      <c r="S45" s="25"/>
      <c r="T45" s="25"/>
      <c r="U45" s="25"/>
      <c r="V45" s="25"/>
      <c r="W45" s="15" t="s">
        <v>35</v>
      </c>
      <c r="X45" s="52"/>
    </row>
    <row r="46" spans="1:24" ht="21" customHeight="1">
      <c r="A46" s="10" t="s">
        <v>53</v>
      </c>
      <c r="B46" s="11">
        <v>1.2731481481481481E-2</v>
      </c>
      <c r="C46" s="11">
        <v>3.7615740740740739E-3</v>
      </c>
      <c r="D46" s="11">
        <f>B46*E46</f>
        <v>7.4071759259259256E-3</v>
      </c>
      <c r="E46" s="12">
        <v>0.58179999999999998</v>
      </c>
      <c r="F46" s="11">
        <f>C46/4</f>
        <v>9.4039351851851847E-4</v>
      </c>
      <c r="G46" s="11">
        <f>D46/7.5</f>
        <v>9.8762345679012349E-4</v>
      </c>
      <c r="H46" s="11">
        <f>B46/12.5</f>
        <v>1.0185185185185184E-3</v>
      </c>
      <c r="I46" s="11">
        <f>G46/0.93</f>
        <v>1.0619607062259391E-3</v>
      </c>
      <c r="J46" s="11">
        <f>G46/0.92</f>
        <v>1.073503757380569E-3</v>
      </c>
      <c r="K46" s="11">
        <f>G46/0.88</f>
        <v>1.1222993827160494E-3</v>
      </c>
      <c r="L46" s="11">
        <f>G46/0.84</f>
        <v>1.1757422104644328E-3</v>
      </c>
      <c r="M46" s="25"/>
      <c r="N46" s="28"/>
      <c r="O46" s="25"/>
      <c r="P46" s="28"/>
      <c r="Q46" s="25"/>
      <c r="R46" s="25"/>
      <c r="S46" s="25"/>
      <c r="T46" s="25"/>
      <c r="U46" s="25"/>
      <c r="V46" s="25"/>
      <c r="W46" s="18" t="s">
        <v>35</v>
      </c>
      <c r="X46" s="52"/>
    </row>
    <row r="47" spans="1:24" ht="21" customHeight="1">
      <c r="A47" s="10" t="s">
        <v>74</v>
      </c>
      <c r="B47" s="11">
        <v>1.3020833333333334E-2</v>
      </c>
      <c r="C47" s="11">
        <v>3.7037037037037038E-3</v>
      </c>
      <c r="D47" s="11">
        <f>B47*E47</f>
        <v>7.5755208333333334E-3</v>
      </c>
      <c r="E47" s="12">
        <v>0.58179999999999998</v>
      </c>
      <c r="F47" s="11">
        <f>C47/4</f>
        <v>9.2592592592592596E-4</v>
      </c>
      <c r="G47" s="11">
        <f>D47/7.5</f>
        <v>1.0100694444444445E-3</v>
      </c>
      <c r="H47" s="11">
        <f>B47/12.5</f>
        <v>1.0416666666666667E-3</v>
      </c>
      <c r="I47" s="11">
        <f>G47/0.93</f>
        <v>1.0860961768219832E-3</v>
      </c>
      <c r="J47" s="11">
        <f>G47/0.92</f>
        <v>1.0979015700483092E-3</v>
      </c>
      <c r="K47" s="11">
        <f>G47/0.88</f>
        <v>1.1478061868686869E-3</v>
      </c>
      <c r="L47" s="11">
        <f>G47/0.84</f>
        <v>1.2024636243386244E-3</v>
      </c>
      <c r="M47" s="25"/>
      <c r="N47" s="28"/>
      <c r="O47" s="25"/>
      <c r="P47" s="28"/>
      <c r="Q47" s="25"/>
      <c r="R47" s="25"/>
      <c r="S47" s="25"/>
      <c r="T47" s="25"/>
      <c r="U47" s="25"/>
      <c r="V47" s="25"/>
      <c r="W47" s="15" t="s">
        <v>35</v>
      </c>
      <c r="X47" s="52"/>
    </row>
    <row r="48" spans="1:24" ht="21" customHeight="1">
      <c r="A48" s="10" t="s">
        <v>75</v>
      </c>
      <c r="B48" s="11">
        <v>1.3541666666666667E-2</v>
      </c>
      <c r="C48" s="11">
        <v>3.8194444444444443E-3</v>
      </c>
      <c r="D48" s="11">
        <f>B48*E48</f>
        <v>7.8785416666666674E-3</v>
      </c>
      <c r="E48" s="12">
        <v>0.58179999999999998</v>
      </c>
      <c r="F48" s="11">
        <f>C48/4</f>
        <v>9.5486111111111108E-4</v>
      </c>
      <c r="G48" s="11">
        <f>D48/7.5</f>
        <v>1.0504722222222224E-3</v>
      </c>
      <c r="H48" s="11">
        <f>B48/12.5</f>
        <v>1.0833333333333333E-3</v>
      </c>
      <c r="I48" s="11">
        <f>G48/0.93</f>
        <v>1.1295400238948627E-3</v>
      </c>
      <c r="J48" s="11">
        <f>G48/0.92</f>
        <v>1.1418176328502417E-3</v>
      </c>
      <c r="K48" s="11">
        <f>G48/0.88</f>
        <v>1.1937184343434346E-3</v>
      </c>
      <c r="L48" s="11">
        <f>G48/0.84</f>
        <v>1.2505621693121695E-3</v>
      </c>
      <c r="M48" s="25"/>
      <c r="N48" s="28"/>
      <c r="O48" s="25"/>
      <c r="P48" s="28"/>
      <c r="Q48" s="25"/>
      <c r="R48" s="25"/>
      <c r="S48" s="25"/>
      <c r="T48" s="25"/>
      <c r="U48" s="25"/>
      <c r="V48" s="25"/>
      <c r="W48" s="15" t="s">
        <v>35</v>
      </c>
      <c r="X48" s="52"/>
    </row>
    <row r="49" spans="1:24" ht="21" customHeight="1">
      <c r="A49" s="10"/>
      <c r="B49" s="11"/>
      <c r="C49" s="11"/>
      <c r="D49" s="11"/>
      <c r="E49" s="12"/>
      <c r="F49" s="11"/>
      <c r="G49" s="11"/>
      <c r="H49" s="11"/>
      <c r="I49" s="11"/>
      <c r="J49" s="11"/>
      <c r="K49" s="11"/>
      <c r="L49" s="11"/>
      <c r="M49" s="14"/>
      <c r="O49" s="14"/>
      <c r="P49" s="11"/>
      <c r="Q49" s="14"/>
      <c r="R49" s="11"/>
      <c r="S49" s="14"/>
      <c r="T49" s="14"/>
      <c r="U49" s="14"/>
      <c r="V49" s="11"/>
      <c r="W49" s="15"/>
      <c r="X49" s="52"/>
    </row>
    <row r="50" spans="1:24" ht="21" customHeight="1">
      <c r="A50" s="10"/>
      <c r="B50" s="11"/>
      <c r="C50" s="11"/>
      <c r="D50" s="11"/>
      <c r="E50" s="12"/>
      <c r="F50" s="11"/>
      <c r="G50" s="11"/>
      <c r="H50" s="11"/>
      <c r="I50" s="11"/>
      <c r="J50" s="11"/>
      <c r="K50" s="11"/>
      <c r="L50" s="11"/>
      <c r="M50" s="13"/>
      <c r="N50" s="11"/>
      <c r="O50" s="11"/>
      <c r="P50" s="11"/>
      <c r="Q50" s="14"/>
      <c r="R50" s="11"/>
      <c r="S50" s="14"/>
      <c r="T50" s="14"/>
      <c r="U50" s="14"/>
      <c r="V50" s="17"/>
      <c r="W50" s="18"/>
      <c r="X50" s="52"/>
    </row>
    <row r="51" spans="1:24" ht="21" customHeight="1">
      <c r="A51" s="10"/>
      <c r="B51" s="11"/>
      <c r="C51" s="11"/>
      <c r="D51" s="11"/>
      <c r="E51" s="12"/>
      <c r="F51" s="11"/>
      <c r="G51" s="11"/>
      <c r="H51" s="11"/>
      <c r="I51" s="11"/>
      <c r="J51" s="11"/>
      <c r="K51" s="11"/>
      <c r="L51" s="11"/>
      <c r="M51" s="13"/>
      <c r="N51" s="11"/>
      <c r="O51" s="11"/>
      <c r="P51" s="11"/>
      <c r="Q51" s="14"/>
      <c r="R51" s="11"/>
      <c r="S51" s="14"/>
      <c r="T51" s="14"/>
      <c r="U51" s="14"/>
      <c r="V51" s="17"/>
      <c r="W51" s="18"/>
      <c r="X51" s="52"/>
    </row>
    <row r="52" spans="1:24" ht="21" customHeight="1">
      <c r="A52" s="10"/>
      <c r="B52" s="11"/>
      <c r="C52" s="11"/>
      <c r="D52" s="11"/>
      <c r="E52" s="12"/>
      <c r="F52" s="11"/>
      <c r="G52" s="11"/>
      <c r="H52" s="11"/>
      <c r="I52" s="11"/>
      <c r="J52" s="11"/>
      <c r="K52" s="11"/>
      <c r="L52" s="11"/>
      <c r="M52" s="14"/>
      <c r="N52" s="11"/>
      <c r="O52" s="14"/>
      <c r="P52" s="11"/>
      <c r="Q52" s="14"/>
      <c r="R52" s="11"/>
      <c r="S52" s="14"/>
      <c r="T52" s="14"/>
      <c r="U52" s="14"/>
      <c r="V52" s="11"/>
      <c r="W52" s="15"/>
      <c r="X52" s="52"/>
    </row>
    <row r="53" spans="1:24" ht="21" customHeight="1">
      <c r="A53" s="10"/>
      <c r="B53" s="11"/>
      <c r="C53" s="11"/>
      <c r="D53" s="11"/>
      <c r="E53" s="12"/>
      <c r="F53" s="11"/>
      <c r="G53" s="11"/>
      <c r="H53" s="11"/>
      <c r="I53" s="11"/>
      <c r="J53" s="11"/>
      <c r="K53" s="11"/>
      <c r="L53" s="17"/>
      <c r="M53" s="14"/>
      <c r="N53" s="11"/>
      <c r="O53" s="11"/>
      <c r="P53" s="11"/>
      <c r="Q53" s="14"/>
      <c r="R53" s="11"/>
      <c r="S53" s="14"/>
      <c r="T53" s="11"/>
      <c r="U53" s="11"/>
      <c r="V53" s="11"/>
      <c r="W53" s="15"/>
      <c r="X53" s="52"/>
    </row>
    <row r="54" spans="1:24" ht="21" customHeight="1">
      <c r="A54" s="10"/>
      <c r="B54" s="11"/>
      <c r="C54" s="11"/>
      <c r="D54" s="11"/>
      <c r="E54" s="12"/>
      <c r="F54" s="11"/>
      <c r="G54" s="11"/>
      <c r="H54" s="11"/>
      <c r="I54" s="11"/>
      <c r="J54" s="11"/>
      <c r="K54" s="11"/>
      <c r="L54" s="11"/>
      <c r="M54" s="13"/>
      <c r="N54" s="11"/>
      <c r="O54" s="11"/>
      <c r="P54" s="11"/>
      <c r="Q54" s="14"/>
      <c r="R54" s="11"/>
      <c r="S54" s="14"/>
      <c r="T54" s="14"/>
      <c r="U54" s="14"/>
      <c r="V54" s="17"/>
      <c r="W54" s="18"/>
      <c r="X54" s="52"/>
    </row>
    <row r="55" spans="1:24" ht="21" customHeight="1">
      <c r="A55" s="10"/>
      <c r="B55" s="11"/>
      <c r="C55" s="11"/>
      <c r="D55" s="11"/>
      <c r="E55" s="12"/>
      <c r="F55" s="11"/>
      <c r="G55" s="11"/>
      <c r="H55" s="11"/>
      <c r="I55" s="11"/>
      <c r="J55" s="11"/>
      <c r="K55" s="11"/>
      <c r="L55" s="11"/>
      <c r="M55" s="13"/>
      <c r="N55" s="11"/>
      <c r="O55" s="14"/>
      <c r="P55" s="11"/>
      <c r="Q55" s="14"/>
      <c r="R55" s="11"/>
      <c r="S55" s="14"/>
      <c r="T55" s="14"/>
      <c r="U55" s="14"/>
      <c r="V55" s="11"/>
      <c r="W55" s="18"/>
      <c r="X55" s="52"/>
    </row>
    <row r="56" spans="1:24" ht="21" customHeight="1">
      <c r="A56" s="10"/>
      <c r="B56" s="11"/>
      <c r="C56" s="11"/>
      <c r="D56" s="11"/>
      <c r="E56" s="12"/>
      <c r="F56" s="11"/>
      <c r="G56" s="11"/>
      <c r="H56" s="11"/>
      <c r="I56" s="11"/>
      <c r="J56" s="11"/>
      <c r="K56" s="11"/>
      <c r="L56" s="11"/>
      <c r="M56" s="13"/>
      <c r="N56" s="11"/>
      <c r="O56" s="11"/>
      <c r="P56" s="11"/>
      <c r="Q56" s="14"/>
      <c r="R56" s="11"/>
      <c r="S56" s="14"/>
      <c r="T56" s="14"/>
      <c r="U56" s="14"/>
      <c r="V56" s="17"/>
      <c r="W56" s="18"/>
      <c r="X56" s="52"/>
    </row>
    <row r="57" spans="1:24" ht="21" customHeight="1" thickBot="1">
      <c r="A57" s="10"/>
      <c r="B57" s="11"/>
      <c r="C57" s="11"/>
      <c r="D57" s="11"/>
      <c r="E57" s="12"/>
      <c r="F57" s="11"/>
      <c r="G57" s="11"/>
      <c r="H57" s="11"/>
      <c r="I57" s="11"/>
      <c r="J57" s="11"/>
      <c r="K57" s="11"/>
      <c r="L57" s="11"/>
      <c r="M57" s="13"/>
      <c r="N57" s="11"/>
      <c r="O57" s="11"/>
      <c r="P57" s="11"/>
      <c r="Q57" s="14"/>
      <c r="R57" s="11"/>
      <c r="S57" s="14"/>
      <c r="T57" s="14"/>
      <c r="U57" s="14"/>
      <c r="V57" s="17"/>
      <c r="W57" s="18"/>
      <c r="X57" s="52"/>
    </row>
    <row r="58" spans="1:24" ht="20.45" customHeight="1">
      <c r="A58" s="1" t="s">
        <v>260</v>
      </c>
      <c r="B58" s="2" t="s">
        <v>1</v>
      </c>
      <c r="C58" s="2" t="s">
        <v>2</v>
      </c>
      <c r="D58" s="2" t="s">
        <v>3</v>
      </c>
      <c r="E58" s="3" t="s">
        <v>4</v>
      </c>
      <c r="F58" s="2" t="s">
        <v>5</v>
      </c>
      <c r="G58" s="2" t="s">
        <v>6</v>
      </c>
      <c r="H58" s="2" t="s">
        <v>7</v>
      </c>
      <c r="I58" s="4" t="s">
        <v>8</v>
      </c>
      <c r="J58" s="2" t="s">
        <v>9</v>
      </c>
      <c r="K58" s="2" t="s">
        <v>10</v>
      </c>
      <c r="L58" s="2" t="s">
        <v>11</v>
      </c>
      <c r="M58" s="6" t="s">
        <v>206</v>
      </c>
      <c r="N58" s="6" t="s">
        <v>207</v>
      </c>
      <c r="O58" s="7" t="s">
        <v>208</v>
      </c>
      <c r="P58" s="8" t="s">
        <v>209</v>
      </c>
      <c r="Q58" s="8" t="s">
        <v>147</v>
      </c>
      <c r="R58" s="7" t="s">
        <v>148</v>
      </c>
      <c r="S58" s="7" t="s">
        <v>149</v>
      </c>
      <c r="T58" s="7" t="s">
        <v>77</v>
      </c>
      <c r="U58" s="7" t="s">
        <v>20</v>
      </c>
      <c r="V58" s="8" t="s">
        <v>21</v>
      </c>
      <c r="W58" s="24" t="s">
        <v>22</v>
      </c>
      <c r="X58" s="52" t="s">
        <v>216</v>
      </c>
    </row>
    <row r="59" spans="1:24" ht="20.45" customHeight="1">
      <c r="A59" s="10" t="s">
        <v>79</v>
      </c>
      <c r="B59" s="11">
        <v>9.8379629629629633E-3</v>
      </c>
      <c r="C59" s="11">
        <v>2.9745370370370373E-3</v>
      </c>
      <c r="D59" s="11">
        <f>B59*E59</f>
        <v>5.7237268518518522E-3</v>
      </c>
      <c r="E59" s="12">
        <v>0.58179999999999998</v>
      </c>
      <c r="F59" s="11">
        <f>C59/4</f>
        <v>7.4363425925925931E-4</v>
      </c>
      <c r="G59" s="11">
        <f>D59/7.5</f>
        <v>7.6316358024691364E-4</v>
      </c>
      <c r="H59" s="11">
        <f>B59/12.5</f>
        <v>7.8703703703703705E-4</v>
      </c>
      <c r="I59" s="11">
        <f>G59/0.93</f>
        <v>8.2060600026549854E-4</v>
      </c>
      <c r="J59" s="11">
        <f>G59/0.92</f>
        <v>8.29525630703167E-4</v>
      </c>
      <c r="K59" s="11">
        <f>G59/0.88</f>
        <v>8.6723134118967459E-4</v>
      </c>
      <c r="L59" s="11">
        <f>G59/0.84</f>
        <v>9.085280717225163E-4</v>
      </c>
      <c r="M59" s="25"/>
      <c r="N59" s="28"/>
      <c r="O59" s="25"/>
      <c r="P59" s="25"/>
      <c r="Q59" s="25"/>
      <c r="R59" s="28"/>
      <c r="S59" s="25"/>
      <c r="T59" s="25"/>
      <c r="U59" s="28"/>
      <c r="V59" s="25"/>
      <c r="W59" s="15" t="s">
        <v>26</v>
      </c>
      <c r="X59" s="52"/>
    </row>
    <row r="60" spans="1:24" ht="20.45" customHeight="1">
      <c r="A60" s="10" t="s">
        <v>80</v>
      </c>
      <c r="B60" s="11">
        <v>9.8379629629629633E-3</v>
      </c>
      <c r="C60" s="11">
        <v>2.8587962962962963E-3</v>
      </c>
      <c r="D60" s="11">
        <f>B60*E60</f>
        <v>5.7237268518518522E-3</v>
      </c>
      <c r="E60" s="12">
        <v>0.58179999999999998</v>
      </c>
      <c r="F60" s="11">
        <f>C60/4</f>
        <v>7.1469907407407409E-4</v>
      </c>
      <c r="G60" s="11">
        <f>D60/7.5</f>
        <v>7.6316358024691364E-4</v>
      </c>
      <c r="H60" s="11">
        <f>B60/12.5</f>
        <v>7.8703703703703705E-4</v>
      </c>
      <c r="I60" s="11">
        <f>G60/0.93</f>
        <v>8.2060600026549854E-4</v>
      </c>
      <c r="J60" s="11">
        <f>G60/0.92</f>
        <v>8.29525630703167E-4</v>
      </c>
      <c r="K60" s="11">
        <f>G60/0.88</f>
        <v>8.6723134118967459E-4</v>
      </c>
      <c r="L60" s="11">
        <f>G60/0.84</f>
        <v>9.085280717225163E-4</v>
      </c>
      <c r="M60" s="25"/>
      <c r="N60" s="28"/>
      <c r="O60" s="25"/>
      <c r="P60" s="25"/>
      <c r="Q60" s="25"/>
      <c r="R60" s="28"/>
      <c r="S60" s="25"/>
      <c r="T60" s="25"/>
      <c r="U60" s="28"/>
      <c r="V60" s="25"/>
      <c r="W60" s="15" t="s">
        <v>26</v>
      </c>
      <c r="X60" s="52"/>
    </row>
    <row r="61" spans="1:24" ht="20.45" customHeight="1">
      <c r="A61" s="10" t="s">
        <v>84</v>
      </c>
      <c r="B61" s="11">
        <v>1.0069444444444445E-2</v>
      </c>
      <c r="C61" s="11">
        <v>3.0092592592592593E-3</v>
      </c>
      <c r="D61" s="11">
        <f t="shared" ref="D61:D106" si="24">B61*E61</f>
        <v>5.8584027777777783E-3</v>
      </c>
      <c r="E61" s="12">
        <v>0.58179999999999998</v>
      </c>
      <c r="F61" s="11">
        <f t="shared" ref="F61:F106" si="25">C61/4</f>
        <v>7.5231481481481482E-4</v>
      </c>
      <c r="G61" s="11">
        <f t="shared" ref="G61:G106" si="26">D61/7.5</f>
        <v>7.811203703703705E-4</v>
      </c>
      <c r="H61" s="11">
        <f t="shared" ref="H61:H106" si="27">B61/12.5</f>
        <v>8.0555555555555556E-4</v>
      </c>
      <c r="I61" s="11">
        <f t="shared" ref="I61:I106" si="28">G61/0.93</f>
        <v>8.3991437674233382E-4</v>
      </c>
      <c r="J61" s="11">
        <f t="shared" ref="J61:J106" si="29">G61/0.92</f>
        <v>8.4904388083735917E-4</v>
      </c>
      <c r="K61" s="11">
        <f t="shared" ref="K61:K106" si="30">G61/0.88</f>
        <v>8.8763678451178466E-4</v>
      </c>
      <c r="L61" s="11">
        <f t="shared" ref="L61:L106" si="31">G61/0.84</f>
        <v>9.2990520282186973E-4</v>
      </c>
      <c r="M61" s="25"/>
      <c r="N61" s="28"/>
      <c r="O61" s="25"/>
      <c r="P61" s="25"/>
      <c r="Q61" s="25"/>
      <c r="R61" s="28"/>
      <c r="S61" s="25"/>
      <c r="T61" s="25"/>
      <c r="U61" s="28"/>
      <c r="V61" s="25"/>
      <c r="W61" s="15" t="s">
        <v>26</v>
      </c>
      <c r="X61" s="52"/>
    </row>
    <row r="62" spans="1:24" ht="20.45" customHeight="1">
      <c r="A62" s="10" t="s">
        <v>83</v>
      </c>
      <c r="B62" s="11">
        <v>1.0069444444444445E-2</v>
      </c>
      <c r="C62" s="11">
        <v>3.0671296296296297E-3</v>
      </c>
      <c r="D62" s="11">
        <f>B62*E62</f>
        <v>5.8584027777777783E-3</v>
      </c>
      <c r="E62" s="12">
        <v>0.58179999999999998</v>
      </c>
      <c r="F62" s="11">
        <f>C62/4</f>
        <v>7.6678240740740743E-4</v>
      </c>
      <c r="G62" s="11">
        <f>D62/7.5</f>
        <v>7.811203703703705E-4</v>
      </c>
      <c r="H62" s="11">
        <f>B62/12.5</f>
        <v>8.0555555555555556E-4</v>
      </c>
      <c r="I62" s="11">
        <f>G62/0.93</f>
        <v>8.3991437674233382E-4</v>
      </c>
      <c r="J62" s="11">
        <f>G62/0.92</f>
        <v>8.4904388083735917E-4</v>
      </c>
      <c r="K62" s="11">
        <f>G62/0.88</f>
        <v>8.8763678451178466E-4</v>
      </c>
      <c r="L62" s="11">
        <f>G62/0.84</f>
        <v>9.2990520282186973E-4</v>
      </c>
      <c r="M62" s="25"/>
      <c r="N62" s="28"/>
      <c r="O62" s="25"/>
      <c r="P62" s="25"/>
      <c r="Q62" s="25"/>
      <c r="R62" s="28"/>
      <c r="S62" s="25"/>
      <c r="T62" s="25"/>
      <c r="U62" s="28"/>
      <c r="V62" s="28"/>
      <c r="W62" s="15" t="s">
        <v>26</v>
      </c>
      <c r="X62" s="52"/>
    </row>
    <row r="63" spans="1:24" ht="20.45" customHeight="1">
      <c r="A63" s="10" t="s">
        <v>112</v>
      </c>
      <c r="B63" s="11">
        <v>1.0243055555555556E-2</v>
      </c>
      <c r="C63" s="11">
        <v>2.8587962962962963E-3</v>
      </c>
      <c r="D63" s="11">
        <f t="shared" si="24"/>
        <v>5.9594097222222218E-3</v>
      </c>
      <c r="E63" s="12">
        <v>0.58179999999999998</v>
      </c>
      <c r="F63" s="11">
        <f t="shared" si="25"/>
        <v>7.1469907407407409E-4</v>
      </c>
      <c r="G63" s="11">
        <f t="shared" si="26"/>
        <v>7.9458796296296287E-4</v>
      </c>
      <c r="H63" s="11">
        <f t="shared" si="27"/>
        <v>8.1944444444444447E-4</v>
      </c>
      <c r="I63" s="11">
        <f t="shared" si="28"/>
        <v>8.5439565909996003E-4</v>
      </c>
      <c r="J63" s="11">
        <f t="shared" si="29"/>
        <v>8.636825684380031E-4</v>
      </c>
      <c r="K63" s="11">
        <f t="shared" si="30"/>
        <v>9.0294086700336686E-4</v>
      </c>
      <c r="L63" s="11">
        <f t="shared" si="31"/>
        <v>9.4593805114638445E-4</v>
      </c>
      <c r="M63" s="25"/>
      <c r="N63" s="28"/>
      <c r="O63" s="25"/>
      <c r="P63" s="25"/>
      <c r="Q63" s="25"/>
      <c r="R63" s="28"/>
      <c r="S63" s="25"/>
      <c r="T63" s="25"/>
      <c r="U63" s="28"/>
      <c r="V63" s="25"/>
      <c r="W63" s="15" t="s">
        <v>26</v>
      </c>
      <c r="X63" s="52"/>
    </row>
    <row r="64" spans="1:24" ht="20.45" customHeight="1">
      <c r="A64" s="10" t="s">
        <v>92</v>
      </c>
      <c r="B64" s="11">
        <v>1.0300925925925925E-2</v>
      </c>
      <c r="C64" s="11">
        <v>2.9745370370370373E-3</v>
      </c>
      <c r="D64" s="11">
        <f>B64*E64</f>
        <v>5.9930787037037027E-3</v>
      </c>
      <c r="E64" s="12">
        <v>0.58179999999999998</v>
      </c>
      <c r="F64" s="11">
        <f>C64/4</f>
        <v>7.4363425925925931E-4</v>
      </c>
      <c r="G64" s="11">
        <f>D64/7.5</f>
        <v>7.9907716049382703E-4</v>
      </c>
      <c r="H64" s="11">
        <f>B64/12.5</f>
        <v>8.2407407407407397E-4</v>
      </c>
      <c r="I64" s="11">
        <f>G64/0.93</f>
        <v>8.5922275321916877E-4</v>
      </c>
      <c r="J64" s="11">
        <f>G64/0.92</f>
        <v>8.6856213097155112E-4</v>
      </c>
      <c r="K64" s="11">
        <f>G64/0.88</f>
        <v>9.080422278338944E-4</v>
      </c>
      <c r="L64" s="11">
        <f>G64/0.84</f>
        <v>9.5128233392122272E-4</v>
      </c>
      <c r="M64" s="25"/>
      <c r="N64" s="28"/>
      <c r="O64" s="25"/>
      <c r="P64" s="25"/>
      <c r="Q64" s="25"/>
      <c r="R64" s="28"/>
      <c r="S64" s="25"/>
      <c r="T64" s="25"/>
      <c r="U64" s="28"/>
      <c r="V64" s="25"/>
      <c r="W64" s="15" t="s">
        <v>26</v>
      </c>
      <c r="X64" s="52"/>
    </row>
    <row r="65" spans="1:24" ht="20.45" customHeight="1">
      <c r="A65" s="10" t="s">
        <v>86</v>
      </c>
      <c r="B65" s="11">
        <v>1.0300925925925925E-2</v>
      </c>
      <c r="C65" s="11">
        <v>3.0671296296296297E-3</v>
      </c>
      <c r="D65" s="11">
        <f t="shared" si="24"/>
        <v>5.9930787037037027E-3</v>
      </c>
      <c r="E65" s="12">
        <v>0.58179999999999998</v>
      </c>
      <c r="F65" s="11">
        <f t="shared" si="25"/>
        <v>7.6678240740740743E-4</v>
      </c>
      <c r="G65" s="11">
        <f t="shared" si="26"/>
        <v>7.9907716049382703E-4</v>
      </c>
      <c r="H65" s="11">
        <f t="shared" si="27"/>
        <v>8.2407407407407397E-4</v>
      </c>
      <c r="I65" s="11">
        <f t="shared" si="28"/>
        <v>8.5922275321916877E-4</v>
      </c>
      <c r="J65" s="11">
        <f t="shared" si="29"/>
        <v>8.6856213097155112E-4</v>
      </c>
      <c r="K65" s="11">
        <f t="shared" si="30"/>
        <v>9.080422278338944E-4</v>
      </c>
      <c r="L65" s="11">
        <f t="shared" si="31"/>
        <v>9.5128233392122272E-4</v>
      </c>
      <c r="M65" s="25"/>
      <c r="N65" s="28"/>
      <c r="O65" s="25"/>
      <c r="P65" s="25"/>
      <c r="Q65" s="25"/>
      <c r="R65" s="28"/>
      <c r="S65" s="25"/>
      <c r="T65" s="25"/>
      <c r="U65" s="28"/>
      <c r="V65" s="25"/>
      <c r="W65" s="15" t="s">
        <v>26</v>
      </c>
      <c r="X65" s="52"/>
    </row>
    <row r="66" spans="1:24" ht="20.45" customHeight="1">
      <c r="A66" s="10" t="s">
        <v>119</v>
      </c>
      <c r="B66" s="11">
        <v>1.0416666666666666E-2</v>
      </c>
      <c r="C66" s="11"/>
      <c r="D66" s="11">
        <f t="shared" si="24"/>
        <v>6.0604166666666662E-3</v>
      </c>
      <c r="E66" s="12">
        <v>0.58179999999999998</v>
      </c>
      <c r="F66" s="11">
        <f t="shared" si="25"/>
        <v>0</v>
      </c>
      <c r="G66" s="11">
        <f t="shared" si="26"/>
        <v>8.0805555555555546E-4</v>
      </c>
      <c r="H66" s="11">
        <f t="shared" si="27"/>
        <v>8.3333333333333328E-4</v>
      </c>
      <c r="I66" s="11">
        <f t="shared" si="28"/>
        <v>8.6887694145758646E-4</v>
      </c>
      <c r="J66" s="11">
        <f t="shared" si="29"/>
        <v>8.7832125603864715E-4</v>
      </c>
      <c r="K66" s="11">
        <f t="shared" si="30"/>
        <v>9.1824494949494938E-4</v>
      </c>
      <c r="L66" s="11">
        <f t="shared" si="31"/>
        <v>9.6197089947089938E-4</v>
      </c>
      <c r="M66" s="25"/>
      <c r="N66" s="28"/>
      <c r="O66" s="25"/>
      <c r="P66" s="25"/>
      <c r="Q66" s="25"/>
      <c r="R66" s="28"/>
      <c r="S66" s="25"/>
      <c r="T66" s="25"/>
      <c r="U66" s="28"/>
      <c r="V66" s="28"/>
      <c r="W66" s="27" t="s">
        <v>26</v>
      </c>
      <c r="X66" s="52"/>
    </row>
    <row r="67" spans="1:24" ht="20.45" customHeight="1">
      <c r="A67" s="10" t="s">
        <v>87</v>
      </c>
      <c r="B67" s="11">
        <v>1.0532407407407407E-2</v>
      </c>
      <c r="C67" s="11">
        <v>2.9745370370370373E-3</v>
      </c>
      <c r="D67" s="11">
        <f t="shared" si="24"/>
        <v>6.1277546296296288E-3</v>
      </c>
      <c r="E67" s="12">
        <v>0.58179999999999998</v>
      </c>
      <c r="F67" s="11">
        <f t="shared" si="25"/>
        <v>7.4363425925925931E-4</v>
      </c>
      <c r="G67" s="11">
        <f t="shared" si="26"/>
        <v>8.1703395061728389E-4</v>
      </c>
      <c r="H67" s="11">
        <f t="shared" si="27"/>
        <v>8.4259259259259259E-4</v>
      </c>
      <c r="I67" s="11">
        <f t="shared" si="28"/>
        <v>8.7853112969600415E-4</v>
      </c>
      <c r="J67" s="11">
        <f t="shared" si="29"/>
        <v>8.8808038110574329E-4</v>
      </c>
      <c r="K67" s="11">
        <f t="shared" si="30"/>
        <v>9.2844767115600447E-4</v>
      </c>
      <c r="L67" s="11">
        <f t="shared" si="31"/>
        <v>9.7265946502057604E-4</v>
      </c>
      <c r="M67" s="25"/>
      <c r="N67" s="28"/>
      <c r="O67" s="25"/>
      <c r="P67" s="25"/>
      <c r="Q67" s="25"/>
      <c r="R67" s="28"/>
      <c r="S67" s="25"/>
      <c r="T67" s="25"/>
      <c r="U67" s="28"/>
      <c r="V67" s="25"/>
      <c r="W67" s="15" t="s">
        <v>26</v>
      </c>
      <c r="X67" s="52"/>
    </row>
    <row r="68" spans="1:24" ht="20.45" customHeight="1">
      <c r="A68" s="10" t="s">
        <v>88</v>
      </c>
      <c r="B68" s="11">
        <v>1.0532407407407407E-2</v>
      </c>
      <c r="C68" s="11">
        <v>3.0671296296296297E-3</v>
      </c>
      <c r="D68" s="11">
        <f>B68*E68</f>
        <v>6.1277546296296288E-3</v>
      </c>
      <c r="E68" s="12">
        <v>0.58179999999999998</v>
      </c>
      <c r="F68" s="11">
        <f>C68/4</f>
        <v>7.6678240740740743E-4</v>
      </c>
      <c r="G68" s="11">
        <f>D68/7.5</f>
        <v>8.1703395061728389E-4</v>
      </c>
      <c r="H68" s="11">
        <f>B68/12.5</f>
        <v>8.4259259259259259E-4</v>
      </c>
      <c r="I68" s="11">
        <f>G68/0.93</f>
        <v>8.7853112969600415E-4</v>
      </c>
      <c r="J68" s="11">
        <f>G68/0.92</f>
        <v>8.8808038110574329E-4</v>
      </c>
      <c r="K68" s="11">
        <f>G68/0.88</f>
        <v>9.2844767115600447E-4</v>
      </c>
      <c r="L68" s="11">
        <f>G68/0.84</f>
        <v>9.7265946502057604E-4</v>
      </c>
      <c r="M68" s="25"/>
      <c r="N68" s="28"/>
      <c r="O68" s="25"/>
      <c r="P68" s="25"/>
      <c r="Q68" s="25"/>
      <c r="R68" s="28"/>
      <c r="S68" s="25"/>
      <c r="T68" s="25"/>
      <c r="U68" s="28"/>
      <c r="V68" s="44"/>
      <c r="W68" s="28" t="s">
        <v>26</v>
      </c>
      <c r="X68" s="52" t="s">
        <v>217</v>
      </c>
    </row>
    <row r="69" spans="1:24" ht="20.45" customHeight="1">
      <c r="A69" s="10" t="s">
        <v>121</v>
      </c>
      <c r="B69" s="11">
        <v>1.0532407407407407E-2</v>
      </c>
      <c r="C69" s="11"/>
      <c r="D69" s="11">
        <f>B69*E69</f>
        <v>6.1277546296296288E-3</v>
      </c>
      <c r="E69" s="12">
        <v>0.58179999999999998</v>
      </c>
      <c r="F69" s="11">
        <f>C69/4</f>
        <v>0</v>
      </c>
      <c r="G69" s="11">
        <f>D69/7.5</f>
        <v>8.1703395061728389E-4</v>
      </c>
      <c r="H69" s="11">
        <f>B69/12.5</f>
        <v>8.4259259259259259E-4</v>
      </c>
      <c r="I69" s="11">
        <f>G69/0.93</f>
        <v>8.7853112969600415E-4</v>
      </c>
      <c r="J69" s="11">
        <f>G69/0.92</f>
        <v>8.8808038110574329E-4</v>
      </c>
      <c r="K69" s="11">
        <f>G69/0.88</f>
        <v>9.2844767115600447E-4</v>
      </c>
      <c r="L69" s="11">
        <f>G69/0.84</f>
        <v>9.7265946502057604E-4</v>
      </c>
      <c r="M69" s="25"/>
      <c r="N69" s="28"/>
      <c r="O69" s="25"/>
      <c r="P69" s="25"/>
      <c r="Q69" s="25"/>
      <c r="R69" s="28"/>
      <c r="S69" s="25"/>
      <c r="T69" s="25"/>
      <c r="U69" s="28"/>
      <c r="V69" s="28"/>
      <c r="W69" s="27" t="s">
        <v>26</v>
      </c>
      <c r="X69" s="52"/>
    </row>
    <row r="70" spans="1:24" ht="20.45" customHeight="1">
      <c r="A70" s="10" t="s">
        <v>123</v>
      </c>
      <c r="B70" s="11">
        <v>1.0590277777777778E-2</v>
      </c>
      <c r="C70" s="11">
        <v>3.1828703703703702E-3</v>
      </c>
      <c r="D70" s="11">
        <f>B70*E70</f>
        <v>6.1614236111111114E-3</v>
      </c>
      <c r="E70" s="12">
        <v>0.58179999999999998</v>
      </c>
      <c r="F70" s="11">
        <f>C70/4</f>
        <v>7.9571759259259255E-4</v>
      </c>
      <c r="G70" s="11">
        <f>D70/7.5</f>
        <v>8.2152314814814816E-4</v>
      </c>
      <c r="H70" s="11">
        <f>B70/12.5</f>
        <v>8.472222222222223E-4</v>
      </c>
      <c r="I70" s="11">
        <f>G70/0.93</f>
        <v>8.8335822381521299E-4</v>
      </c>
      <c r="J70" s="11">
        <f>G70/0.92</f>
        <v>8.9295994363929141E-4</v>
      </c>
      <c r="K70" s="11">
        <f>G70/0.88</f>
        <v>9.3354903198653201E-4</v>
      </c>
      <c r="L70" s="11">
        <f>G70/0.84</f>
        <v>9.7800374779541442E-4</v>
      </c>
      <c r="M70" s="25"/>
      <c r="N70" s="28"/>
      <c r="O70" s="25"/>
      <c r="P70" s="25"/>
      <c r="Q70" s="25"/>
      <c r="R70" s="28"/>
      <c r="S70" s="25"/>
      <c r="T70" s="25"/>
      <c r="U70" s="28"/>
      <c r="V70" s="28"/>
      <c r="W70" s="15" t="s">
        <v>26</v>
      </c>
      <c r="X70" s="52"/>
    </row>
    <row r="71" spans="1:24" ht="20.45" customHeight="1">
      <c r="A71" s="10" t="s">
        <v>91</v>
      </c>
      <c r="B71" s="11">
        <v>1.0590277777777778E-2</v>
      </c>
      <c r="C71" s="11">
        <v>3.1249999999999997E-3</v>
      </c>
      <c r="D71" s="11">
        <f t="shared" si="24"/>
        <v>6.1614236111111114E-3</v>
      </c>
      <c r="E71" s="12">
        <v>0.58179999999999998</v>
      </c>
      <c r="F71" s="11">
        <f t="shared" si="25"/>
        <v>7.8124999999999993E-4</v>
      </c>
      <c r="G71" s="11">
        <f t="shared" si="26"/>
        <v>8.2152314814814816E-4</v>
      </c>
      <c r="H71" s="11">
        <f t="shared" si="27"/>
        <v>8.472222222222223E-4</v>
      </c>
      <c r="I71" s="11">
        <f t="shared" si="28"/>
        <v>8.8335822381521299E-4</v>
      </c>
      <c r="J71" s="11">
        <f t="shared" si="29"/>
        <v>8.9295994363929141E-4</v>
      </c>
      <c r="K71" s="11">
        <f t="shared" si="30"/>
        <v>9.3354903198653201E-4</v>
      </c>
      <c r="L71" s="11">
        <f t="shared" si="31"/>
        <v>9.7800374779541442E-4</v>
      </c>
      <c r="M71" s="25"/>
      <c r="N71" s="28"/>
      <c r="O71" s="25"/>
      <c r="P71" s="25"/>
      <c r="Q71" s="25"/>
      <c r="R71" s="28"/>
      <c r="S71" s="25"/>
      <c r="T71" s="25"/>
      <c r="U71" s="28"/>
      <c r="V71" s="25"/>
      <c r="W71" s="15" t="s">
        <v>26</v>
      </c>
      <c r="X71" s="52"/>
    </row>
    <row r="72" spans="1:24" ht="20.45" customHeight="1">
      <c r="A72" s="10" t="s">
        <v>125</v>
      </c>
      <c r="B72" s="11">
        <v>1.0648148148148148E-2</v>
      </c>
      <c r="C72" s="11"/>
      <c r="D72" s="11">
        <f t="shared" si="24"/>
        <v>6.1950925925925923E-3</v>
      </c>
      <c r="E72" s="12">
        <v>0.58179999999999998</v>
      </c>
      <c r="F72" s="11">
        <f t="shared" si="25"/>
        <v>0</v>
      </c>
      <c r="G72" s="11">
        <f t="shared" si="26"/>
        <v>8.2601234567901232E-4</v>
      </c>
      <c r="H72" s="11">
        <f t="shared" si="27"/>
        <v>8.5185185185185179E-4</v>
      </c>
      <c r="I72" s="11">
        <f t="shared" si="28"/>
        <v>8.8818531793442184E-4</v>
      </c>
      <c r="J72" s="11">
        <f t="shared" si="29"/>
        <v>8.9783950617283942E-4</v>
      </c>
      <c r="K72" s="11">
        <f t="shared" si="30"/>
        <v>9.3865039281705945E-4</v>
      </c>
      <c r="L72" s="11">
        <f t="shared" si="31"/>
        <v>9.833480305702527E-4</v>
      </c>
      <c r="M72" s="25"/>
      <c r="N72" s="28"/>
      <c r="O72" s="25"/>
      <c r="P72" s="25"/>
      <c r="Q72" s="25"/>
      <c r="R72" s="28"/>
      <c r="S72" s="25"/>
      <c r="T72" s="25"/>
      <c r="U72" s="28"/>
      <c r="V72" s="28"/>
      <c r="W72" s="15" t="s">
        <v>26</v>
      </c>
      <c r="X72" s="52"/>
    </row>
    <row r="73" spans="1:24" ht="20.45" customHeight="1">
      <c r="A73" s="10" t="s">
        <v>124</v>
      </c>
      <c r="B73" s="11">
        <v>1.0648148148148148E-2</v>
      </c>
      <c r="C73" s="11"/>
      <c r="D73" s="11">
        <f>B73*E73</f>
        <v>6.1950925925925923E-3</v>
      </c>
      <c r="E73" s="12">
        <v>0.58179999999999998</v>
      </c>
      <c r="F73" s="11">
        <f>C73/4</f>
        <v>0</v>
      </c>
      <c r="G73" s="11">
        <f>D73/7.5</f>
        <v>8.2601234567901232E-4</v>
      </c>
      <c r="H73" s="11">
        <f>B73/12.5</f>
        <v>8.5185185185185179E-4</v>
      </c>
      <c r="I73" s="11">
        <f>G73/0.93</f>
        <v>8.8818531793442184E-4</v>
      </c>
      <c r="J73" s="11">
        <f>G73/0.92</f>
        <v>8.9783950617283942E-4</v>
      </c>
      <c r="K73" s="11">
        <f>G73/0.88</f>
        <v>9.3865039281705945E-4</v>
      </c>
      <c r="L73" s="11">
        <f>G73/0.84</f>
        <v>9.833480305702527E-4</v>
      </c>
      <c r="M73" s="25"/>
      <c r="N73" s="28"/>
      <c r="O73" s="25"/>
      <c r="P73" s="25"/>
      <c r="Q73" s="25"/>
      <c r="R73" s="28"/>
      <c r="S73" s="25"/>
      <c r="T73" s="25"/>
      <c r="U73" s="28"/>
      <c r="V73" s="28"/>
      <c r="W73" s="27" t="s">
        <v>26</v>
      </c>
      <c r="X73" s="52"/>
    </row>
    <row r="74" spans="1:24" ht="20.45" customHeight="1">
      <c r="A74" s="10" t="s">
        <v>131</v>
      </c>
      <c r="B74" s="11">
        <v>1.0763888888888891E-2</v>
      </c>
      <c r="C74" s="11">
        <v>3.1828703703703702E-3</v>
      </c>
      <c r="D74" s="11">
        <f>B74*E74</f>
        <v>6.2624305555555567E-3</v>
      </c>
      <c r="E74" s="12">
        <v>0.58179999999999998</v>
      </c>
      <c r="F74" s="11">
        <f>C74/4</f>
        <v>7.9571759259259255E-4</v>
      </c>
      <c r="G74" s="11">
        <f>D74/7.5</f>
        <v>8.3499074074074085E-4</v>
      </c>
      <c r="H74" s="11">
        <f>B74/12.5</f>
        <v>8.6111111111111121E-4</v>
      </c>
      <c r="I74" s="11">
        <f>G74/0.93</f>
        <v>8.9783950617283953E-4</v>
      </c>
      <c r="J74" s="11">
        <f>G74/0.92</f>
        <v>9.0759863123993567E-4</v>
      </c>
      <c r="K74" s="11">
        <f>G74/0.88</f>
        <v>9.4885311447811464E-4</v>
      </c>
      <c r="L74" s="11">
        <f>G74/0.84</f>
        <v>9.9403659611992969E-4</v>
      </c>
      <c r="M74" s="25"/>
      <c r="N74" s="28"/>
      <c r="O74" s="25"/>
      <c r="P74" s="25"/>
      <c r="Q74" s="25"/>
      <c r="R74" s="28"/>
      <c r="S74" s="25"/>
      <c r="T74" s="25"/>
      <c r="U74" s="28"/>
      <c r="V74" s="28"/>
      <c r="W74" s="15" t="s">
        <v>26</v>
      </c>
      <c r="X74" s="52"/>
    </row>
    <row r="75" spans="1:24" ht="20.45" customHeight="1">
      <c r="A75" s="10" t="s">
        <v>133</v>
      </c>
      <c r="B75" s="11">
        <v>1.087962962962963E-2</v>
      </c>
      <c r="C75" s="11">
        <v>3.1250000000000002E-3</v>
      </c>
      <c r="D75" s="11">
        <f>B75*E75</f>
        <v>6.3297685185185184E-3</v>
      </c>
      <c r="E75" s="12">
        <v>0.58179999999999998</v>
      </c>
      <c r="F75" s="11">
        <f>C75/4</f>
        <v>7.8125000000000004E-4</v>
      </c>
      <c r="G75" s="11">
        <f>D75/7.5</f>
        <v>8.4396913580246917E-4</v>
      </c>
      <c r="H75" s="11">
        <f>B75/12.5</f>
        <v>8.7037037037037042E-4</v>
      </c>
      <c r="I75" s="11">
        <f>G75/0.93</f>
        <v>9.0749369441125711E-4</v>
      </c>
      <c r="J75" s="11">
        <f>G75/0.92</f>
        <v>9.173577563070317E-4</v>
      </c>
      <c r="K75" s="11">
        <f>G75/0.88</f>
        <v>9.5905583613916951E-4</v>
      </c>
      <c r="L75" s="11">
        <f>G75/0.84</f>
        <v>1.0047251616696062E-3</v>
      </c>
      <c r="M75" s="25"/>
      <c r="N75" s="28"/>
      <c r="O75" s="25"/>
      <c r="P75" s="25"/>
      <c r="Q75" s="25"/>
      <c r="R75" s="28"/>
      <c r="S75" s="25"/>
      <c r="T75" s="25"/>
      <c r="U75" s="28"/>
      <c r="V75" s="25"/>
      <c r="W75" s="15" t="s">
        <v>26</v>
      </c>
      <c r="X75" s="52"/>
    </row>
    <row r="76" spans="1:24" ht="20.45" customHeight="1">
      <c r="A76" s="10" t="s">
        <v>118</v>
      </c>
      <c r="B76" s="11">
        <v>1.0300925925925925E-2</v>
      </c>
      <c r="C76" s="11">
        <v>3.0671296296296297E-3</v>
      </c>
      <c r="D76" s="11">
        <f>B76*E76</f>
        <v>5.9930787037037027E-3</v>
      </c>
      <c r="E76" s="12">
        <v>0.58179999999999998</v>
      </c>
      <c r="F76" s="11">
        <f>C76/4</f>
        <v>7.6678240740740743E-4</v>
      </c>
      <c r="G76" s="11">
        <f>D76/7.5</f>
        <v>7.9907716049382703E-4</v>
      </c>
      <c r="H76" s="11">
        <f>B76/12.5</f>
        <v>8.2407407407407397E-4</v>
      </c>
      <c r="I76" s="11">
        <f>G76/0.93</f>
        <v>8.5922275321916877E-4</v>
      </c>
      <c r="J76" s="11">
        <f>G76/0.92</f>
        <v>8.6856213097155112E-4</v>
      </c>
      <c r="K76" s="11">
        <f>G76/0.88</f>
        <v>9.080422278338944E-4</v>
      </c>
      <c r="L76" s="11">
        <f>G76/0.84</f>
        <v>9.5128233392122272E-4</v>
      </c>
      <c r="M76" s="25"/>
      <c r="N76" s="28"/>
      <c r="O76" s="25"/>
      <c r="P76" s="25"/>
      <c r="Q76" s="25"/>
      <c r="R76" s="28"/>
      <c r="S76" s="25"/>
      <c r="T76" s="25"/>
      <c r="U76" s="28"/>
      <c r="V76" s="25"/>
      <c r="W76" s="15" t="s">
        <v>26</v>
      </c>
      <c r="X76" s="52"/>
    </row>
    <row r="77" spans="1:24" ht="20.45" customHeight="1">
      <c r="A77" s="10"/>
      <c r="B77" s="11"/>
      <c r="C77" s="11"/>
      <c r="D77" s="11"/>
      <c r="E77" s="12"/>
      <c r="F77" s="11"/>
      <c r="G77" s="11"/>
      <c r="H77" s="11"/>
      <c r="I77" s="11"/>
      <c r="J77" s="11"/>
      <c r="K77" s="11"/>
      <c r="L77" s="11"/>
      <c r="M77" s="25"/>
      <c r="N77" s="28"/>
      <c r="O77" s="25"/>
      <c r="P77" s="25"/>
      <c r="Q77" s="25"/>
      <c r="R77" s="28"/>
      <c r="S77" s="25"/>
      <c r="T77" s="25"/>
      <c r="U77" s="28"/>
      <c r="V77" s="25"/>
      <c r="W77" s="15"/>
      <c r="X77" s="52"/>
    </row>
    <row r="78" spans="1:24" ht="20.45" customHeight="1">
      <c r="A78" s="19"/>
      <c r="B78" s="6"/>
      <c r="C78" s="6"/>
      <c r="D78" s="6"/>
      <c r="E78" s="20"/>
      <c r="F78" s="6"/>
      <c r="G78" s="6"/>
      <c r="H78" s="6"/>
      <c r="I78" s="6"/>
      <c r="J78" s="6"/>
      <c r="K78" s="6"/>
      <c r="L78" s="6"/>
      <c r="M78" s="6" t="s">
        <v>12</v>
      </c>
      <c r="N78" s="6" t="s">
        <v>155</v>
      </c>
      <c r="O78" s="6" t="s">
        <v>14</v>
      </c>
      <c r="P78" s="6" t="s">
        <v>156</v>
      </c>
      <c r="Q78" s="6"/>
      <c r="R78" s="6"/>
      <c r="S78" s="6"/>
      <c r="T78" s="6"/>
      <c r="U78" s="6"/>
      <c r="V78" s="23"/>
      <c r="W78" s="35"/>
      <c r="X78" s="52" t="s">
        <v>262</v>
      </c>
    </row>
    <row r="79" spans="1:24" ht="20.45" customHeight="1">
      <c r="A79" s="10" t="s">
        <v>122</v>
      </c>
      <c r="B79" s="11">
        <v>1.0532407407407407E-2</v>
      </c>
      <c r="C79" s="11">
        <v>3.0671296296296297E-3</v>
      </c>
      <c r="D79" s="11">
        <f>B79*E79</f>
        <v>6.1277546296296288E-3</v>
      </c>
      <c r="E79" s="12">
        <v>0.58179999999999998</v>
      </c>
      <c r="F79" s="11">
        <f>C79/4</f>
        <v>7.6678240740740743E-4</v>
      </c>
      <c r="G79" s="11">
        <f>D79/7.5</f>
        <v>8.1703395061728389E-4</v>
      </c>
      <c r="H79" s="11">
        <f>B79/12.5</f>
        <v>8.4259259259259259E-4</v>
      </c>
      <c r="I79" s="11">
        <f>G79/0.93</f>
        <v>8.7853112969600415E-4</v>
      </c>
      <c r="J79" s="11">
        <f>G79/0.92</f>
        <v>8.8808038110574329E-4</v>
      </c>
      <c r="K79" s="11">
        <f>G79/0.88</f>
        <v>9.2844767115600447E-4</v>
      </c>
      <c r="L79" s="11">
        <f>G79/0.84</f>
        <v>9.7265946502057604E-4</v>
      </c>
      <c r="M79" s="25">
        <f>WO2025Jan7men119151719232529313335394143454749555759636567697173757779131719212325[[#This Row],[Thresh]]</f>
        <v>9.2844767115600447E-4</v>
      </c>
      <c r="N79" s="28">
        <f>WO2025Jan7men119151719232529313335394143454749555759636567697173757779131719212325[[#This Row],[Thresh]]*2</f>
        <v>1.8568953423120089E-3</v>
      </c>
      <c r="O79" s="25">
        <f>WO2025Jan7men119151719232529313335394143454749555759636567697173757779131719212325[[#This Row],[CV]]</f>
        <v>8.8808038110574329E-4</v>
      </c>
      <c r="P79" s="25">
        <f>WO2025Jan7men119151719232529313335394143454749555759636567697173757779131719212325[[#This Row],[CV]]*2</f>
        <v>1.7761607622114866E-3</v>
      </c>
      <c r="Q79" s="25"/>
      <c r="R79" s="28"/>
      <c r="S79" s="25"/>
      <c r="T79" s="25"/>
      <c r="U79" s="28"/>
      <c r="V79" s="25"/>
      <c r="W79" s="15" t="s">
        <v>48</v>
      </c>
      <c r="X79" s="52"/>
    </row>
    <row r="80" spans="1:24" ht="20.45" customHeight="1">
      <c r="A80" s="10" t="s">
        <v>127</v>
      </c>
      <c r="B80" s="11">
        <v>1.0648148148148148E-2</v>
      </c>
      <c r="C80" s="11">
        <v>2.9513888888888888E-3</v>
      </c>
      <c r="D80" s="11">
        <f>B80*E80</f>
        <v>6.1950925925925923E-3</v>
      </c>
      <c r="E80" s="12">
        <v>0.58179999999999998</v>
      </c>
      <c r="F80" s="11">
        <f>C80/4</f>
        <v>7.378472222222222E-4</v>
      </c>
      <c r="G80" s="11">
        <f>D80/7.5</f>
        <v>8.2601234567901232E-4</v>
      </c>
      <c r="H80" s="11">
        <f>B80/12.5</f>
        <v>8.5185185185185179E-4</v>
      </c>
      <c r="I80" s="11">
        <f>G80/0.93</f>
        <v>8.8818531793442184E-4</v>
      </c>
      <c r="J80" s="11">
        <f>G80/0.92</f>
        <v>8.9783950617283942E-4</v>
      </c>
      <c r="K80" s="11">
        <f>G80/0.88</f>
        <v>9.3865039281705945E-4</v>
      </c>
      <c r="L80" s="11">
        <f>G80/0.84</f>
        <v>9.833480305702527E-4</v>
      </c>
      <c r="M80" s="25">
        <f>WO2025Jan7men119151719232529313335394143454749555759636567697173757779131719212325[[#This Row],[Thresh]]</f>
        <v>9.3865039281705945E-4</v>
      </c>
      <c r="N80" s="28">
        <f>WO2025Jan7men119151719232529313335394143454749555759636567697173757779131719212325[[#This Row],[Thresh]]*2</f>
        <v>1.8773007856341189E-3</v>
      </c>
      <c r="O80" s="25">
        <f>WO2025Jan7men119151719232529313335394143454749555759636567697173757779131719212325[[#This Row],[CV]]</f>
        <v>8.9783950617283942E-4</v>
      </c>
      <c r="P80" s="25">
        <f>WO2025Jan7men119151719232529313335394143454749555759636567697173757779131719212325[[#This Row],[CV]]*2</f>
        <v>1.7956790123456788E-3</v>
      </c>
      <c r="Q80" s="25"/>
      <c r="R80" s="25"/>
      <c r="S80" s="25"/>
      <c r="T80" s="25"/>
      <c r="U80" s="25"/>
      <c r="V80" s="25"/>
      <c r="W80" s="15" t="s">
        <v>48</v>
      </c>
      <c r="X80" s="52"/>
    </row>
    <row r="81" spans="1:24" ht="20.45" customHeight="1">
      <c r="A81" s="10"/>
      <c r="B81" s="11"/>
      <c r="C81" s="11"/>
      <c r="D81" s="11"/>
      <c r="E81" s="12"/>
      <c r="F81" s="11"/>
      <c r="G81" s="11"/>
      <c r="H81" s="11"/>
      <c r="I81" s="11"/>
      <c r="J81" s="11"/>
      <c r="K81" s="11"/>
      <c r="L81" s="11"/>
      <c r="M81" s="25"/>
      <c r="N81" s="28"/>
      <c r="O81" s="25"/>
      <c r="P81" s="25"/>
      <c r="Q81" s="28"/>
      <c r="R81" s="28"/>
      <c r="S81" s="25"/>
      <c r="T81" s="25"/>
      <c r="U81" s="28"/>
      <c r="V81" s="28"/>
      <c r="W81" s="15"/>
      <c r="X81" s="52"/>
    </row>
    <row r="82" spans="1:24" ht="20.45" customHeight="1">
      <c r="A82" s="10"/>
      <c r="B82" s="11"/>
      <c r="C82" s="11"/>
      <c r="D82" s="11"/>
      <c r="E82" s="12"/>
      <c r="F82" s="11"/>
      <c r="G82" s="11"/>
      <c r="H82" s="11"/>
      <c r="I82" s="11"/>
      <c r="J82" s="11"/>
      <c r="K82" s="11"/>
      <c r="L82" s="17"/>
      <c r="M82" s="25"/>
      <c r="N82" s="28"/>
      <c r="O82" s="25"/>
      <c r="P82" s="25"/>
      <c r="Q82" s="25"/>
      <c r="R82" s="25"/>
      <c r="S82" s="25"/>
      <c r="T82" s="25"/>
      <c r="U82" s="28"/>
      <c r="V82" s="25"/>
      <c r="W82" s="15"/>
      <c r="X82" s="52"/>
    </row>
    <row r="83" spans="1:24" ht="20.45" customHeight="1">
      <c r="A83" s="10"/>
      <c r="B83" s="11"/>
      <c r="C83" s="11"/>
      <c r="D83" s="11"/>
      <c r="E83" s="12"/>
      <c r="F83" s="11"/>
      <c r="G83" s="11"/>
      <c r="H83" s="11"/>
      <c r="I83" s="11"/>
      <c r="J83" s="11"/>
      <c r="K83" s="11"/>
      <c r="L83" s="11"/>
      <c r="M83" s="25"/>
      <c r="N83" s="28"/>
      <c r="O83" s="25"/>
      <c r="P83" s="25"/>
      <c r="Q83" s="25"/>
      <c r="R83" s="28"/>
      <c r="S83" s="25"/>
      <c r="T83" s="25"/>
      <c r="U83" s="28"/>
      <c r="V83" s="25"/>
      <c r="W83" s="15"/>
      <c r="X83" s="52"/>
    </row>
    <row r="84" spans="1:24" ht="20.45" customHeight="1">
      <c r="A84" s="10"/>
      <c r="B84" s="11"/>
      <c r="C84" s="11"/>
      <c r="D84" s="11"/>
      <c r="E84" s="12"/>
      <c r="F84" s="11"/>
      <c r="G84" s="11"/>
      <c r="H84" s="11"/>
      <c r="I84" s="11"/>
      <c r="J84" s="11"/>
      <c r="K84" s="11"/>
      <c r="L84" s="11"/>
      <c r="M84" s="25"/>
      <c r="N84" s="28"/>
      <c r="O84" s="25"/>
      <c r="P84" s="25"/>
      <c r="Q84" s="25"/>
      <c r="R84" s="25"/>
      <c r="S84" s="25"/>
      <c r="T84" s="25"/>
      <c r="U84" s="28"/>
      <c r="V84" s="25"/>
      <c r="W84" s="15"/>
      <c r="X84" s="52"/>
    </row>
    <row r="85" spans="1:24" ht="20.45" customHeight="1">
      <c r="A85" s="10"/>
      <c r="B85" s="11"/>
      <c r="C85" s="11"/>
      <c r="D85" s="11"/>
      <c r="E85" s="12"/>
      <c r="F85" s="11"/>
      <c r="G85" s="11"/>
      <c r="H85" s="11"/>
      <c r="I85" s="11"/>
      <c r="J85" s="11"/>
      <c r="K85" s="11"/>
      <c r="L85" s="17"/>
      <c r="M85" s="11"/>
      <c r="N85" s="26"/>
      <c r="P85" s="26"/>
      <c r="Q85" s="26"/>
      <c r="R85" s="26"/>
      <c r="S85" s="14"/>
      <c r="T85" s="14"/>
      <c r="U85" s="26"/>
      <c r="V85" s="38"/>
      <c r="W85" s="31"/>
      <c r="X85" s="52"/>
    </row>
    <row r="86" spans="1:24" ht="20.45" customHeight="1" thickBot="1">
      <c r="A86" s="10"/>
      <c r="B86" s="11"/>
      <c r="C86" s="11"/>
      <c r="D86" s="11"/>
      <c r="E86" s="12"/>
      <c r="F86" s="11"/>
      <c r="G86" s="11"/>
      <c r="H86" s="11"/>
      <c r="I86" s="11"/>
      <c r="J86" s="11"/>
      <c r="K86" s="11"/>
      <c r="L86" s="11"/>
      <c r="M86" s="25"/>
      <c r="N86" s="28"/>
      <c r="O86" s="25"/>
      <c r="P86" s="28"/>
      <c r="Q86" s="25"/>
      <c r="R86" s="28"/>
      <c r="S86" s="25"/>
      <c r="T86" s="28"/>
      <c r="U86" s="28"/>
      <c r="V86" s="25"/>
      <c r="W86" s="15"/>
      <c r="X86" s="52"/>
    </row>
    <row r="87" spans="1:24" ht="20.45" customHeight="1">
      <c r="A87" s="1" t="s">
        <v>260</v>
      </c>
      <c r="B87" s="6"/>
      <c r="C87" s="6"/>
      <c r="D87" s="6"/>
      <c r="E87" s="20"/>
      <c r="F87" s="6"/>
      <c r="G87" s="6"/>
      <c r="H87" s="6"/>
      <c r="I87" s="6"/>
      <c r="J87" s="6"/>
      <c r="K87" s="6"/>
      <c r="L87" s="6"/>
      <c r="M87" s="6"/>
      <c r="N87" s="6"/>
      <c r="O87" s="6"/>
      <c r="P87" s="6"/>
      <c r="Q87" s="22"/>
      <c r="R87" s="6"/>
      <c r="S87" s="6"/>
      <c r="T87" s="6"/>
      <c r="U87" s="6"/>
      <c r="V87" s="23"/>
      <c r="W87" s="35"/>
      <c r="X87" s="52"/>
    </row>
    <row r="88" spans="1:24" ht="20.45" customHeight="1">
      <c r="A88" s="10" t="s">
        <v>81</v>
      </c>
      <c r="B88" s="11">
        <v>9.9537037037037042E-3</v>
      </c>
      <c r="C88" s="11">
        <v>2.9745370370370373E-3</v>
      </c>
      <c r="D88" s="11">
        <f t="shared" ref="D88:D102" si="32">B88*E88</f>
        <v>5.7910648148148149E-3</v>
      </c>
      <c r="E88" s="12">
        <v>0.58179999999999998</v>
      </c>
      <c r="F88" s="11">
        <f t="shared" ref="F88:F102" si="33">C88/4</f>
        <v>7.4363425925925931E-4</v>
      </c>
      <c r="G88" s="11">
        <f t="shared" ref="G88:G102" si="34">D88/7.5</f>
        <v>7.7214197530864196E-4</v>
      </c>
      <c r="H88" s="11">
        <f t="shared" ref="H88:H102" si="35">B88/12.5</f>
        <v>7.9629629629629636E-4</v>
      </c>
      <c r="I88" s="11">
        <f t="shared" ref="I88:I102" si="36">G88/0.93</f>
        <v>8.3026018850391602E-4</v>
      </c>
      <c r="J88" s="11">
        <f t="shared" ref="J88:J102" si="37">G88/0.92</f>
        <v>8.3928475577026292E-4</v>
      </c>
      <c r="K88" s="11">
        <f t="shared" ref="K88:K102" si="38">G88/0.88</f>
        <v>8.7743406285072947E-4</v>
      </c>
      <c r="L88" s="11">
        <f t="shared" ref="L88:L102" si="39">G88/0.84</f>
        <v>9.1921663727219285E-4</v>
      </c>
      <c r="M88" s="25"/>
      <c r="N88" s="28"/>
      <c r="O88" s="25"/>
      <c r="P88" s="25"/>
      <c r="Q88" s="25"/>
      <c r="R88" s="28"/>
      <c r="S88" s="25"/>
      <c r="T88" s="25"/>
      <c r="U88" s="28"/>
      <c r="V88" s="25"/>
      <c r="W88" s="15" t="s">
        <v>35</v>
      </c>
      <c r="X88" s="52" t="s">
        <v>263</v>
      </c>
    </row>
    <row r="89" spans="1:24" ht="20.45" customHeight="1">
      <c r="A89" s="10" t="s">
        <v>109</v>
      </c>
      <c r="B89" s="11">
        <v>9.8379629629629633E-3</v>
      </c>
      <c r="C89" s="11">
        <v>2.9745370370370373E-3</v>
      </c>
      <c r="D89" s="11">
        <f t="shared" si="32"/>
        <v>5.7237268518518522E-3</v>
      </c>
      <c r="E89" s="12">
        <v>0.58179999999999998</v>
      </c>
      <c r="F89" s="11">
        <f t="shared" si="33"/>
        <v>7.4363425925925931E-4</v>
      </c>
      <c r="G89" s="11">
        <f t="shared" si="34"/>
        <v>7.6316358024691364E-4</v>
      </c>
      <c r="H89" s="11">
        <f t="shared" si="35"/>
        <v>7.8703703703703705E-4</v>
      </c>
      <c r="I89" s="11">
        <f t="shared" si="36"/>
        <v>8.2060600026549854E-4</v>
      </c>
      <c r="J89" s="11">
        <f t="shared" si="37"/>
        <v>8.29525630703167E-4</v>
      </c>
      <c r="K89" s="11">
        <f t="shared" si="38"/>
        <v>8.6723134118967459E-4</v>
      </c>
      <c r="L89" s="11">
        <f t="shared" si="39"/>
        <v>9.085280717225163E-4</v>
      </c>
      <c r="M89" s="25"/>
      <c r="N89" s="28"/>
      <c r="O89" s="25"/>
      <c r="P89" s="25"/>
      <c r="Q89" s="25"/>
      <c r="R89" s="28"/>
      <c r="S89" s="25"/>
      <c r="T89" s="25"/>
      <c r="U89" s="28"/>
      <c r="V89" s="25"/>
      <c r="W89" s="15" t="s">
        <v>35</v>
      </c>
      <c r="X89" s="52"/>
    </row>
    <row r="90" spans="1:24" ht="20.45" customHeight="1">
      <c r="A90" s="10" t="s">
        <v>82</v>
      </c>
      <c r="B90" s="11">
        <v>9.9537037037037042E-3</v>
      </c>
      <c r="C90" s="11">
        <v>2.8935185185185188E-3</v>
      </c>
      <c r="D90" s="11">
        <f t="shared" si="32"/>
        <v>5.7910648148148149E-3</v>
      </c>
      <c r="E90" s="12">
        <v>0.58179999999999998</v>
      </c>
      <c r="F90" s="11">
        <f t="shared" si="33"/>
        <v>7.233796296296297E-4</v>
      </c>
      <c r="G90" s="11">
        <f t="shared" si="34"/>
        <v>7.7214197530864196E-4</v>
      </c>
      <c r="H90" s="11">
        <f t="shared" si="35"/>
        <v>7.9629629629629636E-4</v>
      </c>
      <c r="I90" s="11">
        <f t="shared" si="36"/>
        <v>8.3026018850391602E-4</v>
      </c>
      <c r="J90" s="11">
        <f t="shared" si="37"/>
        <v>8.3928475577026292E-4</v>
      </c>
      <c r="K90" s="11">
        <f t="shared" si="38"/>
        <v>8.7743406285072947E-4</v>
      </c>
      <c r="L90" s="11">
        <f t="shared" si="39"/>
        <v>9.1921663727219285E-4</v>
      </c>
      <c r="M90" s="25"/>
      <c r="N90" s="28"/>
      <c r="O90" s="25"/>
      <c r="P90" s="25"/>
      <c r="Q90" s="25"/>
      <c r="R90" s="28"/>
      <c r="S90" s="25"/>
      <c r="T90" s="25"/>
      <c r="U90" s="28"/>
      <c r="V90" s="25"/>
      <c r="W90" s="15" t="s">
        <v>35</v>
      </c>
      <c r="X90" s="52"/>
    </row>
    <row r="91" spans="1:24" ht="20.45" customHeight="1">
      <c r="A91" s="10" t="s">
        <v>120</v>
      </c>
      <c r="B91" s="11">
        <v>1.0416666666666666E-2</v>
      </c>
      <c r="C91" s="11">
        <v>3.1250000000000002E-3</v>
      </c>
      <c r="D91" s="11">
        <f t="shared" si="32"/>
        <v>6.0604166666666662E-3</v>
      </c>
      <c r="E91" s="12">
        <v>0.58179999999999998</v>
      </c>
      <c r="F91" s="11">
        <f t="shared" si="33"/>
        <v>7.8125000000000004E-4</v>
      </c>
      <c r="G91" s="11">
        <f t="shared" si="34"/>
        <v>8.0805555555555546E-4</v>
      </c>
      <c r="H91" s="11">
        <f t="shared" si="35"/>
        <v>8.3333333333333328E-4</v>
      </c>
      <c r="I91" s="11">
        <f t="shared" si="36"/>
        <v>8.6887694145758646E-4</v>
      </c>
      <c r="J91" s="11">
        <f t="shared" si="37"/>
        <v>8.7832125603864715E-4</v>
      </c>
      <c r="K91" s="11">
        <f t="shared" si="38"/>
        <v>9.1824494949494938E-4</v>
      </c>
      <c r="L91" s="11">
        <f t="shared" si="39"/>
        <v>9.6197089947089938E-4</v>
      </c>
      <c r="M91" s="25"/>
      <c r="N91" s="28"/>
      <c r="O91" s="25"/>
      <c r="P91" s="25"/>
      <c r="Q91" s="25"/>
      <c r="R91" s="28"/>
      <c r="S91" s="25"/>
      <c r="T91" s="25"/>
      <c r="U91" s="28"/>
      <c r="V91" s="25"/>
      <c r="W91" s="15" t="s">
        <v>35</v>
      </c>
      <c r="X91" s="52"/>
    </row>
    <row r="92" spans="1:24" ht="20.45" customHeight="1">
      <c r="A92" s="10" t="s">
        <v>90</v>
      </c>
      <c r="B92" s="11">
        <v>1.0648148148148148E-2</v>
      </c>
      <c r="C92" s="11">
        <v>3.0671296296296297E-3</v>
      </c>
      <c r="D92" s="11">
        <f t="shared" si="32"/>
        <v>6.1950925925925923E-3</v>
      </c>
      <c r="E92" s="12">
        <v>0.58179999999999998</v>
      </c>
      <c r="F92" s="11">
        <f t="shared" si="33"/>
        <v>7.6678240740740743E-4</v>
      </c>
      <c r="G92" s="11">
        <f t="shared" si="34"/>
        <v>8.2601234567901232E-4</v>
      </c>
      <c r="H92" s="11">
        <f t="shared" si="35"/>
        <v>8.5185185185185179E-4</v>
      </c>
      <c r="I92" s="11">
        <f t="shared" si="36"/>
        <v>8.8818531793442184E-4</v>
      </c>
      <c r="J92" s="11">
        <f t="shared" si="37"/>
        <v>8.9783950617283942E-4</v>
      </c>
      <c r="K92" s="11">
        <f t="shared" si="38"/>
        <v>9.3865039281705945E-4</v>
      </c>
      <c r="L92" s="17">
        <f t="shared" si="39"/>
        <v>9.833480305702527E-4</v>
      </c>
      <c r="M92" s="25"/>
      <c r="N92" s="28"/>
      <c r="O92" s="25"/>
      <c r="P92" s="25"/>
      <c r="Q92" s="25"/>
      <c r="R92" s="28"/>
      <c r="S92" s="25"/>
      <c r="T92" s="25"/>
      <c r="U92" s="28"/>
      <c r="V92" s="25"/>
      <c r="W92" s="15" t="s">
        <v>35</v>
      </c>
      <c r="X92" s="52"/>
    </row>
    <row r="93" spans="1:24" ht="20.45" customHeight="1">
      <c r="A93" s="10" t="s">
        <v>136</v>
      </c>
      <c r="B93" s="11">
        <v>1.1111111111111112E-2</v>
      </c>
      <c r="C93" s="11">
        <v>3.1828703703703702E-3</v>
      </c>
      <c r="D93" s="11">
        <f t="shared" si="32"/>
        <v>6.4644444444444445E-3</v>
      </c>
      <c r="E93" s="12">
        <v>0.58179999999999998</v>
      </c>
      <c r="F93" s="11">
        <f t="shared" si="33"/>
        <v>7.9571759259259255E-4</v>
      </c>
      <c r="G93" s="11">
        <f t="shared" si="34"/>
        <v>8.6192592592592592E-4</v>
      </c>
      <c r="H93" s="11">
        <f t="shared" si="35"/>
        <v>8.8888888888888893E-4</v>
      </c>
      <c r="I93" s="11">
        <f t="shared" si="36"/>
        <v>9.2680207088809239E-4</v>
      </c>
      <c r="J93" s="11">
        <f t="shared" si="37"/>
        <v>9.3687600644122375E-4</v>
      </c>
      <c r="K93" s="11">
        <f t="shared" si="38"/>
        <v>9.7946127946127947E-4</v>
      </c>
      <c r="L93" s="11">
        <f t="shared" si="39"/>
        <v>1.0261022927689596E-3</v>
      </c>
      <c r="M93" s="25"/>
      <c r="N93" s="28"/>
      <c r="O93" s="25"/>
      <c r="P93" s="25"/>
      <c r="Q93" s="25"/>
      <c r="R93" s="28"/>
      <c r="S93" s="25"/>
      <c r="T93" s="25"/>
      <c r="U93" s="28"/>
      <c r="V93" s="25"/>
      <c r="W93" s="15" t="s">
        <v>35</v>
      </c>
      <c r="X93" s="52"/>
    </row>
    <row r="94" spans="1:24" ht="20.45" customHeight="1">
      <c r="A94" s="10" t="s">
        <v>110</v>
      </c>
      <c r="B94" s="11">
        <v>1.0069444444444445E-2</v>
      </c>
      <c r="C94" s="11">
        <v>2.8935185185185184E-3</v>
      </c>
      <c r="D94" s="11">
        <f t="shared" si="32"/>
        <v>5.8584027777777783E-3</v>
      </c>
      <c r="E94" s="12">
        <v>0.58179999999999998</v>
      </c>
      <c r="F94" s="11">
        <f t="shared" si="33"/>
        <v>7.2337962962962959E-4</v>
      </c>
      <c r="G94" s="11">
        <f t="shared" si="34"/>
        <v>7.811203703703705E-4</v>
      </c>
      <c r="H94" s="11">
        <f t="shared" si="35"/>
        <v>8.0555555555555556E-4</v>
      </c>
      <c r="I94" s="11">
        <f t="shared" si="36"/>
        <v>8.3991437674233382E-4</v>
      </c>
      <c r="J94" s="11">
        <f t="shared" si="37"/>
        <v>8.4904388083735917E-4</v>
      </c>
      <c r="K94" s="11">
        <f t="shared" si="38"/>
        <v>8.8763678451178466E-4</v>
      </c>
      <c r="L94" s="11">
        <f t="shared" si="39"/>
        <v>9.2990520282186973E-4</v>
      </c>
      <c r="M94" s="25"/>
      <c r="N94" s="28"/>
      <c r="O94" s="25"/>
      <c r="P94" s="25"/>
      <c r="Q94" s="25"/>
      <c r="R94" s="28"/>
      <c r="S94" s="25"/>
      <c r="T94" s="25"/>
      <c r="U94" s="28"/>
      <c r="V94" s="25"/>
      <c r="W94" s="15" t="s">
        <v>35</v>
      </c>
      <c r="X94" s="52"/>
    </row>
    <row r="95" spans="1:24" ht="20.45" customHeight="1">
      <c r="A95" s="10" t="s">
        <v>93</v>
      </c>
      <c r="B95" s="11">
        <v>1.0243055555555556E-2</v>
      </c>
      <c r="C95" s="11"/>
      <c r="D95" s="11">
        <f t="shared" si="32"/>
        <v>5.9594097222222218E-3</v>
      </c>
      <c r="E95" s="12">
        <v>0.58179999999999998</v>
      </c>
      <c r="F95" s="11">
        <f t="shared" si="33"/>
        <v>0</v>
      </c>
      <c r="G95" s="11">
        <f t="shared" si="34"/>
        <v>7.9458796296296287E-4</v>
      </c>
      <c r="H95" s="11">
        <f t="shared" si="35"/>
        <v>8.1944444444444447E-4</v>
      </c>
      <c r="I95" s="11">
        <f t="shared" si="36"/>
        <v>8.5439565909996003E-4</v>
      </c>
      <c r="J95" s="11">
        <f t="shared" si="37"/>
        <v>8.636825684380031E-4</v>
      </c>
      <c r="K95" s="11">
        <f t="shared" si="38"/>
        <v>9.0294086700336686E-4</v>
      </c>
      <c r="L95" s="11">
        <f t="shared" si="39"/>
        <v>9.4593805114638445E-4</v>
      </c>
      <c r="M95" s="25"/>
      <c r="N95" s="28"/>
      <c r="O95" s="25"/>
      <c r="P95" s="25"/>
      <c r="Q95" s="25"/>
      <c r="R95" s="28"/>
      <c r="S95" s="25"/>
      <c r="T95" s="25"/>
      <c r="U95" s="28"/>
      <c r="V95" s="28"/>
      <c r="W95" s="27" t="s">
        <v>35</v>
      </c>
      <c r="X95" s="52"/>
    </row>
    <row r="96" spans="1:24" ht="20.45" customHeight="1">
      <c r="A96" s="10" t="s">
        <v>95</v>
      </c>
      <c r="B96" s="11">
        <v>1.0243055555555556E-2</v>
      </c>
      <c r="C96" s="11">
        <v>2.9513888888888888E-3</v>
      </c>
      <c r="D96" s="11">
        <f t="shared" si="32"/>
        <v>5.9594097222222218E-3</v>
      </c>
      <c r="E96" s="12">
        <v>0.58179999999999998</v>
      </c>
      <c r="F96" s="11">
        <f t="shared" si="33"/>
        <v>7.378472222222222E-4</v>
      </c>
      <c r="G96" s="11">
        <f t="shared" si="34"/>
        <v>7.9458796296296287E-4</v>
      </c>
      <c r="H96" s="11">
        <f t="shared" si="35"/>
        <v>8.1944444444444447E-4</v>
      </c>
      <c r="I96" s="11">
        <f t="shared" si="36"/>
        <v>8.5439565909996003E-4</v>
      </c>
      <c r="J96" s="11">
        <f t="shared" si="37"/>
        <v>8.636825684380031E-4</v>
      </c>
      <c r="K96" s="11">
        <f t="shared" si="38"/>
        <v>9.0294086700336686E-4</v>
      </c>
      <c r="L96" s="11">
        <f t="shared" si="39"/>
        <v>9.4593805114638445E-4</v>
      </c>
      <c r="M96" s="25"/>
      <c r="N96" s="28"/>
      <c r="O96" s="25"/>
      <c r="P96" s="25"/>
      <c r="Q96" s="25"/>
      <c r="R96" s="28"/>
      <c r="S96" s="25"/>
      <c r="T96" s="25"/>
      <c r="U96" s="28"/>
      <c r="V96" s="25"/>
      <c r="W96" s="15" t="s">
        <v>35</v>
      </c>
      <c r="X96" s="52"/>
    </row>
    <row r="97" spans="1:24" ht="20.45" customHeight="1">
      <c r="A97" s="10" t="s">
        <v>116</v>
      </c>
      <c r="B97" s="11">
        <v>1.0243055555555556E-2</v>
      </c>
      <c r="C97" s="11">
        <v>2.9513888888888888E-3</v>
      </c>
      <c r="D97" s="11">
        <f t="shared" si="32"/>
        <v>5.9594097222222218E-3</v>
      </c>
      <c r="E97" s="12">
        <v>0.58179999999999998</v>
      </c>
      <c r="F97" s="11">
        <f t="shared" si="33"/>
        <v>7.378472222222222E-4</v>
      </c>
      <c r="G97" s="11">
        <f t="shared" si="34"/>
        <v>7.9458796296296287E-4</v>
      </c>
      <c r="H97" s="11">
        <f t="shared" si="35"/>
        <v>8.1944444444444447E-4</v>
      </c>
      <c r="I97" s="11">
        <f t="shared" si="36"/>
        <v>8.5439565909996003E-4</v>
      </c>
      <c r="J97" s="11">
        <f t="shared" si="37"/>
        <v>8.636825684380031E-4</v>
      </c>
      <c r="K97" s="11">
        <f t="shared" si="38"/>
        <v>9.0294086700336686E-4</v>
      </c>
      <c r="L97" s="17">
        <f t="shared" si="39"/>
        <v>9.4593805114638445E-4</v>
      </c>
      <c r="M97" s="25"/>
      <c r="N97" s="28"/>
      <c r="O97" s="25"/>
      <c r="P97" s="25"/>
      <c r="Q97" s="25"/>
      <c r="R97" s="28"/>
      <c r="S97" s="25"/>
      <c r="T97" s="25"/>
      <c r="U97" s="28"/>
      <c r="V97" s="25"/>
      <c r="W97" s="15" t="s">
        <v>35</v>
      </c>
      <c r="X97" s="52"/>
    </row>
    <row r="98" spans="1:24" ht="20.45" customHeight="1">
      <c r="A98" s="10" t="s">
        <v>111</v>
      </c>
      <c r="B98" s="11">
        <v>1.0243055555555556E-2</v>
      </c>
      <c r="C98" s="11">
        <v>3.0092592592592588E-3</v>
      </c>
      <c r="D98" s="11">
        <f t="shared" si="32"/>
        <v>5.9594097222222218E-3</v>
      </c>
      <c r="E98" s="12">
        <v>0.58179999999999998</v>
      </c>
      <c r="F98" s="11">
        <f t="shared" si="33"/>
        <v>7.5231481481481471E-4</v>
      </c>
      <c r="G98" s="11">
        <f t="shared" si="34"/>
        <v>7.9458796296296287E-4</v>
      </c>
      <c r="H98" s="11">
        <f t="shared" si="35"/>
        <v>8.1944444444444447E-4</v>
      </c>
      <c r="I98" s="11">
        <f t="shared" si="36"/>
        <v>8.5439565909996003E-4</v>
      </c>
      <c r="J98" s="11">
        <f t="shared" si="37"/>
        <v>8.636825684380031E-4</v>
      </c>
      <c r="K98" s="11">
        <f t="shared" si="38"/>
        <v>9.0294086700336686E-4</v>
      </c>
      <c r="L98" s="11">
        <f t="shared" si="39"/>
        <v>9.4593805114638445E-4</v>
      </c>
      <c r="M98" s="25"/>
      <c r="N98" s="28"/>
      <c r="O98" s="25"/>
      <c r="P98" s="25"/>
      <c r="Q98" s="25"/>
      <c r="R98" s="28"/>
      <c r="S98" s="25"/>
      <c r="T98" s="25"/>
      <c r="U98" s="28"/>
      <c r="V98" s="25"/>
      <c r="W98" s="15" t="s">
        <v>35</v>
      </c>
      <c r="X98" s="52" t="s">
        <v>215</v>
      </c>
    </row>
    <row r="99" spans="1:24" ht="20.45" customHeight="1">
      <c r="A99" s="10" t="s">
        <v>85</v>
      </c>
      <c r="B99" s="11">
        <v>1.0300925925925925E-2</v>
      </c>
      <c r="C99" s="11">
        <v>3.0671296296296297E-3</v>
      </c>
      <c r="D99" s="11">
        <f t="shared" si="32"/>
        <v>5.9930787037037027E-3</v>
      </c>
      <c r="E99" s="12">
        <v>0.58179999999999998</v>
      </c>
      <c r="F99" s="11">
        <f t="shared" si="33"/>
        <v>7.6678240740740743E-4</v>
      </c>
      <c r="G99" s="11">
        <f t="shared" si="34"/>
        <v>7.9907716049382703E-4</v>
      </c>
      <c r="H99" s="11">
        <f t="shared" si="35"/>
        <v>8.2407407407407397E-4</v>
      </c>
      <c r="I99" s="11">
        <f t="shared" si="36"/>
        <v>8.5922275321916877E-4</v>
      </c>
      <c r="J99" s="11">
        <f t="shared" si="37"/>
        <v>8.6856213097155112E-4</v>
      </c>
      <c r="K99" s="11">
        <f t="shared" si="38"/>
        <v>9.080422278338944E-4</v>
      </c>
      <c r="L99" s="17">
        <f t="shared" si="39"/>
        <v>9.5128233392122272E-4</v>
      </c>
      <c r="M99" s="25"/>
      <c r="N99" s="28"/>
      <c r="O99" s="25"/>
      <c r="P99" s="25"/>
      <c r="Q99" s="25"/>
      <c r="R99" s="28"/>
      <c r="S99" s="25"/>
      <c r="T99" s="25"/>
      <c r="U99" s="28"/>
      <c r="V99" s="25"/>
      <c r="W99" s="15" t="s">
        <v>35</v>
      </c>
      <c r="X99" s="52"/>
    </row>
    <row r="100" spans="1:24" ht="20.45" customHeight="1">
      <c r="A100" s="10" t="s">
        <v>117</v>
      </c>
      <c r="B100" s="11">
        <v>1.0300925925925925E-2</v>
      </c>
      <c r="C100" s="11">
        <v>3.0671296296296297E-3</v>
      </c>
      <c r="D100" s="11">
        <f t="shared" si="32"/>
        <v>5.9930787037037027E-3</v>
      </c>
      <c r="E100" s="12">
        <v>0.58179999999999998</v>
      </c>
      <c r="F100" s="11">
        <f t="shared" si="33"/>
        <v>7.6678240740740743E-4</v>
      </c>
      <c r="G100" s="11">
        <f t="shared" si="34"/>
        <v>7.9907716049382703E-4</v>
      </c>
      <c r="H100" s="11">
        <f t="shared" si="35"/>
        <v>8.2407407407407397E-4</v>
      </c>
      <c r="I100" s="11">
        <f t="shared" si="36"/>
        <v>8.5922275321916877E-4</v>
      </c>
      <c r="J100" s="11">
        <f t="shared" si="37"/>
        <v>8.6856213097155112E-4</v>
      </c>
      <c r="K100" s="11">
        <f t="shared" si="38"/>
        <v>9.080422278338944E-4</v>
      </c>
      <c r="L100" s="11">
        <f t="shared" si="39"/>
        <v>9.5128233392122272E-4</v>
      </c>
      <c r="M100" s="25"/>
      <c r="N100" s="28"/>
      <c r="O100" s="25"/>
      <c r="P100" s="25"/>
      <c r="Q100" s="25"/>
      <c r="R100" s="28"/>
      <c r="S100" s="25"/>
      <c r="T100" s="25"/>
      <c r="U100" s="28"/>
      <c r="V100" s="25"/>
      <c r="W100" s="15" t="s">
        <v>35</v>
      </c>
      <c r="X100" s="52"/>
    </row>
    <row r="101" spans="1:24" ht="20.45" customHeight="1">
      <c r="A101" s="10" t="s">
        <v>94</v>
      </c>
      <c r="B101" s="11">
        <v>1.0416666666666666E-2</v>
      </c>
      <c r="C101" s="11">
        <v>2.8935185185185188E-3</v>
      </c>
      <c r="D101" s="11">
        <f t="shared" si="32"/>
        <v>6.0604166666666662E-3</v>
      </c>
      <c r="E101" s="12">
        <v>0.58179999999999998</v>
      </c>
      <c r="F101" s="11">
        <f t="shared" si="33"/>
        <v>7.233796296296297E-4</v>
      </c>
      <c r="G101" s="11">
        <f t="shared" si="34"/>
        <v>8.0805555555555546E-4</v>
      </c>
      <c r="H101" s="11">
        <f t="shared" si="35"/>
        <v>8.3333333333333328E-4</v>
      </c>
      <c r="I101" s="11">
        <f t="shared" si="36"/>
        <v>8.6887694145758646E-4</v>
      </c>
      <c r="J101" s="11">
        <f t="shared" si="37"/>
        <v>8.7832125603864715E-4</v>
      </c>
      <c r="K101" s="11">
        <f t="shared" si="38"/>
        <v>9.1824494949494938E-4</v>
      </c>
      <c r="L101" s="17">
        <f t="shared" si="39"/>
        <v>9.6197089947089938E-4</v>
      </c>
      <c r="M101" s="25"/>
      <c r="N101" s="28"/>
      <c r="O101" s="25"/>
      <c r="P101" s="25"/>
      <c r="Q101" s="25"/>
      <c r="R101" s="28"/>
      <c r="S101" s="25"/>
      <c r="T101" s="25"/>
      <c r="U101" s="28"/>
      <c r="V101" s="25"/>
      <c r="W101" s="15" t="s">
        <v>35</v>
      </c>
      <c r="X101" s="52"/>
    </row>
    <row r="102" spans="1:24" ht="20.45" customHeight="1">
      <c r="A102" s="10" t="s">
        <v>129</v>
      </c>
      <c r="B102" s="11">
        <v>1.0648148148148148E-2</v>
      </c>
      <c r="C102" s="11">
        <v>3.0092592592592593E-3</v>
      </c>
      <c r="D102" s="11">
        <f t="shared" si="32"/>
        <v>6.1950925925925923E-3</v>
      </c>
      <c r="E102" s="12">
        <v>0.58179999999999998</v>
      </c>
      <c r="F102" s="11">
        <f t="shared" si="33"/>
        <v>7.5231481481481482E-4</v>
      </c>
      <c r="G102" s="11">
        <f t="shared" si="34"/>
        <v>8.2601234567901232E-4</v>
      </c>
      <c r="H102" s="11">
        <f t="shared" si="35"/>
        <v>8.5185185185185179E-4</v>
      </c>
      <c r="I102" s="11">
        <f t="shared" si="36"/>
        <v>8.8818531793442184E-4</v>
      </c>
      <c r="J102" s="11">
        <f t="shared" si="37"/>
        <v>8.9783950617283942E-4</v>
      </c>
      <c r="K102" s="11">
        <f t="shared" si="38"/>
        <v>9.3865039281705945E-4</v>
      </c>
      <c r="L102" s="11">
        <f t="shared" si="39"/>
        <v>9.833480305702527E-4</v>
      </c>
      <c r="M102" s="25"/>
      <c r="N102" s="28"/>
      <c r="O102" s="25"/>
      <c r="P102" s="25"/>
      <c r="Q102" s="25"/>
      <c r="R102" s="28"/>
      <c r="S102" s="25"/>
      <c r="T102" s="25"/>
      <c r="U102" s="28"/>
      <c r="V102" s="25"/>
      <c r="W102" s="15" t="s">
        <v>35</v>
      </c>
      <c r="X102" s="52"/>
    </row>
    <row r="103" spans="1:24" ht="20.45" customHeight="1">
      <c r="A103" s="10" t="s">
        <v>126</v>
      </c>
      <c r="B103" s="11">
        <v>1.0648148148148148E-2</v>
      </c>
      <c r="C103" s="11"/>
      <c r="D103" s="11">
        <f t="shared" si="24"/>
        <v>6.1950925925925923E-3</v>
      </c>
      <c r="E103" s="12">
        <v>0.58179999999999998</v>
      </c>
      <c r="F103" s="11">
        <f t="shared" si="25"/>
        <v>0</v>
      </c>
      <c r="G103" s="11">
        <f t="shared" si="26"/>
        <v>8.2601234567901232E-4</v>
      </c>
      <c r="H103" s="11">
        <f t="shared" si="27"/>
        <v>8.5185185185185179E-4</v>
      </c>
      <c r="I103" s="11">
        <f t="shared" si="28"/>
        <v>8.8818531793442184E-4</v>
      </c>
      <c r="J103" s="11">
        <f t="shared" si="29"/>
        <v>8.9783950617283942E-4</v>
      </c>
      <c r="K103" s="11">
        <f t="shared" si="30"/>
        <v>9.3865039281705945E-4</v>
      </c>
      <c r="L103" s="11">
        <f t="shared" si="31"/>
        <v>9.833480305702527E-4</v>
      </c>
      <c r="M103" s="25"/>
      <c r="N103" s="28"/>
      <c r="O103" s="25"/>
      <c r="P103" s="25"/>
      <c r="Q103" s="25"/>
      <c r="R103" s="28"/>
      <c r="S103" s="25"/>
      <c r="T103" s="25"/>
      <c r="U103" s="28"/>
      <c r="V103" s="28"/>
      <c r="W103" s="27" t="s">
        <v>35</v>
      </c>
      <c r="X103" s="52"/>
    </row>
    <row r="104" spans="1:24" ht="20.45" customHeight="1">
      <c r="A104" s="10" t="s">
        <v>100</v>
      </c>
      <c r="B104" s="11">
        <v>1.0763888888888889E-2</v>
      </c>
      <c r="C104" s="11">
        <v>3.0671296296296297E-3</v>
      </c>
      <c r="D104" s="11">
        <f t="shared" si="24"/>
        <v>6.2624305555555549E-3</v>
      </c>
      <c r="E104" s="12">
        <v>0.58179999999999998</v>
      </c>
      <c r="F104" s="11">
        <f t="shared" si="25"/>
        <v>7.6678240740740743E-4</v>
      </c>
      <c r="G104" s="11">
        <f t="shared" si="26"/>
        <v>8.3499074074074064E-4</v>
      </c>
      <c r="H104" s="11">
        <f t="shared" si="27"/>
        <v>8.611111111111111E-4</v>
      </c>
      <c r="I104" s="11">
        <f t="shared" si="28"/>
        <v>8.9783950617283931E-4</v>
      </c>
      <c r="J104" s="11">
        <f t="shared" si="29"/>
        <v>9.0759863123993545E-4</v>
      </c>
      <c r="K104" s="11">
        <f t="shared" si="30"/>
        <v>9.4885311447811432E-4</v>
      </c>
      <c r="L104" s="17">
        <f t="shared" si="31"/>
        <v>9.9403659611992947E-4</v>
      </c>
      <c r="M104" s="25"/>
      <c r="N104" s="28"/>
      <c r="O104" s="25"/>
      <c r="P104" s="25"/>
      <c r="Q104" s="25"/>
      <c r="R104" s="28"/>
      <c r="S104" s="25"/>
      <c r="T104" s="25"/>
      <c r="U104" s="28"/>
      <c r="V104" s="25"/>
      <c r="W104" s="15" t="s">
        <v>35</v>
      </c>
      <c r="X104" s="52"/>
    </row>
    <row r="105" spans="1:24" ht="20.45" customHeight="1">
      <c r="A105" s="10" t="s">
        <v>132</v>
      </c>
      <c r="B105" s="11">
        <v>1.087962962962963E-2</v>
      </c>
      <c r="C105" s="11"/>
      <c r="D105" s="11">
        <f t="shared" si="24"/>
        <v>6.3297685185185184E-3</v>
      </c>
      <c r="E105" s="12">
        <v>0.58179999999999998</v>
      </c>
      <c r="F105" s="11">
        <f t="shared" si="25"/>
        <v>0</v>
      </c>
      <c r="G105" s="11">
        <f t="shared" si="26"/>
        <v>8.4396913580246917E-4</v>
      </c>
      <c r="H105" s="11">
        <f t="shared" si="27"/>
        <v>8.7037037037037042E-4</v>
      </c>
      <c r="I105" s="11">
        <f t="shared" si="28"/>
        <v>9.0749369441125711E-4</v>
      </c>
      <c r="J105" s="11">
        <f t="shared" si="29"/>
        <v>9.173577563070317E-4</v>
      </c>
      <c r="K105" s="11">
        <f t="shared" si="30"/>
        <v>9.5905583613916951E-4</v>
      </c>
      <c r="L105" s="11">
        <f t="shared" si="31"/>
        <v>1.0047251616696062E-3</v>
      </c>
      <c r="M105" s="25"/>
      <c r="N105" s="28"/>
      <c r="O105" s="25"/>
      <c r="P105" s="25"/>
      <c r="Q105" s="25"/>
      <c r="R105" s="28"/>
      <c r="S105" s="25"/>
      <c r="T105" s="25"/>
      <c r="U105" s="28"/>
      <c r="V105" s="28"/>
      <c r="W105" s="27" t="s">
        <v>35</v>
      </c>
      <c r="X105" s="52"/>
    </row>
    <row r="106" spans="1:24" ht="20.45" customHeight="1">
      <c r="A106" s="10" t="s">
        <v>113</v>
      </c>
      <c r="B106" s="11">
        <v>1.087962962962963E-2</v>
      </c>
      <c r="C106" s="11">
        <v>3.2986111111111111E-3</v>
      </c>
      <c r="D106" s="11">
        <f t="shared" si="24"/>
        <v>6.3297685185185184E-3</v>
      </c>
      <c r="E106" s="12">
        <v>0.58179999999999998</v>
      </c>
      <c r="F106" s="11">
        <f t="shared" si="25"/>
        <v>8.2465277777777778E-4</v>
      </c>
      <c r="G106" s="11">
        <f t="shared" si="26"/>
        <v>8.4396913580246917E-4</v>
      </c>
      <c r="H106" s="11">
        <f t="shared" si="27"/>
        <v>8.7037037037037042E-4</v>
      </c>
      <c r="I106" s="11">
        <f t="shared" si="28"/>
        <v>9.0749369441125711E-4</v>
      </c>
      <c r="J106" s="11">
        <f t="shared" si="29"/>
        <v>9.173577563070317E-4</v>
      </c>
      <c r="K106" s="11">
        <f t="shared" si="30"/>
        <v>9.5905583613916951E-4</v>
      </c>
      <c r="L106" s="11">
        <f t="shared" si="31"/>
        <v>1.0047251616696062E-3</v>
      </c>
      <c r="M106" s="25"/>
      <c r="N106" s="28"/>
      <c r="O106" s="25"/>
      <c r="P106" s="25"/>
      <c r="Q106" s="25"/>
      <c r="R106" s="28"/>
      <c r="S106" s="25"/>
      <c r="T106" s="25"/>
      <c r="U106" s="28"/>
      <c r="V106" s="25"/>
      <c r="W106" s="15" t="s">
        <v>35</v>
      </c>
      <c r="X106" s="52"/>
    </row>
    <row r="107" spans="1:24" ht="20.45" customHeight="1">
      <c r="A107" s="10" t="s">
        <v>128</v>
      </c>
      <c r="B107" s="11">
        <v>1.087962962962963E-2</v>
      </c>
      <c r="C107" s="11"/>
      <c r="D107" s="11">
        <f t="shared" ref="D107:D113" si="40">B107*E107</f>
        <v>6.3297685185185184E-3</v>
      </c>
      <c r="E107" s="12">
        <v>0.58179999999999998</v>
      </c>
      <c r="F107" s="11">
        <f t="shared" ref="F107:F113" si="41">C107/4</f>
        <v>0</v>
      </c>
      <c r="G107" s="11">
        <f t="shared" ref="G107:G113" si="42">D107/7.5</f>
        <v>8.4396913580246917E-4</v>
      </c>
      <c r="H107" s="11">
        <f t="shared" ref="H107:H113" si="43">B107/12.5</f>
        <v>8.7037037037037042E-4</v>
      </c>
      <c r="I107" s="11">
        <f t="shared" ref="I107:I113" si="44">G107/0.93</f>
        <v>9.0749369441125711E-4</v>
      </c>
      <c r="J107" s="11">
        <f t="shared" ref="J107:J113" si="45">G107/0.92</f>
        <v>9.173577563070317E-4</v>
      </c>
      <c r="K107" s="11">
        <f t="shared" ref="K107:K113" si="46">G107/0.88</f>
        <v>9.5905583613916951E-4</v>
      </c>
      <c r="L107" s="11">
        <f t="shared" ref="L107:L113" si="47">G107/0.84</f>
        <v>1.0047251616696062E-3</v>
      </c>
      <c r="M107" s="25"/>
      <c r="N107" s="28"/>
      <c r="O107" s="25"/>
      <c r="P107" s="25"/>
      <c r="Q107" s="25"/>
      <c r="R107" s="28"/>
      <c r="S107" s="25"/>
      <c r="T107" s="25"/>
      <c r="U107" s="28"/>
      <c r="V107" s="28"/>
      <c r="W107" s="27" t="s">
        <v>35</v>
      </c>
      <c r="X107" s="52"/>
    </row>
    <row r="108" spans="1:24" ht="20.45" customHeight="1">
      <c r="A108" s="10" t="s">
        <v>134</v>
      </c>
      <c r="B108" s="11">
        <v>1.1631944444444445E-2</v>
      </c>
      <c r="C108" s="11"/>
      <c r="D108" s="11">
        <f t="shared" si="40"/>
        <v>6.7674652777777776E-3</v>
      </c>
      <c r="E108" s="12">
        <v>0.58179999999999998</v>
      </c>
      <c r="F108" s="11">
        <f t="shared" si="41"/>
        <v>0</v>
      </c>
      <c r="G108" s="11">
        <f t="shared" si="42"/>
        <v>9.0232870370370369E-4</v>
      </c>
      <c r="H108" s="11">
        <f t="shared" si="43"/>
        <v>9.3055555555555556E-4</v>
      </c>
      <c r="I108" s="11">
        <f t="shared" si="44"/>
        <v>9.7024591796097167E-4</v>
      </c>
      <c r="J108" s="11">
        <f t="shared" si="45"/>
        <v>9.8079206924315621E-4</v>
      </c>
      <c r="K108" s="11">
        <f t="shared" si="46"/>
        <v>1.0253735269360269E-3</v>
      </c>
      <c r="L108" s="11">
        <f t="shared" si="47"/>
        <v>1.0742008377425045E-3</v>
      </c>
      <c r="M108" s="25"/>
      <c r="N108" s="28"/>
      <c r="O108" s="25"/>
      <c r="P108" s="25"/>
      <c r="Q108" s="25"/>
      <c r="R108" s="28"/>
      <c r="S108" s="25"/>
      <c r="T108" s="25"/>
      <c r="U108" s="28"/>
      <c r="V108" s="28"/>
      <c r="W108" s="27" t="s">
        <v>35</v>
      </c>
      <c r="X108" s="52"/>
    </row>
    <row r="109" spans="1:24" ht="20.45" customHeight="1">
      <c r="A109" s="10" t="s">
        <v>135</v>
      </c>
      <c r="B109" s="11">
        <v>1.1631944444444445E-2</v>
      </c>
      <c r="C109" s="11">
        <v>3.414351851851852E-3</v>
      </c>
      <c r="D109" s="11">
        <f t="shared" si="40"/>
        <v>6.7674652777777776E-3</v>
      </c>
      <c r="E109" s="12">
        <v>0.58179999999999998</v>
      </c>
      <c r="F109" s="11">
        <f t="shared" si="41"/>
        <v>8.53587962962963E-4</v>
      </c>
      <c r="G109" s="11">
        <f t="shared" si="42"/>
        <v>9.0232870370370369E-4</v>
      </c>
      <c r="H109" s="11">
        <f t="shared" si="43"/>
        <v>9.3055555555555556E-4</v>
      </c>
      <c r="I109" s="11">
        <f t="shared" si="44"/>
        <v>9.7024591796097167E-4</v>
      </c>
      <c r="J109" s="11">
        <f t="shared" si="45"/>
        <v>9.8079206924315621E-4</v>
      </c>
      <c r="K109" s="11">
        <f t="shared" si="46"/>
        <v>1.0253735269360269E-3</v>
      </c>
      <c r="L109" s="17">
        <f t="shared" si="47"/>
        <v>1.0742008377425045E-3</v>
      </c>
      <c r="M109" s="25"/>
      <c r="N109" s="28"/>
      <c r="O109" s="25"/>
      <c r="P109" s="25"/>
      <c r="Q109" s="25"/>
      <c r="R109" s="28"/>
      <c r="S109" s="25"/>
      <c r="T109" s="25"/>
      <c r="U109" s="28"/>
      <c r="V109" s="44"/>
      <c r="W109" s="28" t="s">
        <v>35</v>
      </c>
      <c r="X109" s="52"/>
    </row>
    <row r="110" spans="1:24" ht="20.45" customHeight="1">
      <c r="A110" s="10" t="s">
        <v>115</v>
      </c>
      <c r="B110" s="11">
        <v>1.0416666666666666E-2</v>
      </c>
      <c r="C110" s="11">
        <v>2.9513888888888888E-3</v>
      </c>
      <c r="D110" s="11">
        <f t="shared" si="40"/>
        <v>6.0604166666666662E-3</v>
      </c>
      <c r="E110" s="12">
        <v>0.58179999999999998</v>
      </c>
      <c r="F110" s="11">
        <f t="shared" si="41"/>
        <v>7.378472222222222E-4</v>
      </c>
      <c r="G110" s="11">
        <f t="shared" si="42"/>
        <v>8.0805555555555546E-4</v>
      </c>
      <c r="H110" s="11">
        <f t="shared" si="43"/>
        <v>8.3333333333333328E-4</v>
      </c>
      <c r="I110" s="11">
        <f t="shared" si="44"/>
        <v>8.6887694145758646E-4</v>
      </c>
      <c r="J110" s="11">
        <f t="shared" si="45"/>
        <v>8.7832125603864715E-4</v>
      </c>
      <c r="K110" s="11">
        <f t="shared" si="46"/>
        <v>9.1824494949494938E-4</v>
      </c>
      <c r="L110" s="11">
        <f t="shared" si="47"/>
        <v>9.6197089947089938E-4</v>
      </c>
      <c r="M110" s="25"/>
      <c r="N110" s="28"/>
      <c r="O110" s="25"/>
      <c r="P110" s="25"/>
      <c r="Q110" s="25"/>
      <c r="R110" s="28"/>
      <c r="S110" s="25"/>
      <c r="T110" s="25"/>
      <c r="U110" s="28"/>
      <c r="V110" s="25"/>
      <c r="W110" s="27" t="s">
        <v>35</v>
      </c>
      <c r="X110" s="52"/>
    </row>
    <row r="111" spans="1:24" ht="20.45" customHeight="1">
      <c r="A111" s="10" t="s">
        <v>130</v>
      </c>
      <c r="B111" s="11">
        <v>1.0763888888888891E-2</v>
      </c>
      <c r="C111" s="11">
        <v>3.1828703703703702E-3</v>
      </c>
      <c r="D111" s="11">
        <f t="shared" si="40"/>
        <v>6.2624305555555567E-3</v>
      </c>
      <c r="E111" s="12">
        <v>0.58179999999999998</v>
      </c>
      <c r="F111" s="11">
        <f t="shared" si="41"/>
        <v>7.9571759259259255E-4</v>
      </c>
      <c r="G111" s="11">
        <f t="shared" si="42"/>
        <v>8.3499074074074085E-4</v>
      </c>
      <c r="H111" s="11">
        <f t="shared" si="43"/>
        <v>8.6111111111111121E-4</v>
      </c>
      <c r="I111" s="11">
        <f t="shared" si="44"/>
        <v>8.9783950617283953E-4</v>
      </c>
      <c r="J111" s="11">
        <f t="shared" si="45"/>
        <v>9.0759863123993567E-4</v>
      </c>
      <c r="K111" s="11">
        <f t="shared" si="46"/>
        <v>9.4885311447811464E-4</v>
      </c>
      <c r="L111" s="11">
        <f t="shared" si="47"/>
        <v>9.9403659611992969E-4</v>
      </c>
      <c r="M111" s="25"/>
      <c r="N111" s="28"/>
      <c r="O111" s="25"/>
      <c r="P111" s="25"/>
      <c r="Q111" s="25"/>
      <c r="R111" s="28"/>
      <c r="S111" s="25"/>
      <c r="T111" s="25"/>
      <c r="U111" s="28"/>
      <c r="V111" s="48"/>
      <c r="W111" s="27" t="s">
        <v>35</v>
      </c>
      <c r="X111" s="52"/>
    </row>
    <row r="112" spans="1:24" ht="20.45" customHeight="1">
      <c r="A112" s="10" t="s">
        <v>137</v>
      </c>
      <c r="B112" s="11">
        <v>1.0763888888888891E-2</v>
      </c>
      <c r="C112" s="11">
        <v>3.0092592592592593E-3</v>
      </c>
      <c r="D112" s="11">
        <f t="shared" si="40"/>
        <v>6.2624305555555567E-3</v>
      </c>
      <c r="E112" s="12">
        <v>0.58179999999999998</v>
      </c>
      <c r="F112" s="11">
        <f t="shared" si="41"/>
        <v>7.5231481481481482E-4</v>
      </c>
      <c r="G112" s="11">
        <f t="shared" si="42"/>
        <v>8.3499074074074085E-4</v>
      </c>
      <c r="H112" s="11">
        <f t="shared" si="43"/>
        <v>8.6111111111111121E-4</v>
      </c>
      <c r="I112" s="11">
        <f t="shared" si="44"/>
        <v>8.9783950617283953E-4</v>
      </c>
      <c r="J112" s="11">
        <f t="shared" si="45"/>
        <v>9.0759863123993567E-4</v>
      </c>
      <c r="K112" s="11">
        <f t="shared" si="46"/>
        <v>9.4885311447811464E-4</v>
      </c>
      <c r="L112" s="11">
        <f t="shared" si="47"/>
        <v>9.9403659611992969E-4</v>
      </c>
      <c r="M112" s="25"/>
      <c r="N112" s="28"/>
      <c r="O112" s="25"/>
      <c r="P112" s="25"/>
      <c r="Q112" s="25"/>
      <c r="R112" s="25"/>
      <c r="S112" s="25"/>
      <c r="T112" s="25"/>
      <c r="U112" s="25"/>
      <c r="V112" s="25"/>
      <c r="W112" s="15" t="s">
        <v>35</v>
      </c>
      <c r="X112" s="52"/>
    </row>
    <row r="113" spans="1:24" ht="20.45" customHeight="1">
      <c r="A113" s="10" t="s">
        <v>114</v>
      </c>
      <c r="B113" s="11">
        <v>1.087962962962963E-2</v>
      </c>
      <c r="C113" s="11">
        <v>3.0671296296296297E-3</v>
      </c>
      <c r="D113" s="11">
        <f t="shared" si="40"/>
        <v>6.3297685185185184E-3</v>
      </c>
      <c r="E113" s="12">
        <v>0.58179999999999998</v>
      </c>
      <c r="F113" s="11">
        <f t="shared" si="41"/>
        <v>7.6678240740740743E-4</v>
      </c>
      <c r="G113" s="11">
        <f t="shared" si="42"/>
        <v>8.4396913580246917E-4</v>
      </c>
      <c r="H113" s="11">
        <f t="shared" si="43"/>
        <v>8.7037037037037042E-4</v>
      </c>
      <c r="I113" s="11">
        <f t="shared" si="44"/>
        <v>9.0749369441125711E-4</v>
      </c>
      <c r="J113" s="11">
        <f t="shared" si="45"/>
        <v>9.173577563070317E-4</v>
      </c>
      <c r="K113" s="11">
        <f t="shared" si="46"/>
        <v>9.5905583613916951E-4</v>
      </c>
      <c r="L113" s="11">
        <f t="shared" si="47"/>
        <v>1.0047251616696062E-3</v>
      </c>
      <c r="M113" s="25"/>
      <c r="N113" s="28"/>
      <c r="O113" s="25"/>
      <c r="P113" s="25"/>
      <c r="Q113" s="25"/>
      <c r="R113" s="25"/>
      <c r="S113" s="25"/>
      <c r="T113" s="25"/>
      <c r="U113" s="25"/>
      <c r="V113" s="25"/>
      <c r="W113" s="15" t="s">
        <v>35</v>
      </c>
      <c r="X113" s="52"/>
    </row>
    <row r="114" spans="1:24" ht="20.45" customHeight="1">
      <c r="A114" s="10"/>
      <c r="B114" s="11"/>
      <c r="C114" s="11"/>
      <c r="D114" s="11"/>
      <c r="E114" s="12"/>
      <c r="F114" s="11"/>
      <c r="G114" s="11"/>
      <c r="H114" s="11"/>
      <c r="I114" s="11"/>
      <c r="J114" s="11"/>
      <c r="K114" s="11"/>
      <c r="L114" s="11"/>
      <c r="M114" s="25"/>
      <c r="N114" s="28"/>
      <c r="O114" s="25"/>
      <c r="P114" s="28"/>
      <c r="Q114" s="25"/>
      <c r="R114" s="28"/>
      <c r="S114" s="25"/>
      <c r="T114" s="28"/>
      <c r="U114" s="28"/>
      <c r="V114" s="25"/>
      <c r="W114" s="15"/>
      <c r="X114" s="52"/>
    </row>
    <row r="115" spans="1:24" ht="20.45" customHeight="1" thickBot="1">
      <c r="A115" s="10"/>
      <c r="B115" s="11"/>
      <c r="C115" s="11"/>
      <c r="D115" s="11"/>
      <c r="E115" s="12"/>
      <c r="F115" s="11"/>
      <c r="G115" s="11"/>
      <c r="H115" s="11"/>
      <c r="I115" s="11"/>
      <c r="J115" s="11"/>
      <c r="K115" s="11"/>
      <c r="L115" s="11"/>
      <c r="M115" s="25"/>
      <c r="N115" s="28"/>
      <c r="O115" s="25"/>
      <c r="P115" s="28"/>
      <c r="Q115" s="25"/>
      <c r="R115" s="28"/>
      <c r="S115" s="25"/>
      <c r="T115" s="25"/>
      <c r="U115" s="28"/>
      <c r="V115" s="28"/>
      <c r="W115" s="27"/>
      <c r="X115" s="52"/>
    </row>
    <row r="116" spans="1:24" ht="20.45" customHeight="1">
      <c r="A116" s="1" t="s">
        <v>260</v>
      </c>
      <c r="B116" s="6"/>
      <c r="C116" s="6"/>
      <c r="D116" s="6"/>
      <c r="E116" s="20"/>
      <c r="F116" s="6"/>
      <c r="G116" s="6"/>
      <c r="H116" s="6"/>
      <c r="I116" s="6"/>
      <c r="J116" s="6"/>
      <c r="K116" s="6"/>
      <c r="L116" s="6"/>
      <c r="M116" s="6"/>
      <c r="N116" s="6"/>
      <c r="O116" s="6"/>
      <c r="P116" s="6"/>
      <c r="Q116" s="22"/>
      <c r="R116" s="6"/>
      <c r="S116" s="6"/>
      <c r="T116" s="6"/>
      <c r="U116" s="6"/>
      <c r="V116" s="23"/>
      <c r="W116" s="35"/>
      <c r="X116" s="52"/>
    </row>
    <row r="117" spans="1:24" ht="20.45" customHeight="1">
      <c r="A117" s="10" t="s">
        <v>264</v>
      </c>
      <c r="B117" s="11">
        <v>1.0648148148148148E-2</v>
      </c>
      <c r="C117" s="11">
        <v>3.0092592592592593E-3</v>
      </c>
      <c r="D117" s="11">
        <f>B117*E117</f>
        <v>6.1950925925925923E-3</v>
      </c>
      <c r="E117" s="12">
        <v>0.58179999999999998</v>
      </c>
      <c r="F117" s="11">
        <f>C117/4</f>
        <v>7.5231481481481482E-4</v>
      </c>
      <c r="G117" s="11">
        <f>D117/7.5</f>
        <v>8.2601234567901232E-4</v>
      </c>
      <c r="H117" s="11">
        <f>B117/12.5</f>
        <v>8.5185185185185179E-4</v>
      </c>
      <c r="I117" s="11">
        <f>G117/0.93</f>
        <v>8.8818531793442184E-4</v>
      </c>
      <c r="J117" s="11">
        <f>G117/0.92</f>
        <v>8.9783950617283942E-4</v>
      </c>
      <c r="K117" s="11">
        <f>G117/0.88</f>
        <v>9.3865039281705945E-4</v>
      </c>
      <c r="L117" s="11">
        <f>G117/0.84</f>
        <v>9.833480305702527E-4</v>
      </c>
      <c r="M117" s="25"/>
      <c r="N117" s="28"/>
      <c r="O117" s="25"/>
      <c r="P117" s="25"/>
      <c r="Q117" s="25"/>
      <c r="R117" s="25"/>
      <c r="S117" s="25"/>
      <c r="T117" s="25"/>
      <c r="U117" s="25"/>
      <c r="V117" s="25"/>
      <c r="W117" s="27" t="s">
        <v>261</v>
      </c>
      <c r="X117" s="52"/>
    </row>
    <row r="118" spans="1:24" ht="20.45" customHeight="1">
      <c r="A118" s="10" t="s">
        <v>96</v>
      </c>
      <c r="B118" s="11">
        <v>1.0648148148148148E-2</v>
      </c>
      <c r="C118" s="11">
        <v>2.9513888888888888E-3</v>
      </c>
      <c r="D118" s="11">
        <f t="shared" ref="D118:D123" si="48">B118*E118</f>
        <v>6.1950925925925923E-3</v>
      </c>
      <c r="E118" s="12">
        <v>0.58179999999999998</v>
      </c>
      <c r="F118" s="11">
        <f t="shared" ref="F118:F123" si="49">C118/4</f>
        <v>7.378472222222222E-4</v>
      </c>
      <c r="G118" s="11">
        <f t="shared" ref="G118:G123" si="50">D118/7.5</f>
        <v>8.2601234567901232E-4</v>
      </c>
      <c r="H118" s="11">
        <f t="shared" ref="H118:H123" si="51">B118/12.5</f>
        <v>8.5185185185185179E-4</v>
      </c>
      <c r="I118" s="11">
        <f t="shared" ref="I118:I123" si="52">G118/0.93</f>
        <v>8.8818531793442184E-4</v>
      </c>
      <c r="J118" s="11">
        <f t="shared" ref="J118:J123" si="53">G118/0.92</f>
        <v>8.9783950617283942E-4</v>
      </c>
      <c r="K118" s="11">
        <f t="shared" ref="K118:K123" si="54">G118/0.88</f>
        <v>9.3865039281705945E-4</v>
      </c>
      <c r="L118" s="17">
        <f t="shared" ref="L118:L123" si="55">G118/0.84</f>
        <v>9.833480305702527E-4</v>
      </c>
      <c r="M118" s="25"/>
      <c r="N118" s="28"/>
      <c r="O118" s="25"/>
      <c r="P118" s="25"/>
      <c r="Q118" s="25"/>
      <c r="R118" s="25"/>
      <c r="S118" s="25"/>
      <c r="T118" s="25"/>
      <c r="U118" s="25"/>
      <c r="V118" s="25"/>
      <c r="W118" s="15" t="s">
        <v>261</v>
      </c>
      <c r="X118" s="50"/>
    </row>
    <row r="119" spans="1:24" ht="20.45" customHeight="1">
      <c r="A119" s="10" t="s">
        <v>97</v>
      </c>
      <c r="B119" s="11">
        <v>1.0763888888888889E-2</v>
      </c>
      <c r="C119" s="11">
        <v>2.9513888888888888E-3</v>
      </c>
      <c r="D119" s="11">
        <f>B119*E119</f>
        <v>6.2624305555555549E-3</v>
      </c>
      <c r="E119" s="12">
        <v>0.58179999999999998</v>
      </c>
      <c r="F119" s="11">
        <f>C119/4</f>
        <v>7.378472222222222E-4</v>
      </c>
      <c r="G119" s="11">
        <f>D119/7.5</f>
        <v>8.3499074074074064E-4</v>
      </c>
      <c r="H119" s="11">
        <f>B119/12.5</f>
        <v>8.611111111111111E-4</v>
      </c>
      <c r="I119" s="11">
        <f>G119/0.93</f>
        <v>8.9783950617283931E-4</v>
      </c>
      <c r="J119" s="11">
        <f>G119/0.92</f>
        <v>9.0759863123993545E-4</v>
      </c>
      <c r="K119" s="11">
        <f>G119/0.88</f>
        <v>9.4885311447811432E-4</v>
      </c>
      <c r="L119" s="11">
        <f>G119/0.84</f>
        <v>9.9403659611992947E-4</v>
      </c>
      <c r="M119" s="25"/>
      <c r="N119" s="28"/>
      <c r="O119" s="25"/>
      <c r="P119" s="25"/>
      <c r="Q119" s="25"/>
      <c r="R119" s="25"/>
      <c r="S119" s="25"/>
      <c r="T119" s="25"/>
      <c r="U119" s="25"/>
      <c r="V119" s="25"/>
      <c r="W119" s="15" t="s">
        <v>261</v>
      </c>
      <c r="X119" s="50"/>
    </row>
    <row r="120" spans="1:24" ht="20.45" customHeight="1">
      <c r="A120" s="10" t="s">
        <v>101</v>
      </c>
      <c r="B120" s="11">
        <v>1.1111111111111112E-2</v>
      </c>
      <c r="C120" s="11">
        <v>3.0671296296296297E-3</v>
      </c>
      <c r="D120" s="11">
        <f>B120*E120</f>
        <v>6.4644444444444445E-3</v>
      </c>
      <c r="E120" s="12">
        <v>0.58179999999999998</v>
      </c>
      <c r="F120" s="11">
        <f>C120/4</f>
        <v>7.6678240740740743E-4</v>
      </c>
      <c r="G120" s="11">
        <f>D120/7.5</f>
        <v>8.6192592592592592E-4</v>
      </c>
      <c r="H120" s="11">
        <f>B120/12.5</f>
        <v>8.8888888888888893E-4</v>
      </c>
      <c r="I120" s="11">
        <f>G120/0.93</f>
        <v>9.2680207088809239E-4</v>
      </c>
      <c r="J120" s="11">
        <f>G120/0.92</f>
        <v>9.3687600644122375E-4</v>
      </c>
      <c r="K120" s="11">
        <f>G120/0.88</f>
        <v>9.7946127946127947E-4</v>
      </c>
      <c r="L120" s="11">
        <f>G120/0.84</f>
        <v>1.0261022927689596E-3</v>
      </c>
      <c r="M120" s="25"/>
      <c r="N120" s="28"/>
      <c r="O120" s="25"/>
      <c r="P120" s="25"/>
      <c r="Q120" s="25"/>
      <c r="R120" s="25"/>
      <c r="S120" s="25"/>
      <c r="T120" s="25"/>
      <c r="U120" s="25"/>
      <c r="V120" s="25"/>
      <c r="W120" s="15" t="s">
        <v>261</v>
      </c>
      <c r="X120" s="50"/>
    </row>
    <row r="121" spans="1:24" ht="20.45" customHeight="1">
      <c r="A121" s="10" t="s">
        <v>98</v>
      </c>
      <c r="B121" s="11">
        <v>1.1111111111111112E-2</v>
      </c>
      <c r="C121" s="11">
        <v>3.0671296296296297E-3</v>
      </c>
      <c r="D121" s="11">
        <f>B121*E121</f>
        <v>6.4644444444444445E-3</v>
      </c>
      <c r="E121" s="12">
        <v>0.58179999999999998</v>
      </c>
      <c r="F121" s="11">
        <f>C121/4</f>
        <v>7.6678240740740743E-4</v>
      </c>
      <c r="G121" s="11">
        <f>D121/7.5</f>
        <v>8.6192592592592592E-4</v>
      </c>
      <c r="H121" s="11">
        <f>B121/12.5</f>
        <v>8.8888888888888893E-4</v>
      </c>
      <c r="I121" s="11">
        <f>G121/0.93</f>
        <v>9.2680207088809239E-4</v>
      </c>
      <c r="J121" s="11">
        <f>G121/0.92</f>
        <v>9.3687600644122375E-4</v>
      </c>
      <c r="K121" s="11">
        <f>G121/0.88</f>
        <v>9.7946127946127947E-4</v>
      </c>
      <c r="L121" s="11">
        <f>G121/0.84</f>
        <v>1.0261022927689596E-3</v>
      </c>
      <c r="M121" s="25"/>
      <c r="N121" s="28"/>
      <c r="O121" s="25"/>
      <c r="P121" s="25"/>
      <c r="Q121" s="25"/>
      <c r="R121" s="25"/>
      <c r="S121" s="25"/>
      <c r="T121" s="25"/>
      <c r="U121" s="25"/>
      <c r="V121" s="25"/>
      <c r="W121" s="27" t="s">
        <v>261</v>
      </c>
      <c r="X121" s="50"/>
    </row>
    <row r="122" spans="1:24" ht="20.45" customHeight="1">
      <c r="A122" s="10" t="s">
        <v>103</v>
      </c>
      <c r="B122" s="11">
        <v>1.1111111111111112E-2</v>
      </c>
      <c r="C122" s="11">
        <v>3.0671296296296297E-3</v>
      </c>
      <c r="D122" s="11">
        <f t="shared" si="48"/>
        <v>6.4644444444444445E-3</v>
      </c>
      <c r="E122" s="12">
        <v>0.58179999999999998</v>
      </c>
      <c r="F122" s="11">
        <f t="shared" si="49"/>
        <v>7.6678240740740743E-4</v>
      </c>
      <c r="G122" s="11">
        <f t="shared" si="50"/>
        <v>8.6192592592592592E-4</v>
      </c>
      <c r="H122" s="11">
        <f t="shared" si="51"/>
        <v>8.8888888888888893E-4</v>
      </c>
      <c r="I122" s="11">
        <f t="shared" si="52"/>
        <v>9.2680207088809239E-4</v>
      </c>
      <c r="J122" s="11">
        <f t="shared" si="53"/>
        <v>9.3687600644122375E-4</v>
      </c>
      <c r="K122" s="11">
        <f t="shared" si="54"/>
        <v>9.7946127946127947E-4</v>
      </c>
      <c r="L122" s="17">
        <f t="shared" si="55"/>
        <v>1.0261022927689596E-3</v>
      </c>
      <c r="M122" s="25"/>
      <c r="N122" s="28"/>
      <c r="O122" s="25"/>
      <c r="P122" s="25"/>
      <c r="Q122" s="25"/>
      <c r="R122" s="25"/>
      <c r="S122" s="25"/>
      <c r="T122" s="25"/>
      <c r="U122" s="25"/>
      <c r="V122" s="25"/>
      <c r="W122" s="15" t="s">
        <v>261</v>
      </c>
      <c r="X122" s="50"/>
    </row>
    <row r="123" spans="1:24" ht="20.45" customHeight="1">
      <c r="A123" s="10" t="s">
        <v>104</v>
      </c>
      <c r="B123" s="11">
        <v>1.1458333333333333E-2</v>
      </c>
      <c r="C123" s="11">
        <v>3.2986111111111111E-3</v>
      </c>
      <c r="D123" s="11">
        <f t="shared" si="48"/>
        <v>6.6664583333333324E-3</v>
      </c>
      <c r="E123" s="12">
        <v>0.58179999999999998</v>
      </c>
      <c r="F123" s="11">
        <f t="shared" si="49"/>
        <v>8.2465277777777778E-4</v>
      </c>
      <c r="G123" s="11">
        <f t="shared" si="50"/>
        <v>8.8886111111111099E-4</v>
      </c>
      <c r="H123" s="11">
        <f t="shared" si="51"/>
        <v>9.1666666666666665E-4</v>
      </c>
      <c r="I123" s="11">
        <f t="shared" si="52"/>
        <v>9.5576463560334514E-4</v>
      </c>
      <c r="J123" s="11">
        <f t="shared" si="53"/>
        <v>9.6615338164251195E-4</v>
      </c>
      <c r="K123" s="11">
        <f t="shared" si="54"/>
        <v>1.0100694444444443E-3</v>
      </c>
      <c r="L123" s="11">
        <f t="shared" si="55"/>
        <v>1.0581679894179892E-3</v>
      </c>
      <c r="M123" s="25"/>
      <c r="N123" s="28"/>
      <c r="O123" s="25"/>
      <c r="P123" s="25"/>
      <c r="Q123" s="25"/>
      <c r="R123" s="25"/>
      <c r="S123" s="25"/>
      <c r="T123" s="25"/>
      <c r="U123" s="25"/>
      <c r="V123" s="25"/>
      <c r="W123" s="15" t="s">
        <v>261</v>
      </c>
      <c r="X123" s="50"/>
    </row>
    <row r="124" spans="1:24" ht="20.45" customHeight="1">
      <c r="A124" s="10" t="s">
        <v>99</v>
      </c>
      <c r="B124" s="11">
        <v>1.1458333333333333E-2</v>
      </c>
      <c r="C124" s="11">
        <v>3.0092592592592593E-3</v>
      </c>
      <c r="D124" s="11">
        <f>B124*E124</f>
        <v>6.6664583333333324E-3</v>
      </c>
      <c r="E124" s="12">
        <v>0.58179999999999998</v>
      </c>
      <c r="F124" s="11">
        <f>C124/4</f>
        <v>7.5231481481481482E-4</v>
      </c>
      <c r="G124" s="11">
        <f>D124/7.5</f>
        <v>8.8886111111111099E-4</v>
      </c>
      <c r="H124" s="11">
        <f>B124/12.5</f>
        <v>9.1666666666666665E-4</v>
      </c>
      <c r="I124" s="11">
        <f>G124/0.93</f>
        <v>9.5576463560334514E-4</v>
      </c>
      <c r="J124" s="11">
        <f>G124/0.92</f>
        <v>9.6615338164251195E-4</v>
      </c>
      <c r="K124" s="11">
        <f>G124/0.88</f>
        <v>1.0100694444444443E-3</v>
      </c>
      <c r="L124" s="11">
        <f>G124/0.84</f>
        <v>1.0581679894179892E-3</v>
      </c>
      <c r="M124" s="25"/>
      <c r="N124" s="28"/>
      <c r="O124" s="25"/>
      <c r="P124" s="25"/>
      <c r="Q124" s="25"/>
      <c r="R124" s="25"/>
      <c r="S124" s="25"/>
      <c r="T124" s="25"/>
      <c r="U124" s="25"/>
      <c r="V124" s="25"/>
      <c r="W124" s="27" t="s">
        <v>261</v>
      </c>
      <c r="X124" s="50"/>
    </row>
    <row r="125" spans="1:24" ht="20.45" customHeight="1">
      <c r="A125" s="10" t="s">
        <v>102</v>
      </c>
      <c r="B125" s="11">
        <v>1.1458333333333333E-2</v>
      </c>
      <c r="C125" s="11">
        <v>3.0671296296296297E-3</v>
      </c>
      <c r="D125" s="11">
        <f>B125*E125</f>
        <v>6.6664583333333324E-3</v>
      </c>
      <c r="E125" s="12">
        <v>0.58179999999999998</v>
      </c>
      <c r="F125" s="11">
        <f>C125/4</f>
        <v>7.6678240740740743E-4</v>
      </c>
      <c r="G125" s="11">
        <f>D125/7.5</f>
        <v>8.8886111111111099E-4</v>
      </c>
      <c r="H125" s="11">
        <f>B125/12.5</f>
        <v>9.1666666666666665E-4</v>
      </c>
      <c r="I125" s="11">
        <f>G125/0.93</f>
        <v>9.5576463560334514E-4</v>
      </c>
      <c r="J125" s="11">
        <f>G125/0.92</f>
        <v>9.6615338164251195E-4</v>
      </c>
      <c r="K125" s="11">
        <f>G125/0.88</f>
        <v>1.0100694444444443E-3</v>
      </c>
      <c r="L125" s="11">
        <f>G125/0.84</f>
        <v>1.0581679894179892E-3</v>
      </c>
      <c r="M125" s="25"/>
      <c r="N125" s="28"/>
      <c r="O125" s="25"/>
      <c r="P125" s="25"/>
      <c r="Q125" s="25"/>
      <c r="R125" s="25"/>
      <c r="S125" s="25"/>
      <c r="T125" s="25"/>
      <c r="U125" s="25"/>
      <c r="V125" s="25"/>
      <c r="W125" s="27" t="s">
        <v>261</v>
      </c>
      <c r="X125" s="50"/>
    </row>
    <row r="126" spans="1:24" ht="20.45" customHeight="1">
      <c r="A126" s="10"/>
      <c r="B126" s="11"/>
      <c r="C126" s="11"/>
      <c r="D126" s="11"/>
      <c r="E126" s="12"/>
      <c r="F126" s="11"/>
      <c r="G126" s="11"/>
      <c r="H126" s="11"/>
      <c r="I126" s="11"/>
      <c r="J126" s="11"/>
      <c r="K126" s="11"/>
      <c r="L126" s="11"/>
      <c r="M126" s="25"/>
      <c r="N126" s="28"/>
      <c r="O126" s="25"/>
      <c r="P126" s="25"/>
      <c r="Q126" s="25"/>
      <c r="R126" s="25"/>
      <c r="S126" s="25"/>
      <c r="T126" s="25"/>
      <c r="U126" s="28"/>
      <c r="V126" s="25"/>
      <c r="W126" s="15"/>
      <c r="X126" s="50"/>
    </row>
    <row r="127" spans="1:24" ht="20.45" customHeight="1">
      <c r="A127" s="19"/>
      <c r="B127" s="6"/>
      <c r="C127" s="6"/>
      <c r="D127" s="6"/>
      <c r="E127" s="20"/>
      <c r="F127" s="6"/>
      <c r="G127" s="6"/>
      <c r="H127" s="6"/>
      <c r="I127" s="6"/>
      <c r="J127" s="6"/>
      <c r="K127" s="6"/>
      <c r="L127" s="6"/>
      <c r="M127" s="6"/>
      <c r="N127" s="6"/>
      <c r="O127" s="6"/>
      <c r="P127" s="6"/>
      <c r="Q127" s="6"/>
      <c r="R127" s="6"/>
      <c r="S127" s="6"/>
      <c r="T127" s="6"/>
      <c r="U127" s="6"/>
      <c r="V127" s="23"/>
      <c r="W127" s="35"/>
      <c r="X127" s="50"/>
    </row>
    <row r="128" spans="1:24" ht="20.45" customHeight="1">
      <c r="A128" s="10" t="s">
        <v>107</v>
      </c>
      <c r="B128" s="11">
        <v>1.1111111111111112E-2</v>
      </c>
      <c r="C128" s="11">
        <v>3.2407407407407406E-3</v>
      </c>
      <c r="D128" s="11">
        <f t="shared" ref="D128:D132" si="56">B128*E128</f>
        <v>6.4644444444444445E-3</v>
      </c>
      <c r="E128" s="12">
        <v>0.58179999999999998</v>
      </c>
      <c r="F128" s="11">
        <f t="shared" ref="F128:F132" si="57">C128/4</f>
        <v>8.1018518518518516E-4</v>
      </c>
      <c r="G128" s="11">
        <f t="shared" ref="G128:G132" si="58">D128/7.5</f>
        <v>8.6192592592592592E-4</v>
      </c>
      <c r="H128" s="11">
        <f t="shared" ref="H128:H132" si="59">B128/12.5</f>
        <v>8.8888888888888893E-4</v>
      </c>
      <c r="I128" s="11">
        <f t="shared" ref="I128:I132" si="60">G128/0.93</f>
        <v>9.2680207088809239E-4</v>
      </c>
      <c r="J128" s="11">
        <f t="shared" ref="J128:J132" si="61">G128/0.92</f>
        <v>9.3687600644122375E-4</v>
      </c>
      <c r="K128" s="11">
        <f t="shared" ref="K128:K132" si="62">G128/0.88</f>
        <v>9.7946127946127947E-4</v>
      </c>
      <c r="L128" s="11">
        <f t="shared" ref="L128:L132" si="63">G128/0.84</f>
        <v>1.0261022927689596E-3</v>
      </c>
      <c r="M128" s="25"/>
      <c r="N128" s="28"/>
      <c r="O128" s="25"/>
      <c r="P128" s="25"/>
      <c r="Q128" s="25"/>
      <c r="R128" s="28"/>
      <c r="S128" s="25"/>
      <c r="T128" s="25"/>
      <c r="U128" s="28"/>
      <c r="V128" s="28"/>
      <c r="W128" s="15" t="s">
        <v>52</v>
      </c>
      <c r="X128" s="50"/>
    </row>
    <row r="129" spans="1:24" ht="20.45" customHeight="1">
      <c r="A129" s="10" t="s">
        <v>106</v>
      </c>
      <c r="B129" s="11">
        <v>1.0532407407407407E-2</v>
      </c>
      <c r="C129" s="11">
        <v>2.9745370370370373E-3</v>
      </c>
      <c r="D129" s="11">
        <f t="shared" si="56"/>
        <v>6.1277546296296288E-3</v>
      </c>
      <c r="E129" s="12">
        <v>0.58179999999999998</v>
      </c>
      <c r="F129" s="11">
        <f t="shared" si="57"/>
        <v>7.4363425925925931E-4</v>
      </c>
      <c r="G129" s="11">
        <f t="shared" si="58"/>
        <v>8.1703395061728389E-4</v>
      </c>
      <c r="H129" s="11">
        <f t="shared" si="59"/>
        <v>8.4259259259259259E-4</v>
      </c>
      <c r="I129" s="11">
        <f t="shared" si="60"/>
        <v>8.7853112969600415E-4</v>
      </c>
      <c r="J129" s="11">
        <f t="shared" si="61"/>
        <v>8.8808038110574329E-4</v>
      </c>
      <c r="K129" s="11">
        <f t="shared" si="62"/>
        <v>9.2844767115600447E-4</v>
      </c>
      <c r="L129" s="11">
        <f t="shared" si="63"/>
        <v>9.7265946502057604E-4</v>
      </c>
      <c r="M129" s="25"/>
      <c r="N129" s="28"/>
      <c r="O129" s="25"/>
      <c r="P129" s="25"/>
      <c r="Q129" s="25"/>
      <c r="R129" s="25"/>
      <c r="S129" s="25"/>
      <c r="T129" s="25"/>
      <c r="U129" s="28"/>
      <c r="V129" s="25"/>
      <c r="W129" s="15" t="s">
        <v>52</v>
      </c>
      <c r="X129" s="50"/>
    </row>
    <row r="130" spans="1:24" ht="20.45" customHeight="1">
      <c r="A130" s="10" t="s">
        <v>164</v>
      </c>
      <c r="B130" s="11">
        <v>1.1342592592592593E-2</v>
      </c>
      <c r="C130" s="11">
        <v>3.2407407407407406E-3</v>
      </c>
      <c r="D130" s="11">
        <f t="shared" si="56"/>
        <v>6.5991203703703706E-3</v>
      </c>
      <c r="E130" s="12">
        <v>0.58179999999999998</v>
      </c>
      <c r="F130" s="11">
        <f t="shared" si="57"/>
        <v>8.1018518518518516E-4</v>
      </c>
      <c r="G130" s="11">
        <f t="shared" si="58"/>
        <v>8.7988271604938278E-4</v>
      </c>
      <c r="H130" s="11">
        <f t="shared" si="59"/>
        <v>9.0740740740740745E-4</v>
      </c>
      <c r="I130" s="11">
        <f t="shared" si="60"/>
        <v>9.4611044736492766E-4</v>
      </c>
      <c r="J130" s="11">
        <f t="shared" si="61"/>
        <v>9.5639425657541603E-4</v>
      </c>
      <c r="K130" s="11">
        <f t="shared" si="62"/>
        <v>9.9986672278338943E-4</v>
      </c>
      <c r="L130" s="11">
        <f t="shared" si="63"/>
        <v>1.0474794238683129E-3</v>
      </c>
      <c r="M130" s="25"/>
      <c r="N130" s="28"/>
      <c r="O130" s="25"/>
      <c r="P130" s="28"/>
      <c r="Q130" s="28"/>
      <c r="R130" s="11"/>
      <c r="S130" s="14"/>
      <c r="T130" s="14"/>
      <c r="U130" s="26"/>
      <c r="V130" s="28"/>
      <c r="W130" s="27" t="s">
        <v>52</v>
      </c>
      <c r="X130" s="50"/>
    </row>
    <row r="131" spans="1:24" ht="20.45" customHeight="1">
      <c r="A131" s="10" t="s">
        <v>108</v>
      </c>
      <c r="B131" s="11">
        <v>1.0763888888888891E-2</v>
      </c>
      <c r="C131" s="11">
        <v>3.0671296296296297E-3</v>
      </c>
      <c r="D131" s="11">
        <f t="shared" si="56"/>
        <v>6.2624305555555567E-3</v>
      </c>
      <c r="E131" s="12">
        <v>0.58179999999999998</v>
      </c>
      <c r="F131" s="11">
        <f t="shared" si="57"/>
        <v>7.6678240740740743E-4</v>
      </c>
      <c r="G131" s="11">
        <f t="shared" si="58"/>
        <v>8.3499074074074085E-4</v>
      </c>
      <c r="H131" s="11">
        <f t="shared" si="59"/>
        <v>8.6111111111111121E-4</v>
      </c>
      <c r="I131" s="11">
        <f t="shared" si="60"/>
        <v>8.9783950617283953E-4</v>
      </c>
      <c r="J131" s="11">
        <f t="shared" si="61"/>
        <v>9.0759863123993567E-4</v>
      </c>
      <c r="K131" s="11">
        <f t="shared" si="62"/>
        <v>9.4885311447811464E-4</v>
      </c>
      <c r="L131" s="11">
        <f t="shared" si="63"/>
        <v>9.9403659611992969E-4</v>
      </c>
      <c r="M131" s="25"/>
      <c r="N131" s="28"/>
      <c r="O131" s="25"/>
      <c r="P131" s="28"/>
      <c r="Q131" s="25"/>
      <c r="R131" s="28"/>
      <c r="S131" s="25"/>
      <c r="T131" s="25"/>
      <c r="U131" s="28"/>
      <c r="V131" s="28"/>
      <c r="W131" s="15" t="s">
        <v>52</v>
      </c>
      <c r="X131" s="50"/>
    </row>
    <row r="132" spans="1:24" ht="20.45" customHeight="1">
      <c r="A132" s="10" t="s">
        <v>105</v>
      </c>
      <c r="B132" s="11">
        <v>1.0648148148148148E-2</v>
      </c>
      <c r="C132" s="11">
        <v>2.9745370370370373E-3</v>
      </c>
      <c r="D132" s="11">
        <f t="shared" si="56"/>
        <v>6.1950925925925923E-3</v>
      </c>
      <c r="E132" s="12">
        <v>0.58179999999999998</v>
      </c>
      <c r="F132" s="11">
        <f t="shared" si="57"/>
        <v>7.4363425925925931E-4</v>
      </c>
      <c r="G132" s="11">
        <f t="shared" si="58"/>
        <v>8.2601234567901232E-4</v>
      </c>
      <c r="H132" s="11">
        <f t="shared" si="59"/>
        <v>8.5185185185185179E-4</v>
      </c>
      <c r="I132" s="11">
        <f t="shared" si="60"/>
        <v>8.8818531793442184E-4</v>
      </c>
      <c r="J132" s="11">
        <f t="shared" si="61"/>
        <v>8.9783950617283942E-4</v>
      </c>
      <c r="K132" s="11">
        <f t="shared" si="62"/>
        <v>9.3865039281705945E-4</v>
      </c>
      <c r="L132" s="11">
        <f t="shared" si="63"/>
        <v>9.833480305702527E-4</v>
      </c>
      <c r="M132" s="37"/>
      <c r="N132" s="28"/>
      <c r="O132" s="25"/>
      <c r="P132" s="25"/>
      <c r="Q132" s="25"/>
      <c r="R132" s="25"/>
      <c r="S132" s="25"/>
      <c r="T132" s="25"/>
      <c r="U132" s="28"/>
      <c r="V132" s="25"/>
      <c r="W132" s="15" t="s">
        <v>52</v>
      </c>
      <c r="X132" s="50"/>
    </row>
    <row r="133" spans="1:24" ht="20.45" customHeight="1">
      <c r="A133" s="10"/>
      <c r="B133" s="11"/>
      <c r="C133" s="11"/>
      <c r="D133" s="11"/>
      <c r="E133" s="12"/>
      <c r="F133" s="11"/>
      <c r="G133" s="11"/>
      <c r="H133" s="11"/>
      <c r="I133" s="11"/>
      <c r="J133" s="11"/>
      <c r="K133" s="11"/>
      <c r="L133" s="11"/>
      <c r="M133" s="25"/>
      <c r="N133" s="28"/>
      <c r="O133" s="25"/>
      <c r="P133" s="25"/>
      <c r="Q133" s="25"/>
      <c r="R133" s="25"/>
      <c r="S133" s="25"/>
      <c r="T133" s="25"/>
      <c r="U133" s="28"/>
      <c r="V133" s="25"/>
      <c r="W133" s="15"/>
      <c r="X133" s="50"/>
    </row>
    <row r="134" spans="1:24" ht="20.45" customHeight="1">
      <c r="A134" s="10"/>
      <c r="B134" s="11"/>
      <c r="C134" s="11"/>
      <c r="D134" s="11"/>
      <c r="E134" s="12"/>
      <c r="F134" s="11"/>
      <c r="G134" s="11"/>
      <c r="H134" s="11"/>
      <c r="I134" s="11"/>
      <c r="J134" s="11"/>
      <c r="K134" s="11"/>
      <c r="L134" s="17"/>
      <c r="M134" s="25"/>
      <c r="N134" s="28"/>
      <c r="O134" s="25"/>
      <c r="P134" s="25"/>
      <c r="Q134" s="25"/>
      <c r="R134" s="25"/>
      <c r="S134" s="25"/>
      <c r="T134" s="25"/>
      <c r="U134" s="28"/>
      <c r="V134" s="25"/>
      <c r="W134" s="15"/>
      <c r="X134" s="50"/>
    </row>
    <row r="135" spans="1:24" ht="20.45" customHeight="1">
      <c r="A135" s="10"/>
      <c r="B135" s="11"/>
      <c r="C135" s="11"/>
      <c r="D135" s="11"/>
      <c r="E135" s="12"/>
      <c r="F135" s="11"/>
      <c r="G135" s="11"/>
      <c r="H135" s="11"/>
      <c r="I135" s="11"/>
      <c r="J135" s="11"/>
      <c r="K135" s="11"/>
      <c r="L135" s="17"/>
      <c r="M135" s="25"/>
      <c r="N135" s="28"/>
      <c r="O135" s="25"/>
      <c r="P135" s="25"/>
      <c r="Q135" s="25"/>
      <c r="R135" s="28"/>
      <c r="S135" s="25"/>
      <c r="T135" s="25"/>
      <c r="U135" s="28"/>
      <c r="V135" s="25"/>
      <c r="W135" s="15"/>
      <c r="X135" s="50"/>
    </row>
    <row r="136" spans="1:24" ht="20.45" customHeight="1">
      <c r="A136" s="10"/>
      <c r="B136" s="11"/>
      <c r="C136" s="11"/>
      <c r="D136" s="11"/>
      <c r="E136" s="12"/>
      <c r="F136" s="11"/>
      <c r="G136" s="11"/>
      <c r="H136" s="11"/>
      <c r="I136" s="11"/>
      <c r="J136" s="11"/>
      <c r="K136" s="11"/>
      <c r="L136" s="11"/>
      <c r="M136" s="25"/>
      <c r="N136" s="28"/>
      <c r="O136" s="25"/>
      <c r="P136" s="25"/>
      <c r="Q136" s="28"/>
      <c r="R136" s="28"/>
      <c r="S136" s="25"/>
      <c r="T136" s="25"/>
      <c r="U136" s="28"/>
      <c r="V136" s="25"/>
      <c r="W136" s="15"/>
      <c r="X136" s="50"/>
    </row>
    <row r="137" spans="1:24" ht="20.45" customHeight="1">
      <c r="A137" s="10"/>
      <c r="B137" s="11"/>
      <c r="C137" s="11"/>
      <c r="D137" s="11"/>
      <c r="E137" s="12"/>
      <c r="F137" s="11"/>
      <c r="G137" s="11"/>
      <c r="H137" s="11"/>
      <c r="I137" s="11"/>
      <c r="J137" s="11"/>
      <c r="K137" s="11"/>
      <c r="L137" s="17"/>
      <c r="M137" s="11"/>
      <c r="N137" s="26"/>
      <c r="P137" s="26"/>
      <c r="Q137" s="26"/>
      <c r="R137" s="26"/>
      <c r="S137" s="14"/>
      <c r="T137" s="14"/>
      <c r="U137" s="26"/>
      <c r="V137" s="38"/>
      <c r="W137" s="31"/>
      <c r="X137" s="50"/>
    </row>
    <row r="138" spans="1:24" ht="20.45" customHeight="1">
      <c r="A138" s="10"/>
      <c r="B138" s="11"/>
      <c r="C138" s="11"/>
      <c r="D138" s="11"/>
      <c r="E138" s="12"/>
      <c r="F138" s="11"/>
      <c r="G138" s="11"/>
      <c r="H138" s="11"/>
      <c r="I138" s="11"/>
      <c r="J138" s="11"/>
      <c r="K138" s="11"/>
      <c r="L138" s="11"/>
      <c r="M138" s="25"/>
      <c r="N138" s="28"/>
      <c r="O138" s="25"/>
      <c r="P138" s="25"/>
      <c r="Q138" s="28"/>
      <c r="R138" s="28"/>
      <c r="S138" s="25"/>
      <c r="T138" s="25"/>
      <c r="U138" s="28"/>
      <c r="V138" s="25"/>
      <c r="W138" s="15"/>
      <c r="X138" s="51"/>
    </row>
    <row r="139" spans="1:24" ht="20.45" customHeight="1">
      <c r="A139" s="10"/>
      <c r="B139" s="11"/>
      <c r="C139" s="11"/>
      <c r="D139" s="11"/>
      <c r="E139" s="12"/>
      <c r="F139" s="11"/>
      <c r="G139" s="11"/>
      <c r="H139" s="11"/>
      <c r="I139" s="11"/>
      <c r="J139" s="11"/>
      <c r="K139" s="11"/>
      <c r="L139" s="11"/>
      <c r="M139" s="25"/>
      <c r="N139" s="28"/>
      <c r="O139" s="25"/>
      <c r="P139" s="25"/>
      <c r="Q139" s="25"/>
      <c r="R139" s="25"/>
      <c r="S139" s="25"/>
      <c r="T139" s="25"/>
      <c r="U139" s="28"/>
      <c r="V139" s="25"/>
      <c r="W139" s="15"/>
      <c r="X139" s="51"/>
    </row>
    <row r="140" spans="1:24" ht="20.45" customHeight="1">
      <c r="A140" s="10"/>
      <c r="B140" s="11"/>
      <c r="C140" s="11"/>
      <c r="D140" s="11"/>
      <c r="E140" s="12"/>
      <c r="F140" s="11"/>
      <c r="G140" s="11"/>
      <c r="H140" s="11"/>
      <c r="I140" s="11"/>
      <c r="J140" s="11"/>
      <c r="K140" s="11"/>
      <c r="L140" s="17"/>
      <c r="M140" s="25"/>
      <c r="N140" s="28"/>
      <c r="O140" s="25"/>
      <c r="P140" s="28"/>
      <c r="Q140" s="25"/>
      <c r="R140" s="28"/>
      <c r="S140" s="25"/>
      <c r="T140" s="25"/>
      <c r="U140" s="28"/>
      <c r="V140" s="28"/>
      <c r="W140" s="27"/>
      <c r="X140" s="51"/>
    </row>
    <row r="141" spans="1:24" ht="20.45" customHeight="1">
      <c r="A141" s="10"/>
      <c r="B141" s="11"/>
      <c r="C141" s="11"/>
      <c r="D141" s="11"/>
      <c r="E141" s="12"/>
      <c r="F141" s="11"/>
      <c r="G141" s="11"/>
      <c r="H141" s="11"/>
      <c r="I141" s="11"/>
      <c r="J141" s="11"/>
      <c r="K141" s="11"/>
      <c r="L141" s="11"/>
      <c r="M141" s="11"/>
      <c r="N141" s="26"/>
      <c r="P141" s="26"/>
      <c r="Q141" s="26"/>
      <c r="R141" s="26"/>
      <c r="S141" s="14"/>
      <c r="T141" s="14"/>
      <c r="U141" s="26"/>
      <c r="V141" s="28"/>
      <c r="W141" s="27"/>
      <c r="X141" s="51"/>
    </row>
    <row r="142" spans="1:24" ht="20.100000000000001" customHeight="1">
      <c r="A142" s="10"/>
      <c r="B142" s="11"/>
      <c r="C142" s="11"/>
      <c r="D142" s="11">
        <f>B142*E142</f>
        <v>0</v>
      </c>
      <c r="E142" s="12"/>
      <c r="F142" s="11">
        <f>C142/4</f>
        <v>0</v>
      </c>
      <c r="G142" s="11">
        <f>D142/7.5</f>
        <v>0</v>
      </c>
      <c r="H142" s="11">
        <f>B142/12.5</f>
        <v>0</v>
      </c>
      <c r="I142" s="11">
        <f>G142/0.93</f>
        <v>0</v>
      </c>
      <c r="J142" s="11">
        <f>G142/0.92</f>
        <v>0</v>
      </c>
      <c r="K142" s="11">
        <f>G142/0.88</f>
        <v>0</v>
      </c>
      <c r="L142" s="17">
        <f>G142/0.84</f>
        <v>0</v>
      </c>
      <c r="M142" s="11"/>
      <c r="N142" s="26"/>
      <c r="P142" s="26"/>
      <c r="Q142" s="26"/>
      <c r="R142" s="26"/>
      <c r="S142" s="14"/>
      <c r="T142" s="14"/>
      <c r="U142" s="26"/>
      <c r="V142" s="38"/>
      <c r="W142" s="31"/>
      <c r="X142" s="51"/>
    </row>
    <row r="143" spans="1:24" ht="20.100000000000001" customHeight="1">
      <c r="A143" s="10"/>
      <c r="B143" s="11"/>
      <c r="C143" s="11"/>
      <c r="D143" s="11">
        <f>B143*E143</f>
        <v>0</v>
      </c>
      <c r="E143" s="12"/>
      <c r="F143" s="11">
        <f>C143/4</f>
        <v>0</v>
      </c>
      <c r="G143" s="11">
        <f>D143/7.5</f>
        <v>0</v>
      </c>
      <c r="H143" s="11">
        <f>B143/12.5</f>
        <v>0</v>
      </c>
      <c r="I143" s="11">
        <f>G143/0.93</f>
        <v>0</v>
      </c>
      <c r="J143" s="11">
        <f>G143/0.92</f>
        <v>0</v>
      </c>
      <c r="K143" s="11">
        <f>G143/0.88</f>
        <v>0</v>
      </c>
      <c r="L143" s="17">
        <f>G143/0.84</f>
        <v>0</v>
      </c>
      <c r="M143" s="11"/>
      <c r="N143" s="26"/>
      <c r="P143" s="26"/>
      <c r="Q143" s="26"/>
      <c r="R143" s="26"/>
      <c r="S143" s="14"/>
      <c r="T143" s="14"/>
      <c r="U143" s="26"/>
      <c r="V143" s="38"/>
      <c r="W143" s="31"/>
      <c r="X143" s="51"/>
    </row>
    <row r="144" spans="1:24" ht="20.100000000000001" customHeight="1">
      <c r="A144" s="10"/>
      <c r="B144" s="11"/>
      <c r="C144" s="11"/>
      <c r="D144" s="11">
        <f>B144*E144</f>
        <v>0</v>
      </c>
      <c r="E144" s="12"/>
      <c r="F144" s="11">
        <f>C144/4</f>
        <v>0</v>
      </c>
      <c r="G144" s="11">
        <f>D144/7.5</f>
        <v>0</v>
      </c>
      <c r="H144" s="11">
        <f>B144/12.5</f>
        <v>0</v>
      </c>
      <c r="I144" s="11">
        <f>G144/0.93</f>
        <v>0</v>
      </c>
      <c r="J144" s="11">
        <f>G144/0.92</f>
        <v>0</v>
      </c>
      <c r="K144" s="11">
        <f>G144/0.88</f>
        <v>0</v>
      </c>
      <c r="L144" s="17">
        <f>G144/0.84</f>
        <v>0</v>
      </c>
      <c r="M144" s="11"/>
      <c r="N144" s="26"/>
      <c r="P144" s="26"/>
      <c r="Q144" s="26"/>
      <c r="R144" s="26"/>
      <c r="S144" s="14"/>
      <c r="T144" s="14"/>
      <c r="U144" s="26"/>
      <c r="V144" s="38"/>
      <c r="W144" s="31"/>
      <c r="X144" s="51"/>
    </row>
  </sheetData>
  <mergeCells count="15">
    <mergeCell ref="X118:X127"/>
    <mergeCell ref="X128:X137"/>
    <mergeCell ref="X138:X144"/>
    <mergeCell ref="X58:X67"/>
    <mergeCell ref="X68:X77"/>
    <mergeCell ref="X78:X87"/>
    <mergeCell ref="X88:X97"/>
    <mergeCell ref="X98:X107"/>
    <mergeCell ref="X108:X117"/>
    <mergeCell ref="X51:X57"/>
    <mergeCell ref="X1:X10"/>
    <mergeCell ref="X11:X20"/>
    <mergeCell ref="X21:X30"/>
    <mergeCell ref="X31:X40"/>
    <mergeCell ref="X41:X50"/>
  </mergeCells>
  <pageMargins left="0.25" right="0.25" top="0.25" bottom="0.25" header="0" footer="0"/>
  <pageSetup scale="95" fitToHeight="0" orientation="landscape" r:id="rId1"/>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090C4-7838-442F-8F33-A6BF6859041D}">
  <sheetPr>
    <pageSetUpPr fitToPage="1"/>
  </sheetPr>
  <dimension ref="A1:Z144"/>
  <sheetViews>
    <sheetView zoomScale="70" zoomScaleNormal="70" workbookViewId="0">
      <selection activeCell="O121" sqref="O121"/>
    </sheetView>
  </sheetViews>
  <sheetFormatPr defaultColWidth="8.7109375" defaultRowHeight="14.45"/>
  <cols>
    <col min="1" max="1" width="19.5703125" customWidth="1"/>
    <col min="2" max="2" width="8.7109375" style="29" hidden="1" customWidth="1"/>
    <col min="3" max="3" width="10.140625" hidden="1" customWidth="1"/>
    <col min="4" max="4" width="8.7109375" style="29" hidden="1" customWidth="1"/>
    <col min="5" max="5" width="9.28515625" hidden="1" customWidth="1"/>
    <col min="6" max="6" width="8.7109375" hidden="1" customWidth="1"/>
    <col min="7" max="7" width="9.28515625" hidden="1" customWidth="1"/>
    <col min="8" max="9" width="8.7109375" hidden="1" customWidth="1"/>
    <col min="10" max="10" width="10.7109375" hidden="1" customWidth="1"/>
    <col min="11" max="11" width="11.42578125" hidden="1" customWidth="1"/>
    <col min="12" max="12" width="6.140625" hidden="1" customWidth="1"/>
    <col min="13" max="13" width="8.7109375" customWidth="1"/>
    <col min="14" max="19" width="10.140625" customWidth="1"/>
    <col min="20" max="22" width="8.7109375" customWidth="1"/>
    <col min="23" max="23" width="3.42578125" customWidth="1"/>
    <col min="24" max="24" width="20.42578125" customWidth="1"/>
    <col min="25" max="25" width="12.28515625" bestFit="1" customWidth="1"/>
    <col min="26" max="27" width="12.85546875" bestFit="1" customWidth="1"/>
  </cols>
  <sheetData>
    <row r="1" spans="1:26" ht="14.45" customHeight="1">
      <c r="A1" s="1" t="s">
        <v>265</v>
      </c>
      <c r="B1" s="2" t="s">
        <v>1</v>
      </c>
      <c r="C1" s="2" t="s">
        <v>2</v>
      </c>
      <c r="D1" s="2" t="s">
        <v>3</v>
      </c>
      <c r="E1" s="3" t="s">
        <v>4</v>
      </c>
      <c r="F1" s="2" t="s">
        <v>5</v>
      </c>
      <c r="G1" s="2" t="s">
        <v>6</v>
      </c>
      <c r="H1" s="2" t="s">
        <v>7</v>
      </c>
      <c r="I1" s="4" t="s">
        <v>8</v>
      </c>
      <c r="J1" s="2" t="s">
        <v>9</v>
      </c>
      <c r="K1" s="2" t="s">
        <v>10</v>
      </c>
      <c r="L1" s="2" t="s">
        <v>11</v>
      </c>
      <c r="M1" s="6" t="s">
        <v>12</v>
      </c>
      <c r="N1" s="6" t="s">
        <v>174</v>
      </c>
      <c r="O1" s="7" t="s">
        <v>158</v>
      </c>
      <c r="P1" s="8" t="s">
        <v>209</v>
      </c>
      <c r="Q1" s="8" t="s">
        <v>147</v>
      </c>
      <c r="R1" s="7" t="s">
        <v>148</v>
      </c>
      <c r="S1" s="7" t="s">
        <v>149</v>
      </c>
      <c r="T1" s="7" t="s">
        <v>77</v>
      </c>
      <c r="U1" s="7" t="s">
        <v>20</v>
      </c>
      <c r="V1" s="7" t="s">
        <v>21</v>
      </c>
      <c r="W1" s="9" t="s">
        <v>22</v>
      </c>
      <c r="X1" s="52" t="s">
        <v>266</v>
      </c>
    </row>
    <row r="2" spans="1:26" ht="21" customHeight="1">
      <c r="A2" s="10" t="s">
        <v>34</v>
      </c>
      <c r="B2" s="11">
        <v>1.1979166666666667E-2</v>
      </c>
      <c r="C2" s="11">
        <v>3.472222222222222E-3</v>
      </c>
      <c r="D2" s="11">
        <f t="shared" ref="D2:D7" si="0">B2*E2</f>
        <v>6.9694791666666672E-3</v>
      </c>
      <c r="E2" s="12">
        <v>0.58179999999999998</v>
      </c>
      <c r="F2" s="11">
        <f t="shared" ref="F2:F7" si="1">C2/4</f>
        <v>8.6805555555555551E-4</v>
      </c>
      <c r="G2" s="11">
        <f t="shared" ref="G2:G7" si="2">D2/7.5</f>
        <v>9.2926388888888898E-4</v>
      </c>
      <c r="H2" s="11">
        <f t="shared" ref="H2:H7" si="3">B2/12.5</f>
        <v>9.5833333333333339E-4</v>
      </c>
      <c r="I2" s="11">
        <f t="shared" ref="I2:I7" si="4">G2/0.93</f>
        <v>9.9920848267622464E-4</v>
      </c>
      <c r="J2" s="11">
        <f t="shared" ref="J2:J7" si="5">G2/0.92</f>
        <v>1.0100694444444445E-3</v>
      </c>
      <c r="K2" s="11">
        <f t="shared" ref="K2:K7" si="6">G2/0.88</f>
        <v>1.055981691919192E-3</v>
      </c>
      <c r="L2" s="11">
        <f t="shared" ref="L2:L7" si="7">G2/0.84</f>
        <v>1.1062665343915346E-3</v>
      </c>
      <c r="M2" s="25">
        <f>WO2025Jan71081416182224283032343840424446485456586264666870727476681216182022[[#This Row],[Thresh]]</f>
        <v>1.055981691919192E-3</v>
      </c>
      <c r="N2" s="28">
        <f>WO2025Jan71081416182224283032343840424446485456586264666870727476681216182022[[#This Row],[Thresh]]*3</f>
        <v>3.1679450757575757E-3</v>
      </c>
      <c r="O2" s="25">
        <f>WO2025Jan71081416182224283032343840424446485456586264666870727476681216182022[[#This Row],[VO2]]</f>
        <v>9.2926388888888898E-4</v>
      </c>
      <c r="P2" s="28"/>
      <c r="Q2" s="25"/>
      <c r="R2" s="25"/>
      <c r="S2" s="25"/>
      <c r="T2" s="28"/>
      <c r="U2" s="11"/>
      <c r="V2" s="36"/>
      <c r="W2" s="15" t="s">
        <v>26</v>
      </c>
      <c r="X2" s="52"/>
    </row>
    <row r="3" spans="1:26" ht="21" customHeight="1">
      <c r="A3" s="10" t="s">
        <v>24</v>
      </c>
      <c r="B3" s="11">
        <v>1.2152777777777778E-2</v>
      </c>
      <c r="C3" s="11">
        <v>3.5300925925925925E-3</v>
      </c>
      <c r="D3" s="11">
        <f t="shared" si="0"/>
        <v>7.0704861111111107E-3</v>
      </c>
      <c r="E3" s="12">
        <v>0.58179999999999998</v>
      </c>
      <c r="F3" s="11">
        <f t="shared" si="1"/>
        <v>8.8252314814814812E-4</v>
      </c>
      <c r="G3" s="11">
        <f t="shared" si="2"/>
        <v>9.4273148148148146E-4</v>
      </c>
      <c r="H3" s="11">
        <f t="shared" si="3"/>
        <v>9.7222222222222219E-4</v>
      </c>
      <c r="I3" s="11">
        <f t="shared" si="4"/>
        <v>1.0136897650338511E-3</v>
      </c>
      <c r="J3" s="11">
        <f t="shared" si="5"/>
        <v>1.0247081320450884E-3</v>
      </c>
      <c r="K3" s="11">
        <f t="shared" si="6"/>
        <v>1.0712857744107744E-3</v>
      </c>
      <c r="L3" s="11">
        <f t="shared" si="7"/>
        <v>1.1222993827160494E-3</v>
      </c>
      <c r="M3" s="25">
        <f>WO2025Jan71081416182224283032343840424446485456586264666870727476681216182022[[#This Row],[Thresh]]</f>
        <v>1.0712857744107744E-3</v>
      </c>
      <c r="N3" s="28">
        <f>WO2025Jan71081416182224283032343840424446485456586264666870727476681216182022[[#This Row],[Thresh]]*3</f>
        <v>3.2138573232323234E-3</v>
      </c>
      <c r="O3" s="25">
        <f>WO2025Jan71081416182224283032343840424446485456586264666870727476681216182022[[#This Row],[VO2]]</f>
        <v>9.4273148148148146E-4</v>
      </c>
      <c r="P3" s="28"/>
      <c r="Q3" s="25"/>
      <c r="R3" s="25"/>
      <c r="S3" s="25"/>
      <c r="T3" s="28"/>
      <c r="U3" s="11"/>
      <c r="V3" s="28"/>
      <c r="W3" s="15" t="s">
        <v>26</v>
      </c>
      <c r="X3" s="52"/>
      <c r="Z3" s="16"/>
    </row>
    <row r="4" spans="1:26" ht="21" customHeight="1">
      <c r="A4" s="10" t="s">
        <v>60</v>
      </c>
      <c r="B4" s="11">
        <v>1.2152777777777778E-2</v>
      </c>
      <c r="C4" s="11">
        <v>3.6458333333333334E-3</v>
      </c>
      <c r="D4" s="11">
        <f t="shared" si="0"/>
        <v>7.0704861111111107E-3</v>
      </c>
      <c r="E4" s="12">
        <v>0.58179999999999998</v>
      </c>
      <c r="F4" s="11">
        <f t="shared" si="1"/>
        <v>9.1145833333333335E-4</v>
      </c>
      <c r="G4" s="11">
        <f t="shared" si="2"/>
        <v>9.4273148148148146E-4</v>
      </c>
      <c r="H4" s="11">
        <f t="shared" si="3"/>
        <v>9.7222222222222219E-4</v>
      </c>
      <c r="I4" s="11">
        <f t="shared" si="4"/>
        <v>1.0136897650338511E-3</v>
      </c>
      <c r="J4" s="11">
        <f t="shared" si="5"/>
        <v>1.0247081320450884E-3</v>
      </c>
      <c r="K4" s="11">
        <f t="shared" si="6"/>
        <v>1.0712857744107744E-3</v>
      </c>
      <c r="L4" s="11">
        <f t="shared" si="7"/>
        <v>1.1222993827160494E-3</v>
      </c>
      <c r="M4" s="25">
        <f>WO2025Jan71081416182224283032343840424446485456586264666870727476681216182022[[#This Row],[Thresh]]</f>
        <v>1.0712857744107744E-3</v>
      </c>
      <c r="N4" s="28">
        <f>WO2025Jan71081416182224283032343840424446485456586264666870727476681216182022[[#This Row],[Thresh]]*3</f>
        <v>3.2138573232323234E-3</v>
      </c>
      <c r="O4" s="25">
        <f>WO2025Jan71081416182224283032343840424446485456586264666870727476681216182022[[#This Row],[VO2]]</f>
        <v>9.4273148148148146E-4</v>
      </c>
      <c r="P4" s="28"/>
      <c r="Q4" s="25"/>
      <c r="R4" s="25"/>
      <c r="S4" s="25"/>
      <c r="T4" s="28"/>
      <c r="U4" s="11"/>
      <c r="V4" s="28"/>
      <c r="W4" s="15" t="s">
        <v>26</v>
      </c>
      <c r="X4" s="52"/>
    </row>
    <row r="5" spans="1:26" ht="21" customHeight="1">
      <c r="A5" s="10" t="s">
        <v>38</v>
      </c>
      <c r="B5" s="11">
        <v>1.238425925925926E-2</v>
      </c>
      <c r="C5" s="11">
        <v>3.5300925925925925E-3</v>
      </c>
      <c r="D5" s="11">
        <f t="shared" si="0"/>
        <v>7.2051620370370368E-3</v>
      </c>
      <c r="E5" s="12">
        <v>0.58179999999999998</v>
      </c>
      <c r="F5" s="11">
        <f t="shared" si="1"/>
        <v>8.8252314814814812E-4</v>
      </c>
      <c r="G5" s="11">
        <f t="shared" si="2"/>
        <v>9.6068827160493821E-4</v>
      </c>
      <c r="H5" s="11">
        <f t="shared" si="3"/>
        <v>9.9074074074074082E-4</v>
      </c>
      <c r="I5" s="11">
        <f t="shared" si="4"/>
        <v>1.0329981415106862E-3</v>
      </c>
      <c r="J5" s="11">
        <f t="shared" si="5"/>
        <v>1.0442263821792807E-3</v>
      </c>
      <c r="K5" s="11">
        <f t="shared" si="6"/>
        <v>1.0916912177328843E-3</v>
      </c>
      <c r="L5" s="11">
        <f t="shared" si="7"/>
        <v>1.1436765138154027E-3</v>
      </c>
      <c r="M5" s="25">
        <f>WO2025Jan71081416182224283032343840424446485456586264666870727476681216182022[[#This Row],[Thresh]]</f>
        <v>1.0916912177328843E-3</v>
      </c>
      <c r="N5" s="28">
        <f>WO2025Jan71081416182224283032343840424446485456586264666870727476681216182022[[#This Row],[Thresh]]*3</f>
        <v>3.275073653198653E-3</v>
      </c>
      <c r="O5" s="25">
        <f>WO2025Jan71081416182224283032343840424446485456586264666870727476681216182022[[#This Row],[VO2]]</f>
        <v>9.6068827160493821E-4</v>
      </c>
      <c r="P5" s="28"/>
      <c r="Q5" s="25"/>
      <c r="R5" s="25"/>
      <c r="S5" s="25"/>
      <c r="T5" s="28"/>
      <c r="U5" s="11"/>
      <c r="V5" s="28"/>
      <c r="W5" s="15" t="s">
        <v>26</v>
      </c>
      <c r="X5" s="52"/>
    </row>
    <row r="6" spans="1:26" ht="21" customHeight="1">
      <c r="A6" s="10" t="s">
        <v>27</v>
      </c>
      <c r="B6" s="11">
        <v>1.238425925925926E-2</v>
      </c>
      <c r="C6" s="11">
        <v>3.6458333333333334E-3</v>
      </c>
      <c r="D6" s="11">
        <f t="shared" si="0"/>
        <v>7.2051620370370368E-3</v>
      </c>
      <c r="E6" s="12">
        <v>0.58179999999999998</v>
      </c>
      <c r="F6" s="11">
        <f t="shared" si="1"/>
        <v>9.1145833333333335E-4</v>
      </c>
      <c r="G6" s="11">
        <f t="shared" si="2"/>
        <v>9.6068827160493821E-4</v>
      </c>
      <c r="H6" s="11">
        <f t="shared" si="3"/>
        <v>9.9074074074074082E-4</v>
      </c>
      <c r="I6" s="11">
        <f t="shared" si="4"/>
        <v>1.0329981415106862E-3</v>
      </c>
      <c r="J6" s="11">
        <f t="shared" si="5"/>
        <v>1.0442263821792807E-3</v>
      </c>
      <c r="K6" s="11">
        <f t="shared" si="6"/>
        <v>1.0916912177328843E-3</v>
      </c>
      <c r="L6" s="11">
        <f t="shared" si="7"/>
        <v>1.1436765138154027E-3</v>
      </c>
      <c r="M6" s="25">
        <f>WO2025Jan71081416182224283032343840424446485456586264666870727476681216182022[[#This Row],[Thresh]]</f>
        <v>1.0916912177328843E-3</v>
      </c>
      <c r="N6" s="28">
        <f>WO2025Jan71081416182224283032343840424446485456586264666870727476681216182022[[#This Row],[Thresh]]*3</f>
        <v>3.275073653198653E-3</v>
      </c>
      <c r="O6" s="25">
        <f>WO2025Jan71081416182224283032343840424446485456586264666870727476681216182022[[#This Row],[VO2]]</f>
        <v>9.6068827160493821E-4</v>
      </c>
      <c r="P6" s="28"/>
      <c r="Q6" s="25"/>
      <c r="R6" s="25"/>
      <c r="S6" s="25"/>
      <c r="T6" s="28"/>
      <c r="U6" s="11"/>
      <c r="V6" s="28"/>
      <c r="W6" s="15" t="s">
        <v>26</v>
      </c>
      <c r="X6" s="52"/>
    </row>
    <row r="7" spans="1:26" ht="21" customHeight="1">
      <c r="A7" s="10" t="s">
        <v>31</v>
      </c>
      <c r="B7" s="11">
        <v>1.238425925925926E-2</v>
      </c>
      <c r="C7" s="11">
        <v>3.7037037037037038E-3</v>
      </c>
      <c r="D7" s="11">
        <f t="shared" si="0"/>
        <v>7.2051620370370368E-3</v>
      </c>
      <c r="E7" s="12">
        <v>0.58179999999999998</v>
      </c>
      <c r="F7" s="11">
        <f t="shared" si="1"/>
        <v>9.2592592592592596E-4</v>
      </c>
      <c r="G7" s="11">
        <f t="shared" si="2"/>
        <v>9.6068827160493821E-4</v>
      </c>
      <c r="H7" s="11">
        <f t="shared" si="3"/>
        <v>9.9074074074074082E-4</v>
      </c>
      <c r="I7" s="11">
        <f t="shared" si="4"/>
        <v>1.0329981415106862E-3</v>
      </c>
      <c r="J7" s="11">
        <f t="shared" si="5"/>
        <v>1.0442263821792807E-3</v>
      </c>
      <c r="K7" s="11">
        <f t="shared" si="6"/>
        <v>1.0916912177328843E-3</v>
      </c>
      <c r="L7" s="11">
        <f t="shared" si="7"/>
        <v>1.1436765138154027E-3</v>
      </c>
      <c r="M7" s="25">
        <f>WO2025Jan71081416182224283032343840424446485456586264666870727476681216182022[[#This Row],[Thresh]]</f>
        <v>1.0916912177328843E-3</v>
      </c>
      <c r="N7" s="28">
        <f>WO2025Jan71081416182224283032343840424446485456586264666870727476681216182022[[#This Row],[Thresh]]*3</f>
        <v>3.275073653198653E-3</v>
      </c>
      <c r="O7" s="25">
        <f>WO2025Jan71081416182224283032343840424446485456586264666870727476681216182022[[#This Row],[VO2]]</f>
        <v>9.6068827160493821E-4</v>
      </c>
      <c r="P7" s="28"/>
      <c r="Q7" s="25"/>
      <c r="R7" s="25"/>
      <c r="S7" s="25"/>
      <c r="T7" s="28"/>
      <c r="U7" s="11"/>
      <c r="V7" s="28"/>
      <c r="W7" s="15" t="s">
        <v>26</v>
      </c>
      <c r="X7" s="52"/>
    </row>
    <row r="8" spans="1:26" ht="21" customHeight="1">
      <c r="A8" s="10" t="s">
        <v>59</v>
      </c>
      <c r="B8" s="11">
        <v>1.2500000000000001E-2</v>
      </c>
      <c r="C8" s="11">
        <v>3.7037037037037038E-3</v>
      </c>
      <c r="D8" s="11">
        <f t="shared" ref="D8:D27" si="8">B8*E8</f>
        <v>7.2725000000000003E-3</v>
      </c>
      <c r="E8" s="12">
        <v>0.58179999999999998</v>
      </c>
      <c r="F8" s="11">
        <f t="shared" ref="F8:F27" si="9">C8/4</f>
        <v>9.2592592592592596E-4</v>
      </c>
      <c r="G8" s="11">
        <f t="shared" ref="G8:G27" si="10">D8/7.5</f>
        <v>9.6966666666666675E-4</v>
      </c>
      <c r="H8" s="11">
        <f t="shared" ref="H8:H27" si="11">B8/12.5</f>
        <v>1E-3</v>
      </c>
      <c r="I8" s="11">
        <f t="shared" ref="I8:I27" si="12">G8/0.93</f>
        <v>1.0426523297491039E-3</v>
      </c>
      <c r="J8" s="11">
        <f t="shared" ref="J8:J27" si="13">G8/0.92</f>
        <v>1.0539855072463768E-3</v>
      </c>
      <c r="K8" s="11">
        <f t="shared" ref="K8:K27" si="14">G8/0.88</f>
        <v>1.1018939393939394E-3</v>
      </c>
      <c r="L8" s="17">
        <f t="shared" ref="L8:L27" si="15">G8/0.84</f>
        <v>1.1543650793650795E-3</v>
      </c>
      <c r="M8" s="25">
        <f>WO2025Jan71081416182224283032343840424446485456586264666870727476681216182022[[#This Row],[Thresh]]</f>
        <v>1.1018939393939394E-3</v>
      </c>
      <c r="N8" s="28">
        <f>WO2025Jan71081416182224283032343840424446485456586264666870727476681216182022[[#This Row],[Thresh]]*3</f>
        <v>3.3056818181818183E-3</v>
      </c>
      <c r="O8" s="25">
        <f>WO2025Jan71081416182224283032343840424446485456586264666870727476681216182022[[#This Row],[VO2]]</f>
        <v>9.6966666666666675E-4</v>
      </c>
      <c r="P8" s="28"/>
      <c r="Q8" s="25"/>
      <c r="R8" s="25"/>
      <c r="S8" s="25"/>
      <c r="T8" s="28"/>
      <c r="U8" s="11"/>
      <c r="V8" s="38"/>
      <c r="W8" s="15" t="s">
        <v>26</v>
      </c>
      <c r="X8" s="52"/>
    </row>
    <row r="9" spans="1:26" ht="21" customHeight="1">
      <c r="A9" s="10" t="s">
        <v>28</v>
      </c>
      <c r="B9" s="11">
        <v>1.2500000000000001E-2</v>
      </c>
      <c r="C9" s="11">
        <v>3.7037037037037038E-3</v>
      </c>
      <c r="D9" s="11">
        <f t="shared" si="8"/>
        <v>7.2725000000000003E-3</v>
      </c>
      <c r="E9" s="12">
        <v>0.58179999999999998</v>
      </c>
      <c r="F9" s="11">
        <f t="shared" si="9"/>
        <v>9.2592592592592596E-4</v>
      </c>
      <c r="G9" s="11">
        <f t="shared" si="10"/>
        <v>9.6966666666666675E-4</v>
      </c>
      <c r="H9" s="11">
        <f t="shared" si="11"/>
        <v>1E-3</v>
      </c>
      <c r="I9" s="11">
        <f t="shared" si="12"/>
        <v>1.0426523297491039E-3</v>
      </c>
      <c r="J9" s="11">
        <f t="shared" si="13"/>
        <v>1.0539855072463768E-3</v>
      </c>
      <c r="K9" s="11">
        <f t="shared" si="14"/>
        <v>1.1018939393939394E-3</v>
      </c>
      <c r="L9" s="11">
        <f t="shared" si="15"/>
        <v>1.1543650793650795E-3</v>
      </c>
      <c r="M9" s="25">
        <f>WO2025Jan71081416182224283032343840424446485456586264666870727476681216182022[[#This Row],[Thresh]]</f>
        <v>1.1018939393939394E-3</v>
      </c>
      <c r="N9" s="28">
        <f>WO2025Jan71081416182224283032343840424446485456586264666870727476681216182022[[#This Row],[Thresh]]*3</f>
        <v>3.3056818181818183E-3</v>
      </c>
      <c r="O9" s="25">
        <f>WO2025Jan71081416182224283032343840424446485456586264666870727476681216182022[[#This Row],[VO2]]</f>
        <v>9.6966666666666675E-4</v>
      </c>
      <c r="P9" s="28"/>
      <c r="Q9" s="25"/>
      <c r="R9" s="25"/>
      <c r="S9" s="25"/>
      <c r="T9" s="28"/>
      <c r="U9" s="11"/>
      <c r="V9" s="28"/>
      <c r="W9" s="15" t="s">
        <v>26</v>
      </c>
      <c r="X9" s="52"/>
    </row>
    <row r="10" spans="1:26" ht="21" customHeight="1">
      <c r="A10" s="10" t="s">
        <v>29</v>
      </c>
      <c r="B10" s="11">
        <v>1.2500000000000001E-2</v>
      </c>
      <c r="C10" s="11">
        <v>3.8194444444444443E-3</v>
      </c>
      <c r="D10" s="11">
        <f t="shared" si="8"/>
        <v>7.2725000000000003E-3</v>
      </c>
      <c r="E10" s="12">
        <v>0.58179999999999998</v>
      </c>
      <c r="F10" s="11">
        <f t="shared" si="9"/>
        <v>9.5486111111111108E-4</v>
      </c>
      <c r="G10" s="11">
        <f t="shared" si="10"/>
        <v>9.6966666666666675E-4</v>
      </c>
      <c r="H10" s="11">
        <f t="shared" si="11"/>
        <v>1E-3</v>
      </c>
      <c r="I10" s="11">
        <f t="shared" si="12"/>
        <v>1.0426523297491039E-3</v>
      </c>
      <c r="J10" s="11">
        <f t="shared" si="13"/>
        <v>1.0539855072463768E-3</v>
      </c>
      <c r="K10" s="11">
        <f t="shared" si="14"/>
        <v>1.1018939393939394E-3</v>
      </c>
      <c r="L10" s="11">
        <f t="shared" si="15"/>
        <v>1.1543650793650795E-3</v>
      </c>
      <c r="M10" s="25">
        <f>WO2025Jan71081416182224283032343840424446485456586264666870727476681216182022[[#This Row],[Thresh]]</f>
        <v>1.1018939393939394E-3</v>
      </c>
      <c r="N10" s="28">
        <f>WO2025Jan71081416182224283032343840424446485456586264666870727476681216182022[[#This Row],[Thresh]]*3</f>
        <v>3.3056818181818183E-3</v>
      </c>
      <c r="O10" s="25">
        <f>WO2025Jan71081416182224283032343840424446485456586264666870727476681216182022[[#This Row],[VO2]]</f>
        <v>9.6966666666666675E-4</v>
      </c>
      <c r="P10" s="28"/>
      <c r="Q10" s="25"/>
      <c r="R10" s="25"/>
      <c r="S10" s="25"/>
      <c r="T10" s="28"/>
      <c r="U10" s="11"/>
      <c r="V10" s="38"/>
      <c r="W10" s="18" t="s">
        <v>26</v>
      </c>
      <c r="X10" s="52"/>
    </row>
    <row r="11" spans="1:26" ht="21" customHeight="1">
      <c r="A11" s="10" t="s">
        <v>30</v>
      </c>
      <c r="B11" s="11">
        <v>1.2500000000000001E-2</v>
      </c>
      <c r="C11" s="11">
        <v>3.6458333333333334E-3</v>
      </c>
      <c r="D11" s="11">
        <f t="shared" si="8"/>
        <v>7.2725000000000003E-3</v>
      </c>
      <c r="E11" s="12">
        <v>0.58179999999999998</v>
      </c>
      <c r="F11" s="11">
        <f t="shared" si="9"/>
        <v>9.1145833333333335E-4</v>
      </c>
      <c r="G11" s="11">
        <f t="shared" si="10"/>
        <v>9.6966666666666675E-4</v>
      </c>
      <c r="H11" s="11">
        <f t="shared" si="11"/>
        <v>1E-3</v>
      </c>
      <c r="I11" s="11">
        <f t="shared" si="12"/>
        <v>1.0426523297491039E-3</v>
      </c>
      <c r="J11" s="11">
        <f t="shared" si="13"/>
        <v>1.0539855072463768E-3</v>
      </c>
      <c r="K11" s="11">
        <f t="shared" si="14"/>
        <v>1.1018939393939394E-3</v>
      </c>
      <c r="L11" s="11">
        <f t="shared" si="15"/>
        <v>1.1543650793650795E-3</v>
      </c>
      <c r="M11" s="25">
        <f>WO2025Jan71081416182224283032343840424446485456586264666870727476681216182022[[#This Row],[Thresh]]</f>
        <v>1.1018939393939394E-3</v>
      </c>
      <c r="N11" s="28">
        <f>WO2025Jan71081416182224283032343840424446485456586264666870727476681216182022[[#This Row],[Thresh]]*3</f>
        <v>3.3056818181818183E-3</v>
      </c>
      <c r="O11" s="25">
        <f>WO2025Jan71081416182224283032343840424446485456586264666870727476681216182022[[#This Row],[VO2]]</f>
        <v>9.6966666666666675E-4</v>
      </c>
      <c r="P11" s="28"/>
      <c r="Q11" s="25"/>
      <c r="R11" s="25"/>
      <c r="S11" s="25"/>
      <c r="T11" s="28"/>
      <c r="U11" s="11"/>
      <c r="V11" s="28"/>
      <c r="W11" s="15" t="s">
        <v>26</v>
      </c>
      <c r="X11" s="52" t="s">
        <v>267</v>
      </c>
    </row>
    <row r="12" spans="1:26" ht="21" customHeight="1">
      <c r="A12" s="10" t="s">
        <v>55</v>
      </c>
      <c r="B12" s="11">
        <v>1.2500000000000001E-2</v>
      </c>
      <c r="C12" s="11">
        <v>3.5879629629629629E-3</v>
      </c>
      <c r="D12" s="11">
        <f t="shared" si="8"/>
        <v>7.2725000000000003E-3</v>
      </c>
      <c r="E12" s="12">
        <v>0.58179999999999998</v>
      </c>
      <c r="F12" s="11">
        <f t="shared" si="9"/>
        <v>8.9699074074074073E-4</v>
      </c>
      <c r="G12" s="11">
        <f t="shared" si="10"/>
        <v>9.6966666666666675E-4</v>
      </c>
      <c r="H12" s="11">
        <f t="shared" si="11"/>
        <v>1E-3</v>
      </c>
      <c r="I12" s="11">
        <f t="shared" si="12"/>
        <v>1.0426523297491039E-3</v>
      </c>
      <c r="J12" s="11">
        <f t="shared" si="13"/>
        <v>1.0539855072463768E-3</v>
      </c>
      <c r="K12" s="11">
        <f t="shared" si="14"/>
        <v>1.1018939393939394E-3</v>
      </c>
      <c r="L12" s="11">
        <f t="shared" si="15"/>
        <v>1.1543650793650795E-3</v>
      </c>
      <c r="M12" s="25">
        <f>WO2025Jan71081416182224283032343840424446485456586264666870727476681216182022[[#This Row],[Thresh]]</f>
        <v>1.1018939393939394E-3</v>
      </c>
      <c r="N12" s="28">
        <f>WO2025Jan71081416182224283032343840424446485456586264666870727476681216182022[[#This Row],[Thresh]]*3</f>
        <v>3.3056818181818183E-3</v>
      </c>
      <c r="O12" s="25">
        <f>WO2025Jan71081416182224283032343840424446485456586264666870727476681216182022[[#This Row],[VO2]]</f>
        <v>9.6966666666666675E-4</v>
      </c>
      <c r="P12" s="28"/>
      <c r="Q12" s="25"/>
      <c r="R12" s="25"/>
      <c r="S12" s="25"/>
      <c r="T12" s="28"/>
      <c r="U12" s="11"/>
      <c r="V12" s="17"/>
      <c r="W12" s="18" t="s">
        <v>26</v>
      </c>
      <c r="X12" s="52"/>
    </row>
    <row r="13" spans="1:26" ht="21" customHeight="1">
      <c r="A13" s="10" t="s">
        <v>62</v>
      </c>
      <c r="B13" s="11">
        <v>1.2500000000000001E-2</v>
      </c>
      <c r="C13" s="11">
        <v>3.6458333333333334E-3</v>
      </c>
      <c r="D13" s="11">
        <f>B13*E13</f>
        <v>7.2725000000000003E-3</v>
      </c>
      <c r="E13" s="12">
        <v>0.58179999999999998</v>
      </c>
      <c r="F13" s="11">
        <f>C13/4</f>
        <v>9.1145833333333335E-4</v>
      </c>
      <c r="G13" s="11">
        <f>D13/7.5</f>
        <v>9.6966666666666675E-4</v>
      </c>
      <c r="H13" s="11">
        <f>B13/12.5</f>
        <v>1E-3</v>
      </c>
      <c r="I13" s="11">
        <f>G13/0.93</f>
        <v>1.0426523297491039E-3</v>
      </c>
      <c r="J13" s="11">
        <f>G13/0.92</f>
        <v>1.0539855072463768E-3</v>
      </c>
      <c r="K13" s="11">
        <f>G13/0.88</f>
        <v>1.1018939393939394E-3</v>
      </c>
      <c r="L13" s="11">
        <f>G13/0.84</f>
        <v>1.1543650793650795E-3</v>
      </c>
      <c r="M13" s="25">
        <f>WO2025Jan71081416182224283032343840424446485456586264666870727476681216182022[[#This Row],[Thresh]]</f>
        <v>1.1018939393939394E-3</v>
      </c>
      <c r="N13" s="28">
        <f>WO2025Jan71081416182224283032343840424446485456586264666870727476681216182022[[#This Row],[Thresh]]*3</f>
        <v>3.3056818181818183E-3</v>
      </c>
      <c r="O13" s="25">
        <f>WO2025Jan71081416182224283032343840424446485456586264666870727476681216182022[[#This Row],[VO2]]</f>
        <v>9.6966666666666675E-4</v>
      </c>
      <c r="P13" s="28"/>
      <c r="Q13" s="25"/>
      <c r="R13" s="25"/>
      <c r="S13" s="25"/>
      <c r="T13" s="28"/>
      <c r="U13" s="11"/>
      <c r="V13" s="17"/>
      <c r="W13" s="18" t="s">
        <v>26</v>
      </c>
      <c r="X13" s="52"/>
    </row>
    <row r="14" spans="1:26" ht="21" customHeight="1">
      <c r="A14" s="10" t="s">
        <v>63</v>
      </c>
      <c r="B14" s="11">
        <v>1.2615740740740742E-2</v>
      </c>
      <c r="C14" s="11">
        <v>3.7037037037037038E-3</v>
      </c>
      <c r="D14" s="11">
        <f>B14*E14</f>
        <v>7.3398379629629629E-3</v>
      </c>
      <c r="E14" s="12">
        <v>0.58179999999999998</v>
      </c>
      <c r="F14" s="11">
        <f>C14/4</f>
        <v>9.2592592592592596E-4</v>
      </c>
      <c r="G14" s="11">
        <f>D14/7.5</f>
        <v>9.7864506172839496E-4</v>
      </c>
      <c r="H14" s="11">
        <f>B14/12.5</f>
        <v>1.0092592592592592E-3</v>
      </c>
      <c r="I14" s="11">
        <f>G14/0.93</f>
        <v>1.0523065179875214E-3</v>
      </c>
      <c r="J14" s="11">
        <f>G14/0.92</f>
        <v>1.0637446323134728E-3</v>
      </c>
      <c r="K14" s="11">
        <f>G14/0.88</f>
        <v>1.1120966610549943E-3</v>
      </c>
      <c r="L14" s="11">
        <f>G14/0.84</f>
        <v>1.165053644914756E-3</v>
      </c>
      <c r="M14" s="25">
        <f>WO2025Jan71081416182224283032343840424446485456586264666870727476681216182022[[#This Row],[Thresh]]</f>
        <v>1.1120966610549943E-3</v>
      </c>
      <c r="N14" s="28">
        <f>WO2025Jan71081416182224283032343840424446485456586264666870727476681216182022[[#This Row],[Thresh]]*3</f>
        <v>3.3362899831649827E-3</v>
      </c>
      <c r="O14" s="25"/>
      <c r="P14" s="28"/>
      <c r="Q14" s="25"/>
      <c r="R14" s="25"/>
      <c r="S14" s="25"/>
      <c r="T14" s="28"/>
      <c r="U14" s="11"/>
      <c r="V14" s="36"/>
      <c r="W14" s="15" t="s">
        <v>35</v>
      </c>
      <c r="X14" s="52"/>
    </row>
    <row r="15" spans="1:26" ht="21" customHeight="1">
      <c r="A15" s="10" t="s">
        <v>51</v>
      </c>
      <c r="B15" s="11">
        <v>1.2615740740740742E-2</v>
      </c>
      <c r="C15" s="11">
        <v>3.5879629629629629E-3</v>
      </c>
      <c r="D15" s="11">
        <f t="shared" si="8"/>
        <v>7.3398379629629629E-3</v>
      </c>
      <c r="E15" s="12">
        <v>0.58179999999999998</v>
      </c>
      <c r="F15" s="11">
        <f t="shared" si="9"/>
        <v>8.9699074074074073E-4</v>
      </c>
      <c r="G15" s="11">
        <f t="shared" si="10"/>
        <v>9.7864506172839496E-4</v>
      </c>
      <c r="H15" s="11">
        <f t="shared" si="11"/>
        <v>1.0092592592592592E-3</v>
      </c>
      <c r="I15" s="11">
        <f t="shared" si="12"/>
        <v>1.0523065179875214E-3</v>
      </c>
      <c r="J15" s="11">
        <f t="shared" si="13"/>
        <v>1.0637446323134728E-3</v>
      </c>
      <c r="K15" s="11">
        <f t="shared" si="14"/>
        <v>1.1120966610549943E-3</v>
      </c>
      <c r="L15" s="11">
        <f t="shared" si="15"/>
        <v>1.165053644914756E-3</v>
      </c>
      <c r="M15" s="25">
        <f>WO2025Jan71081416182224283032343840424446485456586264666870727476681216182022[[#This Row],[Thresh]]</f>
        <v>1.1120966610549943E-3</v>
      </c>
      <c r="N15" s="28">
        <f>WO2025Jan71081416182224283032343840424446485456586264666870727476681216182022[[#This Row],[Thresh]]*3</f>
        <v>3.3362899831649827E-3</v>
      </c>
      <c r="O15" s="25"/>
      <c r="P15" s="28"/>
      <c r="Q15" s="25"/>
      <c r="R15" s="25"/>
      <c r="S15" s="25"/>
      <c r="T15" s="28"/>
      <c r="U15" s="11"/>
      <c r="V15" s="36"/>
      <c r="W15" s="15" t="s">
        <v>35</v>
      </c>
      <c r="X15" s="52"/>
    </row>
    <row r="16" spans="1:26" ht="21" customHeight="1">
      <c r="A16" s="10" t="s">
        <v>64</v>
      </c>
      <c r="B16" s="11">
        <v>1.2731481481481481E-2</v>
      </c>
      <c r="C16" s="11">
        <v>3.5879629629629629E-3</v>
      </c>
      <c r="D16" s="11">
        <f>B16*E16</f>
        <v>7.4071759259259256E-3</v>
      </c>
      <c r="E16" s="12">
        <v>0.58179999999999998</v>
      </c>
      <c r="F16" s="11">
        <f>C16/4</f>
        <v>8.9699074074074073E-4</v>
      </c>
      <c r="G16" s="11">
        <f>D16/7.5</f>
        <v>9.8762345679012349E-4</v>
      </c>
      <c r="H16" s="11">
        <f>B16/12.5</f>
        <v>1.0185185185185184E-3</v>
      </c>
      <c r="I16" s="11">
        <f>G16/0.93</f>
        <v>1.0619607062259391E-3</v>
      </c>
      <c r="J16" s="11">
        <f>G16/0.92</f>
        <v>1.073503757380569E-3</v>
      </c>
      <c r="K16" s="11">
        <f>G16/0.88</f>
        <v>1.1222993827160494E-3</v>
      </c>
      <c r="L16" s="11">
        <f>G16/0.84</f>
        <v>1.1757422104644328E-3</v>
      </c>
      <c r="M16" s="25">
        <f>WO2025Jan71081416182224283032343840424446485456586264666870727476681216182022[[#This Row],[Thresh]]</f>
        <v>1.1222993827160494E-3</v>
      </c>
      <c r="N16" s="28">
        <f>WO2025Jan71081416182224283032343840424446485456586264666870727476681216182022[[#This Row],[Thresh]]*3</f>
        <v>3.3668981481481484E-3</v>
      </c>
      <c r="O16" s="25">
        <f>WO2025Jan71081416182224283032343840424446485456586264666870727476681216182022[[#This Row],[VO2]]</f>
        <v>9.8762345679012349E-4</v>
      </c>
      <c r="P16" s="28"/>
      <c r="Q16" s="25"/>
      <c r="R16" s="25"/>
      <c r="S16" s="25"/>
      <c r="T16" s="28"/>
      <c r="U16" s="11"/>
      <c r="V16" s="48"/>
      <c r="W16" s="15" t="s">
        <v>26</v>
      </c>
      <c r="X16" s="52"/>
    </row>
    <row r="17" spans="1:24" ht="21" customHeight="1">
      <c r="A17" s="10" t="s">
        <v>49</v>
      </c>
      <c r="B17" s="11">
        <v>1.2731481481481481E-2</v>
      </c>
      <c r="C17" s="11">
        <v>3.5879629629629629E-3</v>
      </c>
      <c r="D17" s="11">
        <f t="shared" si="8"/>
        <v>7.4071759259259256E-3</v>
      </c>
      <c r="E17" s="12">
        <v>0.58179999999999998</v>
      </c>
      <c r="F17" s="11">
        <f t="shared" si="9"/>
        <v>8.9699074074074073E-4</v>
      </c>
      <c r="G17" s="11">
        <f t="shared" si="10"/>
        <v>9.8762345679012349E-4</v>
      </c>
      <c r="H17" s="11">
        <f t="shared" si="11"/>
        <v>1.0185185185185184E-3</v>
      </c>
      <c r="I17" s="11">
        <f t="shared" si="12"/>
        <v>1.0619607062259391E-3</v>
      </c>
      <c r="J17" s="11">
        <f t="shared" si="13"/>
        <v>1.073503757380569E-3</v>
      </c>
      <c r="K17" s="11">
        <f t="shared" si="14"/>
        <v>1.1222993827160494E-3</v>
      </c>
      <c r="L17" s="11">
        <f t="shared" si="15"/>
        <v>1.1757422104644328E-3</v>
      </c>
      <c r="M17" s="25">
        <f>WO2025Jan71081416182224283032343840424446485456586264666870727476681216182022[[#This Row],[Thresh]]</f>
        <v>1.1222993827160494E-3</v>
      </c>
      <c r="N17" s="28">
        <f>WO2025Jan71081416182224283032343840424446485456586264666870727476681216182022[[#This Row],[Thresh]]*3</f>
        <v>3.3668981481481484E-3</v>
      </c>
      <c r="O17" s="25">
        <f>WO2025Jan71081416182224283032343840424446485456586264666870727476681216182022[[#This Row],[VO2]]</f>
        <v>9.8762345679012349E-4</v>
      </c>
      <c r="P17" s="28"/>
      <c r="Q17" s="25"/>
      <c r="R17" s="25"/>
      <c r="S17" s="25"/>
      <c r="T17" s="28"/>
      <c r="U17" s="11"/>
      <c r="V17" s="11"/>
      <c r="W17" s="15" t="s">
        <v>26</v>
      </c>
      <c r="X17" s="52"/>
    </row>
    <row r="18" spans="1:24" ht="21" customHeight="1">
      <c r="A18" s="10" t="s">
        <v>65</v>
      </c>
      <c r="B18" s="11">
        <v>1.2731481481481481E-2</v>
      </c>
      <c r="C18" s="11">
        <v>3.8194444444444443E-3</v>
      </c>
      <c r="D18" s="11">
        <f t="shared" si="8"/>
        <v>7.4071759259259256E-3</v>
      </c>
      <c r="E18" s="12">
        <v>0.58179999999999998</v>
      </c>
      <c r="F18" s="11">
        <f t="shared" si="9"/>
        <v>9.5486111111111108E-4</v>
      </c>
      <c r="G18" s="11">
        <f t="shared" si="10"/>
        <v>9.8762345679012349E-4</v>
      </c>
      <c r="H18" s="11">
        <f t="shared" si="11"/>
        <v>1.0185185185185184E-3</v>
      </c>
      <c r="I18" s="11">
        <f t="shared" si="12"/>
        <v>1.0619607062259391E-3</v>
      </c>
      <c r="J18" s="11">
        <f t="shared" si="13"/>
        <v>1.073503757380569E-3</v>
      </c>
      <c r="K18" s="11">
        <f t="shared" si="14"/>
        <v>1.1222993827160494E-3</v>
      </c>
      <c r="L18" s="11">
        <f t="shared" si="15"/>
        <v>1.1757422104644328E-3</v>
      </c>
      <c r="M18" s="25">
        <f>WO2025Jan71081416182224283032343840424446485456586264666870727476681216182022[[#This Row],[Thresh]]</f>
        <v>1.1222993827160494E-3</v>
      </c>
      <c r="N18" s="28">
        <f>WO2025Jan71081416182224283032343840424446485456586264666870727476681216182022[[#This Row],[Thresh]]*3</f>
        <v>3.3668981481481484E-3</v>
      </c>
      <c r="O18" s="25">
        <f>WO2025Jan71081416182224283032343840424446485456586264666870727476681216182022[[#This Row],[VO2]]</f>
        <v>9.8762345679012349E-4</v>
      </c>
      <c r="P18" s="28"/>
      <c r="Q18" s="25"/>
      <c r="R18" s="25"/>
      <c r="S18" s="25"/>
      <c r="T18" s="28"/>
      <c r="U18" s="11"/>
      <c r="V18" s="28"/>
      <c r="W18" s="15" t="s">
        <v>26</v>
      </c>
      <c r="X18" s="52"/>
    </row>
    <row r="19" spans="1:24" ht="21" customHeight="1">
      <c r="A19" s="10" t="s">
        <v>67</v>
      </c>
      <c r="B19" s="11">
        <v>1.3020833333333334E-2</v>
      </c>
      <c r="C19" s="11">
        <v>3.8194444444444443E-3</v>
      </c>
      <c r="D19" s="11">
        <f>B19*E19</f>
        <v>7.5755208333333334E-3</v>
      </c>
      <c r="E19" s="12">
        <v>0.58179999999999998</v>
      </c>
      <c r="F19" s="11">
        <f>C19/4</f>
        <v>9.5486111111111108E-4</v>
      </c>
      <c r="G19" s="11">
        <f>D19/7.5</f>
        <v>1.0100694444444445E-3</v>
      </c>
      <c r="H19" s="11">
        <f>B19/12.5</f>
        <v>1.0416666666666667E-3</v>
      </c>
      <c r="I19" s="11">
        <f>G19/0.93</f>
        <v>1.0860961768219832E-3</v>
      </c>
      <c r="J19" s="11">
        <f>G19/0.92</f>
        <v>1.0979015700483092E-3</v>
      </c>
      <c r="K19" s="11">
        <f>G19/0.88</f>
        <v>1.1478061868686869E-3</v>
      </c>
      <c r="L19" s="11">
        <f>G19/0.84</f>
        <v>1.2024636243386244E-3</v>
      </c>
      <c r="M19" s="25">
        <f>WO2025Jan71081416182224283032343840424446485456586264666870727476681216182022[[#This Row],[Thresh]]</f>
        <v>1.1478061868686869E-3</v>
      </c>
      <c r="N19" s="28">
        <f>WO2025Jan71081416182224283032343840424446485456586264666870727476681216182022[[#This Row],[Thresh]]*3</f>
        <v>3.4434185606060609E-3</v>
      </c>
      <c r="O19" s="25">
        <f>WO2025Jan71081416182224283032343840424446485456586264666870727476681216182022[[#This Row],[VO2]]</f>
        <v>1.0100694444444445E-3</v>
      </c>
      <c r="P19" s="28"/>
      <c r="Q19" s="25"/>
      <c r="R19" s="25"/>
      <c r="S19" s="25"/>
      <c r="T19" s="28"/>
      <c r="U19" s="11"/>
      <c r="V19" s="28"/>
      <c r="W19" s="18" t="s">
        <v>26</v>
      </c>
      <c r="X19" s="52"/>
    </row>
    <row r="20" spans="1:24" ht="21" customHeight="1">
      <c r="A20" s="10" t="s">
        <v>58</v>
      </c>
      <c r="B20" s="11">
        <v>1.3020833333333334E-2</v>
      </c>
      <c r="C20" s="11">
        <v>4.1087962962962962E-3</v>
      </c>
      <c r="D20" s="11">
        <f>B20*E20</f>
        <v>7.5755208333333334E-3</v>
      </c>
      <c r="E20" s="12">
        <v>0.58179999999999998</v>
      </c>
      <c r="F20" s="11">
        <f>C20/4</f>
        <v>1.027199074074074E-3</v>
      </c>
      <c r="G20" s="11">
        <f>D20/7.5</f>
        <v>1.0100694444444445E-3</v>
      </c>
      <c r="H20" s="11">
        <f>B20/12.5</f>
        <v>1.0416666666666667E-3</v>
      </c>
      <c r="I20" s="11">
        <f>G20/0.93</f>
        <v>1.0860961768219832E-3</v>
      </c>
      <c r="J20" s="11">
        <f>G20/0.92</f>
        <v>1.0979015700483092E-3</v>
      </c>
      <c r="K20" s="11">
        <f>G20/0.88</f>
        <v>1.1478061868686869E-3</v>
      </c>
      <c r="L20" s="11">
        <f>G20/0.84</f>
        <v>1.2024636243386244E-3</v>
      </c>
      <c r="M20" s="25">
        <f>WO2025Jan71081416182224283032343840424446485456586264666870727476681216182022[[#This Row],[Thresh]]</f>
        <v>1.1478061868686869E-3</v>
      </c>
      <c r="N20" s="28">
        <f>WO2025Jan71081416182224283032343840424446485456586264666870727476681216182022[[#This Row],[Thresh]]*3</f>
        <v>3.4434185606060609E-3</v>
      </c>
      <c r="O20" s="25">
        <f>WO2025Jan71081416182224283032343840424446485456586264666870727476681216182022[[#This Row],[VO2]]</f>
        <v>1.0100694444444445E-3</v>
      </c>
      <c r="P20" s="28"/>
      <c r="Q20" s="25"/>
      <c r="R20" s="25"/>
      <c r="S20" s="25"/>
      <c r="T20" s="28"/>
      <c r="U20" s="11"/>
      <c r="V20" s="38"/>
      <c r="W20" s="15" t="s">
        <v>26</v>
      </c>
      <c r="X20" s="52"/>
    </row>
    <row r="21" spans="1:24" ht="21" customHeight="1">
      <c r="A21" s="10" t="s">
        <v>69</v>
      </c>
      <c r="B21" s="11">
        <v>1.3368055555555555E-2</v>
      </c>
      <c r="C21" s="11"/>
      <c r="D21" s="11">
        <f t="shared" si="8"/>
        <v>7.7775347222222213E-3</v>
      </c>
      <c r="E21" s="12">
        <v>0.58179999999999998</v>
      </c>
      <c r="F21" s="11">
        <f t="shared" si="9"/>
        <v>0</v>
      </c>
      <c r="G21" s="11">
        <f t="shared" si="10"/>
        <v>1.0370046296296295E-3</v>
      </c>
      <c r="H21" s="11">
        <f t="shared" si="11"/>
        <v>1.0694444444444445E-3</v>
      </c>
      <c r="I21" s="11">
        <f t="shared" si="12"/>
        <v>1.1150587415372358E-3</v>
      </c>
      <c r="J21" s="11">
        <f t="shared" si="13"/>
        <v>1.1271789452495973E-3</v>
      </c>
      <c r="K21" s="11">
        <f t="shared" si="14"/>
        <v>1.1784143518518517E-3</v>
      </c>
      <c r="L21" s="11">
        <f t="shared" si="15"/>
        <v>1.2345293209876543E-3</v>
      </c>
      <c r="M21" s="25">
        <f>WO2025Jan71081416182224283032343840424446485456586264666870727476681216182022[[#This Row],[Thresh]]</f>
        <v>1.1784143518518517E-3</v>
      </c>
      <c r="N21" s="28">
        <f>WO2025Jan71081416182224283032343840424446485456586264666870727476681216182022[[#This Row],[Thresh]]*3</f>
        <v>3.5352430555555554E-3</v>
      </c>
      <c r="O21" s="25"/>
      <c r="P21" s="28"/>
      <c r="Q21" s="25"/>
      <c r="R21" s="25"/>
      <c r="S21" s="25"/>
      <c r="T21" s="28"/>
      <c r="U21" s="11"/>
      <c r="V21" s="36"/>
      <c r="W21" s="15" t="s">
        <v>35</v>
      </c>
      <c r="X21" s="52" t="s">
        <v>268</v>
      </c>
    </row>
    <row r="22" spans="1:24" ht="21" customHeight="1">
      <c r="A22" s="10" t="s">
        <v>70</v>
      </c>
      <c r="B22" s="11">
        <v>1.3368055555555555E-2</v>
      </c>
      <c r="C22" s="11">
        <v>4.0509259259259257E-3</v>
      </c>
      <c r="D22" s="11">
        <f t="shared" si="8"/>
        <v>7.7775347222222213E-3</v>
      </c>
      <c r="E22" s="12">
        <v>0.58179999999999998</v>
      </c>
      <c r="F22" s="11">
        <f t="shared" si="9"/>
        <v>1.0127314814814814E-3</v>
      </c>
      <c r="G22" s="11">
        <f t="shared" si="10"/>
        <v>1.0370046296296295E-3</v>
      </c>
      <c r="H22" s="11">
        <f t="shared" si="11"/>
        <v>1.0694444444444445E-3</v>
      </c>
      <c r="I22" s="11">
        <f t="shared" si="12"/>
        <v>1.1150587415372358E-3</v>
      </c>
      <c r="J22" s="11">
        <f t="shared" si="13"/>
        <v>1.1271789452495973E-3</v>
      </c>
      <c r="K22" s="11">
        <f t="shared" si="14"/>
        <v>1.1784143518518517E-3</v>
      </c>
      <c r="L22" s="11">
        <f t="shared" si="15"/>
        <v>1.2345293209876543E-3</v>
      </c>
      <c r="M22" s="25">
        <f>WO2025Jan71081416182224283032343840424446485456586264666870727476681216182022[[#This Row],[Thresh]]</f>
        <v>1.1784143518518517E-3</v>
      </c>
      <c r="N22" s="28">
        <f>WO2025Jan71081416182224283032343840424446485456586264666870727476681216182022[[#This Row],[Thresh]]*3</f>
        <v>3.5352430555555554E-3</v>
      </c>
      <c r="O22" s="25"/>
      <c r="P22" s="28"/>
      <c r="Q22" s="25"/>
      <c r="R22" s="25"/>
      <c r="S22" s="25"/>
      <c r="T22" s="28"/>
      <c r="U22" s="11"/>
      <c r="V22" s="38"/>
      <c r="W22" s="15" t="s">
        <v>35</v>
      </c>
      <c r="X22" s="52"/>
    </row>
    <row r="23" spans="1:24" ht="21" customHeight="1">
      <c r="A23" s="10" t="s">
        <v>68</v>
      </c>
      <c r="B23" s="11">
        <v>1.3368055555555555E-2</v>
      </c>
      <c r="C23" s="11"/>
      <c r="D23" s="11">
        <f>B23*E23</f>
        <v>7.7775347222222213E-3</v>
      </c>
      <c r="E23" s="12">
        <v>0.58179999999999998</v>
      </c>
      <c r="F23" s="11">
        <f>C23/4</f>
        <v>0</v>
      </c>
      <c r="G23" s="11">
        <f>D23/7.5</f>
        <v>1.0370046296296295E-3</v>
      </c>
      <c r="H23" s="11">
        <f>B23/12.5</f>
        <v>1.0694444444444445E-3</v>
      </c>
      <c r="I23" s="11">
        <f>G23/0.93</f>
        <v>1.1150587415372358E-3</v>
      </c>
      <c r="J23" s="11">
        <f>G23/0.92</f>
        <v>1.1271789452495973E-3</v>
      </c>
      <c r="K23" s="11">
        <f>G23/0.88</f>
        <v>1.1784143518518517E-3</v>
      </c>
      <c r="L23" s="11">
        <f>G23/0.84</f>
        <v>1.2345293209876543E-3</v>
      </c>
      <c r="M23" s="25">
        <f>WO2025Jan71081416182224283032343840424446485456586264666870727476681216182022[[#This Row],[Thresh]]</f>
        <v>1.1784143518518517E-3</v>
      </c>
      <c r="N23" s="28">
        <f>WO2025Jan71081416182224283032343840424446485456586264666870727476681216182022[[#This Row],[Thresh]]*3</f>
        <v>3.5352430555555554E-3</v>
      </c>
      <c r="O23" s="25"/>
      <c r="P23" s="28"/>
      <c r="Q23" s="25"/>
      <c r="R23" s="25"/>
      <c r="S23" s="25"/>
      <c r="T23" s="28"/>
      <c r="U23" s="11"/>
      <c r="V23" s="11"/>
      <c r="W23" s="15" t="s">
        <v>35</v>
      </c>
      <c r="X23" s="52"/>
    </row>
    <row r="24" spans="1:24" ht="21" customHeight="1">
      <c r="A24" s="10" t="s">
        <v>71</v>
      </c>
      <c r="B24" s="11">
        <v>1.3541666666666667E-2</v>
      </c>
      <c r="C24" s="11">
        <v>4.0509259259259257E-3</v>
      </c>
      <c r="D24" s="11">
        <f>B24*E24</f>
        <v>7.8785416666666674E-3</v>
      </c>
      <c r="E24" s="12">
        <v>0.58179999999999998</v>
      </c>
      <c r="F24" s="11">
        <f>C24/4</f>
        <v>1.0127314814814814E-3</v>
      </c>
      <c r="G24" s="11">
        <f>D24/7.5</f>
        <v>1.0504722222222224E-3</v>
      </c>
      <c r="H24" s="11">
        <f>B24/12.5</f>
        <v>1.0833333333333333E-3</v>
      </c>
      <c r="I24" s="11">
        <f>G24/0.93</f>
        <v>1.1295400238948627E-3</v>
      </c>
      <c r="J24" s="11">
        <f>G24/0.92</f>
        <v>1.1418176328502417E-3</v>
      </c>
      <c r="K24" s="11">
        <f>G24/0.88</f>
        <v>1.1937184343434346E-3</v>
      </c>
      <c r="L24" s="11">
        <f>G24/0.84</f>
        <v>1.2505621693121695E-3</v>
      </c>
      <c r="M24" s="25">
        <f>WO2025Jan71081416182224283032343840424446485456586264666870727476681216182022[[#This Row],[Thresh]]</f>
        <v>1.1937184343434346E-3</v>
      </c>
      <c r="N24" s="28">
        <f>WO2025Jan71081416182224283032343840424446485456586264666870727476681216182022[[#This Row],[Thresh]]*3</f>
        <v>3.5811553030303039E-3</v>
      </c>
      <c r="O24" s="25"/>
      <c r="P24" s="28"/>
      <c r="Q24" s="25"/>
      <c r="R24" s="25"/>
      <c r="S24" s="25"/>
      <c r="T24" s="28"/>
      <c r="U24" s="11"/>
      <c r="V24" s="38"/>
      <c r="W24" s="18" t="s">
        <v>35</v>
      </c>
      <c r="X24" s="52"/>
    </row>
    <row r="25" spans="1:24" ht="21" customHeight="1">
      <c r="A25" s="10" t="s">
        <v>72</v>
      </c>
      <c r="B25" s="11">
        <v>1.3541666666666667E-2</v>
      </c>
      <c r="C25" s="11">
        <v>4.0509259259259257E-3</v>
      </c>
      <c r="D25" s="11">
        <f t="shared" si="8"/>
        <v>7.8785416666666674E-3</v>
      </c>
      <c r="E25" s="12">
        <v>0.58179999999999998</v>
      </c>
      <c r="F25" s="11">
        <f t="shared" si="9"/>
        <v>1.0127314814814814E-3</v>
      </c>
      <c r="G25" s="11">
        <f t="shared" si="10"/>
        <v>1.0504722222222224E-3</v>
      </c>
      <c r="H25" s="11">
        <f t="shared" si="11"/>
        <v>1.0833333333333333E-3</v>
      </c>
      <c r="I25" s="11">
        <f t="shared" si="12"/>
        <v>1.1295400238948627E-3</v>
      </c>
      <c r="J25" s="11">
        <f t="shared" si="13"/>
        <v>1.1418176328502417E-3</v>
      </c>
      <c r="K25" s="11">
        <f t="shared" si="14"/>
        <v>1.1937184343434346E-3</v>
      </c>
      <c r="L25" s="11">
        <f t="shared" si="15"/>
        <v>1.2505621693121695E-3</v>
      </c>
      <c r="M25" s="25">
        <f>WO2025Jan71081416182224283032343840424446485456586264666870727476681216182022[[#This Row],[Thresh]]</f>
        <v>1.1937184343434346E-3</v>
      </c>
      <c r="N25" s="28">
        <f>WO2025Jan71081416182224283032343840424446485456586264666870727476681216182022[[#This Row],[Thresh]]*3</f>
        <v>3.5811553030303039E-3</v>
      </c>
      <c r="O25" s="25"/>
      <c r="P25" s="28"/>
      <c r="Q25" s="25"/>
      <c r="R25" s="25"/>
      <c r="S25" s="25"/>
      <c r="T25" s="28"/>
      <c r="U25" s="11"/>
      <c r="V25" s="28"/>
      <c r="W25" s="15" t="s">
        <v>35</v>
      </c>
      <c r="X25" s="52"/>
    </row>
    <row r="26" spans="1:24" ht="21" customHeight="1">
      <c r="A26" s="10" t="s">
        <v>73</v>
      </c>
      <c r="B26" s="11">
        <v>1.40625E-2</v>
      </c>
      <c r="C26" s="11">
        <v>4.3981481481481484E-3</v>
      </c>
      <c r="D26" s="11">
        <f t="shared" si="8"/>
        <v>8.1815624999999996E-3</v>
      </c>
      <c r="E26" s="12">
        <v>0.58179999999999998</v>
      </c>
      <c r="F26" s="11">
        <f t="shared" si="9"/>
        <v>1.0995370370370371E-3</v>
      </c>
      <c r="G26" s="11">
        <f t="shared" si="10"/>
        <v>1.090875E-3</v>
      </c>
      <c r="H26" s="11">
        <f t="shared" si="11"/>
        <v>1.1250000000000001E-3</v>
      </c>
      <c r="I26" s="11">
        <f t="shared" si="12"/>
        <v>1.172983870967742E-3</v>
      </c>
      <c r="J26" s="11">
        <f t="shared" si="13"/>
        <v>1.1857336956521739E-3</v>
      </c>
      <c r="K26" s="11">
        <f t="shared" si="14"/>
        <v>1.2396306818181818E-3</v>
      </c>
      <c r="L26" s="11">
        <f t="shared" si="15"/>
        <v>1.2986607142857144E-3</v>
      </c>
      <c r="M26" s="25">
        <f>WO2025Jan71081416182224283032343840424446485456586264666870727476681216182022[[#This Row],[Thresh]]</f>
        <v>1.2396306818181818E-3</v>
      </c>
      <c r="N26" s="28">
        <f>WO2025Jan71081416182224283032343840424446485456586264666870727476681216182022[[#This Row],[Thresh]]*3</f>
        <v>3.7188920454545452E-3</v>
      </c>
      <c r="O26" s="25"/>
      <c r="P26" s="28"/>
      <c r="Q26" s="25"/>
      <c r="R26" s="25"/>
      <c r="S26" s="25"/>
      <c r="T26" s="28"/>
      <c r="U26" s="11"/>
      <c r="V26" s="28"/>
      <c r="W26" s="15" t="s">
        <v>35</v>
      </c>
      <c r="X26" s="52"/>
    </row>
    <row r="27" spans="1:24" ht="21" customHeight="1">
      <c r="A27" s="10" t="s">
        <v>76</v>
      </c>
      <c r="B27" s="11">
        <v>1.40625E-2</v>
      </c>
      <c r="C27" s="11"/>
      <c r="D27" s="11">
        <f t="shared" si="8"/>
        <v>8.1815624999999996E-3</v>
      </c>
      <c r="E27" s="12">
        <v>0.58179999999999998</v>
      </c>
      <c r="F27" s="11">
        <f t="shared" si="9"/>
        <v>0</v>
      </c>
      <c r="G27" s="11">
        <f t="shared" si="10"/>
        <v>1.090875E-3</v>
      </c>
      <c r="H27" s="11">
        <f t="shared" si="11"/>
        <v>1.1250000000000001E-3</v>
      </c>
      <c r="I27" s="11">
        <f t="shared" si="12"/>
        <v>1.172983870967742E-3</v>
      </c>
      <c r="J27" s="11">
        <f t="shared" si="13"/>
        <v>1.1857336956521739E-3</v>
      </c>
      <c r="K27" s="11">
        <f t="shared" si="14"/>
        <v>1.2396306818181818E-3</v>
      </c>
      <c r="L27" s="11">
        <f t="shared" si="15"/>
        <v>1.2986607142857144E-3</v>
      </c>
      <c r="M27" s="25">
        <f>WO2025Jan71081416182224283032343840424446485456586264666870727476681216182022[[#This Row],[Thresh]]</f>
        <v>1.2396306818181818E-3</v>
      </c>
      <c r="N27" s="28">
        <f>WO2025Jan71081416182224283032343840424446485456586264666870727476681216182022[[#This Row],[Thresh]]*3</f>
        <v>3.7188920454545452E-3</v>
      </c>
      <c r="O27" s="25"/>
      <c r="P27" s="28"/>
      <c r="Q27" s="25"/>
      <c r="R27" s="25"/>
      <c r="S27" s="25"/>
      <c r="T27" s="28"/>
      <c r="U27" s="11"/>
      <c r="V27" s="28"/>
      <c r="W27" s="15" t="s">
        <v>35</v>
      </c>
      <c r="X27" s="52"/>
    </row>
    <row r="28" spans="1:24" ht="21" customHeight="1">
      <c r="A28" s="10"/>
      <c r="B28" s="11"/>
      <c r="C28" s="11"/>
      <c r="D28" s="11"/>
      <c r="E28" s="12"/>
      <c r="F28" s="11"/>
      <c r="G28" s="11"/>
      <c r="H28" s="11"/>
      <c r="I28" s="11"/>
      <c r="J28" s="11"/>
      <c r="K28" s="11"/>
      <c r="L28" s="11"/>
      <c r="M28" s="25"/>
      <c r="N28" s="28"/>
      <c r="O28" s="25"/>
      <c r="P28" s="11"/>
      <c r="Q28" s="14"/>
      <c r="R28" s="11"/>
      <c r="S28" s="14"/>
      <c r="T28" s="14"/>
      <c r="U28" s="14"/>
      <c r="V28" s="17"/>
      <c r="W28" s="18"/>
      <c r="X28" s="52"/>
    </row>
    <row r="29" spans="1:24" ht="21" customHeight="1">
      <c r="A29" s="10"/>
      <c r="B29" s="11"/>
      <c r="C29" s="11"/>
      <c r="D29" s="11"/>
      <c r="E29" s="12"/>
      <c r="F29" s="11"/>
      <c r="G29" s="11"/>
      <c r="H29" s="11"/>
      <c r="I29" s="11"/>
      <c r="J29" s="11"/>
      <c r="K29" s="11"/>
      <c r="L29" s="11"/>
      <c r="M29" s="45"/>
      <c r="N29" s="11"/>
      <c r="O29" s="11"/>
      <c r="P29" s="11"/>
      <c r="Q29" s="14"/>
      <c r="R29" s="11"/>
      <c r="S29" s="14"/>
      <c r="T29" s="11"/>
      <c r="U29" s="14"/>
      <c r="V29" s="17"/>
      <c r="W29" s="18"/>
      <c r="X29" s="52"/>
    </row>
    <row r="30" spans="1:24" ht="21" customHeight="1">
      <c r="A30" s="1" t="s">
        <v>265</v>
      </c>
      <c r="B30" s="6"/>
      <c r="C30" s="6"/>
      <c r="D30" s="6"/>
      <c r="E30" s="20"/>
      <c r="F30" s="6"/>
      <c r="G30" s="6"/>
      <c r="H30" s="6"/>
      <c r="I30" s="6"/>
      <c r="J30" s="6"/>
      <c r="K30" s="6"/>
      <c r="L30" s="6"/>
      <c r="M30" s="6" t="s">
        <v>12</v>
      </c>
      <c r="N30" s="6" t="s">
        <v>145</v>
      </c>
      <c r="O30" s="6" t="s">
        <v>153</v>
      </c>
      <c r="P30" s="6" t="s">
        <v>158</v>
      </c>
      <c r="Q30" s="6" t="s">
        <v>269</v>
      </c>
      <c r="R30" s="6" t="s">
        <v>42</v>
      </c>
      <c r="S30" s="6" t="s">
        <v>43</v>
      </c>
      <c r="T30" s="6" t="s">
        <v>44</v>
      </c>
      <c r="U30" s="6" t="s">
        <v>45</v>
      </c>
      <c r="V30" s="21"/>
      <c r="W30" s="35"/>
      <c r="X30" s="52"/>
    </row>
    <row r="31" spans="1:24" ht="21" customHeight="1">
      <c r="A31" s="10" t="s">
        <v>36</v>
      </c>
      <c r="B31" s="11">
        <v>1.2731481481481481E-2</v>
      </c>
      <c r="C31" s="11">
        <v>3.6458333333333334E-3</v>
      </c>
      <c r="D31" s="11">
        <f t="shared" ref="D31:D38" si="16">B31*E31</f>
        <v>7.4071759259259256E-3</v>
      </c>
      <c r="E31" s="12">
        <v>0.58179999999999998</v>
      </c>
      <c r="F31" s="11">
        <f t="shared" ref="F31:F38" si="17">C31/4</f>
        <v>9.1145833333333335E-4</v>
      </c>
      <c r="G31" s="11">
        <f t="shared" ref="G31:G38" si="18">D31/7.5</f>
        <v>9.8762345679012349E-4</v>
      </c>
      <c r="H31" s="11">
        <f t="shared" ref="H31:H38" si="19">B31/12.5</f>
        <v>1.0185185185185184E-3</v>
      </c>
      <c r="I31" s="11">
        <f t="shared" ref="I31:I38" si="20">G31/0.93</f>
        <v>1.0619607062259391E-3</v>
      </c>
      <c r="J31" s="11">
        <f t="shared" ref="J31:J38" si="21">G31/0.92</f>
        <v>1.073503757380569E-3</v>
      </c>
      <c r="K31" s="11">
        <f t="shared" ref="K31:K38" si="22">G31/0.88</f>
        <v>1.1222993827160494E-3</v>
      </c>
      <c r="L31" s="11">
        <f t="shared" ref="L31:L38" si="23">G31/0.84</f>
        <v>1.1757422104644328E-3</v>
      </c>
      <c r="M31" s="25">
        <f>WO2025Jan71081416182224283032343840424446485456586264666870727476681216182022[[#This Row],[Thresh]]</f>
        <v>1.1222993827160494E-3</v>
      </c>
      <c r="N31" s="28">
        <f>WO2025Jan71081416182224283032343840424446485456586264666870727476681216182022[[#This Row],[Thresh]]*1.5</f>
        <v>1.6834490740740742E-3</v>
      </c>
      <c r="O31" s="25">
        <f>WO2025Jan71081416182224283032343840424446485456586264666870727476681216182022[[#This Row],[R]]/2</f>
        <v>4.5572916666666667E-4</v>
      </c>
      <c r="P31" s="28">
        <f>WO2025Jan71081416182224283032343840424446485456586264666870727476681216182022[[#This Row],[VO2]]</f>
        <v>9.8762345679012349E-4</v>
      </c>
      <c r="Q31" s="25">
        <f>WO2025Jan71081416182224283032343840424446485456586264666870727476681216182022[[#This Row],[R]]/2</f>
        <v>4.5572916666666667E-4</v>
      </c>
      <c r="R31" s="25">
        <f>WO2025Jan71081416182224283032343840424446485456586264666870727476681216182022[[#This Row],[R]]/2-0.0000115740740740741</f>
        <v>4.4415509259259256E-4</v>
      </c>
      <c r="S31" s="25">
        <f>WO2025Jan71081416182224283032343840424446485456586264666870727476681216182022[[#This Row],[R]]/2-(0.0000115740740740741*2)</f>
        <v>4.3258101851851845E-4</v>
      </c>
      <c r="T31" s="25">
        <f>WO2025Jan71081416182224283032343840424446485456586264666870727476681216182022[[#This Row],[R]]/2-(0.0000115740740740741*3)</f>
        <v>4.2100694444444439E-4</v>
      </c>
      <c r="U31" s="25">
        <f>WO2025Jan71081416182224283032343840424446485456586264666870727476681216182022[[#This Row],[R]]/2-(0.0000115740740740741*4)</f>
        <v>4.0943287037037028E-4</v>
      </c>
      <c r="V31" s="25"/>
      <c r="W31" s="15" t="s">
        <v>48</v>
      </c>
      <c r="X31" s="52" t="s">
        <v>270</v>
      </c>
    </row>
    <row r="32" spans="1:24" ht="21" customHeight="1">
      <c r="A32" s="10" t="s">
        <v>66</v>
      </c>
      <c r="B32" s="11">
        <v>1.2731481481481481E-2</v>
      </c>
      <c r="C32" s="11">
        <v>3.6458333333333334E-3</v>
      </c>
      <c r="D32" s="11">
        <f>B32*E32</f>
        <v>7.4071759259259256E-3</v>
      </c>
      <c r="E32" s="12">
        <v>0.58179999999999998</v>
      </c>
      <c r="F32" s="11">
        <f>C32/4</f>
        <v>9.1145833333333335E-4</v>
      </c>
      <c r="G32" s="11">
        <f>D32/7.5</f>
        <v>9.8762345679012349E-4</v>
      </c>
      <c r="H32" s="11">
        <f>B32/12.5</f>
        <v>1.0185185185185184E-3</v>
      </c>
      <c r="I32" s="11">
        <f>G32/0.93</f>
        <v>1.0619607062259391E-3</v>
      </c>
      <c r="J32" s="11">
        <f>G32/0.92</f>
        <v>1.073503757380569E-3</v>
      </c>
      <c r="K32" s="11">
        <f>G32/0.88</f>
        <v>1.1222993827160494E-3</v>
      </c>
      <c r="L32" s="17">
        <f>G32/0.84</f>
        <v>1.1757422104644328E-3</v>
      </c>
      <c r="M32" s="25">
        <f>WO2025Jan71081416182224283032343840424446485456586264666870727476681216182022[[#This Row],[Thresh]]</f>
        <v>1.1222993827160494E-3</v>
      </c>
      <c r="N32" s="28">
        <f>WO2025Jan71081416182224283032343840424446485456586264666870727476681216182022[[#This Row],[Thresh]]*1.5</f>
        <v>1.6834490740740742E-3</v>
      </c>
      <c r="O32" s="25">
        <f>WO2025Jan71081416182224283032343840424446485456586264666870727476681216182022[[#This Row],[R]]/2</f>
        <v>4.5572916666666667E-4</v>
      </c>
      <c r="P32" s="28">
        <f>WO2025Jan71081416182224283032343840424446485456586264666870727476681216182022[[#This Row],[VO2]]</f>
        <v>9.8762345679012349E-4</v>
      </c>
      <c r="Q32" s="25">
        <f>WO2025Jan71081416182224283032343840424446485456586264666870727476681216182022[[#This Row],[R]]/2</f>
        <v>4.5572916666666667E-4</v>
      </c>
      <c r="R32" s="25">
        <f>WO2025Jan71081416182224283032343840424446485456586264666870727476681216182022[[#This Row],[R]]/2-0.0000115740740740741</f>
        <v>4.4415509259259256E-4</v>
      </c>
      <c r="S32" s="25">
        <f>WO2025Jan71081416182224283032343840424446485456586264666870727476681216182022[[#This Row],[R]]/2-(0.0000115740740740741*2)</f>
        <v>4.3258101851851845E-4</v>
      </c>
      <c r="T32" s="25">
        <f>WO2025Jan71081416182224283032343840424446485456586264666870727476681216182022[[#This Row],[R]]/2-(0.0000115740740740741*3)</f>
        <v>4.2100694444444439E-4</v>
      </c>
      <c r="U32" s="25">
        <f>WO2025Jan71081416182224283032343840424446485456586264666870727476681216182022[[#This Row],[R]]/2-(0.0000115740740740741*4)</f>
        <v>4.0943287037037028E-4</v>
      </c>
      <c r="V32" s="25"/>
      <c r="W32" s="15" t="s">
        <v>48</v>
      </c>
      <c r="X32" s="52"/>
    </row>
    <row r="33" spans="1:24" ht="21" customHeight="1">
      <c r="A33" s="10" t="s">
        <v>53</v>
      </c>
      <c r="B33" s="11">
        <v>1.2731481481481481E-2</v>
      </c>
      <c r="C33" s="11">
        <v>3.7615740740740739E-3</v>
      </c>
      <c r="D33" s="11">
        <f t="shared" si="16"/>
        <v>7.4071759259259256E-3</v>
      </c>
      <c r="E33" s="12">
        <v>0.58179999999999998</v>
      </c>
      <c r="F33" s="11">
        <f t="shared" si="17"/>
        <v>9.4039351851851847E-4</v>
      </c>
      <c r="G33" s="11">
        <f t="shared" si="18"/>
        <v>9.8762345679012349E-4</v>
      </c>
      <c r="H33" s="11">
        <f t="shared" si="19"/>
        <v>1.0185185185185184E-3</v>
      </c>
      <c r="I33" s="11">
        <f t="shared" si="20"/>
        <v>1.0619607062259391E-3</v>
      </c>
      <c r="J33" s="11">
        <f t="shared" si="21"/>
        <v>1.073503757380569E-3</v>
      </c>
      <c r="K33" s="11">
        <f t="shared" si="22"/>
        <v>1.1222993827160494E-3</v>
      </c>
      <c r="L33" s="11">
        <f t="shared" si="23"/>
        <v>1.1757422104644328E-3</v>
      </c>
      <c r="M33" s="25">
        <f>WO2025Jan71081416182224283032343840424446485456586264666870727476681216182022[[#This Row],[Thresh]]</f>
        <v>1.1222993827160494E-3</v>
      </c>
      <c r="N33" s="28">
        <f>WO2025Jan71081416182224283032343840424446485456586264666870727476681216182022[[#This Row],[Thresh]]*1.5</f>
        <v>1.6834490740740742E-3</v>
      </c>
      <c r="O33" s="25">
        <f>WO2025Jan71081416182224283032343840424446485456586264666870727476681216182022[[#This Row],[R]]/2</f>
        <v>4.7019675925925923E-4</v>
      </c>
      <c r="P33" s="28">
        <f>WO2025Jan71081416182224283032343840424446485456586264666870727476681216182022[[#This Row],[VO2]]</f>
        <v>9.8762345679012349E-4</v>
      </c>
      <c r="Q33" s="25">
        <f>WO2025Jan71081416182224283032343840424446485456586264666870727476681216182022[[#This Row],[R]]/2</f>
        <v>4.7019675925925923E-4</v>
      </c>
      <c r="R33" s="25">
        <f>WO2025Jan71081416182224283032343840424446485456586264666870727476681216182022[[#This Row],[R]]/2-0.0000115740740740741</f>
        <v>4.5862268518518512E-4</v>
      </c>
      <c r="S33" s="25">
        <f>WO2025Jan71081416182224283032343840424446485456586264666870727476681216182022[[#This Row],[R]]/2-(0.0000115740740740741*2)</f>
        <v>4.4704861111111101E-4</v>
      </c>
      <c r="T33" s="25">
        <f>WO2025Jan71081416182224283032343840424446485456586264666870727476681216182022[[#This Row],[R]]/2-(0.0000115740740740741*3)</f>
        <v>4.3547453703703695E-4</v>
      </c>
      <c r="U33" s="25">
        <f>WO2025Jan71081416182224283032343840424446485456586264666870727476681216182022[[#This Row],[R]]/2-(0.0000115740740740741*4)</f>
        <v>4.2390046296296284E-4</v>
      </c>
      <c r="V33" s="25"/>
      <c r="W33" s="18" t="s">
        <v>48</v>
      </c>
      <c r="X33" s="52"/>
    </row>
    <row r="34" spans="1:24" ht="21" customHeight="1">
      <c r="A34" s="10" t="s">
        <v>74</v>
      </c>
      <c r="B34" s="11">
        <v>1.3020833333333334E-2</v>
      </c>
      <c r="C34" s="11">
        <v>3.7037037037037038E-3</v>
      </c>
      <c r="D34" s="11">
        <f t="shared" si="16"/>
        <v>7.5755208333333334E-3</v>
      </c>
      <c r="E34" s="12">
        <v>0.58179999999999998</v>
      </c>
      <c r="F34" s="11">
        <f t="shared" si="17"/>
        <v>9.2592592592592596E-4</v>
      </c>
      <c r="G34" s="11">
        <f t="shared" si="18"/>
        <v>1.0100694444444445E-3</v>
      </c>
      <c r="H34" s="11">
        <f t="shared" si="19"/>
        <v>1.0416666666666667E-3</v>
      </c>
      <c r="I34" s="11">
        <f t="shared" si="20"/>
        <v>1.0860961768219832E-3</v>
      </c>
      <c r="J34" s="11">
        <f t="shared" si="21"/>
        <v>1.0979015700483092E-3</v>
      </c>
      <c r="K34" s="11">
        <f t="shared" si="22"/>
        <v>1.1478061868686869E-3</v>
      </c>
      <c r="L34" s="11">
        <f t="shared" si="23"/>
        <v>1.2024636243386244E-3</v>
      </c>
      <c r="M34" s="25">
        <f>WO2025Jan71081416182224283032343840424446485456586264666870727476681216182022[[#This Row],[Thresh]]</f>
        <v>1.1478061868686869E-3</v>
      </c>
      <c r="N34" s="28">
        <f>WO2025Jan71081416182224283032343840424446485456586264666870727476681216182022[[#This Row],[Thresh]]*1.5</f>
        <v>1.7217092803030304E-3</v>
      </c>
      <c r="O34" s="25">
        <f>WO2025Jan71081416182224283032343840424446485456586264666870727476681216182022[[#This Row],[R]]/2</f>
        <v>4.6296296296296298E-4</v>
      </c>
      <c r="P34" s="28">
        <f>WO2025Jan71081416182224283032343840424446485456586264666870727476681216182022[[#This Row],[VO2]]</f>
        <v>1.0100694444444445E-3</v>
      </c>
      <c r="Q34" s="25">
        <f>WO2025Jan71081416182224283032343840424446485456586264666870727476681216182022[[#This Row],[R]]/2</f>
        <v>4.6296296296296298E-4</v>
      </c>
      <c r="R34" s="25">
        <f>WO2025Jan71081416182224283032343840424446485456586264666870727476681216182022[[#This Row],[R]]/2-0.0000115740740740741</f>
        <v>4.5138888888888887E-4</v>
      </c>
      <c r="S34" s="25">
        <f>WO2025Jan71081416182224283032343840424446485456586264666870727476681216182022[[#This Row],[R]]/2-(0.0000115740740740741*2)</f>
        <v>4.3981481481481476E-4</v>
      </c>
      <c r="T34" s="25">
        <f>WO2025Jan71081416182224283032343840424446485456586264666870727476681216182022[[#This Row],[R]]/2-(0.0000115740740740741*3)</f>
        <v>4.282407407407407E-4</v>
      </c>
      <c r="U34" s="25">
        <f>WO2025Jan71081416182224283032343840424446485456586264666870727476681216182022[[#This Row],[R]]/2-(0.0000115740740740741*4)</f>
        <v>4.1666666666666658E-4</v>
      </c>
      <c r="V34" s="25"/>
      <c r="W34" s="15" t="s">
        <v>48</v>
      </c>
      <c r="X34" s="52"/>
    </row>
    <row r="35" spans="1:24" ht="21" customHeight="1">
      <c r="A35" s="10" t="s">
        <v>50</v>
      </c>
      <c r="B35" s="11">
        <v>1.3020833333333334E-2</v>
      </c>
      <c r="C35" s="11">
        <v>3.7037037037037038E-3</v>
      </c>
      <c r="D35" s="11">
        <f t="shared" si="16"/>
        <v>7.5755208333333334E-3</v>
      </c>
      <c r="E35" s="12">
        <v>0.58179999999999998</v>
      </c>
      <c r="F35" s="11">
        <f t="shared" si="17"/>
        <v>9.2592592592592596E-4</v>
      </c>
      <c r="G35" s="11">
        <f t="shared" si="18"/>
        <v>1.0100694444444445E-3</v>
      </c>
      <c r="H35" s="11">
        <f t="shared" si="19"/>
        <v>1.0416666666666667E-3</v>
      </c>
      <c r="I35" s="11">
        <f t="shared" si="20"/>
        <v>1.0860961768219832E-3</v>
      </c>
      <c r="J35" s="11">
        <f t="shared" si="21"/>
        <v>1.0979015700483092E-3</v>
      </c>
      <c r="K35" s="11">
        <f t="shared" si="22"/>
        <v>1.1478061868686869E-3</v>
      </c>
      <c r="L35" s="11">
        <f t="shared" si="23"/>
        <v>1.2024636243386244E-3</v>
      </c>
      <c r="M35" s="25">
        <f>WO2025Jan71081416182224283032343840424446485456586264666870727476681216182022[[#This Row],[Thresh]]</f>
        <v>1.1478061868686869E-3</v>
      </c>
      <c r="N35" s="28">
        <f>WO2025Jan71081416182224283032343840424446485456586264666870727476681216182022[[#This Row],[Thresh]]*1.5</f>
        <v>1.7217092803030304E-3</v>
      </c>
      <c r="O35" s="25">
        <f>WO2025Jan71081416182224283032343840424446485456586264666870727476681216182022[[#This Row],[R]]/2</f>
        <v>4.6296296296296298E-4</v>
      </c>
      <c r="P35" s="28">
        <f>WO2025Jan71081416182224283032343840424446485456586264666870727476681216182022[[#This Row],[VO2]]</f>
        <v>1.0100694444444445E-3</v>
      </c>
      <c r="Q35" s="25">
        <f>WO2025Jan71081416182224283032343840424446485456586264666870727476681216182022[[#This Row],[R]]/2</f>
        <v>4.6296296296296298E-4</v>
      </c>
      <c r="R35" s="25">
        <f>WO2025Jan71081416182224283032343840424446485456586264666870727476681216182022[[#This Row],[R]]/2-0.0000115740740740741</f>
        <v>4.5138888888888887E-4</v>
      </c>
      <c r="S35" s="25">
        <f>WO2025Jan71081416182224283032343840424446485456586264666870727476681216182022[[#This Row],[R]]/2-(0.0000115740740740741*2)</f>
        <v>4.3981481481481476E-4</v>
      </c>
      <c r="T35" s="25">
        <f>WO2025Jan71081416182224283032343840424446485456586264666870727476681216182022[[#This Row],[R]]/2-(0.0000115740740740741*3)</f>
        <v>4.282407407407407E-4</v>
      </c>
      <c r="U35" s="25">
        <f>WO2025Jan71081416182224283032343840424446485456586264666870727476681216182022[[#This Row],[R]]/2-(0.0000115740740740741*4)</f>
        <v>4.1666666666666658E-4</v>
      </c>
      <c r="V35" s="25"/>
      <c r="W35" s="15" t="s">
        <v>48</v>
      </c>
      <c r="X35" s="52"/>
    </row>
    <row r="36" spans="1:24" ht="21" customHeight="1">
      <c r="A36" s="10" t="s">
        <v>47</v>
      </c>
      <c r="B36" s="11">
        <v>1.3020833333333334E-2</v>
      </c>
      <c r="C36" s="11">
        <v>3.7037037037037038E-3</v>
      </c>
      <c r="D36" s="11">
        <f t="shared" si="16"/>
        <v>7.5755208333333334E-3</v>
      </c>
      <c r="E36" s="12">
        <v>0.58179999999999998</v>
      </c>
      <c r="F36" s="11">
        <f t="shared" si="17"/>
        <v>9.2592592592592596E-4</v>
      </c>
      <c r="G36" s="11">
        <f t="shared" si="18"/>
        <v>1.0100694444444445E-3</v>
      </c>
      <c r="H36" s="11">
        <f t="shared" si="19"/>
        <v>1.0416666666666667E-3</v>
      </c>
      <c r="I36" s="11">
        <f t="shared" si="20"/>
        <v>1.0860961768219832E-3</v>
      </c>
      <c r="J36" s="11">
        <f t="shared" si="21"/>
        <v>1.0979015700483092E-3</v>
      </c>
      <c r="K36" s="11">
        <f t="shared" si="22"/>
        <v>1.1478061868686869E-3</v>
      </c>
      <c r="L36" s="11">
        <f t="shared" si="23"/>
        <v>1.2024636243386244E-3</v>
      </c>
      <c r="M36" s="25">
        <f>WO2025Jan71081416182224283032343840424446485456586264666870727476681216182022[[#This Row],[Thresh]]</f>
        <v>1.1478061868686869E-3</v>
      </c>
      <c r="N36" s="28">
        <f>WO2025Jan71081416182224283032343840424446485456586264666870727476681216182022[[#This Row],[Thresh]]*1.5</f>
        <v>1.7217092803030304E-3</v>
      </c>
      <c r="O36" s="25">
        <f>WO2025Jan71081416182224283032343840424446485456586264666870727476681216182022[[#This Row],[R]]/2</f>
        <v>4.6296296296296298E-4</v>
      </c>
      <c r="P36" s="28">
        <f>WO2025Jan71081416182224283032343840424446485456586264666870727476681216182022[[#This Row],[VO2]]</f>
        <v>1.0100694444444445E-3</v>
      </c>
      <c r="Q36" s="25">
        <f>WO2025Jan71081416182224283032343840424446485456586264666870727476681216182022[[#This Row],[R]]/2</f>
        <v>4.6296296296296298E-4</v>
      </c>
      <c r="R36" s="25">
        <f>WO2025Jan71081416182224283032343840424446485456586264666870727476681216182022[[#This Row],[R]]/2-0.0000115740740740741</f>
        <v>4.5138888888888887E-4</v>
      </c>
      <c r="S36" s="25">
        <f>WO2025Jan71081416182224283032343840424446485456586264666870727476681216182022[[#This Row],[R]]/2-(0.0000115740740740741*2)</f>
        <v>4.3981481481481476E-4</v>
      </c>
      <c r="T36" s="25">
        <f>WO2025Jan71081416182224283032343840424446485456586264666870727476681216182022[[#This Row],[R]]/2-(0.0000115740740740741*3)</f>
        <v>4.282407407407407E-4</v>
      </c>
      <c r="U36" s="25">
        <f>WO2025Jan71081416182224283032343840424446485456586264666870727476681216182022[[#This Row],[R]]/2-(0.0000115740740740741*4)</f>
        <v>4.1666666666666658E-4</v>
      </c>
      <c r="V36" s="25"/>
      <c r="W36" s="15" t="s">
        <v>48</v>
      </c>
      <c r="X36" s="52"/>
    </row>
    <row r="37" spans="1:24" ht="21" customHeight="1">
      <c r="A37" s="10" t="s">
        <v>75</v>
      </c>
      <c r="B37" s="11">
        <v>1.3541666666666667E-2</v>
      </c>
      <c r="C37" s="11">
        <v>3.8194444444444443E-3</v>
      </c>
      <c r="D37" s="11">
        <f>B37*E37</f>
        <v>7.8785416666666674E-3</v>
      </c>
      <c r="E37" s="12">
        <v>0.58179999999999998</v>
      </c>
      <c r="F37" s="11">
        <f>C37/4</f>
        <v>9.5486111111111108E-4</v>
      </c>
      <c r="G37" s="11">
        <f>D37/7.5</f>
        <v>1.0504722222222224E-3</v>
      </c>
      <c r="H37" s="11">
        <f>B37/12.5</f>
        <v>1.0833333333333333E-3</v>
      </c>
      <c r="I37" s="11">
        <f>G37/0.93</f>
        <v>1.1295400238948627E-3</v>
      </c>
      <c r="J37" s="11">
        <f>G37/0.92</f>
        <v>1.1418176328502417E-3</v>
      </c>
      <c r="K37" s="11">
        <f>G37/0.88</f>
        <v>1.1937184343434346E-3</v>
      </c>
      <c r="L37" s="11">
        <f>G37/0.84</f>
        <v>1.2505621693121695E-3</v>
      </c>
      <c r="M37" s="25">
        <f>WO2025Jan71081416182224283032343840424446485456586264666870727476681216182022[[#This Row],[Thresh]]</f>
        <v>1.1937184343434346E-3</v>
      </c>
      <c r="N37" s="28">
        <f>WO2025Jan71081416182224283032343840424446485456586264666870727476681216182022[[#This Row],[Thresh]]*1.5</f>
        <v>1.790577651515152E-3</v>
      </c>
      <c r="O37" s="25">
        <f>WO2025Jan71081416182224283032343840424446485456586264666870727476681216182022[[#This Row],[R]]/2</f>
        <v>4.7743055555555554E-4</v>
      </c>
      <c r="P37" s="28">
        <f>WO2025Jan71081416182224283032343840424446485456586264666870727476681216182022[[#This Row],[VO2]]</f>
        <v>1.0504722222222224E-3</v>
      </c>
      <c r="Q37" s="25">
        <f>WO2025Jan71081416182224283032343840424446485456586264666870727476681216182022[[#This Row],[R]]/2</f>
        <v>4.7743055555555554E-4</v>
      </c>
      <c r="R37" s="25">
        <f>WO2025Jan71081416182224283032343840424446485456586264666870727476681216182022[[#This Row],[R]]/2-0.0000115740740740741</f>
        <v>4.6585648148148143E-4</v>
      </c>
      <c r="S37" s="25">
        <f>WO2025Jan71081416182224283032343840424446485456586264666870727476681216182022[[#This Row],[R]]/2-(0.0000115740740740741*2)</f>
        <v>4.5428240740740731E-4</v>
      </c>
      <c r="T37" s="25">
        <f>WO2025Jan71081416182224283032343840424446485456586264666870727476681216182022[[#This Row],[R]]/2-(0.0000115740740740741*3)</f>
        <v>4.4270833333333326E-4</v>
      </c>
      <c r="U37" s="25">
        <f>WO2025Jan71081416182224283032343840424446485456586264666870727476681216182022[[#This Row],[R]]/2-(0.0000115740740740741*4)</f>
        <v>4.3113425925925914E-4</v>
      </c>
      <c r="V37" s="25"/>
      <c r="W37" s="15" t="s">
        <v>48</v>
      </c>
      <c r="X37" s="52"/>
    </row>
    <row r="38" spans="1:24" ht="21" customHeight="1">
      <c r="A38" s="10" t="s">
        <v>198</v>
      </c>
      <c r="B38" s="11">
        <v>1.4583333333333334E-2</v>
      </c>
      <c r="C38" s="11">
        <v>4.1666666666666666E-3</v>
      </c>
      <c r="D38" s="11">
        <f t="shared" si="16"/>
        <v>8.4845833333333336E-3</v>
      </c>
      <c r="E38" s="12">
        <v>0.58179999999999998</v>
      </c>
      <c r="F38" s="11">
        <f t="shared" si="17"/>
        <v>1.0416666666666667E-3</v>
      </c>
      <c r="G38" s="11">
        <f t="shared" si="18"/>
        <v>1.1312777777777777E-3</v>
      </c>
      <c r="H38" s="11">
        <f t="shared" si="19"/>
        <v>1.1666666666666668E-3</v>
      </c>
      <c r="I38" s="11">
        <f t="shared" si="20"/>
        <v>1.2164277180406211E-3</v>
      </c>
      <c r="J38" s="11">
        <f t="shared" si="21"/>
        <v>1.2296497584541061E-3</v>
      </c>
      <c r="K38" s="11">
        <f t="shared" si="22"/>
        <v>1.2855429292929293E-3</v>
      </c>
      <c r="L38" s="11">
        <f t="shared" si="23"/>
        <v>1.3467592592592591E-3</v>
      </c>
      <c r="M38" s="25">
        <f>WO2025Jan71081416182224283032343840424446485456586264666870727476681216182022[[#This Row],[Thresh]]</f>
        <v>1.2855429292929293E-3</v>
      </c>
      <c r="N38" s="28">
        <f>WO2025Jan71081416182224283032343840424446485456586264666870727476681216182022[[#This Row],[Thresh]]*1.5</f>
        <v>1.9283143939393939E-3</v>
      </c>
      <c r="O38" s="25">
        <f>WO2025Jan71081416182224283032343840424446485456586264666870727476681216182022[[#This Row],[R]]/2</f>
        <v>5.2083333333333333E-4</v>
      </c>
      <c r="P38" s="28">
        <f>WO2025Jan71081416182224283032343840424446485456586264666870727476681216182022[[#This Row],[VO2]]</f>
        <v>1.1312777777777777E-3</v>
      </c>
      <c r="Q38" s="25">
        <f>WO2025Jan71081416182224283032343840424446485456586264666870727476681216182022[[#This Row],[R]]/2</f>
        <v>5.2083333333333333E-4</v>
      </c>
      <c r="R38" s="25">
        <f>WO2025Jan71081416182224283032343840424446485456586264666870727476681216182022[[#This Row],[R]]/2-0.0000115740740740741</f>
        <v>5.0925925925925921E-4</v>
      </c>
      <c r="S38" s="25">
        <f>WO2025Jan71081416182224283032343840424446485456586264666870727476681216182022[[#This Row],[R]]/2-(0.0000115740740740741*2)</f>
        <v>4.976851851851851E-4</v>
      </c>
      <c r="T38" s="25">
        <f>WO2025Jan71081416182224283032343840424446485456586264666870727476681216182022[[#This Row],[R]]/2-(0.0000115740740740741*3)</f>
        <v>4.8611111111111104E-4</v>
      </c>
      <c r="U38" s="25">
        <f>WO2025Jan71081416182224283032343840424446485456586264666870727476681216182022[[#This Row],[R]]/2-(0.0000115740740740741*4)</f>
        <v>4.7453703703703693E-4</v>
      </c>
      <c r="V38" s="25"/>
      <c r="W38" s="15" t="s">
        <v>48</v>
      </c>
      <c r="X38" s="52"/>
    </row>
    <row r="39" spans="1:24" ht="21" customHeight="1">
      <c r="A39" s="10"/>
      <c r="B39" s="11"/>
      <c r="C39" s="11"/>
      <c r="D39" s="11"/>
      <c r="E39" s="12"/>
      <c r="F39" s="11"/>
      <c r="G39" s="11"/>
      <c r="H39" s="11"/>
      <c r="I39" s="11"/>
      <c r="J39" s="11"/>
      <c r="K39" s="11"/>
      <c r="L39" s="11"/>
      <c r="M39" s="25"/>
      <c r="N39" s="28"/>
      <c r="O39" s="25"/>
      <c r="P39" s="28"/>
      <c r="Q39" s="25"/>
      <c r="R39" s="11"/>
      <c r="S39" s="14"/>
      <c r="T39" s="11"/>
      <c r="U39" s="11"/>
      <c r="V39" s="17"/>
      <c r="W39" s="18"/>
      <c r="X39" s="52"/>
    </row>
    <row r="40" spans="1:24" ht="21" customHeight="1">
      <c r="A40" s="19"/>
      <c r="B40" s="6"/>
      <c r="C40" s="6"/>
      <c r="D40" s="6"/>
      <c r="E40" s="20"/>
      <c r="F40" s="6"/>
      <c r="G40" s="6"/>
      <c r="H40" s="6"/>
      <c r="I40" s="6"/>
      <c r="J40" s="6"/>
      <c r="K40" s="6"/>
      <c r="L40" s="6"/>
      <c r="M40" s="6"/>
      <c r="N40" s="6"/>
      <c r="O40" s="6"/>
      <c r="P40" s="6"/>
      <c r="Q40" s="6"/>
      <c r="R40" s="6"/>
      <c r="S40" s="6"/>
      <c r="T40" s="6"/>
      <c r="U40" s="6"/>
      <c r="V40" s="6"/>
      <c r="W40" s="35"/>
      <c r="X40" s="52"/>
    </row>
    <row r="41" spans="1:24" ht="21" customHeight="1">
      <c r="A41" s="10" t="s">
        <v>61</v>
      </c>
      <c r="B41" s="11">
        <v>1.4583333333333334E-2</v>
      </c>
      <c r="C41" s="11">
        <v>4.3981481481481484E-3</v>
      </c>
      <c r="D41" s="11">
        <f>B41*E41</f>
        <v>8.4845833333333336E-3</v>
      </c>
      <c r="E41" s="12">
        <v>0.58179999999999998</v>
      </c>
      <c r="F41" s="11">
        <f>C41/4</f>
        <v>1.0995370370370371E-3</v>
      </c>
      <c r="G41" s="11">
        <f>D41/7.5</f>
        <v>1.1312777777777777E-3</v>
      </c>
      <c r="H41" s="11">
        <f>B41/12.5</f>
        <v>1.1666666666666668E-3</v>
      </c>
      <c r="I41" s="11">
        <f>G41/0.93</f>
        <v>1.2164277180406211E-3</v>
      </c>
      <c r="J41" s="11">
        <f>G41/0.92</f>
        <v>1.2296497584541061E-3</v>
      </c>
      <c r="K41" s="11">
        <f>G41/0.88</f>
        <v>1.2855429292929293E-3</v>
      </c>
      <c r="L41" s="11">
        <f>G41/0.84</f>
        <v>1.3467592592592591E-3</v>
      </c>
      <c r="M41" s="25"/>
      <c r="N41" s="28"/>
      <c r="O41" s="25"/>
      <c r="P41" s="25"/>
      <c r="Q41" s="25"/>
      <c r="R41" s="25"/>
      <c r="S41" s="28"/>
      <c r="T41" s="28"/>
      <c r="U41" s="28"/>
      <c r="V41" s="28"/>
      <c r="W41" s="15" t="s">
        <v>52</v>
      </c>
      <c r="X41" s="52"/>
    </row>
    <row r="42" spans="1:24" ht="21" customHeight="1">
      <c r="A42" s="10" t="s">
        <v>57</v>
      </c>
      <c r="B42" s="11"/>
      <c r="C42" s="11"/>
      <c r="D42" s="11"/>
      <c r="E42" s="12"/>
      <c r="F42" s="11"/>
      <c r="G42" s="11"/>
      <c r="H42" s="11"/>
      <c r="I42" s="11"/>
      <c r="J42" s="11"/>
      <c r="K42" s="11"/>
      <c r="L42" s="11"/>
      <c r="M42" s="25"/>
      <c r="N42" s="28"/>
      <c r="O42" s="25"/>
      <c r="P42" s="28"/>
      <c r="Q42" s="25"/>
      <c r="R42" s="28"/>
      <c r="S42" s="28"/>
      <c r="T42" s="11"/>
      <c r="U42" s="11"/>
      <c r="V42" s="11"/>
      <c r="W42" s="15" t="s">
        <v>52</v>
      </c>
      <c r="X42" s="52"/>
    </row>
    <row r="43" spans="1:24" ht="21" customHeight="1">
      <c r="A43" s="39"/>
      <c r="B43" s="40"/>
      <c r="C43" s="40"/>
      <c r="D43" s="40"/>
      <c r="E43" s="41"/>
      <c r="F43" s="40"/>
      <c r="G43" s="40"/>
      <c r="H43" s="40"/>
      <c r="I43" s="40"/>
      <c r="J43" s="40"/>
      <c r="K43" s="40"/>
      <c r="L43" s="40"/>
      <c r="M43" s="40" t="s">
        <v>39</v>
      </c>
      <c r="N43" s="40"/>
      <c r="O43" s="40"/>
      <c r="P43" s="40"/>
      <c r="Q43" s="40"/>
      <c r="R43" s="40"/>
      <c r="S43" s="40"/>
      <c r="T43" s="40"/>
      <c r="U43" s="40"/>
      <c r="V43" s="40"/>
      <c r="W43" s="42"/>
      <c r="X43" s="52"/>
    </row>
    <row r="44" spans="1:24" ht="21" customHeight="1">
      <c r="A44" s="10"/>
      <c r="B44" s="11"/>
      <c r="C44" s="11"/>
      <c r="D44" s="11"/>
      <c r="E44" s="12"/>
      <c r="F44" s="11"/>
      <c r="G44" s="11"/>
      <c r="H44" s="11"/>
      <c r="I44" s="11"/>
      <c r="J44" s="11"/>
      <c r="K44" s="11"/>
      <c r="L44" s="11"/>
      <c r="M44" s="13"/>
      <c r="N44" s="11"/>
      <c r="O44" s="11"/>
      <c r="P44" s="11"/>
      <c r="Q44" s="14"/>
      <c r="R44" s="11"/>
      <c r="S44" s="14"/>
      <c r="T44" s="14"/>
      <c r="U44" s="14"/>
      <c r="V44" s="17"/>
      <c r="W44" s="18"/>
      <c r="X44" s="52"/>
    </row>
    <row r="45" spans="1:24" ht="21" customHeight="1">
      <c r="A45" s="39"/>
      <c r="B45" s="40"/>
      <c r="C45" s="40"/>
      <c r="D45" s="40"/>
      <c r="E45" s="41"/>
      <c r="F45" s="40"/>
      <c r="G45" s="40"/>
      <c r="H45" s="40"/>
      <c r="I45" s="40"/>
      <c r="J45" s="40"/>
      <c r="K45" s="40"/>
      <c r="L45" s="40"/>
      <c r="M45" s="40"/>
      <c r="N45" s="40"/>
      <c r="O45" s="40"/>
      <c r="P45" s="40"/>
      <c r="Q45" s="40"/>
      <c r="R45" s="40"/>
      <c r="S45" s="40"/>
      <c r="T45" s="40"/>
      <c r="U45" s="40"/>
      <c r="V45" s="40"/>
      <c r="W45" s="42"/>
      <c r="X45" s="52"/>
    </row>
    <row r="46" spans="1:24" ht="21" customHeight="1">
      <c r="A46" s="10"/>
      <c r="B46" s="11"/>
      <c r="C46" s="11"/>
      <c r="D46" s="11"/>
      <c r="E46" s="12"/>
      <c r="F46" s="11"/>
      <c r="G46" s="11"/>
      <c r="H46" s="11"/>
      <c r="I46" s="11"/>
      <c r="J46" s="11"/>
      <c r="K46" s="11"/>
      <c r="L46" s="11"/>
      <c r="M46" s="45"/>
      <c r="N46" s="11"/>
      <c r="O46" s="11"/>
      <c r="P46" s="11"/>
      <c r="Q46" s="14"/>
      <c r="R46" s="11"/>
      <c r="S46" s="14"/>
      <c r="T46" s="11"/>
      <c r="U46" s="14"/>
      <c r="V46" s="17"/>
      <c r="W46" s="18"/>
      <c r="X46" s="52"/>
    </row>
    <row r="47" spans="1:24" ht="21" customHeight="1">
      <c r="A47" s="10"/>
      <c r="B47" s="11"/>
      <c r="C47" s="11"/>
      <c r="D47" s="11"/>
      <c r="E47" s="12"/>
      <c r="F47" s="11"/>
      <c r="G47" s="11"/>
      <c r="H47" s="11"/>
      <c r="I47" s="11"/>
      <c r="J47" s="11"/>
      <c r="K47" s="11"/>
      <c r="L47" s="11"/>
      <c r="M47" s="45"/>
      <c r="N47" s="11"/>
      <c r="O47" s="11"/>
      <c r="P47" s="11"/>
      <c r="Q47" s="14"/>
      <c r="R47" s="11"/>
      <c r="S47" s="14"/>
      <c r="T47" s="11"/>
      <c r="U47" s="14"/>
      <c r="V47" s="17"/>
      <c r="W47" s="18"/>
      <c r="X47" s="52"/>
    </row>
    <row r="48" spans="1:24" ht="21" customHeight="1">
      <c r="A48" s="10"/>
      <c r="B48" s="11"/>
      <c r="C48" s="11"/>
      <c r="D48" s="11"/>
      <c r="E48" s="12"/>
      <c r="F48" s="11"/>
      <c r="G48" s="11"/>
      <c r="H48" s="11"/>
      <c r="I48" s="11"/>
      <c r="J48" s="11"/>
      <c r="K48" s="11"/>
      <c r="L48" s="11"/>
      <c r="M48" s="14"/>
      <c r="N48" s="11"/>
      <c r="O48" s="14"/>
      <c r="P48" s="11"/>
      <c r="Q48" s="14"/>
      <c r="R48" s="11"/>
      <c r="S48" s="14"/>
      <c r="T48" s="14"/>
      <c r="U48" s="14"/>
      <c r="V48" s="11"/>
      <c r="W48" s="15"/>
      <c r="X48" s="52"/>
    </row>
    <row r="49" spans="1:24" ht="21" customHeight="1">
      <c r="A49" s="10"/>
      <c r="B49" s="11"/>
      <c r="C49" s="11"/>
      <c r="D49" s="11"/>
      <c r="E49" s="12"/>
      <c r="F49" s="11"/>
      <c r="G49" s="11"/>
      <c r="H49" s="11"/>
      <c r="I49" s="11"/>
      <c r="J49" s="11"/>
      <c r="K49" s="11"/>
      <c r="L49" s="11"/>
      <c r="M49" s="14"/>
      <c r="O49" s="14"/>
      <c r="P49" s="11"/>
      <c r="Q49" s="14"/>
      <c r="R49" s="11"/>
      <c r="S49" s="14"/>
      <c r="T49" s="14"/>
      <c r="U49" s="14"/>
      <c r="V49" s="11"/>
      <c r="W49" s="15"/>
      <c r="X49" s="52"/>
    </row>
    <row r="50" spans="1:24" ht="21" customHeight="1">
      <c r="A50" s="10"/>
      <c r="B50" s="11"/>
      <c r="C50" s="11"/>
      <c r="D50" s="11"/>
      <c r="E50" s="12"/>
      <c r="F50" s="11"/>
      <c r="G50" s="11"/>
      <c r="H50" s="11"/>
      <c r="I50" s="11"/>
      <c r="J50" s="11"/>
      <c r="K50" s="11"/>
      <c r="L50" s="11"/>
      <c r="M50" s="13"/>
      <c r="N50" s="11"/>
      <c r="O50" s="11"/>
      <c r="P50" s="11"/>
      <c r="Q50" s="14"/>
      <c r="R50" s="11"/>
      <c r="S50" s="14"/>
      <c r="T50" s="14"/>
      <c r="U50" s="14"/>
      <c r="V50" s="17"/>
      <c r="W50" s="18"/>
      <c r="X50" s="52"/>
    </row>
    <row r="51" spans="1:24" ht="21" customHeight="1">
      <c r="A51" s="10"/>
      <c r="B51" s="11"/>
      <c r="C51" s="11"/>
      <c r="D51" s="11"/>
      <c r="E51" s="12"/>
      <c r="F51" s="11"/>
      <c r="G51" s="11"/>
      <c r="H51" s="11"/>
      <c r="I51" s="11"/>
      <c r="J51" s="11"/>
      <c r="K51" s="11"/>
      <c r="L51" s="11"/>
      <c r="M51" s="13"/>
      <c r="N51" s="11"/>
      <c r="O51" s="11"/>
      <c r="P51" s="11"/>
      <c r="Q51" s="14"/>
      <c r="R51" s="11"/>
      <c r="S51" s="14"/>
      <c r="T51" s="14"/>
      <c r="U51" s="14"/>
      <c r="V51" s="17"/>
      <c r="W51" s="18"/>
      <c r="X51" s="52"/>
    </row>
    <row r="52" spans="1:24" ht="21" customHeight="1">
      <c r="A52" s="10"/>
      <c r="B52" s="11"/>
      <c r="C52" s="11"/>
      <c r="D52" s="11"/>
      <c r="E52" s="12"/>
      <c r="F52" s="11"/>
      <c r="G52" s="11"/>
      <c r="H52" s="11"/>
      <c r="I52" s="11"/>
      <c r="J52" s="11"/>
      <c r="K52" s="11"/>
      <c r="L52" s="11"/>
      <c r="M52" s="14"/>
      <c r="N52" s="11"/>
      <c r="O52" s="14"/>
      <c r="P52" s="11"/>
      <c r="Q52" s="14"/>
      <c r="R52" s="11"/>
      <c r="S52" s="14"/>
      <c r="T52" s="14"/>
      <c r="U52" s="14"/>
      <c r="V52" s="11"/>
      <c r="W52" s="15"/>
      <c r="X52" s="52"/>
    </row>
    <row r="53" spans="1:24" ht="21" customHeight="1">
      <c r="A53" s="10"/>
      <c r="B53" s="11"/>
      <c r="C53" s="11"/>
      <c r="D53" s="11"/>
      <c r="E53" s="12"/>
      <c r="F53" s="11"/>
      <c r="G53" s="11"/>
      <c r="H53" s="11"/>
      <c r="I53" s="11"/>
      <c r="J53" s="11"/>
      <c r="K53" s="11"/>
      <c r="L53" s="17"/>
      <c r="M53" s="14"/>
      <c r="N53" s="11"/>
      <c r="O53" s="11"/>
      <c r="P53" s="11"/>
      <c r="Q53" s="14"/>
      <c r="R53" s="11"/>
      <c r="S53" s="14"/>
      <c r="T53" s="11"/>
      <c r="U53" s="11"/>
      <c r="V53" s="11"/>
      <c r="W53" s="15"/>
      <c r="X53" s="52"/>
    </row>
    <row r="54" spans="1:24" ht="21" customHeight="1">
      <c r="A54" s="10"/>
      <c r="B54" s="11"/>
      <c r="C54" s="11"/>
      <c r="D54" s="11"/>
      <c r="E54" s="12"/>
      <c r="F54" s="11"/>
      <c r="G54" s="11"/>
      <c r="H54" s="11"/>
      <c r="I54" s="11"/>
      <c r="J54" s="11"/>
      <c r="K54" s="11"/>
      <c r="L54" s="11"/>
      <c r="M54" s="13"/>
      <c r="N54" s="11"/>
      <c r="O54" s="11"/>
      <c r="P54" s="11"/>
      <c r="Q54" s="14"/>
      <c r="R54" s="11"/>
      <c r="S54" s="14"/>
      <c r="T54" s="14"/>
      <c r="U54" s="14"/>
      <c r="V54" s="17"/>
      <c r="W54" s="18"/>
      <c r="X54" s="52"/>
    </row>
    <row r="55" spans="1:24" ht="21" customHeight="1">
      <c r="A55" s="10"/>
      <c r="B55" s="11"/>
      <c r="C55" s="11"/>
      <c r="D55" s="11"/>
      <c r="E55" s="12"/>
      <c r="F55" s="11"/>
      <c r="G55" s="11"/>
      <c r="H55" s="11"/>
      <c r="I55" s="11"/>
      <c r="J55" s="11"/>
      <c r="K55" s="11"/>
      <c r="L55" s="11"/>
      <c r="M55" s="13"/>
      <c r="N55" s="11"/>
      <c r="O55" s="14"/>
      <c r="P55" s="11"/>
      <c r="Q55" s="14"/>
      <c r="R55" s="11"/>
      <c r="S55" s="14"/>
      <c r="T55" s="14"/>
      <c r="U55" s="14"/>
      <c r="V55" s="11"/>
      <c r="W55" s="18"/>
      <c r="X55" s="52"/>
    </row>
    <row r="56" spans="1:24" ht="21" customHeight="1">
      <c r="A56" s="10"/>
      <c r="B56" s="11"/>
      <c r="C56" s="11"/>
      <c r="D56" s="11"/>
      <c r="E56" s="12"/>
      <c r="F56" s="11"/>
      <c r="G56" s="11"/>
      <c r="H56" s="11"/>
      <c r="I56" s="11"/>
      <c r="J56" s="11"/>
      <c r="K56" s="11"/>
      <c r="L56" s="11"/>
      <c r="M56" s="13"/>
      <c r="N56" s="11"/>
      <c r="O56" s="11"/>
      <c r="P56" s="11"/>
      <c r="Q56" s="14"/>
      <c r="R56" s="11"/>
      <c r="S56" s="14"/>
      <c r="T56" s="14"/>
      <c r="U56" s="14"/>
      <c r="V56" s="17"/>
      <c r="W56" s="18"/>
      <c r="X56" s="52"/>
    </row>
    <row r="57" spans="1:24" ht="21" customHeight="1">
      <c r="A57" s="10"/>
      <c r="B57" s="11"/>
      <c r="C57" s="11"/>
      <c r="D57" s="11"/>
      <c r="E57" s="12"/>
      <c r="F57" s="11"/>
      <c r="G57" s="11"/>
      <c r="H57" s="11"/>
      <c r="I57" s="11"/>
      <c r="J57" s="11"/>
      <c r="K57" s="11"/>
      <c r="L57" s="11"/>
      <c r="M57" s="13"/>
      <c r="N57" s="11"/>
      <c r="O57" s="11"/>
      <c r="P57" s="11"/>
      <c r="Q57" s="14"/>
      <c r="R57" s="11"/>
      <c r="S57" s="14"/>
      <c r="T57" s="14"/>
      <c r="U57" s="14"/>
      <c r="V57" s="17"/>
      <c r="W57" s="18"/>
      <c r="X57" s="52"/>
    </row>
    <row r="58" spans="1:24" ht="20.45" customHeight="1">
      <c r="A58" s="1" t="s">
        <v>265</v>
      </c>
      <c r="B58" s="2" t="s">
        <v>1</v>
      </c>
      <c r="C58" s="2" t="s">
        <v>2</v>
      </c>
      <c r="D58" s="2" t="s">
        <v>3</v>
      </c>
      <c r="E58" s="3" t="s">
        <v>4</v>
      </c>
      <c r="F58" s="2" t="s">
        <v>5</v>
      </c>
      <c r="G58" s="2" t="s">
        <v>6</v>
      </c>
      <c r="H58" s="2" t="s">
        <v>7</v>
      </c>
      <c r="I58" s="4" t="s">
        <v>8</v>
      </c>
      <c r="J58" s="2" t="s">
        <v>9</v>
      </c>
      <c r="K58" s="2" t="s">
        <v>10</v>
      </c>
      <c r="L58" s="2" t="s">
        <v>11</v>
      </c>
      <c r="M58" s="6" t="s">
        <v>14</v>
      </c>
      <c r="N58" s="6" t="s">
        <v>161</v>
      </c>
      <c r="O58" s="7" t="s">
        <v>158</v>
      </c>
      <c r="P58" s="8" t="s">
        <v>209</v>
      </c>
      <c r="Q58" s="8" t="s">
        <v>147</v>
      </c>
      <c r="R58" s="7" t="s">
        <v>148</v>
      </c>
      <c r="S58" s="7" t="s">
        <v>149</v>
      </c>
      <c r="T58" s="7" t="s">
        <v>77</v>
      </c>
      <c r="U58" s="7" t="s">
        <v>20</v>
      </c>
      <c r="V58" s="8" t="s">
        <v>21</v>
      </c>
      <c r="W58" s="24" t="s">
        <v>22</v>
      </c>
      <c r="X58" s="52" t="s">
        <v>271</v>
      </c>
    </row>
    <row r="59" spans="1:24" ht="20.45" customHeight="1">
      <c r="A59" s="10" t="s">
        <v>79</v>
      </c>
      <c r="B59" s="11">
        <v>9.8379629629629633E-3</v>
      </c>
      <c r="C59" s="11">
        <v>2.9745370370370373E-3</v>
      </c>
      <c r="D59" s="11">
        <f>B59*E59</f>
        <v>5.7237268518518522E-3</v>
      </c>
      <c r="E59" s="12">
        <v>0.58179999999999998</v>
      </c>
      <c r="F59" s="11">
        <f>C59/4</f>
        <v>7.4363425925925931E-4</v>
      </c>
      <c r="G59" s="11">
        <f>D59/7.5</f>
        <v>7.6316358024691364E-4</v>
      </c>
      <c r="H59" s="11">
        <f>B59/12.5</f>
        <v>7.8703703703703705E-4</v>
      </c>
      <c r="I59" s="11">
        <f>G59/0.93</f>
        <v>8.2060600026549854E-4</v>
      </c>
      <c r="J59" s="11">
        <f>G59/0.92</f>
        <v>8.29525630703167E-4</v>
      </c>
      <c r="K59" s="11">
        <f>G59/0.88</f>
        <v>8.6723134118967459E-4</v>
      </c>
      <c r="L59" s="11">
        <f>G59/0.84</f>
        <v>9.085280717225163E-4</v>
      </c>
      <c r="M59" s="25">
        <f>WO2025Jan7men1191517192325293133353941434547495557596365676971737577791317192123[[#This Row],[CV]]</f>
        <v>8.29525630703167E-4</v>
      </c>
      <c r="N59" s="28">
        <f>WO2025Jan7men1191517192325293133353941434547495557596365676971737577791317192123[[#This Row],[CV]]*2.5</f>
        <v>2.0738140767579175E-3</v>
      </c>
      <c r="O59" s="25">
        <f>WO2025Jan7men1191517192325293133353941434547495557596365676971737577791317192123[[#This Row],[VO2]]</f>
        <v>7.6316358024691364E-4</v>
      </c>
      <c r="P59" s="25"/>
      <c r="Q59" s="25"/>
      <c r="R59" s="28"/>
      <c r="S59" s="25"/>
      <c r="T59" s="25"/>
      <c r="U59" s="28"/>
      <c r="V59" s="25"/>
      <c r="W59" s="15" t="s">
        <v>26</v>
      </c>
      <c r="X59" s="52"/>
    </row>
    <row r="60" spans="1:24" ht="20.45" customHeight="1">
      <c r="A60" s="10" t="s">
        <v>80</v>
      </c>
      <c r="B60" s="11">
        <v>9.8379629629629633E-3</v>
      </c>
      <c r="C60" s="11">
        <v>2.8587962962962963E-3</v>
      </c>
      <c r="D60" s="11">
        <f>B60*E60</f>
        <v>5.7237268518518522E-3</v>
      </c>
      <c r="E60" s="12">
        <v>0.58179999999999998</v>
      </c>
      <c r="F60" s="11">
        <f>C60/4</f>
        <v>7.1469907407407409E-4</v>
      </c>
      <c r="G60" s="11">
        <f>D60/7.5</f>
        <v>7.6316358024691364E-4</v>
      </c>
      <c r="H60" s="11">
        <f>B60/12.5</f>
        <v>7.8703703703703705E-4</v>
      </c>
      <c r="I60" s="11">
        <f>G60/0.93</f>
        <v>8.2060600026549854E-4</v>
      </c>
      <c r="J60" s="11">
        <f>G60/0.92</f>
        <v>8.29525630703167E-4</v>
      </c>
      <c r="K60" s="11">
        <f>G60/0.88</f>
        <v>8.6723134118967459E-4</v>
      </c>
      <c r="L60" s="11">
        <f>G60/0.84</f>
        <v>9.085280717225163E-4</v>
      </c>
      <c r="M60" s="25">
        <f>WO2025Jan7men1191517192325293133353941434547495557596365676971737577791317192123[[#This Row],[CV]]</f>
        <v>8.29525630703167E-4</v>
      </c>
      <c r="N60" s="28">
        <f>WO2025Jan7men1191517192325293133353941434547495557596365676971737577791317192123[[#This Row],[CV]]*2.5</f>
        <v>2.0738140767579175E-3</v>
      </c>
      <c r="O60" s="25">
        <f>WO2025Jan7men1191517192325293133353941434547495557596365676971737577791317192123[[#This Row],[VO2]]</f>
        <v>7.6316358024691364E-4</v>
      </c>
      <c r="P60" s="25"/>
      <c r="Q60" s="25"/>
      <c r="R60" s="28"/>
      <c r="S60" s="25"/>
      <c r="T60" s="25"/>
      <c r="U60" s="28"/>
      <c r="V60" s="25"/>
      <c r="W60" s="15" t="s">
        <v>26</v>
      </c>
      <c r="X60" s="52"/>
    </row>
    <row r="61" spans="1:24" ht="20.45" customHeight="1">
      <c r="A61" s="10" t="s">
        <v>109</v>
      </c>
      <c r="B61" s="11">
        <v>9.8379629629629633E-3</v>
      </c>
      <c r="C61" s="11">
        <v>2.9745370370370373E-3</v>
      </c>
      <c r="D61" s="11">
        <f>B61*E61</f>
        <v>5.7237268518518522E-3</v>
      </c>
      <c r="E61" s="12">
        <v>0.58179999999999998</v>
      </c>
      <c r="F61" s="11">
        <f>C61/4</f>
        <v>7.4363425925925931E-4</v>
      </c>
      <c r="G61" s="11">
        <f>D61/7.5</f>
        <v>7.6316358024691364E-4</v>
      </c>
      <c r="H61" s="11">
        <f>B61/12.5</f>
        <v>7.8703703703703705E-4</v>
      </c>
      <c r="I61" s="11">
        <f>G61/0.93</f>
        <v>8.2060600026549854E-4</v>
      </c>
      <c r="J61" s="11">
        <f>G61/0.92</f>
        <v>8.29525630703167E-4</v>
      </c>
      <c r="K61" s="11">
        <f>G61/0.88</f>
        <v>8.6723134118967459E-4</v>
      </c>
      <c r="L61" s="11">
        <f>G61/0.84</f>
        <v>9.085280717225163E-4</v>
      </c>
      <c r="M61" s="25">
        <f>WO2025Jan7men1191517192325293133353941434547495557596365676971737577791317192123[[#This Row],[CV]]</f>
        <v>8.29525630703167E-4</v>
      </c>
      <c r="N61" s="28">
        <f>WO2025Jan7men1191517192325293133353941434547495557596365676971737577791317192123[[#This Row],[CV]]*2.5</f>
        <v>2.0738140767579175E-3</v>
      </c>
      <c r="O61" s="25">
        <f>WO2025Jan7men1191517192325293133353941434547495557596365676971737577791317192123[[#This Row],[VO2]]</f>
        <v>7.6316358024691364E-4</v>
      </c>
      <c r="P61" s="25"/>
      <c r="Q61" s="25"/>
      <c r="R61" s="28"/>
      <c r="S61" s="25"/>
      <c r="T61" s="25"/>
      <c r="U61" s="28"/>
      <c r="V61" s="25"/>
      <c r="W61" s="15" t="s">
        <v>26</v>
      </c>
      <c r="X61" s="52"/>
    </row>
    <row r="62" spans="1:24" ht="20.45" customHeight="1">
      <c r="A62" s="10" t="s">
        <v>82</v>
      </c>
      <c r="B62" s="11">
        <v>9.9537037037037042E-3</v>
      </c>
      <c r="C62" s="11">
        <v>2.8935185185185188E-3</v>
      </c>
      <c r="D62" s="11">
        <f>B62*E62</f>
        <v>5.7910648148148149E-3</v>
      </c>
      <c r="E62" s="12">
        <v>0.58179999999999998</v>
      </c>
      <c r="F62" s="11">
        <f>C62/4</f>
        <v>7.233796296296297E-4</v>
      </c>
      <c r="G62" s="11">
        <f>D62/7.5</f>
        <v>7.7214197530864196E-4</v>
      </c>
      <c r="H62" s="11">
        <f>B62/12.5</f>
        <v>7.9629629629629636E-4</v>
      </c>
      <c r="I62" s="11">
        <f>G62/0.93</f>
        <v>8.3026018850391602E-4</v>
      </c>
      <c r="J62" s="11">
        <f>G62/0.92</f>
        <v>8.3928475577026292E-4</v>
      </c>
      <c r="K62" s="11">
        <f>G62/0.88</f>
        <v>8.7743406285072947E-4</v>
      </c>
      <c r="L62" s="11">
        <f>G62/0.84</f>
        <v>9.1921663727219285E-4</v>
      </c>
      <c r="M62" s="25">
        <f>WO2025Jan7men1191517192325293133353941434547495557596365676971737577791317192123[[#This Row],[CV]]</f>
        <v>8.3928475577026292E-4</v>
      </c>
      <c r="N62" s="28">
        <f>WO2025Jan7men1191517192325293133353941434547495557596365676971737577791317192123[[#This Row],[CV]]*2.5</f>
        <v>2.0982118894256573E-3</v>
      </c>
      <c r="O62" s="25">
        <f>WO2025Jan7men1191517192325293133353941434547495557596365676971737577791317192123[[#This Row],[VO2]]</f>
        <v>7.7214197530864196E-4</v>
      </c>
      <c r="P62" s="25"/>
      <c r="Q62" s="25"/>
      <c r="R62" s="28"/>
      <c r="S62" s="25"/>
      <c r="T62" s="25"/>
      <c r="U62" s="28"/>
      <c r="V62" s="25"/>
      <c r="W62" s="15" t="s">
        <v>26</v>
      </c>
      <c r="X62" s="52"/>
    </row>
    <row r="63" spans="1:24" ht="20.45" customHeight="1">
      <c r="A63" s="10" t="s">
        <v>84</v>
      </c>
      <c r="B63" s="11">
        <v>1.0069444444444445E-2</v>
      </c>
      <c r="C63" s="11">
        <v>3.0092592592592593E-3</v>
      </c>
      <c r="D63" s="11">
        <f t="shared" ref="D63:D94" si="24">B63*E63</f>
        <v>5.8584027777777783E-3</v>
      </c>
      <c r="E63" s="12">
        <v>0.58179999999999998</v>
      </c>
      <c r="F63" s="11">
        <f t="shared" ref="F63:F94" si="25">C63/4</f>
        <v>7.5231481481481482E-4</v>
      </c>
      <c r="G63" s="11">
        <f t="shared" ref="G63:G94" si="26">D63/7.5</f>
        <v>7.811203703703705E-4</v>
      </c>
      <c r="H63" s="11">
        <f t="shared" ref="H63:H94" si="27">B63/12.5</f>
        <v>8.0555555555555556E-4</v>
      </c>
      <c r="I63" s="11">
        <f t="shared" ref="I63:I94" si="28">G63/0.93</f>
        <v>8.3991437674233382E-4</v>
      </c>
      <c r="J63" s="11">
        <f t="shared" ref="J63:J94" si="29">G63/0.92</f>
        <v>8.4904388083735917E-4</v>
      </c>
      <c r="K63" s="11">
        <f t="shared" ref="K63:K94" si="30">G63/0.88</f>
        <v>8.8763678451178466E-4</v>
      </c>
      <c r="L63" s="11">
        <f t="shared" ref="L63:L94" si="31">G63/0.84</f>
        <v>9.2990520282186973E-4</v>
      </c>
      <c r="M63" s="25">
        <f>WO2025Jan7men1191517192325293133353941434547495557596365676971737577791317192123[[#This Row],[CV]]</f>
        <v>8.4904388083735917E-4</v>
      </c>
      <c r="N63" s="28">
        <f>WO2025Jan7men1191517192325293133353941434547495557596365676971737577791317192123[[#This Row],[CV]]*2.5</f>
        <v>2.1226097020933979E-3</v>
      </c>
      <c r="O63" s="25">
        <f>WO2025Jan7men1191517192325293133353941434547495557596365676971737577791317192123[[#This Row],[VO2]]</f>
        <v>7.811203703703705E-4</v>
      </c>
      <c r="P63" s="25"/>
      <c r="Q63" s="25"/>
      <c r="R63" s="28"/>
      <c r="S63" s="25"/>
      <c r="T63" s="25"/>
      <c r="U63" s="28"/>
      <c r="V63" s="25"/>
      <c r="W63" s="15" t="s">
        <v>26</v>
      </c>
      <c r="X63" s="52"/>
    </row>
    <row r="64" spans="1:24" ht="20.45" customHeight="1">
      <c r="A64" s="10" t="s">
        <v>110</v>
      </c>
      <c r="B64" s="11">
        <v>1.0069444444444445E-2</v>
      </c>
      <c r="C64" s="11">
        <v>2.8935185185185184E-3</v>
      </c>
      <c r="D64" s="11">
        <f>B64*E64</f>
        <v>5.8584027777777783E-3</v>
      </c>
      <c r="E64" s="12">
        <v>0.58179999999999998</v>
      </c>
      <c r="F64" s="11">
        <f>C64/4</f>
        <v>7.2337962962962959E-4</v>
      </c>
      <c r="G64" s="11">
        <f>D64/7.5</f>
        <v>7.811203703703705E-4</v>
      </c>
      <c r="H64" s="11">
        <f>B64/12.5</f>
        <v>8.0555555555555556E-4</v>
      </c>
      <c r="I64" s="11">
        <f>G64/0.93</f>
        <v>8.3991437674233382E-4</v>
      </c>
      <c r="J64" s="11">
        <f>G64/0.92</f>
        <v>8.4904388083735917E-4</v>
      </c>
      <c r="K64" s="11">
        <f>G64/0.88</f>
        <v>8.8763678451178466E-4</v>
      </c>
      <c r="L64" s="11">
        <f>G64/0.84</f>
        <v>9.2990520282186973E-4</v>
      </c>
      <c r="M64" s="25">
        <f>WO2025Jan7men1191517192325293133353941434547495557596365676971737577791317192123[[#This Row],[CV]]</f>
        <v>8.4904388083735917E-4</v>
      </c>
      <c r="N64" s="28">
        <f>WO2025Jan7men1191517192325293133353941434547495557596365676971737577791317192123[[#This Row],[CV]]*2.5</f>
        <v>2.1226097020933979E-3</v>
      </c>
      <c r="O64" s="25">
        <f>WO2025Jan7men1191517192325293133353941434547495557596365676971737577791317192123[[#This Row],[VO2]]</f>
        <v>7.811203703703705E-4</v>
      </c>
      <c r="P64" s="25"/>
      <c r="Q64" s="25"/>
      <c r="R64" s="28"/>
      <c r="S64" s="25"/>
      <c r="T64" s="25"/>
      <c r="U64" s="28"/>
      <c r="V64" s="25"/>
      <c r="W64" s="15" t="s">
        <v>35</v>
      </c>
      <c r="X64" s="52"/>
    </row>
    <row r="65" spans="1:24" ht="20.45" customHeight="1">
      <c r="A65" s="10" t="s">
        <v>83</v>
      </c>
      <c r="B65" s="11">
        <v>1.0069444444444445E-2</v>
      </c>
      <c r="C65" s="11">
        <v>3.0671296296296297E-3</v>
      </c>
      <c r="D65" s="11">
        <f>B65*E65</f>
        <v>5.8584027777777783E-3</v>
      </c>
      <c r="E65" s="12">
        <v>0.58179999999999998</v>
      </c>
      <c r="F65" s="11">
        <f>C65/4</f>
        <v>7.6678240740740743E-4</v>
      </c>
      <c r="G65" s="11">
        <f>D65/7.5</f>
        <v>7.811203703703705E-4</v>
      </c>
      <c r="H65" s="11">
        <f>B65/12.5</f>
        <v>8.0555555555555556E-4</v>
      </c>
      <c r="I65" s="11">
        <f>G65/0.93</f>
        <v>8.3991437674233382E-4</v>
      </c>
      <c r="J65" s="11">
        <f>G65/0.92</f>
        <v>8.4904388083735917E-4</v>
      </c>
      <c r="K65" s="11">
        <f>G65/0.88</f>
        <v>8.8763678451178466E-4</v>
      </c>
      <c r="L65" s="11">
        <f>G65/0.84</f>
        <v>9.2990520282186973E-4</v>
      </c>
      <c r="M65" s="25">
        <f>WO2025Jan7men1191517192325293133353941434547495557596365676971737577791317192123[[#This Row],[CV]]</f>
        <v>8.4904388083735917E-4</v>
      </c>
      <c r="N65" s="28">
        <f>WO2025Jan7men1191517192325293133353941434547495557596365676971737577791317192123[[#This Row],[CV]]*2.5</f>
        <v>2.1226097020933979E-3</v>
      </c>
      <c r="O65" s="25">
        <f>WO2025Jan7men1191517192325293133353941434547495557596365676971737577791317192123[[#This Row],[VO2]]</f>
        <v>7.811203703703705E-4</v>
      </c>
      <c r="P65" s="25"/>
      <c r="Q65" s="25"/>
      <c r="R65" s="28"/>
      <c r="S65" s="25"/>
      <c r="T65" s="25"/>
      <c r="U65" s="28"/>
      <c r="V65" s="28"/>
      <c r="W65" s="15" t="s">
        <v>26</v>
      </c>
      <c r="X65" s="52"/>
    </row>
    <row r="66" spans="1:24" ht="20.45" customHeight="1">
      <c r="A66" s="10" t="s">
        <v>112</v>
      </c>
      <c r="B66" s="11">
        <v>1.0243055555555556E-2</v>
      </c>
      <c r="C66" s="11">
        <v>2.8587962962962963E-3</v>
      </c>
      <c r="D66" s="11">
        <f t="shared" si="24"/>
        <v>5.9594097222222218E-3</v>
      </c>
      <c r="E66" s="12">
        <v>0.58179999999999998</v>
      </c>
      <c r="F66" s="11">
        <f t="shared" si="25"/>
        <v>7.1469907407407409E-4</v>
      </c>
      <c r="G66" s="11">
        <f t="shared" si="26"/>
        <v>7.9458796296296287E-4</v>
      </c>
      <c r="H66" s="11">
        <f t="shared" si="27"/>
        <v>8.1944444444444447E-4</v>
      </c>
      <c r="I66" s="11">
        <f t="shared" si="28"/>
        <v>8.5439565909996003E-4</v>
      </c>
      <c r="J66" s="11">
        <f t="shared" si="29"/>
        <v>8.636825684380031E-4</v>
      </c>
      <c r="K66" s="11">
        <f t="shared" si="30"/>
        <v>9.0294086700336686E-4</v>
      </c>
      <c r="L66" s="11">
        <f t="shared" si="31"/>
        <v>9.4593805114638445E-4</v>
      </c>
      <c r="M66" s="25">
        <f>WO2025Jan7men1191517192325293133353941434547495557596365676971737577791317192123[[#This Row],[CV]]</f>
        <v>8.636825684380031E-4</v>
      </c>
      <c r="N66" s="28">
        <f>WO2025Jan7men1191517192325293133353941434547495557596365676971737577791317192123[[#This Row],[CV]]*2.5</f>
        <v>2.1592064210950077E-3</v>
      </c>
      <c r="O66" s="25">
        <f>WO2025Jan7men1191517192325293133353941434547495557596365676971737577791317192123[[#This Row],[VO2]]</f>
        <v>7.9458796296296287E-4</v>
      </c>
      <c r="P66" s="25"/>
      <c r="Q66" s="25"/>
      <c r="R66" s="28"/>
      <c r="S66" s="25"/>
      <c r="T66" s="25"/>
      <c r="U66" s="28"/>
      <c r="V66" s="25"/>
      <c r="W66" s="15" t="s">
        <v>26</v>
      </c>
      <c r="X66" s="52"/>
    </row>
    <row r="67" spans="1:24" ht="20.45" customHeight="1">
      <c r="A67" s="10" t="s">
        <v>93</v>
      </c>
      <c r="B67" s="11">
        <v>1.0243055555555556E-2</v>
      </c>
      <c r="C67" s="11"/>
      <c r="D67" s="11">
        <f t="shared" si="24"/>
        <v>5.9594097222222218E-3</v>
      </c>
      <c r="E67" s="12">
        <v>0.58179999999999998</v>
      </c>
      <c r="F67" s="11">
        <f t="shared" si="25"/>
        <v>0</v>
      </c>
      <c r="G67" s="11">
        <f t="shared" si="26"/>
        <v>7.9458796296296287E-4</v>
      </c>
      <c r="H67" s="11">
        <f t="shared" si="27"/>
        <v>8.1944444444444447E-4</v>
      </c>
      <c r="I67" s="11">
        <f t="shared" si="28"/>
        <v>8.5439565909996003E-4</v>
      </c>
      <c r="J67" s="11">
        <f t="shared" si="29"/>
        <v>8.636825684380031E-4</v>
      </c>
      <c r="K67" s="11">
        <f t="shared" si="30"/>
        <v>9.0294086700336686E-4</v>
      </c>
      <c r="L67" s="11">
        <f t="shared" si="31"/>
        <v>9.4593805114638445E-4</v>
      </c>
      <c r="M67" s="25">
        <f>WO2025Jan7men1191517192325293133353941434547495557596365676971737577791317192123[[#This Row],[CV]]</f>
        <v>8.636825684380031E-4</v>
      </c>
      <c r="N67" s="28">
        <f>WO2025Jan7men1191517192325293133353941434547495557596365676971737577791317192123[[#This Row],[CV]]*2.5</f>
        <v>2.1592064210950077E-3</v>
      </c>
      <c r="O67" s="25">
        <f>WO2025Jan7men1191517192325293133353941434547495557596365676971737577791317192123[[#This Row],[VO2]]</f>
        <v>7.9458796296296287E-4</v>
      </c>
      <c r="P67" s="25"/>
      <c r="Q67" s="25"/>
      <c r="R67" s="28"/>
      <c r="S67" s="25"/>
      <c r="T67" s="25"/>
      <c r="U67" s="28"/>
      <c r="V67" s="28"/>
      <c r="W67" s="27" t="s">
        <v>35</v>
      </c>
      <c r="X67" s="52"/>
    </row>
    <row r="68" spans="1:24" ht="20.45" customHeight="1">
      <c r="A68" s="10" t="s">
        <v>95</v>
      </c>
      <c r="B68" s="11">
        <v>1.0243055555555556E-2</v>
      </c>
      <c r="C68" s="11">
        <v>2.9513888888888888E-3</v>
      </c>
      <c r="D68" s="11">
        <f>B68*E68</f>
        <v>5.9594097222222218E-3</v>
      </c>
      <c r="E68" s="12">
        <v>0.58179999999999998</v>
      </c>
      <c r="F68" s="11">
        <f>C68/4</f>
        <v>7.378472222222222E-4</v>
      </c>
      <c r="G68" s="11">
        <f>D68/7.5</f>
        <v>7.9458796296296287E-4</v>
      </c>
      <c r="H68" s="11">
        <f>B68/12.5</f>
        <v>8.1944444444444447E-4</v>
      </c>
      <c r="I68" s="11">
        <f>G68/0.93</f>
        <v>8.5439565909996003E-4</v>
      </c>
      <c r="J68" s="11">
        <f>G68/0.92</f>
        <v>8.636825684380031E-4</v>
      </c>
      <c r="K68" s="11">
        <f>G68/0.88</f>
        <v>9.0294086700336686E-4</v>
      </c>
      <c r="L68" s="11">
        <f>G68/0.84</f>
        <v>9.4593805114638445E-4</v>
      </c>
      <c r="M68" s="25">
        <f>WO2025Jan7men1191517192325293133353941434547495557596365676971737577791317192123[[#This Row],[CV]]</f>
        <v>8.636825684380031E-4</v>
      </c>
      <c r="N68" s="28">
        <f>WO2025Jan7men1191517192325293133353941434547495557596365676971737577791317192123[[#This Row],[CV]]*2.5</f>
        <v>2.1592064210950077E-3</v>
      </c>
      <c r="O68" s="25">
        <f>WO2025Jan7men1191517192325293133353941434547495557596365676971737577791317192123[[#This Row],[VO2]]</f>
        <v>7.9458796296296287E-4</v>
      </c>
      <c r="P68" s="25"/>
      <c r="Q68" s="25"/>
      <c r="R68" s="28"/>
      <c r="S68" s="25"/>
      <c r="T68" s="25"/>
      <c r="U68" s="28"/>
      <c r="V68" s="25"/>
      <c r="W68" s="15" t="s">
        <v>35</v>
      </c>
      <c r="X68" s="52" t="s">
        <v>272</v>
      </c>
    </row>
    <row r="69" spans="1:24" ht="20.45" customHeight="1">
      <c r="A69" s="10" t="s">
        <v>116</v>
      </c>
      <c r="B69" s="11">
        <v>1.0243055555555556E-2</v>
      </c>
      <c r="C69" s="11">
        <v>2.9513888888888888E-3</v>
      </c>
      <c r="D69" s="11">
        <f>B69*E69</f>
        <v>5.9594097222222218E-3</v>
      </c>
      <c r="E69" s="12">
        <v>0.58179999999999998</v>
      </c>
      <c r="F69" s="11">
        <f>C69/4</f>
        <v>7.378472222222222E-4</v>
      </c>
      <c r="G69" s="11">
        <f>D69/7.5</f>
        <v>7.9458796296296287E-4</v>
      </c>
      <c r="H69" s="11">
        <f>B69/12.5</f>
        <v>8.1944444444444447E-4</v>
      </c>
      <c r="I69" s="11">
        <f>G69/0.93</f>
        <v>8.5439565909996003E-4</v>
      </c>
      <c r="J69" s="11">
        <f>G69/0.92</f>
        <v>8.636825684380031E-4</v>
      </c>
      <c r="K69" s="11">
        <f>G69/0.88</f>
        <v>9.0294086700336686E-4</v>
      </c>
      <c r="L69" s="17">
        <f>G69/0.84</f>
        <v>9.4593805114638445E-4</v>
      </c>
      <c r="M69" s="25">
        <f>WO2025Jan7men1191517192325293133353941434547495557596365676971737577791317192123[[#This Row],[CV]]</f>
        <v>8.636825684380031E-4</v>
      </c>
      <c r="N69" s="28">
        <f>WO2025Jan7men1191517192325293133353941434547495557596365676971737577791317192123[[#This Row],[CV]]*2.5</f>
        <v>2.1592064210950077E-3</v>
      </c>
      <c r="O69" s="25">
        <f>WO2025Jan7men1191517192325293133353941434547495557596365676971737577791317192123[[#This Row],[VO2]]</f>
        <v>7.9458796296296287E-4</v>
      </c>
      <c r="P69" s="25"/>
      <c r="Q69" s="25"/>
      <c r="R69" s="28"/>
      <c r="S69" s="25"/>
      <c r="T69" s="25"/>
      <c r="U69" s="28"/>
      <c r="V69" s="25"/>
      <c r="W69" s="15" t="s">
        <v>35</v>
      </c>
      <c r="X69" s="52"/>
    </row>
    <row r="70" spans="1:24" ht="20.45" customHeight="1">
      <c r="A70" s="10" t="s">
        <v>111</v>
      </c>
      <c r="B70" s="11">
        <v>1.0243055555555556E-2</v>
      </c>
      <c r="C70" s="11">
        <v>3.0092592592592588E-3</v>
      </c>
      <c r="D70" s="11">
        <f>B70*E70</f>
        <v>5.9594097222222218E-3</v>
      </c>
      <c r="E70" s="12">
        <v>0.58179999999999998</v>
      </c>
      <c r="F70" s="11">
        <f>C70/4</f>
        <v>7.5231481481481471E-4</v>
      </c>
      <c r="G70" s="11">
        <f>D70/7.5</f>
        <v>7.9458796296296287E-4</v>
      </c>
      <c r="H70" s="11">
        <f>B70/12.5</f>
        <v>8.1944444444444447E-4</v>
      </c>
      <c r="I70" s="11">
        <f>G70/0.93</f>
        <v>8.5439565909996003E-4</v>
      </c>
      <c r="J70" s="11">
        <f>G70/0.92</f>
        <v>8.636825684380031E-4</v>
      </c>
      <c r="K70" s="11">
        <f>G70/0.88</f>
        <v>9.0294086700336686E-4</v>
      </c>
      <c r="L70" s="11">
        <f>G70/0.84</f>
        <v>9.4593805114638445E-4</v>
      </c>
      <c r="M70" s="25">
        <f>WO2025Jan7men1191517192325293133353941434547495557596365676971737577791317192123[[#This Row],[CV]]</f>
        <v>8.636825684380031E-4</v>
      </c>
      <c r="N70" s="28">
        <f>WO2025Jan7men1191517192325293133353941434547495557596365676971737577791317192123[[#This Row],[CV]]*2.5</f>
        <v>2.1592064210950077E-3</v>
      </c>
      <c r="O70" s="25">
        <f>WO2025Jan7men1191517192325293133353941434547495557596365676971737577791317192123[[#This Row],[VO2]]</f>
        <v>7.9458796296296287E-4</v>
      </c>
      <c r="P70" s="25"/>
      <c r="Q70" s="25"/>
      <c r="R70" s="28"/>
      <c r="S70" s="25"/>
      <c r="T70" s="25"/>
      <c r="U70" s="28"/>
      <c r="V70" s="25"/>
      <c r="W70" s="15" t="s">
        <v>35</v>
      </c>
      <c r="X70" s="52"/>
    </row>
    <row r="71" spans="1:24" ht="20.45" customHeight="1">
      <c r="A71" s="10" t="s">
        <v>92</v>
      </c>
      <c r="B71" s="11">
        <v>1.0300925925925925E-2</v>
      </c>
      <c r="C71" s="11">
        <v>2.9745370370370373E-3</v>
      </c>
      <c r="D71" s="11">
        <f>B71*E71</f>
        <v>5.9930787037037027E-3</v>
      </c>
      <c r="E71" s="12">
        <v>0.58179999999999998</v>
      </c>
      <c r="F71" s="11">
        <f>C71/4</f>
        <v>7.4363425925925931E-4</v>
      </c>
      <c r="G71" s="11">
        <f>D71/7.5</f>
        <v>7.9907716049382703E-4</v>
      </c>
      <c r="H71" s="11">
        <f>B71/12.5</f>
        <v>8.2407407407407397E-4</v>
      </c>
      <c r="I71" s="11">
        <f>G71/0.93</f>
        <v>8.5922275321916877E-4</v>
      </c>
      <c r="J71" s="11">
        <f>G71/0.92</f>
        <v>8.6856213097155112E-4</v>
      </c>
      <c r="K71" s="11">
        <f>G71/0.88</f>
        <v>9.080422278338944E-4</v>
      </c>
      <c r="L71" s="11">
        <f>G71/0.84</f>
        <v>9.5128233392122272E-4</v>
      </c>
      <c r="M71" s="25">
        <f>WO2025Jan7men1191517192325293133353941434547495557596365676971737577791317192123[[#This Row],[CV]]</f>
        <v>8.6856213097155112E-4</v>
      </c>
      <c r="N71" s="28">
        <f>WO2025Jan7men1191517192325293133353941434547495557596365676971737577791317192123[[#This Row],[CV]]*2.5</f>
        <v>2.1714053274288778E-3</v>
      </c>
      <c r="O71" s="25">
        <f>WO2025Jan7men1191517192325293133353941434547495557596365676971737577791317192123[[#This Row],[VO2]]</f>
        <v>7.9907716049382703E-4</v>
      </c>
      <c r="P71" s="25"/>
      <c r="Q71" s="25"/>
      <c r="R71" s="28"/>
      <c r="S71" s="25"/>
      <c r="T71" s="25"/>
      <c r="U71" s="28"/>
      <c r="V71" s="25"/>
      <c r="W71" s="15" t="s">
        <v>26</v>
      </c>
      <c r="X71" s="52"/>
    </row>
    <row r="72" spans="1:24" ht="20.45" customHeight="1">
      <c r="A72" s="10" t="s">
        <v>85</v>
      </c>
      <c r="B72" s="11">
        <v>1.0300925925925925E-2</v>
      </c>
      <c r="C72" s="11">
        <v>3.0671296296296297E-3</v>
      </c>
      <c r="D72" s="11">
        <f>B72*E72</f>
        <v>5.9930787037037027E-3</v>
      </c>
      <c r="E72" s="12">
        <v>0.58179999999999998</v>
      </c>
      <c r="F72" s="11">
        <f>C72/4</f>
        <v>7.6678240740740743E-4</v>
      </c>
      <c r="G72" s="11">
        <f>D72/7.5</f>
        <v>7.9907716049382703E-4</v>
      </c>
      <c r="H72" s="11">
        <f>B72/12.5</f>
        <v>8.2407407407407397E-4</v>
      </c>
      <c r="I72" s="11">
        <f>G72/0.93</f>
        <v>8.5922275321916877E-4</v>
      </c>
      <c r="J72" s="11">
        <f>G72/0.92</f>
        <v>8.6856213097155112E-4</v>
      </c>
      <c r="K72" s="11">
        <f>G72/0.88</f>
        <v>9.080422278338944E-4</v>
      </c>
      <c r="L72" s="17">
        <f>G72/0.84</f>
        <v>9.5128233392122272E-4</v>
      </c>
      <c r="M72" s="25">
        <f>WO2025Jan7men1191517192325293133353941434547495557596365676971737577791317192123[[#This Row],[CV]]</f>
        <v>8.6856213097155112E-4</v>
      </c>
      <c r="N72" s="28">
        <f>WO2025Jan7men1191517192325293133353941434547495557596365676971737577791317192123[[#This Row],[CV]]*2.5</f>
        <v>2.1714053274288778E-3</v>
      </c>
      <c r="O72" s="25">
        <f>WO2025Jan7men1191517192325293133353941434547495557596365676971737577791317192123[[#This Row],[VO2]]</f>
        <v>7.9907716049382703E-4</v>
      </c>
      <c r="P72" s="25"/>
      <c r="Q72" s="25"/>
      <c r="R72" s="28"/>
      <c r="S72" s="25"/>
      <c r="T72" s="25"/>
      <c r="U72" s="28"/>
      <c r="V72" s="25"/>
      <c r="W72" s="15" t="s">
        <v>35</v>
      </c>
      <c r="X72" s="52"/>
    </row>
    <row r="73" spans="1:24" ht="20.45" customHeight="1">
      <c r="A73" s="10" t="s">
        <v>86</v>
      </c>
      <c r="B73" s="11">
        <v>1.0300925925925925E-2</v>
      </c>
      <c r="C73" s="11">
        <v>3.0671296296296297E-3</v>
      </c>
      <c r="D73" s="11">
        <f t="shared" si="24"/>
        <v>5.9930787037037027E-3</v>
      </c>
      <c r="E73" s="12">
        <v>0.58179999999999998</v>
      </c>
      <c r="F73" s="11">
        <f t="shared" si="25"/>
        <v>7.6678240740740743E-4</v>
      </c>
      <c r="G73" s="11">
        <f t="shared" si="26"/>
        <v>7.9907716049382703E-4</v>
      </c>
      <c r="H73" s="11">
        <f t="shared" si="27"/>
        <v>8.2407407407407397E-4</v>
      </c>
      <c r="I73" s="11">
        <f t="shared" si="28"/>
        <v>8.5922275321916877E-4</v>
      </c>
      <c r="J73" s="11">
        <f t="shared" si="29"/>
        <v>8.6856213097155112E-4</v>
      </c>
      <c r="K73" s="11">
        <f t="shared" si="30"/>
        <v>9.080422278338944E-4</v>
      </c>
      <c r="L73" s="11">
        <f t="shared" si="31"/>
        <v>9.5128233392122272E-4</v>
      </c>
      <c r="M73" s="25">
        <f>WO2025Jan7men1191517192325293133353941434547495557596365676971737577791317192123[[#This Row],[CV]]</f>
        <v>8.6856213097155112E-4</v>
      </c>
      <c r="N73" s="28">
        <f>WO2025Jan7men1191517192325293133353941434547495557596365676971737577791317192123[[#This Row],[CV]]*2.5</f>
        <v>2.1714053274288778E-3</v>
      </c>
      <c r="O73" s="25">
        <f>WO2025Jan7men1191517192325293133353941434547495557596365676971737577791317192123[[#This Row],[VO2]]</f>
        <v>7.9907716049382703E-4</v>
      </c>
      <c r="P73" s="25"/>
      <c r="Q73" s="25"/>
      <c r="R73" s="28"/>
      <c r="S73" s="25"/>
      <c r="T73" s="25"/>
      <c r="U73" s="28"/>
      <c r="V73" s="25"/>
      <c r="W73" s="15" t="s">
        <v>26</v>
      </c>
      <c r="X73" s="52"/>
    </row>
    <row r="74" spans="1:24" ht="20.45" customHeight="1">
      <c r="A74" s="10" t="s">
        <v>117</v>
      </c>
      <c r="B74" s="11">
        <v>1.0300925925925925E-2</v>
      </c>
      <c r="C74" s="11">
        <v>3.0671296296296297E-3</v>
      </c>
      <c r="D74" s="11">
        <f t="shared" si="24"/>
        <v>5.9930787037037027E-3</v>
      </c>
      <c r="E74" s="12">
        <v>0.58179999999999998</v>
      </c>
      <c r="F74" s="11">
        <f t="shared" si="25"/>
        <v>7.6678240740740743E-4</v>
      </c>
      <c r="G74" s="11">
        <f t="shared" si="26"/>
        <v>7.9907716049382703E-4</v>
      </c>
      <c r="H74" s="11">
        <f t="shared" si="27"/>
        <v>8.2407407407407397E-4</v>
      </c>
      <c r="I74" s="11">
        <f t="shared" si="28"/>
        <v>8.5922275321916877E-4</v>
      </c>
      <c r="J74" s="11">
        <f t="shared" si="29"/>
        <v>8.6856213097155112E-4</v>
      </c>
      <c r="K74" s="11">
        <f t="shared" si="30"/>
        <v>9.080422278338944E-4</v>
      </c>
      <c r="L74" s="11">
        <f t="shared" si="31"/>
        <v>9.5128233392122272E-4</v>
      </c>
      <c r="M74" s="25">
        <f>WO2025Jan7men1191517192325293133353941434547495557596365676971737577791317192123[[#This Row],[CV]]</f>
        <v>8.6856213097155112E-4</v>
      </c>
      <c r="N74" s="28">
        <f>WO2025Jan7men1191517192325293133353941434547495557596365676971737577791317192123[[#This Row],[CV]]*2.5</f>
        <v>2.1714053274288778E-3</v>
      </c>
      <c r="O74" s="25">
        <f>WO2025Jan7men1191517192325293133353941434547495557596365676971737577791317192123[[#This Row],[VO2]]</f>
        <v>7.9907716049382703E-4</v>
      </c>
      <c r="P74" s="25"/>
      <c r="Q74" s="25"/>
      <c r="R74" s="28"/>
      <c r="S74" s="25"/>
      <c r="T74" s="25"/>
      <c r="U74" s="28"/>
      <c r="V74" s="25"/>
      <c r="W74" s="15" t="s">
        <v>35</v>
      </c>
      <c r="X74" s="52"/>
    </row>
    <row r="75" spans="1:24" ht="20.45" customHeight="1">
      <c r="A75" s="10" t="s">
        <v>118</v>
      </c>
      <c r="B75" s="11">
        <v>1.0300925925925925E-2</v>
      </c>
      <c r="C75" s="11">
        <v>3.0671296296296297E-3</v>
      </c>
      <c r="D75" s="11">
        <f>B75*E75</f>
        <v>5.9930787037037027E-3</v>
      </c>
      <c r="E75" s="12">
        <v>0.58179999999999998</v>
      </c>
      <c r="F75" s="11">
        <f>C75/4</f>
        <v>7.6678240740740743E-4</v>
      </c>
      <c r="G75" s="11">
        <f>D75/7.5</f>
        <v>7.9907716049382703E-4</v>
      </c>
      <c r="H75" s="11">
        <f>B75/12.5</f>
        <v>8.2407407407407397E-4</v>
      </c>
      <c r="I75" s="11">
        <f>G75/0.93</f>
        <v>8.5922275321916877E-4</v>
      </c>
      <c r="J75" s="11">
        <f>G75/0.92</f>
        <v>8.6856213097155112E-4</v>
      </c>
      <c r="K75" s="11">
        <f>G75/0.88</f>
        <v>9.080422278338944E-4</v>
      </c>
      <c r="L75" s="11">
        <f>G75/0.84</f>
        <v>9.5128233392122272E-4</v>
      </c>
      <c r="M75" s="25">
        <f>WO2025Jan7men1191517192325293133353941434547495557596365676971737577791317192123[[#This Row],[CV]]</f>
        <v>8.6856213097155112E-4</v>
      </c>
      <c r="N75" s="28">
        <f>WO2025Jan7men1191517192325293133353941434547495557596365676971737577791317192123[[#This Row],[CV]]*2.5</f>
        <v>2.1714053274288778E-3</v>
      </c>
      <c r="O75" s="25">
        <f>WO2025Jan7men1191517192325293133353941434547495557596365676971737577791317192123[[#This Row],[VO2]]</f>
        <v>7.9907716049382703E-4</v>
      </c>
      <c r="P75" s="25"/>
      <c r="Q75" s="25"/>
      <c r="R75" s="28"/>
      <c r="S75" s="25"/>
      <c r="T75" s="25"/>
      <c r="U75" s="28"/>
      <c r="V75" s="25"/>
      <c r="W75" s="15" t="s">
        <v>35</v>
      </c>
      <c r="X75" s="52"/>
    </row>
    <row r="76" spans="1:24" ht="20.45" customHeight="1">
      <c r="A76" s="10" t="s">
        <v>94</v>
      </c>
      <c r="B76" s="11">
        <v>1.0416666666666666E-2</v>
      </c>
      <c r="C76" s="11">
        <v>2.8935185185185188E-3</v>
      </c>
      <c r="D76" s="11">
        <f t="shared" si="24"/>
        <v>6.0604166666666662E-3</v>
      </c>
      <c r="E76" s="12">
        <v>0.58179999999999998</v>
      </c>
      <c r="F76" s="11">
        <f t="shared" si="25"/>
        <v>7.233796296296297E-4</v>
      </c>
      <c r="G76" s="11">
        <f t="shared" si="26"/>
        <v>8.0805555555555546E-4</v>
      </c>
      <c r="H76" s="11">
        <f t="shared" si="27"/>
        <v>8.3333333333333328E-4</v>
      </c>
      <c r="I76" s="11">
        <f t="shared" si="28"/>
        <v>8.6887694145758646E-4</v>
      </c>
      <c r="J76" s="11">
        <f t="shared" si="29"/>
        <v>8.7832125603864715E-4</v>
      </c>
      <c r="K76" s="11">
        <f t="shared" si="30"/>
        <v>9.1824494949494938E-4</v>
      </c>
      <c r="L76" s="17">
        <f t="shared" si="31"/>
        <v>9.6197089947089938E-4</v>
      </c>
      <c r="M76" s="25">
        <f>WO2025Jan7men1191517192325293133353941434547495557596365676971737577791317192123[[#This Row],[CV]]</f>
        <v>8.7832125603864715E-4</v>
      </c>
      <c r="N76" s="28">
        <f>WO2025Jan7men1191517192325293133353941434547495557596365676971737577791317192123[[#This Row],[CV]]*2.5</f>
        <v>2.195803140096618E-3</v>
      </c>
      <c r="O76" s="25">
        <f>WO2025Jan7men1191517192325293133353941434547495557596365676971737577791317192123[[#This Row],[VO2]]</f>
        <v>8.0805555555555546E-4</v>
      </c>
      <c r="P76" s="25"/>
      <c r="Q76" s="25"/>
      <c r="R76" s="28"/>
      <c r="S76" s="25"/>
      <c r="T76" s="25"/>
      <c r="U76" s="28"/>
      <c r="V76" s="25"/>
      <c r="W76" s="15" t="s">
        <v>35</v>
      </c>
      <c r="X76" s="52"/>
    </row>
    <row r="77" spans="1:24" ht="20.45" customHeight="1">
      <c r="A77" s="10" t="s">
        <v>119</v>
      </c>
      <c r="B77" s="11">
        <v>1.0416666666666666E-2</v>
      </c>
      <c r="C77" s="11"/>
      <c r="D77" s="11">
        <f t="shared" si="24"/>
        <v>6.0604166666666662E-3</v>
      </c>
      <c r="E77" s="12">
        <v>0.58179999999999998</v>
      </c>
      <c r="F77" s="11">
        <f t="shared" si="25"/>
        <v>0</v>
      </c>
      <c r="G77" s="11">
        <f t="shared" si="26"/>
        <v>8.0805555555555546E-4</v>
      </c>
      <c r="H77" s="11">
        <f t="shared" si="27"/>
        <v>8.3333333333333328E-4</v>
      </c>
      <c r="I77" s="11">
        <f t="shared" si="28"/>
        <v>8.6887694145758646E-4</v>
      </c>
      <c r="J77" s="11">
        <f t="shared" si="29"/>
        <v>8.7832125603864715E-4</v>
      </c>
      <c r="K77" s="11">
        <f t="shared" si="30"/>
        <v>9.1824494949494938E-4</v>
      </c>
      <c r="L77" s="11">
        <f t="shared" si="31"/>
        <v>9.6197089947089938E-4</v>
      </c>
      <c r="M77" s="25">
        <f>WO2025Jan7men1191517192325293133353941434547495557596365676971737577791317192123[[#This Row],[CV]]</f>
        <v>8.7832125603864715E-4</v>
      </c>
      <c r="N77" s="28">
        <f>WO2025Jan7men1191517192325293133353941434547495557596365676971737577791317192123[[#This Row],[CV]]*2.5</f>
        <v>2.195803140096618E-3</v>
      </c>
      <c r="O77" s="25">
        <f>WO2025Jan7men1191517192325293133353941434547495557596365676971737577791317192123[[#This Row],[VO2]]</f>
        <v>8.0805555555555546E-4</v>
      </c>
      <c r="P77" s="25"/>
      <c r="Q77" s="25"/>
      <c r="R77" s="28"/>
      <c r="S77" s="25"/>
      <c r="T77" s="25"/>
      <c r="U77" s="28"/>
      <c r="V77" s="28"/>
      <c r="W77" s="27" t="s">
        <v>26</v>
      </c>
      <c r="X77" s="52"/>
    </row>
    <row r="78" spans="1:24" ht="20.45" customHeight="1">
      <c r="A78" s="10" t="s">
        <v>120</v>
      </c>
      <c r="B78" s="11">
        <v>1.0416666666666666E-2</v>
      </c>
      <c r="C78" s="11">
        <v>3.1250000000000002E-3</v>
      </c>
      <c r="D78" s="11">
        <f t="shared" si="24"/>
        <v>6.0604166666666662E-3</v>
      </c>
      <c r="E78" s="12">
        <v>0.58179999999999998</v>
      </c>
      <c r="F78" s="11">
        <f t="shared" si="25"/>
        <v>7.8125000000000004E-4</v>
      </c>
      <c r="G78" s="11">
        <f t="shared" si="26"/>
        <v>8.0805555555555546E-4</v>
      </c>
      <c r="H78" s="11">
        <f t="shared" si="27"/>
        <v>8.3333333333333328E-4</v>
      </c>
      <c r="I78" s="11">
        <f t="shared" si="28"/>
        <v>8.6887694145758646E-4</v>
      </c>
      <c r="J78" s="11">
        <f t="shared" si="29"/>
        <v>8.7832125603864715E-4</v>
      </c>
      <c r="K78" s="11">
        <f t="shared" si="30"/>
        <v>9.1824494949494938E-4</v>
      </c>
      <c r="L78" s="11">
        <f t="shared" si="31"/>
        <v>9.6197089947089938E-4</v>
      </c>
      <c r="M78" s="25">
        <f>WO2025Jan7men1191517192325293133353941434547495557596365676971737577791317192123[[#This Row],[CV]]</f>
        <v>8.7832125603864715E-4</v>
      </c>
      <c r="N78" s="28">
        <f>WO2025Jan7men1191517192325293133353941434547495557596365676971737577791317192123[[#This Row],[CV]]*2.5</f>
        <v>2.195803140096618E-3</v>
      </c>
      <c r="O78" s="25">
        <f>WO2025Jan7men1191517192325293133353941434547495557596365676971737577791317192123[[#This Row],[VO2]]</f>
        <v>8.0805555555555546E-4</v>
      </c>
      <c r="P78" s="25"/>
      <c r="Q78" s="25"/>
      <c r="R78" s="28"/>
      <c r="S78" s="25"/>
      <c r="T78" s="25"/>
      <c r="U78" s="28"/>
      <c r="V78" s="25"/>
      <c r="W78" s="15" t="s">
        <v>26</v>
      </c>
      <c r="X78" s="52" t="s">
        <v>273</v>
      </c>
    </row>
    <row r="79" spans="1:24" ht="20.45" customHeight="1">
      <c r="A79" s="10" t="s">
        <v>87</v>
      </c>
      <c r="B79" s="11">
        <v>1.0532407407407407E-2</v>
      </c>
      <c r="C79" s="11">
        <v>2.9745370370370373E-3</v>
      </c>
      <c r="D79" s="11">
        <f t="shared" si="24"/>
        <v>6.1277546296296288E-3</v>
      </c>
      <c r="E79" s="12">
        <v>0.58179999999999998</v>
      </c>
      <c r="F79" s="11">
        <f t="shared" si="25"/>
        <v>7.4363425925925931E-4</v>
      </c>
      <c r="G79" s="11">
        <f t="shared" si="26"/>
        <v>8.1703395061728389E-4</v>
      </c>
      <c r="H79" s="11">
        <f t="shared" si="27"/>
        <v>8.4259259259259259E-4</v>
      </c>
      <c r="I79" s="11">
        <f t="shared" si="28"/>
        <v>8.7853112969600415E-4</v>
      </c>
      <c r="J79" s="11">
        <f t="shared" si="29"/>
        <v>8.8808038110574329E-4</v>
      </c>
      <c r="K79" s="11">
        <f t="shared" si="30"/>
        <v>9.2844767115600447E-4</v>
      </c>
      <c r="L79" s="11">
        <f t="shared" si="31"/>
        <v>9.7265946502057604E-4</v>
      </c>
      <c r="M79" s="25">
        <f>WO2025Jan7men1191517192325293133353941434547495557596365676971737577791317192123[[#This Row],[CV]]</f>
        <v>8.8808038110574329E-4</v>
      </c>
      <c r="N79" s="28">
        <f>WO2025Jan7men1191517192325293133353941434547495557596365676971737577791317192123[[#This Row],[CV]]*2.5</f>
        <v>2.2202009527643582E-3</v>
      </c>
      <c r="O79" s="25">
        <f>WO2025Jan7men1191517192325293133353941434547495557596365676971737577791317192123[[#This Row],[VO2]]</f>
        <v>8.1703395061728389E-4</v>
      </c>
      <c r="P79" s="25"/>
      <c r="Q79" s="25"/>
      <c r="R79" s="28"/>
      <c r="S79" s="25"/>
      <c r="T79" s="25"/>
      <c r="U79" s="28"/>
      <c r="V79" s="25"/>
      <c r="W79" s="15" t="s">
        <v>26</v>
      </c>
      <c r="X79" s="52"/>
    </row>
    <row r="80" spans="1:24" ht="20.45" customHeight="1">
      <c r="A80" s="10" t="s">
        <v>88</v>
      </c>
      <c r="B80" s="11">
        <v>1.0532407407407407E-2</v>
      </c>
      <c r="C80" s="11">
        <v>3.0671296296296297E-3</v>
      </c>
      <c r="D80" s="11">
        <f>B80*E80</f>
        <v>6.1277546296296288E-3</v>
      </c>
      <c r="E80" s="12">
        <v>0.58179999999999998</v>
      </c>
      <c r="F80" s="11">
        <f>C80/4</f>
        <v>7.6678240740740743E-4</v>
      </c>
      <c r="G80" s="11">
        <f>D80/7.5</f>
        <v>8.1703395061728389E-4</v>
      </c>
      <c r="H80" s="11">
        <f>B80/12.5</f>
        <v>8.4259259259259259E-4</v>
      </c>
      <c r="I80" s="11">
        <f>G80/0.93</f>
        <v>8.7853112969600415E-4</v>
      </c>
      <c r="J80" s="11">
        <f>G80/0.92</f>
        <v>8.8808038110574329E-4</v>
      </c>
      <c r="K80" s="11">
        <f>G80/0.88</f>
        <v>9.2844767115600447E-4</v>
      </c>
      <c r="L80" s="11">
        <f>G80/0.84</f>
        <v>9.7265946502057604E-4</v>
      </c>
      <c r="M80" s="25">
        <f>WO2025Jan7men1191517192325293133353941434547495557596365676971737577791317192123[[#This Row],[CV]]</f>
        <v>8.8808038110574329E-4</v>
      </c>
      <c r="N80" s="28">
        <f>WO2025Jan7men1191517192325293133353941434547495557596365676971737577791317192123[[#This Row],[CV]]*2.5</f>
        <v>2.2202009527643582E-3</v>
      </c>
      <c r="O80" s="25">
        <f>WO2025Jan7men1191517192325293133353941434547495557596365676971737577791317192123[[#This Row],[VO2]]</f>
        <v>8.1703395061728389E-4</v>
      </c>
      <c r="P80" s="25"/>
      <c r="Q80" s="25"/>
      <c r="R80" s="28"/>
      <c r="S80" s="25"/>
      <c r="T80" s="25"/>
      <c r="U80" s="28"/>
      <c r="V80" s="44"/>
      <c r="W80" s="28" t="s">
        <v>26</v>
      </c>
      <c r="X80" s="52"/>
    </row>
    <row r="81" spans="1:24" ht="20.45" customHeight="1">
      <c r="A81" s="10" t="s">
        <v>121</v>
      </c>
      <c r="B81" s="11">
        <v>1.0532407407407407E-2</v>
      </c>
      <c r="C81" s="11"/>
      <c r="D81" s="11">
        <f>B81*E81</f>
        <v>6.1277546296296288E-3</v>
      </c>
      <c r="E81" s="12">
        <v>0.58179999999999998</v>
      </c>
      <c r="F81" s="11">
        <f>C81/4</f>
        <v>0</v>
      </c>
      <c r="G81" s="11">
        <f>D81/7.5</f>
        <v>8.1703395061728389E-4</v>
      </c>
      <c r="H81" s="11">
        <f>B81/12.5</f>
        <v>8.4259259259259259E-4</v>
      </c>
      <c r="I81" s="11">
        <f>G81/0.93</f>
        <v>8.7853112969600415E-4</v>
      </c>
      <c r="J81" s="11">
        <f>G81/0.92</f>
        <v>8.8808038110574329E-4</v>
      </c>
      <c r="K81" s="11">
        <f>G81/0.88</f>
        <v>9.2844767115600447E-4</v>
      </c>
      <c r="L81" s="11">
        <f>G81/0.84</f>
        <v>9.7265946502057604E-4</v>
      </c>
      <c r="M81" s="25">
        <f>WO2025Jan7men1191517192325293133353941434547495557596365676971737577791317192123[[#This Row],[CV]]</f>
        <v>8.8808038110574329E-4</v>
      </c>
      <c r="N81" s="28">
        <f>WO2025Jan7men1191517192325293133353941434547495557596365676971737577791317192123[[#This Row],[CV]]*2.5</f>
        <v>2.2202009527643582E-3</v>
      </c>
      <c r="O81" s="25">
        <f>WO2025Jan7men1191517192325293133353941434547495557596365676971737577791317192123[[#This Row],[VO2]]</f>
        <v>8.1703395061728389E-4</v>
      </c>
      <c r="P81" s="25"/>
      <c r="Q81" s="25"/>
      <c r="R81" s="28"/>
      <c r="S81" s="25"/>
      <c r="T81" s="25"/>
      <c r="U81" s="28"/>
      <c r="V81" s="28"/>
      <c r="W81" s="27" t="s">
        <v>26</v>
      </c>
      <c r="X81" s="52"/>
    </row>
    <row r="82" spans="1:24" ht="20.45" customHeight="1">
      <c r="A82" s="10" t="s">
        <v>123</v>
      </c>
      <c r="B82" s="11">
        <v>1.0590277777777778E-2</v>
      </c>
      <c r="C82" s="11">
        <v>3.1828703703703702E-3</v>
      </c>
      <c r="D82" s="11">
        <f>B82*E82</f>
        <v>6.1614236111111114E-3</v>
      </c>
      <c r="E82" s="12">
        <v>0.58179999999999998</v>
      </c>
      <c r="F82" s="11">
        <f>C82/4</f>
        <v>7.9571759259259255E-4</v>
      </c>
      <c r="G82" s="11">
        <f>D82/7.5</f>
        <v>8.2152314814814816E-4</v>
      </c>
      <c r="H82" s="11">
        <f>B82/12.5</f>
        <v>8.472222222222223E-4</v>
      </c>
      <c r="I82" s="11">
        <f>G82/0.93</f>
        <v>8.8335822381521299E-4</v>
      </c>
      <c r="J82" s="11">
        <f>G82/0.92</f>
        <v>8.9295994363929141E-4</v>
      </c>
      <c r="K82" s="11">
        <f>G82/0.88</f>
        <v>9.3354903198653201E-4</v>
      </c>
      <c r="L82" s="11">
        <f>G82/0.84</f>
        <v>9.7800374779541442E-4</v>
      </c>
      <c r="M82" s="25">
        <f>WO2025Jan7men1191517192325293133353941434547495557596365676971737577791317192123[[#This Row],[CV]]</f>
        <v>8.9295994363929141E-4</v>
      </c>
      <c r="N82" s="28">
        <f>WO2025Jan7men1191517192325293133353941434547495557596365676971737577791317192123[[#This Row],[CV]]*2.5</f>
        <v>2.2323998590982287E-3</v>
      </c>
      <c r="O82" s="25">
        <f>WO2025Jan7men1191517192325293133353941434547495557596365676971737577791317192123[[#This Row],[VO2]]</f>
        <v>8.2152314814814816E-4</v>
      </c>
      <c r="P82" s="25"/>
      <c r="Q82" s="25"/>
      <c r="R82" s="28"/>
      <c r="S82" s="25"/>
      <c r="T82" s="25"/>
      <c r="U82" s="28"/>
      <c r="V82" s="28"/>
      <c r="W82" s="15" t="s">
        <v>26</v>
      </c>
      <c r="X82" s="52"/>
    </row>
    <row r="83" spans="1:24" ht="20.45" customHeight="1">
      <c r="A83" s="10" t="s">
        <v>91</v>
      </c>
      <c r="B83" s="11">
        <v>1.0590277777777778E-2</v>
      </c>
      <c r="C83" s="11">
        <v>3.1249999999999997E-3</v>
      </c>
      <c r="D83" s="11">
        <f t="shared" si="24"/>
        <v>6.1614236111111114E-3</v>
      </c>
      <c r="E83" s="12">
        <v>0.58179999999999998</v>
      </c>
      <c r="F83" s="11">
        <f t="shared" si="25"/>
        <v>7.8124999999999993E-4</v>
      </c>
      <c r="G83" s="11">
        <f t="shared" si="26"/>
        <v>8.2152314814814816E-4</v>
      </c>
      <c r="H83" s="11">
        <f t="shared" si="27"/>
        <v>8.472222222222223E-4</v>
      </c>
      <c r="I83" s="11">
        <f t="shared" si="28"/>
        <v>8.8335822381521299E-4</v>
      </c>
      <c r="J83" s="11">
        <f t="shared" si="29"/>
        <v>8.9295994363929141E-4</v>
      </c>
      <c r="K83" s="11">
        <f t="shared" si="30"/>
        <v>9.3354903198653201E-4</v>
      </c>
      <c r="L83" s="11">
        <f t="shared" si="31"/>
        <v>9.7800374779541442E-4</v>
      </c>
      <c r="M83" s="25">
        <f>WO2025Jan7men1191517192325293133353941434547495557596365676971737577791317192123[[#This Row],[CV]]</f>
        <v>8.9295994363929141E-4</v>
      </c>
      <c r="N83" s="28">
        <f>WO2025Jan7men1191517192325293133353941434547495557596365676971737577791317192123[[#This Row],[CV]]*2.5</f>
        <v>2.2323998590982287E-3</v>
      </c>
      <c r="O83" s="25">
        <f>WO2025Jan7men1191517192325293133353941434547495557596365676971737577791317192123[[#This Row],[VO2]]</f>
        <v>8.2152314814814816E-4</v>
      </c>
      <c r="P83" s="25"/>
      <c r="Q83" s="25"/>
      <c r="R83" s="28"/>
      <c r="S83" s="25"/>
      <c r="T83" s="25"/>
      <c r="U83" s="28"/>
      <c r="V83" s="25"/>
      <c r="W83" s="15" t="s">
        <v>26</v>
      </c>
      <c r="X83" s="52"/>
    </row>
    <row r="84" spans="1:24" ht="20.45" customHeight="1">
      <c r="A84" s="10" t="s">
        <v>129</v>
      </c>
      <c r="B84" s="11">
        <v>1.0648148148148148E-2</v>
      </c>
      <c r="C84" s="11">
        <v>3.0092592592592593E-3</v>
      </c>
      <c r="D84" s="11">
        <f t="shared" si="24"/>
        <v>6.1950925925925923E-3</v>
      </c>
      <c r="E84" s="12">
        <v>0.58179999999999998</v>
      </c>
      <c r="F84" s="11">
        <f t="shared" si="25"/>
        <v>7.5231481481481482E-4</v>
      </c>
      <c r="G84" s="11">
        <f t="shared" si="26"/>
        <v>8.2601234567901232E-4</v>
      </c>
      <c r="H84" s="11">
        <f t="shared" si="27"/>
        <v>8.5185185185185179E-4</v>
      </c>
      <c r="I84" s="11">
        <f t="shared" si="28"/>
        <v>8.8818531793442184E-4</v>
      </c>
      <c r="J84" s="11">
        <f t="shared" si="29"/>
        <v>8.9783950617283942E-4</v>
      </c>
      <c r="K84" s="11">
        <f t="shared" si="30"/>
        <v>9.3865039281705945E-4</v>
      </c>
      <c r="L84" s="11">
        <f t="shared" si="31"/>
        <v>9.833480305702527E-4</v>
      </c>
      <c r="M84" s="25">
        <f>WO2025Jan7men1191517192325293133353941434547495557596365676971737577791317192123[[#This Row],[CV]]</f>
        <v>8.9783950617283942E-4</v>
      </c>
      <c r="N84" s="28">
        <f>WO2025Jan7men1191517192325293133353941434547495557596365676971737577791317192123[[#This Row],[CV]]*2.5</f>
        <v>2.2445987654320983E-3</v>
      </c>
      <c r="O84" s="25">
        <f>WO2025Jan7men1191517192325293133353941434547495557596365676971737577791317192123[[#This Row],[VO2]]</f>
        <v>8.2601234567901232E-4</v>
      </c>
      <c r="P84" s="25"/>
      <c r="Q84" s="25"/>
      <c r="R84" s="28"/>
      <c r="S84" s="25"/>
      <c r="T84" s="25"/>
      <c r="U84" s="28"/>
      <c r="V84" s="25"/>
      <c r="W84" s="15" t="s">
        <v>35</v>
      </c>
      <c r="X84" s="52"/>
    </row>
    <row r="85" spans="1:24" ht="20.45" customHeight="1">
      <c r="A85" s="10" t="s">
        <v>90</v>
      </c>
      <c r="B85" s="11">
        <v>1.0648148148148148E-2</v>
      </c>
      <c r="C85" s="11">
        <v>3.0671296296296297E-3</v>
      </c>
      <c r="D85" s="11">
        <f>B85*E85</f>
        <v>6.1950925925925923E-3</v>
      </c>
      <c r="E85" s="12">
        <v>0.58179999999999998</v>
      </c>
      <c r="F85" s="11">
        <f>C85/4</f>
        <v>7.6678240740740743E-4</v>
      </c>
      <c r="G85" s="11">
        <f>D85/7.5</f>
        <v>8.2601234567901232E-4</v>
      </c>
      <c r="H85" s="11">
        <f>B85/12.5</f>
        <v>8.5185185185185179E-4</v>
      </c>
      <c r="I85" s="11">
        <f>G85/0.93</f>
        <v>8.8818531793442184E-4</v>
      </c>
      <c r="J85" s="11">
        <f>G85/0.92</f>
        <v>8.9783950617283942E-4</v>
      </c>
      <c r="K85" s="11">
        <f>G85/0.88</f>
        <v>9.3865039281705945E-4</v>
      </c>
      <c r="L85" s="17">
        <f>G85/0.84</f>
        <v>9.833480305702527E-4</v>
      </c>
      <c r="M85" s="25">
        <f>WO2025Jan7men1191517192325293133353941434547495557596365676971737577791317192123[[#This Row],[CV]]</f>
        <v>8.9783950617283942E-4</v>
      </c>
      <c r="N85" s="28">
        <f>WO2025Jan7men1191517192325293133353941434547495557596365676971737577791317192123[[#This Row],[CV]]*2.5</f>
        <v>2.2445987654320983E-3</v>
      </c>
      <c r="O85" s="25">
        <f>WO2025Jan7men1191517192325293133353941434547495557596365676971737577791317192123[[#This Row],[VO2]]</f>
        <v>8.2601234567901232E-4</v>
      </c>
      <c r="P85" s="25"/>
      <c r="Q85" s="25"/>
      <c r="R85" s="28"/>
      <c r="S85" s="25"/>
      <c r="T85" s="25"/>
      <c r="U85" s="28"/>
      <c r="V85" s="25"/>
      <c r="W85" s="15" t="s">
        <v>26</v>
      </c>
      <c r="X85" s="52"/>
    </row>
    <row r="86" spans="1:24" ht="20.45" customHeight="1" thickBot="1">
      <c r="A86" s="10" t="s">
        <v>125</v>
      </c>
      <c r="B86" s="11">
        <v>1.0648148148148148E-2</v>
      </c>
      <c r="C86" s="11"/>
      <c r="D86" s="11">
        <f t="shared" si="24"/>
        <v>6.1950925925925923E-3</v>
      </c>
      <c r="E86" s="12">
        <v>0.58179999999999998</v>
      </c>
      <c r="F86" s="11">
        <f t="shared" si="25"/>
        <v>0</v>
      </c>
      <c r="G86" s="11">
        <f t="shared" si="26"/>
        <v>8.2601234567901232E-4</v>
      </c>
      <c r="H86" s="11">
        <f t="shared" si="27"/>
        <v>8.5185185185185179E-4</v>
      </c>
      <c r="I86" s="11">
        <f t="shared" si="28"/>
        <v>8.8818531793442184E-4</v>
      </c>
      <c r="J86" s="11">
        <f t="shared" si="29"/>
        <v>8.9783950617283942E-4</v>
      </c>
      <c r="K86" s="11">
        <f t="shared" si="30"/>
        <v>9.3865039281705945E-4</v>
      </c>
      <c r="L86" s="11">
        <f t="shared" si="31"/>
        <v>9.833480305702527E-4</v>
      </c>
      <c r="M86" s="25">
        <f>WO2025Jan7men1191517192325293133353941434547495557596365676971737577791317192123[[#This Row],[CV]]</f>
        <v>8.9783950617283942E-4</v>
      </c>
      <c r="N86" s="28">
        <f>WO2025Jan7men1191517192325293133353941434547495557596365676971737577791317192123[[#This Row],[CV]]*2.5</f>
        <v>2.2445987654320983E-3</v>
      </c>
      <c r="O86" s="25">
        <f>WO2025Jan7men1191517192325293133353941434547495557596365676971737577791317192123[[#This Row],[VO2]]</f>
        <v>8.2601234567901232E-4</v>
      </c>
      <c r="P86" s="25"/>
      <c r="Q86" s="25"/>
      <c r="R86" s="28"/>
      <c r="S86" s="25"/>
      <c r="T86" s="25"/>
      <c r="U86" s="28"/>
      <c r="V86" s="28"/>
      <c r="W86" s="15" t="s">
        <v>26</v>
      </c>
      <c r="X86" s="52"/>
    </row>
    <row r="87" spans="1:24" ht="20.45" customHeight="1">
      <c r="A87" s="1" t="s">
        <v>265</v>
      </c>
      <c r="B87" s="6"/>
      <c r="C87" s="6"/>
      <c r="D87" s="6"/>
      <c r="E87" s="20"/>
      <c r="F87" s="6"/>
      <c r="G87" s="6"/>
      <c r="H87" s="6"/>
      <c r="I87" s="6"/>
      <c r="J87" s="6"/>
      <c r="K87" s="6"/>
      <c r="L87" s="6"/>
      <c r="M87" s="6"/>
      <c r="N87" s="6"/>
      <c r="O87" s="6"/>
      <c r="P87" s="6"/>
      <c r="Q87" s="22"/>
      <c r="R87" s="6"/>
      <c r="S87" s="6"/>
      <c r="T87" s="6"/>
      <c r="U87" s="6"/>
      <c r="V87" s="23"/>
      <c r="W87" s="35"/>
      <c r="X87" s="52"/>
    </row>
    <row r="88" spans="1:24" ht="20.45" customHeight="1">
      <c r="A88" s="10" t="s">
        <v>126</v>
      </c>
      <c r="B88" s="11">
        <v>1.0648148148148148E-2</v>
      </c>
      <c r="C88" s="11"/>
      <c r="D88" s="11">
        <f t="shared" si="24"/>
        <v>6.1950925925925923E-3</v>
      </c>
      <c r="E88" s="12">
        <v>0.58179999999999998</v>
      </c>
      <c r="F88" s="11">
        <f t="shared" si="25"/>
        <v>0</v>
      </c>
      <c r="G88" s="11">
        <f t="shared" si="26"/>
        <v>8.2601234567901232E-4</v>
      </c>
      <c r="H88" s="11">
        <f t="shared" si="27"/>
        <v>8.5185185185185179E-4</v>
      </c>
      <c r="I88" s="11">
        <f t="shared" si="28"/>
        <v>8.8818531793442184E-4</v>
      </c>
      <c r="J88" s="11">
        <f t="shared" si="29"/>
        <v>8.9783950617283942E-4</v>
      </c>
      <c r="K88" s="11">
        <f t="shared" si="30"/>
        <v>9.3865039281705945E-4</v>
      </c>
      <c r="L88" s="11">
        <f t="shared" si="31"/>
        <v>9.833480305702527E-4</v>
      </c>
      <c r="M88" s="25">
        <f>WO2025Jan7men1191517192325293133353941434547495557596365676971737577791317192123[[#This Row],[CV]]</f>
        <v>8.9783950617283942E-4</v>
      </c>
      <c r="N88" s="28">
        <f>WO2025Jan7men1191517192325293133353941434547495557596365676971737577791317192123[[#This Row],[CV]]*2.5</f>
        <v>2.2445987654320983E-3</v>
      </c>
      <c r="O88" s="25">
        <f>WO2025Jan7men1191517192325293133353941434547495557596365676971737577791317192123[[#This Row],[VO2]]</f>
        <v>8.2601234567901232E-4</v>
      </c>
      <c r="P88" s="25"/>
      <c r="Q88" s="25"/>
      <c r="R88" s="28"/>
      <c r="S88" s="25"/>
      <c r="T88" s="25"/>
      <c r="U88" s="28"/>
      <c r="V88" s="28"/>
      <c r="W88" s="27" t="s">
        <v>35</v>
      </c>
      <c r="X88" s="52" t="s">
        <v>270</v>
      </c>
    </row>
    <row r="89" spans="1:24" ht="20.45" customHeight="1">
      <c r="A89" s="10" t="s">
        <v>124</v>
      </c>
      <c r="B89" s="11">
        <v>1.0648148148148148E-2</v>
      </c>
      <c r="C89" s="11"/>
      <c r="D89" s="11">
        <f t="shared" si="24"/>
        <v>6.1950925925925923E-3</v>
      </c>
      <c r="E89" s="12">
        <v>0.58179999999999998</v>
      </c>
      <c r="F89" s="11">
        <f t="shared" si="25"/>
        <v>0</v>
      </c>
      <c r="G89" s="11">
        <f t="shared" si="26"/>
        <v>8.2601234567901232E-4</v>
      </c>
      <c r="H89" s="11">
        <f t="shared" si="27"/>
        <v>8.5185185185185179E-4</v>
      </c>
      <c r="I89" s="11">
        <f t="shared" si="28"/>
        <v>8.8818531793442184E-4</v>
      </c>
      <c r="J89" s="11">
        <f t="shared" si="29"/>
        <v>8.9783950617283942E-4</v>
      </c>
      <c r="K89" s="11">
        <f t="shared" si="30"/>
        <v>9.3865039281705945E-4</v>
      </c>
      <c r="L89" s="11">
        <f t="shared" si="31"/>
        <v>9.833480305702527E-4</v>
      </c>
      <c r="M89" s="25">
        <f>WO2025Jan7men1191517192325293133353941434547495557596365676971737577791317192123[[#This Row],[CV]]</f>
        <v>8.9783950617283942E-4</v>
      </c>
      <c r="N89" s="28">
        <f>WO2025Jan7men1191517192325293133353941434547495557596365676971737577791317192123[[#This Row],[CV]]*2.5</f>
        <v>2.2445987654320983E-3</v>
      </c>
      <c r="O89" s="25">
        <f>WO2025Jan7men1191517192325293133353941434547495557596365676971737577791317192123[[#This Row],[VO2]]</f>
        <v>8.2601234567901232E-4</v>
      </c>
      <c r="P89" s="25"/>
      <c r="Q89" s="25"/>
      <c r="R89" s="28"/>
      <c r="S89" s="25"/>
      <c r="T89" s="25"/>
      <c r="U89" s="28"/>
      <c r="V89" s="28"/>
      <c r="W89" s="27" t="s">
        <v>26</v>
      </c>
      <c r="X89" s="52"/>
    </row>
    <row r="90" spans="1:24" ht="20.45" customHeight="1">
      <c r="A90" s="10" t="s">
        <v>131</v>
      </c>
      <c r="B90" s="11">
        <v>1.0763888888888891E-2</v>
      </c>
      <c r="C90" s="11">
        <v>3.1828703703703702E-3</v>
      </c>
      <c r="D90" s="11">
        <f t="shared" si="24"/>
        <v>6.2624305555555567E-3</v>
      </c>
      <c r="E90" s="12">
        <v>0.58179999999999998</v>
      </c>
      <c r="F90" s="11">
        <f t="shared" si="25"/>
        <v>7.9571759259259255E-4</v>
      </c>
      <c r="G90" s="11">
        <f t="shared" si="26"/>
        <v>8.3499074074074085E-4</v>
      </c>
      <c r="H90" s="11">
        <f t="shared" si="27"/>
        <v>8.6111111111111121E-4</v>
      </c>
      <c r="I90" s="11">
        <f t="shared" si="28"/>
        <v>8.9783950617283953E-4</v>
      </c>
      <c r="J90" s="11">
        <f t="shared" si="29"/>
        <v>9.0759863123993567E-4</v>
      </c>
      <c r="K90" s="11">
        <f t="shared" si="30"/>
        <v>9.4885311447811464E-4</v>
      </c>
      <c r="L90" s="11">
        <f t="shared" si="31"/>
        <v>9.9403659611992969E-4</v>
      </c>
      <c r="M90" s="25">
        <f>WO2025Jan7men1191517192325293133353941434547495557596365676971737577791317192123[[#This Row],[CV]]</f>
        <v>9.0759863123993567E-4</v>
      </c>
      <c r="N90" s="28">
        <f>WO2025Jan7men1191517192325293133353941434547495557596365676971737577791317192123[[#This Row],[CV]]*2.5</f>
        <v>2.2689965780998394E-3</v>
      </c>
      <c r="O90" s="25">
        <f>WO2025Jan7men1191517192325293133353941434547495557596365676971737577791317192123[[#This Row],[VO2]]</f>
        <v>8.3499074074074085E-4</v>
      </c>
      <c r="P90" s="25"/>
      <c r="Q90" s="25"/>
      <c r="R90" s="28"/>
      <c r="S90" s="25"/>
      <c r="T90" s="25"/>
      <c r="U90" s="28"/>
      <c r="V90" s="28"/>
      <c r="W90" s="15" t="s">
        <v>26</v>
      </c>
      <c r="X90" s="52"/>
    </row>
    <row r="91" spans="1:24" ht="20.45" customHeight="1">
      <c r="A91" s="10" t="s">
        <v>100</v>
      </c>
      <c r="B91" s="11">
        <v>1.0763888888888889E-2</v>
      </c>
      <c r="C91" s="11">
        <v>3.0671296296296297E-3</v>
      </c>
      <c r="D91" s="11">
        <f t="shared" si="24"/>
        <v>6.2624305555555549E-3</v>
      </c>
      <c r="E91" s="12">
        <v>0.58179999999999998</v>
      </c>
      <c r="F91" s="11">
        <f t="shared" si="25"/>
        <v>7.6678240740740743E-4</v>
      </c>
      <c r="G91" s="11">
        <f t="shared" si="26"/>
        <v>8.3499074074074064E-4</v>
      </c>
      <c r="H91" s="11">
        <f t="shared" si="27"/>
        <v>8.611111111111111E-4</v>
      </c>
      <c r="I91" s="11">
        <f t="shared" si="28"/>
        <v>8.9783950617283931E-4</v>
      </c>
      <c r="J91" s="11">
        <f t="shared" si="29"/>
        <v>9.0759863123993545E-4</v>
      </c>
      <c r="K91" s="11">
        <f t="shared" si="30"/>
        <v>9.4885311447811432E-4</v>
      </c>
      <c r="L91" s="17">
        <f t="shared" si="31"/>
        <v>9.9403659611992947E-4</v>
      </c>
      <c r="M91" s="25">
        <f>WO2025Jan7men1191517192325293133353941434547495557596365676971737577791317192123[[#This Row],[CV]]</f>
        <v>9.0759863123993545E-4</v>
      </c>
      <c r="N91" s="28">
        <f>WO2025Jan7men1191517192325293133353941434547495557596365676971737577791317192123[[#This Row],[CV]]*2.5</f>
        <v>2.2689965780998385E-3</v>
      </c>
      <c r="O91" s="25">
        <f>WO2025Jan7men1191517192325293133353941434547495557596365676971737577791317192123[[#This Row],[VO2]]</f>
        <v>8.3499074074074064E-4</v>
      </c>
      <c r="P91" s="25"/>
      <c r="Q91" s="25"/>
      <c r="R91" s="28"/>
      <c r="S91" s="25"/>
      <c r="T91" s="25"/>
      <c r="U91" s="28"/>
      <c r="V91" s="25"/>
      <c r="W91" s="15" t="s">
        <v>35</v>
      </c>
      <c r="X91" s="52"/>
    </row>
    <row r="92" spans="1:24" ht="20.45" customHeight="1">
      <c r="A92" s="10" t="s">
        <v>132</v>
      </c>
      <c r="B92" s="11">
        <v>1.087962962962963E-2</v>
      </c>
      <c r="C92" s="11"/>
      <c r="D92" s="11">
        <f t="shared" si="24"/>
        <v>6.3297685185185184E-3</v>
      </c>
      <c r="E92" s="12">
        <v>0.58179999999999998</v>
      </c>
      <c r="F92" s="11">
        <f t="shared" si="25"/>
        <v>0</v>
      </c>
      <c r="G92" s="11">
        <f t="shared" si="26"/>
        <v>8.4396913580246917E-4</v>
      </c>
      <c r="H92" s="11">
        <f t="shared" si="27"/>
        <v>8.7037037037037042E-4</v>
      </c>
      <c r="I92" s="11">
        <f t="shared" si="28"/>
        <v>9.0749369441125711E-4</v>
      </c>
      <c r="J92" s="11">
        <f t="shared" si="29"/>
        <v>9.173577563070317E-4</v>
      </c>
      <c r="K92" s="11">
        <f t="shared" si="30"/>
        <v>9.5905583613916951E-4</v>
      </c>
      <c r="L92" s="11">
        <f t="shared" si="31"/>
        <v>1.0047251616696062E-3</v>
      </c>
      <c r="M92" s="25">
        <f>WO2025Jan7men1191517192325293133353941434547495557596365676971737577791317192123[[#This Row],[CV]]</f>
        <v>9.173577563070317E-4</v>
      </c>
      <c r="N92" s="28">
        <f>WO2025Jan7men1191517192325293133353941434547495557596365676971737577791317192123[[#This Row],[CV]]*2.5</f>
        <v>2.2933943907675791E-3</v>
      </c>
      <c r="O92" s="25">
        <f>WO2025Jan7men1191517192325293133353941434547495557596365676971737577791317192123[[#This Row],[VO2]]</f>
        <v>8.4396913580246917E-4</v>
      </c>
      <c r="P92" s="25"/>
      <c r="Q92" s="25"/>
      <c r="R92" s="28"/>
      <c r="S92" s="25"/>
      <c r="T92" s="25"/>
      <c r="U92" s="28"/>
      <c r="V92" s="28"/>
      <c r="W92" s="27" t="s">
        <v>35</v>
      </c>
      <c r="X92" s="52"/>
    </row>
    <row r="93" spans="1:24" ht="20.45" customHeight="1">
      <c r="A93" s="10" t="s">
        <v>133</v>
      </c>
      <c r="B93" s="11">
        <v>1.087962962962963E-2</v>
      </c>
      <c r="C93" s="11">
        <v>3.1250000000000002E-3</v>
      </c>
      <c r="D93" s="11">
        <f t="shared" si="24"/>
        <v>6.3297685185185184E-3</v>
      </c>
      <c r="E93" s="12">
        <v>0.58179999999999998</v>
      </c>
      <c r="F93" s="11">
        <f t="shared" si="25"/>
        <v>7.8125000000000004E-4</v>
      </c>
      <c r="G93" s="11">
        <f t="shared" si="26"/>
        <v>8.4396913580246917E-4</v>
      </c>
      <c r="H93" s="11">
        <f t="shared" si="27"/>
        <v>8.7037037037037042E-4</v>
      </c>
      <c r="I93" s="11">
        <f t="shared" si="28"/>
        <v>9.0749369441125711E-4</v>
      </c>
      <c r="J93" s="11">
        <f t="shared" si="29"/>
        <v>9.173577563070317E-4</v>
      </c>
      <c r="K93" s="11">
        <f t="shared" si="30"/>
        <v>9.5905583613916951E-4</v>
      </c>
      <c r="L93" s="11">
        <f t="shared" si="31"/>
        <v>1.0047251616696062E-3</v>
      </c>
      <c r="M93" s="25">
        <f>WO2025Jan7men1191517192325293133353941434547495557596365676971737577791317192123[[#This Row],[CV]]</f>
        <v>9.173577563070317E-4</v>
      </c>
      <c r="N93" s="28">
        <f>WO2025Jan7men1191517192325293133353941434547495557596365676971737577791317192123[[#This Row],[CV]]*2.5</f>
        <v>2.2933943907675791E-3</v>
      </c>
      <c r="O93" s="25">
        <f>WO2025Jan7men1191517192325293133353941434547495557596365676971737577791317192123[[#This Row],[VO2]]</f>
        <v>8.4396913580246917E-4</v>
      </c>
      <c r="P93" s="25"/>
      <c r="Q93" s="25"/>
      <c r="R93" s="28"/>
      <c r="S93" s="25"/>
      <c r="T93" s="25"/>
      <c r="U93" s="28"/>
      <c r="V93" s="25"/>
      <c r="W93" s="15" t="s">
        <v>26</v>
      </c>
      <c r="X93" s="52"/>
    </row>
    <row r="94" spans="1:24" ht="20.45" customHeight="1">
      <c r="A94" s="10" t="s">
        <v>113</v>
      </c>
      <c r="B94" s="11">
        <v>1.087962962962963E-2</v>
      </c>
      <c r="C94" s="11">
        <v>3.2986111111111111E-3</v>
      </c>
      <c r="D94" s="11">
        <f t="shared" si="24"/>
        <v>6.3297685185185184E-3</v>
      </c>
      <c r="E94" s="12">
        <v>0.58179999999999998</v>
      </c>
      <c r="F94" s="11">
        <f t="shared" si="25"/>
        <v>8.2465277777777778E-4</v>
      </c>
      <c r="G94" s="11">
        <f t="shared" si="26"/>
        <v>8.4396913580246917E-4</v>
      </c>
      <c r="H94" s="11">
        <f t="shared" si="27"/>
        <v>8.7037037037037042E-4</v>
      </c>
      <c r="I94" s="11">
        <f t="shared" si="28"/>
        <v>9.0749369441125711E-4</v>
      </c>
      <c r="J94" s="11">
        <f t="shared" si="29"/>
        <v>9.173577563070317E-4</v>
      </c>
      <c r="K94" s="11">
        <f t="shared" si="30"/>
        <v>9.5905583613916951E-4</v>
      </c>
      <c r="L94" s="11">
        <f t="shared" si="31"/>
        <v>1.0047251616696062E-3</v>
      </c>
      <c r="M94" s="25">
        <f>WO2025Jan7men1191517192325293133353941434547495557596365676971737577791317192123[[#This Row],[CV]]</f>
        <v>9.173577563070317E-4</v>
      </c>
      <c r="N94" s="28">
        <f>WO2025Jan7men1191517192325293133353941434547495557596365676971737577791317192123[[#This Row],[CV]]*2.5</f>
        <v>2.2933943907675791E-3</v>
      </c>
      <c r="O94" s="25">
        <f>WO2025Jan7men1191517192325293133353941434547495557596365676971737577791317192123[[#This Row],[VO2]]</f>
        <v>8.4396913580246917E-4</v>
      </c>
      <c r="P94" s="25"/>
      <c r="Q94" s="25"/>
      <c r="R94" s="28"/>
      <c r="S94" s="25"/>
      <c r="T94" s="25"/>
      <c r="U94" s="28"/>
      <c r="V94" s="25"/>
      <c r="W94" s="15" t="s">
        <v>35</v>
      </c>
      <c r="X94" s="52"/>
    </row>
    <row r="95" spans="1:24" ht="20.45" customHeight="1">
      <c r="A95" s="10" t="s">
        <v>128</v>
      </c>
      <c r="B95" s="11">
        <v>1.087962962962963E-2</v>
      </c>
      <c r="C95" s="11"/>
      <c r="D95" s="11">
        <f>B95*E95</f>
        <v>6.3297685185185184E-3</v>
      </c>
      <c r="E95" s="12">
        <v>0.58179999999999998</v>
      </c>
      <c r="F95" s="11">
        <f>C95/4</f>
        <v>0</v>
      </c>
      <c r="G95" s="11">
        <f>D95/7.5</f>
        <v>8.4396913580246917E-4</v>
      </c>
      <c r="H95" s="11">
        <f>B95/12.5</f>
        <v>8.7037037037037042E-4</v>
      </c>
      <c r="I95" s="11">
        <f>G95/0.93</f>
        <v>9.0749369441125711E-4</v>
      </c>
      <c r="J95" s="11">
        <f>G95/0.92</f>
        <v>9.173577563070317E-4</v>
      </c>
      <c r="K95" s="11">
        <f>G95/0.88</f>
        <v>9.5905583613916951E-4</v>
      </c>
      <c r="L95" s="11">
        <f>G95/0.84</f>
        <v>1.0047251616696062E-3</v>
      </c>
      <c r="M95" s="25">
        <f>WO2025Jan7men1191517192325293133353941434547495557596365676971737577791317192123[[#This Row],[CV]]</f>
        <v>9.173577563070317E-4</v>
      </c>
      <c r="N95" s="28">
        <f>WO2025Jan7men1191517192325293133353941434547495557596365676971737577791317192123[[#This Row],[CV]]*2.5</f>
        <v>2.2933943907675791E-3</v>
      </c>
      <c r="O95" s="25">
        <f>WO2025Jan7men1191517192325293133353941434547495557596365676971737577791317192123[[#This Row],[VO2]]</f>
        <v>8.4396913580246917E-4</v>
      </c>
      <c r="P95" s="25"/>
      <c r="Q95" s="25"/>
      <c r="R95" s="28"/>
      <c r="S95" s="25"/>
      <c r="T95" s="25"/>
      <c r="U95" s="28"/>
      <c r="V95" s="28"/>
      <c r="W95" s="27" t="s">
        <v>35</v>
      </c>
      <c r="X95" s="52"/>
    </row>
    <row r="96" spans="1:24" ht="20.45" customHeight="1">
      <c r="A96" s="10" t="s">
        <v>136</v>
      </c>
      <c r="B96" s="11">
        <v>1.1111111111111112E-2</v>
      </c>
      <c r="C96" s="11">
        <v>3.1828703703703702E-3</v>
      </c>
      <c r="D96" s="11">
        <f>B96*E96</f>
        <v>6.4644444444444445E-3</v>
      </c>
      <c r="E96" s="12">
        <v>0.58179999999999998</v>
      </c>
      <c r="F96" s="11">
        <f>C96/4</f>
        <v>7.9571759259259255E-4</v>
      </c>
      <c r="G96" s="11">
        <f>D96/7.5</f>
        <v>8.6192592592592592E-4</v>
      </c>
      <c r="H96" s="11">
        <f>B96/12.5</f>
        <v>8.8888888888888893E-4</v>
      </c>
      <c r="I96" s="11">
        <f>G96/0.93</f>
        <v>9.2680207088809239E-4</v>
      </c>
      <c r="J96" s="11">
        <f>G96/0.92</f>
        <v>9.3687600644122375E-4</v>
      </c>
      <c r="K96" s="11">
        <f>G96/0.88</f>
        <v>9.7946127946127947E-4</v>
      </c>
      <c r="L96" s="11">
        <f>G96/0.84</f>
        <v>1.0261022927689596E-3</v>
      </c>
      <c r="M96" s="25">
        <f>WO2025Jan7men1191517192325293133353941434547495557596365676971737577791317192123[[#This Row],[CV]]</f>
        <v>9.3687600644122375E-4</v>
      </c>
      <c r="N96" s="28">
        <f>WO2025Jan7men1191517192325293133353941434547495557596365676971737577791317192123[[#This Row],[CV]]*2.5</f>
        <v>2.3421900161030595E-3</v>
      </c>
      <c r="O96" s="25">
        <f>WO2025Jan7men1191517192325293133353941434547495557596365676971737577791317192123[[#This Row],[VO2]]</f>
        <v>8.6192592592592592E-4</v>
      </c>
      <c r="P96" s="25"/>
      <c r="Q96" s="25"/>
      <c r="R96" s="28"/>
      <c r="S96" s="25"/>
      <c r="T96" s="25"/>
      <c r="U96" s="28"/>
      <c r="V96" s="25"/>
      <c r="W96" s="15" t="s">
        <v>26</v>
      </c>
      <c r="X96" s="52"/>
    </row>
    <row r="97" spans="1:24" ht="20.45" customHeight="1">
      <c r="A97" s="10" t="s">
        <v>134</v>
      </c>
      <c r="B97" s="11">
        <v>1.1631944444444445E-2</v>
      </c>
      <c r="C97" s="11"/>
      <c r="D97" s="11">
        <f>B97*E97</f>
        <v>6.7674652777777776E-3</v>
      </c>
      <c r="E97" s="12">
        <v>0.58179999999999998</v>
      </c>
      <c r="F97" s="11">
        <f>C97/4</f>
        <v>0</v>
      </c>
      <c r="G97" s="11">
        <f>D97/7.5</f>
        <v>9.0232870370370369E-4</v>
      </c>
      <c r="H97" s="11">
        <f>B97/12.5</f>
        <v>9.3055555555555556E-4</v>
      </c>
      <c r="I97" s="11">
        <f>G97/0.93</f>
        <v>9.7024591796097167E-4</v>
      </c>
      <c r="J97" s="11">
        <f>G97/0.92</f>
        <v>9.8079206924315621E-4</v>
      </c>
      <c r="K97" s="11">
        <f>G97/0.88</f>
        <v>1.0253735269360269E-3</v>
      </c>
      <c r="L97" s="11">
        <f>G97/0.84</f>
        <v>1.0742008377425045E-3</v>
      </c>
      <c r="M97" s="25">
        <f>WO2025Jan7men1191517192325293133353941434547495557596365676971737577791317192123[[#This Row],[CV]]</f>
        <v>9.8079206924315621E-4</v>
      </c>
      <c r="N97" s="28">
        <f>WO2025Jan7men1191517192325293133353941434547495557596365676971737577791317192123[[#This Row],[CV]]*2.5</f>
        <v>2.4519801731078903E-3</v>
      </c>
      <c r="O97" s="25">
        <f>WO2025Jan7men1191517192325293133353941434547495557596365676971737577791317192123[[#This Row],[VO2]]</f>
        <v>9.0232870370370369E-4</v>
      </c>
      <c r="P97" s="25"/>
      <c r="Q97" s="25"/>
      <c r="R97" s="28"/>
      <c r="S97" s="25"/>
      <c r="T97" s="25"/>
      <c r="U97" s="28"/>
      <c r="V97" s="28"/>
      <c r="W97" s="27" t="s">
        <v>35</v>
      </c>
      <c r="X97" s="52"/>
    </row>
    <row r="98" spans="1:24" ht="20.45" customHeight="1">
      <c r="A98" s="10" t="s">
        <v>135</v>
      </c>
      <c r="B98" s="11">
        <v>1.1631944444444445E-2</v>
      </c>
      <c r="C98" s="11">
        <v>3.414351851851852E-3</v>
      </c>
      <c r="D98" s="11">
        <f>B98*E98</f>
        <v>6.7674652777777776E-3</v>
      </c>
      <c r="E98" s="12">
        <v>0.58179999999999998</v>
      </c>
      <c r="F98" s="11">
        <f>C98/4</f>
        <v>8.53587962962963E-4</v>
      </c>
      <c r="G98" s="11">
        <f>D98/7.5</f>
        <v>9.0232870370370369E-4</v>
      </c>
      <c r="H98" s="11">
        <f>B98/12.5</f>
        <v>9.3055555555555556E-4</v>
      </c>
      <c r="I98" s="11">
        <f>G98/0.93</f>
        <v>9.7024591796097167E-4</v>
      </c>
      <c r="J98" s="11">
        <f>G98/0.92</f>
        <v>9.8079206924315621E-4</v>
      </c>
      <c r="K98" s="11">
        <f>G98/0.88</f>
        <v>1.0253735269360269E-3</v>
      </c>
      <c r="L98" s="17">
        <f>G98/0.84</f>
        <v>1.0742008377425045E-3</v>
      </c>
      <c r="M98" s="25">
        <f>WO2025Jan7men1191517192325293133353941434547495557596365676971737577791317192123[[#This Row],[CV]]</f>
        <v>9.8079206924315621E-4</v>
      </c>
      <c r="N98" s="28">
        <f>WO2025Jan7men1191517192325293133353941434547495557596365676971737577791317192123[[#This Row],[CV]]*2.5</f>
        <v>2.4519801731078903E-3</v>
      </c>
      <c r="O98" s="25">
        <f>WO2025Jan7men1191517192325293133353941434547495557596365676971737577791317192123[[#This Row],[VO2]]</f>
        <v>9.0232870370370369E-4</v>
      </c>
      <c r="P98" s="25"/>
      <c r="Q98" s="25"/>
      <c r="R98" s="28"/>
      <c r="S98" s="25"/>
      <c r="T98" s="25"/>
      <c r="U98" s="28"/>
      <c r="V98" s="44"/>
      <c r="W98" s="28" t="s">
        <v>35</v>
      </c>
      <c r="X98" s="52"/>
    </row>
    <row r="99" spans="1:24" ht="20.45" customHeight="1">
      <c r="A99" s="10"/>
      <c r="B99" s="11"/>
      <c r="C99" s="11"/>
      <c r="D99" s="11"/>
      <c r="E99" s="12"/>
      <c r="F99" s="11"/>
      <c r="G99" s="11"/>
      <c r="H99" s="11"/>
      <c r="I99" s="11"/>
      <c r="J99" s="11"/>
      <c r="K99" s="11"/>
      <c r="L99" s="11"/>
      <c r="M99" s="25"/>
      <c r="N99" s="28"/>
      <c r="O99" s="25"/>
      <c r="P99" s="28"/>
      <c r="Q99" s="25"/>
      <c r="R99" s="28"/>
      <c r="S99" s="25"/>
      <c r="T99" s="28"/>
      <c r="U99" s="28"/>
      <c r="V99" s="25"/>
      <c r="W99" s="15"/>
      <c r="X99" s="52"/>
    </row>
    <row r="100" spans="1:24" ht="20.45" customHeight="1">
      <c r="A100" s="19"/>
      <c r="B100" s="6"/>
      <c r="C100" s="6"/>
      <c r="D100" s="6"/>
      <c r="E100" s="20"/>
      <c r="F100" s="6"/>
      <c r="G100" s="6"/>
      <c r="H100" s="6"/>
      <c r="I100" s="6"/>
      <c r="J100" s="6"/>
      <c r="K100" s="6"/>
      <c r="L100" s="6"/>
      <c r="M100" s="6"/>
      <c r="N100" s="6"/>
      <c r="O100" s="6"/>
      <c r="P100" s="6"/>
      <c r="Q100" s="6"/>
      <c r="R100" s="6"/>
      <c r="S100" s="6"/>
      <c r="T100" s="6"/>
      <c r="U100" s="6"/>
      <c r="V100" s="23"/>
      <c r="W100" s="35"/>
      <c r="X100" s="52"/>
    </row>
    <row r="101" spans="1:24" ht="20.45" customHeight="1">
      <c r="A101" s="10" t="s">
        <v>81</v>
      </c>
      <c r="B101" s="11">
        <v>9.9537037037037042E-3</v>
      </c>
      <c r="C101" s="11">
        <v>2.9745370370370373E-3</v>
      </c>
      <c r="D101" s="11">
        <f>B101*E101</f>
        <v>5.7910648148148149E-3</v>
      </c>
      <c r="E101" s="12">
        <v>0.58179999999999998</v>
      </c>
      <c r="F101" s="11">
        <f>C101/4</f>
        <v>7.4363425925925931E-4</v>
      </c>
      <c r="G101" s="11">
        <f>D101/7.5</f>
        <v>7.7214197530864196E-4</v>
      </c>
      <c r="H101" s="11">
        <f>B101/12.5</f>
        <v>7.9629629629629636E-4</v>
      </c>
      <c r="I101" s="11">
        <f>G101/0.93</f>
        <v>8.3026018850391602E-4</v>
      </c>
      <c r="J101" s="11">
        <f>G101/0.92</f>
        <v>8.3928475577026292E-4</v>
      </c>
      <c r="K101" s="11">
        <f>G101/0.88</f>
        <v>8.7743406285072947E-4</v>
      </c>
      <c r="L101" s="11">
        <f>G101/0.84</f>
        <v>9.1921663727219285E-4</v>
      </c>
      <c r="M101" s="25"/>
      <c r="N101" s="28"/>
      <c r="O101" s="25"/>
      <c r="P101" s="25"/>
      <c r="Q101" s="25"/>
      <c r="R101" s="28"/>
      <c r="S101" s="25"/>
      <c r="T101" s="25"/>
      <c r="U101" s="28"/>
      <c r="V101" s="25"/>
      <c r="W101" s="15" t="s">
        <v>52</v>
      </c>
      <c r="X101" s="52"/>
    </row>
    <row r="102" spans="1:24" ht="20.45" customHeight="1">
      <c r="A102" s="10" t="s">
        <v>107</v>
      </c>
      <c r="B102" s="11">
        <v>1.1111111111111112E-2</v>
      </c>
      <c r="C102" s="11">
        <v>3.2407407407407406E-3</v>
      </c>
      <c r="D102" s="11">
        <f t="shared" ref="D102:D106" si="32">B102*E102</f>
        <v>6.4644444444444445E-3</v>
      </c>
      <c r="E102" s="12">
        <v>0.58179999999999998</v>
      </c>
      <c r="F102" s="11">
        <f t="shared" ref="F102:F106" si="33">C102/4</f>
        <v>8.1018518518518516E-4</v>
      </c>
      <c r="G102" s="11">
        <f t="shared" ref="G102:G106" si="34">D102/7.5</f>
        <v>8.6192592592592592E-4</v>
      </c>
      <c r="H102" s="11">
        <f t="shared" ref="H102:H106" si="35">B102/12.5</f>
        <v>8.8888888888888893E-4</v>
      </c>
      <c r="I102" s="11">
        <f t="shared" ref="I102:I106" si="36">G102/0.93</f>
        <v>9.2680207088809239E-4</v>
      </c>
      <c r="J102" s="11">
        <f t="shared" ref="J102:J106" si="37">G102/0.92</f>
        <v>9.3687600644122375E-4</v>
      </c>
      <c r="K102" s="11">
        <f t="shared" ref="K102:K106" si="38">G102/0.88</f>
        <v>9.7946127946127947E-4</v>
      </c>
      <c r="L102" s="11">
        <f t="shared" ref="L102:L106" si="39">G102/0.84</f>
        <v>1.0261022927689596E-3</v>
      </c>
      <c r="M102" s="25"/>
      <c r="N102" s="28"/>
      <c r="O102" s="25"/>
      <c r="P102" s="25"/>
      <c r="Q102" s="25"/>
      <c r="R102" s="28"/>
      <c r="S102" s="25"/>
      <c r="T102" s="25"/>
      <c r="U102" s="28"/>
      <c r="V102" s="28"/>
      <c r="W102" s="15" t="s">
        <v>52</v>
      </c>
      <c r="X102" s="52"/>
    </row>
    <row r="103" spans="1:24" ht="20.45" customHeight="1">
      <c r="A103" s="10" t="s">
        <v>106</v>
      </c>
      <c r="B103" s="11">
        <v>1.0532407407407407E-2</v>
      </c>
      <c r="C103" s="11">
        <v>2.9745370370370373E-3</v>
      </c>
      <c r="D103" s="11">
        <f t="shared" si="32"/>
        <v>6.1277546296296288E-3</v>
      </c>
      <c r="E103" s="12">
        <v>0.58179999999999998</v>
      </c>
      <c r="F103" s="11">
        <f t="shared" si="33"/>
        <v>7.4363425925925931E-4</v>
      </c>
      <c r="G103" s="11">
        <f t="shared" si="34"/>
        <v>8.1703395061728389E-4</v>
      </c>
      <c r="H103" s="11">
        <f t="shared" si="35"/>
        <v>8.4259259259259259E-4</v>
      </c>
      <c r="I103" s="11">
        <f t="shared" si="36"/>
        <v>8.7853112969600415E-4</v>
      </c>
      <c r="J103" s="11">
        <f t="shared" si="37"/>
        <v>8.8808038110574329E-4</v>
      </c>
      <c r="K103" s="11">
        <f t="shared" si="38"/>
        <v>9.2844767115600447E-4</v>
      </c>
      <c r="L103" s="11">
        <f t="shared" si="39"/>
        <v>9.7265946502057604E-4</v>
      </c>
      <c r="M103" s="25"/>
      <c r="N103" s="28"/>
      <c r="O103" s="25"/>
      <c r="P103" s="25"/>
      <c r="Q103" s="25"/>
      <c r="R103" s="25"/>
      <c r="S103" s="25"/>
      <c r="T103" s="25"/>
      <c r="U103" s="28"/>
      <c r="V103" s="25"/>
      <c r="W103" s="15" t="s">
        <v>52</v>
      </c>
      <c r="X103" s="52"/>
    </row>
    <row r="104" spans="1:24" ht="20.45" customHeight="1">
      <c r="A104" s="10" t="s">
        <v>164</v>
      </c>
      <c r="B104" s="11">
        <v>1.1342592592592593E-2</v>
      </c>
      <c r="C104" s="11">
        <v>3.2407407407407406E-3</v>
      </c>
      <c r="D104" s="11">
        <f t="shared" si="32"/>
        <v>6.5991203703703706E-3</v>
      </c>
      <c r="E104" s="12">
        <v>0.58179999999999998</v>
      </c>
      <c r="F104" s="11">
        <f t="shared" si="33"/>
        <v>8.1018518518518516E-4</v>
      </c>
      <c r="G104" s="11">
        <f t="shared" si="34"/>
        <v>8.7988271604938278E-4</v>
      </c>
      <c r="H104" s="11">
        <f t="shared" si="35"/>
        <v>9.0740740740740745E-4</v>
      </c>
      <c r="I104" s="11">
        <f t="shared" si="36"/>
        <v>9.4611044736492766E-4</v>
      </c>
      <c r="J104" s="11">
        <f t="shared" si="37"/>
        <v>9.5639425657541603E-4</v>
      </c>
      <c r="K104" s="11">
        <f t="shared" si="38"/>
        <v>9.9986672278338943E-4</v>
      </c>
      <c r="L104" s="11">
        <f t="shared" si="39"/>
        <v>1.0474794238683129E-3</v>
      </c>
      <c r="M104" s="25"/>
      <c r="N104" s="28"/>
      <c r="O104" s="25"/>
      <c r="P104" s="28"/>
      <c r="Q104" s="28"/>
      <c r="R104" s="11"/>
      <c r="S104" s="14"/>
      <c r="T104" s="14"/>
      <c r="U104" s="26"/>
      <c r="V104" s="28"/>
      <c r="W104" s="27" t="s">
        <v>52</v>
      </c>
      <c r="X104" s="52"/>
    </row>
    <row r="105" spans="1:24" ht="20.45" customHeight="1">
      <c r="A105" s="10" t="s">
        <v>108</v>
      </c>
      <c r="B105" s="11">
        <v>1.0763888888888891E-2</v>
      </c>
      <c r="C105" s="11">
        <v>3.0671296296296297E-3</v>
      </c>
      <c r="D105" s="11">
        <f t="shared" si="32"/>
        <v>6.2624305555555567E-3</v>
      </c>
      <c r="E105" s="12">
        <v>0.58179999999999998</v>
      </c>
      <c r="F105" s="11">
        <f t="shared" si="33"/>
        <v>7.6678240740740743E-4</v>
      </c>
      <c r="G105" s="11">
        <f t="shared" si="34"/>
        <v>8.3499074074074085E-4</v>
      </c>
      <c r="H105" s="11">
        <f t="shared" si="35"/>
        <v>8.6111111111111121E-4</v>
      </c>
      <c r="I105" s="11">
        <f t="shared" si="36"/>
        <v>8.9783950617283953E-4</v>
      </c>
      <c r="J105" s="11">
        <f t="shared" si="37"/>
        <v>9.0759863123993567E-4</v>
      </c>
      <c r="K105" s="11">
        <f t="shared" si="38"/>
        <v>9.4885311447811464E-4</v>
      </c>
      <c r="L105" s="11">
        <f t="shared" si="39"/>
        <v>9.9403659611992969E-4</v>
      </c>
      <c r="M105" s="25"/>
      <c r="N105" s="28"/>
      <c r="O105" s="25"/>
      <c r="P105" s="28"/>
      <c r="Q105" s="25"/>
      <c r="R105" s="28"/>
      <c r="S105" s="25"/>
      <c r="T105" s="25"/>
      <c r="U105" s="28"/>
      <c r="V105" s="28"/>
      <c r="W105" s="15" t="s">
        <v>52</v>
      </c>
      <c r="X105" s="52"/>
    </row>
    <row r="106" spans="1:24" ht="20.45" customHeight="1">
      <c r="A106" s="10" t="s">
        <v>105</v>
      </c>
      <c r="B106" s="11">
        <v>1.0648148148148148E-2</v>
      </c>
      <c r="C106" s="11">
        <v>2.9745370370370373E-3</v>
      </c>
      <c r="D106" s="11">
        <f t="shared" si="32"/>
        <v>6.1950925925925923E-3</v>
      </c>
      <c r="E106" s="12">
        <v>0.58179999999999998</v>
      </c>
      <c r="F106" s="11">
        <f t="shared" si="33"/>
        <v>7.4363425925925931E-4</v>
      </c>
      <c r="G106" s="11">
        <f t="shared" si="34"/>
        <v>8.2601234567901232E-4</v>
      </c>
      <c r="H106" s="11">
        <f t="shared" si="35"/>
        <v>8.5185185185185179E-4</v>
      </c>
      <c r="I106" s="11">
        <f t="shared" si="36"/>
        <v>8.8818531793442184E-4</v>
      </c>
      <c r="J106" s="11">
        <f t="shared" si="37"/>
        <v>8.9783950617283942E-4</v>
      </c>
      <c r="K106" s="11">
        <f t="shared" si="38"/>
        <v>9.3865039281705945E-4</v>
      </c>
      <c r="L106" s="11">
        <f t="shared" si="39"/>
        <v>9.833480305702527E-4</v>
      </c>
      <c r="M106" s="37"/>
      <c r="N106" s="28"/>
      <c r="O106" s="25"/>
      <c r="P106" s="25"/>
      <c r="Q106" s="25"/>
      <c r="R106" s="25"/>
      <c r="S106" s="25"/>
      <c r="T106" s="25"/>
      <c r="U106" s="28"/>
      <c r="V106" s="25"/>
      <c r="W106" s="15" t="s">
        <v>52</v>
      </c>
      <c r="X106" s="52"/>
    </row>
    <row r="107" spans="1:24" ht="20.45" customHeight="1">
      <c r="A107" s="10"/>
      <c r="B107" s="11"/>
      <c r="C107" s="11"/>
      <c r="D107" s="11"/>
      <c r="E107" s="12"/>
      <c r="F107" s="11"/>
      <c r="G107" s="11"/>
      <c r="H107" s="11"/>
      <c r="I107" s="11"/>
      <c r="J107" s="11"/>
      <c r="K107" s="11"/>
      <c r="L107" s="11"/>
      <c r="M107" s="25"/>
      <c r="N107" s="28"/>
      <c r="O107" s="25"/>
      <c r="P107" s="25"/>
      <c r="Q107" s="25"/>
      <c r="R107" s="28"/>
      <c r="S107" s="25"/>
      <c r="T107" s="25"/>
      <c r="U107" s="28"/>
      <c r="V107" s="25"/>
      <c r="W107" s="15"/>
      <c r="X107" s="52"/>
    </row>
    <row r="108" spans="1:24" ht="20.45" customHeight="1">
      <c r="A108" s="10"/>
      <c r="B108" s="11"/>
      <c r="C108" s="11"/>
      <c r="D108" s="11"/>
      <c r="E108" s="12"/>
      <c r="F108" s="11"/>
      <c r="G108" s="11"/>
      <c r="H108" s="11"/>
      <c r="I108" s="11"/>
      <c r="J108" s="11"/>
      <c r="K108" s="11"/>
      <c r="L108" s="11"/>
      <c r="M108" s="25"/>
      <c r="N108" s="28"/>
      <c r="O108" s="25"/>
      <c r="P108" s="25"/>
      <c r="Q108" s="28"/>
      <c r="R108" s="28"/>
      <c r="S108" s="25"/>
      <c r="T108" s="25"/>
      <c r="U108" s="28"/>
      <c r="V108" s="28"/>
      <c r="W108" s="15"/>
      <c r="X108" s="52"/>
    </row>
    <row r="109" spans="1:24" ht="20.45" customHeight="1">
      <c r="A109" s="10"/>
      <c r="B109" s="11"/>
      <c r="C109" s="11"/>
      <c r="D109" s="11"/>
      <c r="E109" s="12"/>
      <c r="F109" s="11"/>
      <c r="G109" s="11"/>
      <c r="H109" s="11"/>
      <c r="I109" s="11"/>
      <c r="J109" s="11"/>
      <c r="K109" s="11"/>
      <c r="L109" s="17"/>
      <c r="M109" s="25"/>
      <c r="N109" s="28"/>
      <c r="O109" s="25"/>
      <c r="P109" s="25"/>
      <c r="Q109" s="25"/>
      <c r="R109" s="25"/>
      <c r="S109" s="25"/>
      <c r="T109" s="25"/>
      <c r="U109" s="28"/>
      <c r="V109" s="25"/>
      <c r="W109" s="15"/>
      <c r="X109" s="52"/>
    </row>
    <row r="110" spans="1:24" ht="20.45" customHeight="1">
      <c r="A110" s="10"/>
      <c r="B110" s="11"/>
      <c r="C110" s="11"/>
      <c r="D110" s="11"/>
      <c r="E110" s="12"/>
      <c r="F110" s="11"/>
      <c r="G110" s="11"/>
      <c r="H110" s="11"/>
      <c r="I110" s="11"/>
      <c r="J110" s="11"/>
      <c r="K110" s="11"/>
      <c r="L110" s="11"/>
      <c r="M110" s="25"/>
      <c r="N110" s="28"/>
      <c r="O110" s="25"/>
      <c r="P110" s="25"/>
      <c r="Q110" s="25"/>
      <c r="R110" s="28"/>
      <c r="S110" s="25"/>
      <c r="T110" s="25"/>
      <c r="U110" s="28"/>
      <c r="V110" s="25"/>
      <c r="W110" s="15"/>
      <c r="X110" s="52"/>
    </row>
    <row r="111" spans="1:24" ht="20.45" customHeight="1">
      <c r="A111" s="10"/>
      <c r="B111" s="11"/>
      <c r="C111" s="11"/>
      <c r="D111" s="11"/>
      <c r="E111" s="12"/>
      <c r="F111" s="11"/>
      <c r="G111" s="11"/>
      <c r="H111" s="11"/>
      <c r="I111" s="11"/>
      <c r="J111" s="11"/>
      <c r="K111" s="11"/>
      <c r="L111" s="11"/>
      <c r="M111" s="25"/>
      <c r="N111" s="28"/>
      <c r="O111" s="25"/>
      <c r="P111" s="25"/>
      <c r="Q111" s="25"/>
      <c r="R111" s="25"/>
      <c r="S111" s="25"/>
      <c r="T111" s="25"/>
      <c r="U111" s="28"/>
      <c r="V111" s="25"/>
      <c r="W111" s="15"/>
      <c r="X111" s="52"/>
    </row>
    <row r="112" spans="1:24" ht="20.45" customHeight="1">
      <c r="A112" s="10"/>
      <c r="B112" s="11"/>
      <c r="C112" s="11"/>
      <c r="D112" s="11"/>
      <c r="E112" s="12"/>
      <c r="F112" s="11"/>
      <c r="G112" s="11"/>
      <c r="H112" s="11"/>
      <c r="I112" s="11"/>
      <c r="J112" s="11"/>
      <c r="K112" s="11"/>
      <c r="L112" s="11"/>
      <c r="M112" s="25"/>
      <c r="N112" s="28"/>
      <c r="O112" s="25"/>
      <c r="P112" s="25"/>
      <c r="Q112" s="25"/>
      <c r="R112" s="25"/>
      <c r="S112" s="25"/>
      <c r="T112" s="25"/>
      <c r="U112" s="28"/>
      <c r="V112" s="25"/>
      <c r="W112" s="15"/>
      <c r="X112" s="52"/>
    </row>
    <row r="113" spans="1:24" ht="20.45" customHeight="1">
      <c r="A113" s="10"/>
      <c r="B113" s="11"/>
      <c r="C113" s="11"/>
      <c r="D113" s="11"/>
      <c r="E113" s="12"/>
      <c r="F113" s="11"/>
      <c r="G113" s="11"/>
      <c r="H113" s="11"/>
      <c r="I113" s="11"/>
      <c r="J113" s="11"/>
      <c r="K113" s="11"/>
      <c r="L113" s="17"/>
      <c r="M113" s="11"/>
      <c r="N113" s="26"/>
      <c r="P113" s="26"/>
      <c r="Q113" s="26"/>
      <c r="R113" s="26"/>
      <c r="S113" s="14"/>
      <c r="T113" s="14"/>
      <c r="U113" s="26"/>
      <c r="V113" s="38"/>
      <c r="W113" s="31"/>
      <c r="X113" s="52"/>
    </row>
    <row r="114" spans="1:24" ht="20.45" customHeight="1">
      <c r="A114" s="10"/>
      <c r="B114" s="11"/>
      <c r="C114" s="11"/>
      <c r="D114" s="11"/>
      <c r="E114" s="12"/>
      <c r="F114" s="11"/>
      <c r="G114" s="11"/>
      <c r="H114" s="11"/>
      <c r="I114" s="11"/>
      <c r="J114" s="11"/>
      <c r="K114" s="11"/>
      <c r="L114" s="17"/>
      <c r="M114" s="11"/>
      <c r="N114" s="26"/>
      <c r="P114" s="26"/>
      <c r="Q114" s="26"/>
      <c r="R114" s="26"/>
      <c r="S114" s="14"/>
      <c r="T114" s="14"/>
      <c r="U114" s="26"/>
      <c r="V114" s="38"/>
      <c r="W114" s="31"/>
      <c r="X114" s="52"/>
    </row>
    <row r="115" spans="1:24" ht="20.45" customHeight="1" thickBot="1">
      <c r="A115" s="10"/>
      <c r="B115" s="11"/>
      <c r="C115" s="11"/>
      <c r="D115" s="11"/>
      <c r="E115" s="12"/>
      <c r="F115" s="11"/>
      <c r="G115" s="11"/>
      <c r="H115" s="11"/>
      <c r="I115" s="11"/>
      <c r="J115" s="11"/>
      <c r="K115" s="11"/>
      <c r="L115" s="11"/>
      <c r="M115" s="25"/>
      <c r="N115" s="28"/>
      <c r="O115" s="25"/>
      <c r="P115" s="28"/>
      <c r="Q115" s="25"/>
      <c r="R115" s="28"/>
      <c r="S115" s="25"/>
      <c r="T115" s="25"/>
      <c r="U115" s="28"/>
      <c r="V115" s="28"/>
      <c r="W115" s="27"/>
      <c r="X115" s="52"/>
    </row>
    <row r="116" spans="1:24" ht="20.45" customHeight="1">
      <c r="A116" s="1" t="s">
        <v>265</v>
      </c>
      <c r="B116" s="6"/>
      <c r="C116" s="6"/>
      <c r="D116" s="6"/>
      <c r="E116" s="20"/>
      <c r="F116" s="6"/>
      <c r="G116" s="6"/>
      <c r="H116" s="6"/>
      <c r="I116" s="6"/>
      <c r="J116" s="6"/>
      <c r="K116" s="6"/>
      <c r="L116" s="6"/>
      <c r="M116" s="6" t="s">
        <v>12</v>
      </c>
      <c r="N116" s="6" t="s">
        <v>13</v>
      </c>
      <c r="O116" s="6" t="s">
        <v>274</v>
      </c>
      <c r="P116" s="6" t="s">
        <v>158</v>
      </c>
      <c r="Q116" s="22" t="s">
        <v>155</v>
      </c>
      <c r="R116" s="6" t="s">
        <v>43</v>
      </c>
      <c r="S116" s="6" t="s">
        <v>44</v>
      </c>
      <c r="T116" s="6" t="s">
        <v>45</v>
      </c>
      <c r="U116" s="6" t="s">
        <v>275</v>
      </c>
      <c r="V116" s="23" t="s">
        <v>276</v>
      </c>
      <c r="W116" s="35"/>
      <c r="X116" s="52"/>
    </row>
    <row r="117" spans="1:24" ht="20.45" customHeight="1">
      <c r="A117" s="10" t="s">
        <v>115</v>
      </c>
      <c r="B117" s="11">
        <v>1.0416666666666666E-2</v>
      </c>
      <c r="C117" s="11">
        <v>2.9513888888888888E-3</v>
      </c>
      <c r="D117" s="11">
        <f>B117*E117</f>
        <v>6.0604166666666662E-3</v>
      </c>
      <c r="E117" s="12">
        <v>0.58179999999999998</v>
      </c>
      <c r="F117" s="11">
        <f>C117/4</f>
        <v>7.378472222222222E-4</v>
      </c>
      <c r="G117" s="11">
        <f>D117/7.5</f>
        <v>8.0805555555555546E-4</v>
      </c>
      <c r="H117" s="11">
        <f>B117/12.5</f>
        <v>8.3333333333333328E-4</v>
      </c>
      <c r="I117" s="11">
        <f>G117/0.93</f>
        <v>8.6887694145758646E-4</v>
      </c>
      <c r="J117" s="11">
        <f>G117/0.92</f>
        <v>8.7832125603864715E-4</v>
      </c>
      <c r="K117" s="11">
        <f>G117/0.88</f>
        <v>9.1824494949494938E-4</v>
      </c>
      <c r="L117" s="11">
        <f>G117/0.84</f>
        <v>9.6197089947089938E-4</v>
      </c>
      <c r="M117" s="25">
        <v>9.3865039281705945E-4</v>
      </c>
      <c r="N117" s="28">
        <v>2.3466259820426488E-3</v>
      </c>
      <c r="O117" s="25">
        <f>WO2025Jan7men1191517192325293133353941434547495557596365676971737577791317192123[[#This Row],[R]]/2</f>
        <v>3.689236111111111E-4</v>
      </c>
      <c r="P117" s="25">
        <v>8.2601234567901232E-4</v>
      </c>
      <c r="Q117" s="25">
        <v>1.8773007856341189E-3</v>
      </c>
      <c r="R117" s="28"/>
      <c r="S117" s="25"/>
      <c r="T117" s="25"/>
      <c r="U117" s="28" t="s">
        <v>277</v>
      </c>
      <c r="V117" s="25"/>
      <c r="W117" s="27" t="s">
        <v>278</v>
      </c>
      <c r="X117" s="52"/>
    </row>
    <row r="118" spans="1:24" ht="20.45" customHeight="1">
      <c r="A118" s="10" t="s">
        <v>264</v>
      </c>
      <c r="B118" s="11">
        <v>1.0648148148148148E-2</v>
      </c>
      <c r="C118" s="11">
        <v>3.0092592592592593E-3</v>
      </c>
      <c r="D118" s="11">
        <f>B118*E118</f>
        <v>6.1950925925925923E-3</v>
      </c>
      <c r="E118" s="12">
        <v>0.58179999999999998</v>
      </c>
      <c r="F118" s="11">
        <f>C118/4</f>
        <v>7.5231481481481482E-4</v>
      </c>
      <c r="G118" s="11">
        <f>D118/7.5</f>
        <v>8.2601234567901232E-4</v>
      </c>
      <c r="H118" s="11">
        <f>B118/12.5</f>
        <v>8.5185185185185179E-4</v>
      </c>
      <c r="I118" s="11">
        <f>G118/0.93</f>
        <v>8.8818531793442184E-4</v>
      </c>
      <c r="J118" s="11">
        <f>G118/0.92</f>
        <v>8.9783950617283942E-4</v>
      </c>
      <c r="K118" s="11">
        <f>G118/0.88</f>
        <v>9.3865039281705945E-4</v>
      </c>
      <c r="L118" s="11">
        <f>G118/0.84</f>
        <v>9.833480305702527E-4</v>
      </c>
      <c r="M118" s="25">
        <f>WO2025Jan7men1191517192325293133353941434547495557596365676971737577791317192123[[#This Row],[Thresh]]</f>
        <v>9.3865039281705945E-4</v>
      </c>
      <c r="N118" s="28">
        <f>WO2025Jan7men1191517192325293133353941434547495557596365676971737577791317192123[[#This Row],[Thresh]]*2.5</f>
        <v>2.3466259820426488E-3</v>
      </c>
      <c r="O118" s="25">
        <f>WO2025Jan7men1191517192325293133353941434547495557596365676971737577791317192123[[#This Row],[R]]/2</f>
        <v>3.7615740740740741E-4</v>
      </c>
      <c r="P118" s="25">
        <f>WO2025Jan7men1191517192325293133353941434547495557596365676971737577791317192123[[#This Row],[VO2]]</f>
        <v>8.2601234567901232E-4</v>
      </c>
      <c r="Q118" s="25">
        <f>WO2025Jan7men1191517192325293133353941434547495557596365676971737577791317192123[[#This Row],[Thresh]]*2</f>
        <v>1.8773007856341189E-3</v>
      </c>
      <c r="R118" s="25">
        <f>WO2025Jan7men1191517192325293133353941434547495557596365676971737577791317192123[[#This Row],[R]]/2-0.0000115740740740741</f>
        <v>3.645833333333333E-4</v>
      </c>
      <c r="S118" s="25">
        <f>WO2025Jan7men1191517192325293133353941434547495557596365676971737577791317192123[[#This Row],[R]]/2-(0.0000115740740740741*2)</f>
        <v>3.5300925925925918E-4</v>
      </c>
      <c r="T118" s="25">
        <f>WO2025Jan7men1191517192325293133353941434547495557596365676971737577791317192123[[#This Row],[R]]/2-(0.0000115740740740741*3)</f>
        <v>3.4143518518518513E-4</v>
      </c>
      <c r="U118" s="25">
        <f>WO2025Jan7men1191517192325293133353941434547495557596365676971737577791317192123[[#This Row],[R]]/2-(0.0000115740740740741*4)</f>
        <v>3.2986111111111101E-4</v>
      </c>
      <c r="V118" s="25">
        <f>WO2025Jan7men1191517192325293133353941434547495557596365676971737577791317192123[[#This Row],[R]]/2-(0.0000115740740740741*5)</f>
        <v>3.182870370370369E-4</v>
      </c>
      <c r="W118" s="27" t="s">
        <v>48</v>
      </c>
      <c r="X118" s="50"/>
    </row>
    <row r="119" spans="1:24" ht="20.45" customHeight="1">
      <c r="A119" s="10" t="s">
        <v>127</v>
      </c>
      <c r="B119" s="11">
        <v>1.0648148148148148E-2</v>
      </c>
      <c r="C119" s="11">
        <v>2.9513888888888888E-3</v>
      </c>
      <c r="D119" s="11">
        <f>B119*E119</f>
        <v>6.1950925925925923E-3</v>
      </c>
      <c r="E119" s="12">
        <v>0.58179999999999998</v>
      </c>
      <c r="F119" s="11">
        <f>C119/4</f>
        <v>7.378472222222222E-4</v>
      </c>
      <c r="G119" s="11">
        <f>D119/7.5</f>
        <v>8.2601234567901232E-4</v>
      </c>
      <c r="H119" s="11">
        <f>B119/12.5</f>
        <v>8.5185185185185179E-4</v>
      </c>
      <c r="I119" s="11">
        <f>G119/0.93</f>
        <v>8.8818531793442184E-4</v>
      </c>
      <c r="J119" s="11">
        <f>G119/0.92</f>
        <v>8.9783950617283942E-4</v>
      </c>
      <c r="K119" s="11">
        <f>G119/0.88</f>
        <v>9.3865039281705945E-4</v>
      </c>
      <c r="L119" s="11">
        <f>G119/0.84</f>
        <v>9.833480305702527E-4</v>
      </c>
      <c r="M119" s="25">
        <f>WO2025Jan7men1191517192325293133353941434547495557596365676971737577791317192123[[#This Row],[Thresh]]</f>
        <v>9.3865039281705945E-4</v>
      </c>
      <c r="N119" s="28">
        <f>WO2025Jan7men1191517192325293133353941434547495557596365676971737577791317192123[[#This Row],[Thresh]]*2.5</f>
        <v>2.3466259820426488E-3</v>
      </c>
      <c r="O119" s="25">
        <f>WO2025Jan7men1191517192325293133353941434547495557596365676971737577791317192123[[#This Row],[R]]/2</f>
        <v>3.689236111111111E-4</v>
      </c>
      <c r="P119" s="25">
        <f>WO2025Jan7men1191517192325293133353941434547495557596365676971737577791317192123[[#This Row],[VO2]]</f>
        <v>8.2601234567901232E-4</v>
      </c>
      <c r="Q119" s="25">
        <f>WO2025Jan7men1191517192325293133353941434547495557596365676971737577791317192123[[#This Row],[Thresh]]*2</f>
        <v>1.8773007856341189E-3</v>
      </c>
      <c r="R119" s="25">
        <f>WO2025Jan7men1191517192325293133353941434547495557596365676971737577791317192123[[#This Row],[R]]/2-0.0000115740740740741</f>
        <v>3.5734953703703699E-4</v>
      </c>
      <c r="S119" s="25">
        <f>WO2025Jan7men1191517192325293133353941434547495557596365676971737577791317192123[[#This Row],[R]]/2-(0.0000115740740740741*2)</f>
        <v>3.4577546296296288E-4</v>
      </c>
      <c r="T119" s="25">
        <f>WO2025Jan7men1191517192325293133353941434547495557596365676971737577791317192123[[#This Row],[R]]/2-(0.0000115740740740741*3)</f>
        <v>3.3420138888888882E-4</v>
      </c>
      <c r="U119" s="25">
        <f>WO2025Jan7men1191517192325293133353941434547495557596365676971737577791317192123[[#This Row],[R]]/2-(0.0000115740740740741*4)</f>
        <v>3.2262731481481471E-4</v>
      </c>
      <c r="V119" s="25">
        <f>WO2025Jan7men1191517192325293133353941434547495557596365676971737577791317192123[[#This Row],[R]]/2-(0.0000115740740740741*5)</f>
        <v>3.1105324074074059E-4</v>
      </c>
      <c r="W119" s="15" t="s">
        <v>48</v>
      </c>
      <c r="X119" s="50"/>
    </row>
    <row r="120" spans="1:24" ht="20.45" customHeight="1">
      <c r="A120" s="10" t="s">
        <v>96</v>
      </c>
      <c r="B120" s="11">
        <v>1.0648148148148148E-2</v>
      </c>
      <c r="C120" s="11">
        <v>2.9513888888888888E-3</v>
      </c>
      <c r="D120" s="11">
        <f t="shared" ref="D120:D129" si="40">B120*E120</f>
        <v>6.1950925925925923E-3</v>
      </c>
      <c r="E120" s="12">
        <v>0.58179999999999998</v>
      </c>
      <c r="F120" s="11">
        <f t="shared" ref="F120:F129" si="41">C120/4</f>
        <v>7.378472222222222E-4</v>
      </c>
      <c r="G120" s="11">
        <f t="shared" ref="G120:G129" si="42">D120/7.5</f>
        <v>8.2601234567901232E-4</v>
      </c>
      <c r="H120" s="11">
        <f t="shared" ref="H120:H129" si="43">B120/12.5</f>
        <v>8.5185185185185179E-4</v>
      </c>
      <c r="I120" s="11">
        <f t="shared" ref="I120:I129" si="44">G120/0.93</f>
        <v>8.8818531793442184E-4</v>
      </c>
      <c r="J120" s="11">
        <f t="shared" ref="J120:J129" si="45">G120/0.92</f>
        <v>8.9783950617283942E-4</v>
      </c>
      <c r="K120" s="11">
        <f t="shared" ref="K120:K129" si="46">G120/0.88</f>
        <v>9.3865039281705945E-4</v>
      </c>
      <c r="L120" s="17">
        <f t="shared" ref="L120:L129" si="47">G120/0.84</f>
        <v>9.833480305702527E-4</v>
      </c>
      <c r="M120" s="25">
        <f>WO2025Jan7men1191517192325293133353941434547495557596365676971737577791317192123[[#This Row],[Thresh]]</f>
        <v>9.3865039281705945E-4</v>
      </c>
      <c r="N120" s="28">
        <f>WO2025Jan7men1191517192325293133353941434547495557596365676971737577791317192123[[#This Row],[Thresh]]*2.5</f>
        <v>2.3466259820426488E-3</v>
      </c>
      <c r="O120" s="25">
        <f>WO2025Jan7men1191517192325293133353941434547495557596365676971737577791317192123[[#This Row],[R]]/2</f>
        <v>3.689236111111111E-4</v>
      </c>
      <c r="P120" s="25">
        <f>WO2025Jan7men1191517192325293133353941434547495557596365676971737577791317192123[[#This Row],[VO2]]</f>
        <v>8.2601234567901232E-4</v>
      </c>
      <c r="Q120" s="25">
        <f>WO2025Jan7men1191517192325293133353941434547495557596365676971737577791317192123[[#This Row],[Thresh]]*2</f>
        <v>1.8773007856341189E-3</v>
      </c>
      <c r="R120" s="25">
        <f>WO2025Jan7men1191517192325293133353941434547495557596365676971737577791317192123[[#This Row],[R]]/2-0.0000115740740740741</f>
        <v>3.5734953703703699E-4</v>
      </c>
      <c r="S120" s="25">
        <f>WO2025Jan7men1191517192325293133353941434547495557596365676971737577791317192123[[#This Row],[R]]/2-(0.0000115740740740741*2)</f>
        <v>3.4577546296296288E-4</v>
      </c>
      <c r="T120" s="25">
        <f>WO2025Jan7men1191517192325293133353941434547495557596365676971737577791317192123[[#This Row],[R]]/2-(0.0000115740740740741*3)</f>
        <v>3.3420138888888882E-4</v>
      </c>
      <c r="U120" s="25">
        <f>WO2025Jan7men1191517192325293133353941434547495557596365676971737577791317192123[[#This Row],[R]]/2-(0.0000115740740740741*4)</f>
        <v>3.2262731481481471E-4</v>
      </c>
      <c r="V120" s="25">
        <f>WO2025Jan7men1191517192325293133353941434547495557596365676971737577791317192123[[#This Row],[R]]/2-(0.0000115740740740741*5)</f>
        <v>3.1105324074074059E-4</v>
      </c>
      <c r="W120" s="15" t="s">
        <v>48</v>
      </c>
      <c r="X120" s="50"/>
    </row>
    <row r="121" spans="1:24" ht="20.45" customHeight="1">
      <c r="A121" s="10" t="s">
        <v>122</v>
      </c>
      <c r="B121" s="11">
        <v>1.0532407407407407E-2</v>
      </c>
      <c r="C121" s="11">
        <v>3.0671296296296297E-3</v>
      </c>
      <c r="D121" s="11">
        <f t="shared" ref="D121:D127" si="48">B121*E121</f>
        <v>6.1277546296296288E-3</v>
      </c>
      <c r="E121" s="12">
        <v>0.58179999999999998</v>
      </c>
      <c r="F121" s="11">
        <f t="shared" ref="F121:F127" si="49">C121/4</f>
        <v>7.6678240740740743E-4</v>
      </c>
      <c r="G121" s="11">
        <f t="shared" ref="G121:G127" si="50">D121/7.5</f>
        <v>8.1703395061728389E-4</v>
      </c>
      <c r="H121" s="11">
        <f t="shared" ref="H121:H127" si="51">B121/12.5</f>
        <v>8.4259259259259259E-4</v>
      </c>
      <c r="I121" s="11">
        <f t="shared" ref="I121:I127" si="52">G121/0.93</f>
        <v>8.7853112969600415E-4</v>
      </c>
      <c r="J121" s="11">
        <f t="shared" ref="J121:J127" si="53">G121/0.92</f>
        <v>8.8808038110574329E-4</v>
      </c>
      <c r="K121" s="11">
        <f t="shared" ref="K121:K127" si="54">G121/0.88</f>
        <v>9.2844767115600447E-4</v>
      </c>
      <c r="L121" s="11">
        <f t="shared" ref="L121:L127" si="55">G121/0.84</f>
        <v>9.7265946502057604E-4</v>
      </c>
      <c r="M121" s="25">
        <v>9.4885311447811464E-4</v>
      </c>
      <c r="N121" s="28">
        <v>2.3721327861952867E-3</v>
      </c>
      <c r="O121" s="25">
        <f>WO2025Jan7men1191517192325293133353941434547495557596365676971737577791317192123[[#This Row],[R]]/2</f>
        <v>3.8339120370370371E-4</v>
      </c>
      <c r="P121" s="25">
        <v>8.3499074074074085E-4</v>
      </c>
      <c r="Q121" s="25">
        <v>1.8977062289562293E-3</v>
      </c>
      <c r="R121" s="28"/>
      <c r="S121" s="25"/>
      <c r="T121" s="25"/>
      <c r="U121" s="28" t="s">
        <v>277</v>
      </c>
      <c r="V121" s="25"/>
      <c r="W121" s="15" t="s">
        <v>278</v>
      </c>
      <c r="X121" s="50"/>
    </row>
    <row r="122" spans="1:24" ht="20.45" customHeight="1">
      <c r="A122" s="10" t="s">
        <v>130</v>
      </c>
      <c r="B122" s="11">
        <v>1.0763888888888891E-2</v>
      </c>
      <c r="C122" s="11">
        <v>3.1828703703703702E-3</v>
      </c>
      <c r="D122" s="11">
        <f t="shared" si="48"/>
        <v>6.2624305555555567E-3</v>
      </c>
      <c r="E122" s="12">
        <v>0.58179999999999998</v>
      </c>
      <c r="F122" s="11">
        <f t="shared" si="49"/>
        <v>7.9571759259259255E-4</v>
      </c>
      <c r="G122" s="11">
        <f t="shared" si="50"/>
        <v>8.3499074074074085E-4</v>
      </c>
      <c r="H122" s="11">
        <f t="shared" si="51"/>
        <v>8.6111111111111121E-4</v>
      </c>
      <c r="I122" s="11">
        <f t="shared" si="52"/>
        <v>8.9783950617283953E-4</v>
      </c>
      <c r="J122" s="11">
        <f t="shared" si="53"/>
        <v>9.0759863123993567E-4</v>
      </c>
      <c r="K122" s="11">
        <f t="shared" si="54"/>
        <v>9.4885311447811464E-4</v>
      </c>
      <c r="L122" s="11">
        <f t="shared" si="55"/>
        <v>9.9403659611992969E-4</v>
      </c>
      <c r="M122" s="25">
        <f>WO2025Jan7men1191517192325293133353941434547495557596365676971737577791317192123[[#This Row],[Thresh]]</f>
        <v>9.4885311447811464E-4</v>
      </c>
      <c r="N122" s="28">
        <f>WO2025Jan7men1191517192325293133353941434547495557596365676971737577791317192123[[#This Row],[Thresh]]*2.5</f>
        <v>2.3721327861952867E-3</v>
      </c>
      <c r="O122" s="25">
        <f>WO2025Jan7men1191517192325293133353941434547495557596365676971737577791317192123[[#This Row],[R]]/2</f>
        <v>3.9785879629629627E-4</v>
      </c>
      <c r="P122" s="25">
        <f>WO2025Jan7men1191517192325293133353941434547495557596365676971737577791317192123[[#This Row],[VO2]]</f>
        <v>8.3499074074074085E-4</v>
      </c>
      <c r="Q122" s="25">
        <f>WO2025Jan7men1191517192325293133353941434547495557596365676971737577791317192123[[#This Row],[Thresh]]*2</f>
        <v>1.8977062289562293E-3</v>
      </c>
      <c r="R122" s="28"/>
      <c r="S122" s="25"/>
      <c r="T122" s="25"/>
      <c r="U122" s="28" t="s">
        <v>277</v>
      </c>
      <c r="V122" s="48"/>
      <c r="W122" s="27" t="s">
        <v>278</v>
      </c>
      <c r="X122" s="50"/>
    </row>
    <row r="123" spans="1:24" ht="20.45" customHeight="1">
      <c r="A123" s="10" t="s">
        <v>137</v>
      </c>
      <c r="B123" s="11">
        <v>1.0763888888888891E-2</v>
      </c>
      <c r="C123" s="11">
        <v>3.0092592592592593E-3</v>
      </c>
      <c r="D123" s="11">
        <f t="shared" si="48"/>
        <v>6.2624305555555567E-3</v>
      </c>
      <c r="E123" s="12">
        <v>0.58179999999999998</v>
      </c>
      <c r="F123" s="11">
        <f t="shared" si="49"/>
        <v>7.5231481481481482E-4</v>
      </c>
      <c r="G123" s="11">
        <f t="shared" si="50"/>
        <v>8.3499074074074085E-4</v>
      </c>
      <c r="H123" s="11">
        <f t="shared" si="51"/>
        <v>8.6111111111111121E-4</v>
      </c>
      <c r="I123" s="11">
        <f t="shared" si="52"/>
        <v>8.9783950617283953E-4</v>
      </c>
      <c r="J123" s="11">
        <f t="shared" si="53"/>
        <v>9.0759863123993567E-4</v>
      </c>
      <c r="K123" s="11">
        <f t="shared" si="54"/>
        <v>9.4885311447811464E-4</v>
      </c>
      <c r="L123" s="11">
        <f t="shared" si="55"/>
        <v>9.9403659611992969E-4</v>
      </c>
      <c r="M123" s="25">
        <f>WO2025Jan7men1191517192325293133353941434547495557596365676971737577791317192123[[#This Row],[Thresh]]</f>
        <v>9.4885311447811464E-4</v>
      </c>
      <c r="N123" s="28">
        <f>WO2025Jan7men1191517192325293133353941434547495557596365676971737577791317192123[[#This Row],[Thresh]]*2.5</f>
        <v>2.3721327861952867E-3</v>
      </c>
      <c r="O123" s="25">
        <f>WO2025Jan7men1191517192325293133353941434547495557596365676971737577791317192123[[#This Row],[R]]/2</f>
        <v>3.7615740740740741E-4</v>
      </c>
      <c r="P123" s="25">
        <f>WO2025Jan7men1191517192325293133353941434547495557596365676971737577791317192123[[#This Row],[VO2]]</f>
        <v>8.3499074074074085E-4</v>
      </c>
      <c r="Q123" s="25">
        <f>WO2025Jan7men1191517192325293133353941434547495557596365676971737577791317192123[[#This Row],[Thresh]]*2</f>
        <v>1.8977062289562293E-3</v>
      </c>
      <c r="R123" s="25">
        <f>WO2025Jan7men1191517192325293133353941434547495557596365676971737577791317192123[[#This Row],[R]]/2-0.0000115740740740741</f>
        <v>3.645833333333333E-4</v>
      </c>
      <c r="S123" s="25">
        <f>WO2025Jan7men1191517192325293133353941434547495557596365676971737577791317192123[[#This Row],[R]]/2-(0.0000115740740740741*2)</f>
        <v>3.5300925925925918E-4</v>
      </c>
      <c r="T123" s="25">
        <f>WO2025Jan7men1191517192325293133353941434547495557596365676971737577791317192123[[#This Row],[R]]/2-(0.0000115740740740741*3)</f>
        <v>3.4143518518518513E-4</v>
      </c>
      <c r="U123" s="25">
        <f>WO2025Jan7men1191517192325293133353941434547495557596365676971737577791317192123[[#This Row],[R]]/2-(0.0000115740740740741*4)</f>
        <v>3.2986111111111101E-4</v>
      </c>
      <c r="V123" s="25">
        <f>WO2025Jan7men1191517192325293133353941434547495557596365676971737577791317192123[[#This Row],[R]]/2-(0.0000115740740740741*5)</f>
        <v>3.182870370370369E-4</v>
      </c>
      <c r="W123" s="15" t="s">
        <v>48</v>
      </c>
      <c r="X123" s="50"/>
    </row>
    <row r="124" spans="1:24" ht="20.45" customHeight="1">
      <c r="A124" s="10" t="s">
        <v>97</v>
      </c>
      <c r="B124" s="11">
        <v>1.0763888888888889E-2</v>
      </c>
      <c r="C124" s="11">
        <v>2.9513888888888888E-3</v>
      </c>
      <c r="D124" s="11">
        <f t="shared" si="48"/>
        <v>6.2624305555555549E-3</v>
      </c>
      <c r="E124" s="12">
        <v>0.58179999999999998</v>
      </c>
      <c r="F124" s="11">
        <f t="shared" si="49"/>
        <v>7.378472222222222E-4</v>
      </c>
      <c r="G124" s="11">
        <f t="shared" si="50"/>
        <v>8.3499074074074064E-4</v>
      </c>
      <c r="H124" s="11">
        <f t="shared" si="51"/>
        <v>8.611111111111111E-4</v>
      </c>
      <c r="I124" s="11">
        <f t="shared" si="52"/>
        <v>8.9783950617283931E-4</v>
      </c>
      <c r="J124" s="11">
        <f t="shared" si="53"/>
        <v>9.0759863123993545E-4</v>
      </c>
      <c r="K124" s="11">
        <f t="shared" si="54"/>
        <v>9.4885311447811432E-4</v>
      </c>
      <c r="L124" s="11">
        <f t="shared" si="55"/>
        <v>9.9403659611992947E-4</v>
      </c>
      <c r="M124" s="25">
        <f>WO2025Jan7men1191517192325293133353941434547495557596365676971737577791317192123[[#This Row],[Thresh]]</f>
        <v>9.4885311447811432E-4</v>
      </c>
      <c r="N124" s="28">
        <f>WO2025Jan7men1191517192325293133353941434547495557596365676971737577791317192123[[#This Row],[Thresh]]*2.5</f>
        <v>2.3721327861952858E-3</v>
      </c>
      <c r="O124" s="25">
        <f>WO2025Jan7men1191517192325293133353941434547495557596365676971737577791317192123[[#This Row],[R]]/2</f>
        <v>3.689236111111111E-4</v>
      </c>
      <c r="P124" s="25">
        <f>WO2025Jan7men1191517192325293133353941434547495557596365676971737577791317192123[[#This Row],[VO2]]</f>
        <v>8.3499074074074064E-4</v>
      </c>
      <c r="Q124" s="25">
        <f>WO2025Jan7men1191517192325293133353941434547495557596365676971737577791317192123[[#This Row],[Thresh]]*2</f>
        <v>1.8977062289562286E-3</v>
      </c>
      <c r="R124" s="25">
        <f>WO2025Jan7men1191517192325293133353941434547495557596365676971737577791317192123[[#This Row],[R]]/2-0.0000115740740740741</f>
        <v>3.5734953703703699E-4</v>
      </c>
      <c r="S124" s="25">
        <f>WO2025Jan7men1191517192325293133353941434547495557596365676971737577791317192123[[#This Row],[R]]/2-(0.0000115740740740741*2)</f>
        <v>3.4577546296296288E-4</v>
      </c>
      <c r="T124" s="25">
        <f>WO2025Jan7men1191517192325293133353941434547495557596365676971737577791317192123[[#This Row],[R]]/2-(0.0000115740740740741*3)</f>
        <v>3.3420138888888882E-4</v>
      </c>
      <c r="U124" s="25">
        <f>WO2025Jan7men1191517192325293133353941434547495557596365676971737577791317192123[[#This Row],[R]]/2-(0.0000115740740740741*4)</f>
        <v>3.2262731481481471E-4</v>
      </c>
      <c r="V124" s="25">
        <f>WO2025Jan7men1191517192325293133353941434547495557596365676971737577791317192123[[#This Row],[R]]/2-(0.0000115740740740741*5)</f>
        <v>3.1105324074074059E-4</v>
      </c>
      <c r="W124" s="15" t="s">
        <v>48</v>
      </c>
      <c r="X124" s="50"/>
    </row>
    <row r="125" spans="1:24" ht="20.45" customHeight="1">
      <c r="A125" s="10" t="s">
        <v>114</v>
      </c>
      <c r="B125" s="11">
        <v>1.087962962962963E-2</v>
      </c>
      <c r="C125" s="11">
        <v>3.0671296296296297E-3</v>
      </c>
      <c r="D125" s="11">
        <f t="shared" si="48"/>
        <v>6.3297685185185184E-3</v>
      </c>
      <c r="E125" s="12">
        <v>0.58179999999999998</v>
      </c>
      <c r="F125" s="11">
        <f t="shared" si="49"/>
        <v>7.6678240740740743E-4</v>
      </c>
      <c r="G125" s="11">
        <f t="shared" si="50"/>
        <v>8.4396913580246917E-4</v>
      </c>
      <c r="H125" s="11">
        <f t="shared" si="51"/>
        <v>8.7037037037037042E-4</v>
      </c>
      <c r="I125" s="11">
        <f t="shared" si="52"/>
        <v>9.0749369441125711E-4</v>
      </c>
      <c r="J125" s="11">
        <f t="shared" si="53"/>
        <v>9.173577563070317E-4</v>
      </c>
      <c r="K125" s="11">
        <f t="shared" si="54"/>
        <v>9.5905583613916951E-4</v>
      </c>
      <c r="L125" s="11">
        <f t="shared" si="55"/>
        <v>1.0047251616696062E-3</v>
      </c>
      <c r="M125" s="25">
        <f>WO2025Jan7men1191517192325293133353941434547495557596365676971737577791317192123[[#This Row],[Thresh]]</f>
        <v>9.5905583613916951E-4</v>
      </c>
      <c r="N125" s="28">
        <f>WO2025Jan7men1191517192325293133353941434547495557596365676971737577791317192123[[#This Row],[Thresh]]*2.5</f>
        <v>2.3976395903479238E-3</v>
      </c>
      <c r="O125" s="25">
        <f>WO2025Jan7men1191517192325293133353941434547495557596365676971737577791317192123[[#This Row],[R]]/2</f>
        <v>3.8339120370370371E-4</v>
      </c>
      <c r="P125" s="25">
        <f>WO2025Jan7men1191517192325293133353941434547495557596365676971737577791317192123[[#This Row],[VO2]]</f>
        <v>8.4396913580246917E-4</v>
      </c>
      <c r="Q125" s="25">
        <f>WO2025Jan7men1191517192325293133353941434547495557596365676971737577791317192123[[#This Row],[Thresh]]*2</f>
        <v>1.918111672278339E-3</v>
      </c>
      <c r="R125" s="25">
        <f>WO2025Jan7men1191517192325293133353941434547495557596365676971737577791317192123[[#This Row],[R]]/2-0.0000115740740740741</f>
        <v>3.718171296296296E-4</v>
      </c>
      <c r="S125" s="25">
        <f>WO2025Jan7men1191517192325293133353941434547495557596365676971737577791317192123[[#This Row],[R]]/2-(0.0000115740740740741*2)</f>
        <v>3.6024305555555549E-4</v>
      </c>
      <c r="T125" s="25">
        <f>WO2025Jan7men1191517192325293133353941434547495557596365676971737577791317192123[[#This Row],[R]]/2-(0.0000115740740740741*3)</f>
        <v>3.4866898148148143E-4</v>
      </c>
      <c r="U125" s="25">
        <f>WO2025Jan7men1191517192325293133353941434547495557596365676971737577791317192123[[#This Row],[R]]/2-(0.0000115740740740741*4)</f>
        <v>3.3709490740740732E-4</v>
      </c>
      <c r="V125" s="25">
        <f>WO2025Jan7men1191517192325293133353941434547495557596365676971737577791317192123[[#This Row],[R]]/2-(0.0000115740740740741*5)</f>
        <v>3.2552083333333321E-4</v>
      </c>
      <c r="W125" s="15" t="s">
        <v>48</v>
      </c>
      <c r="X125" s="50"/>
    </row>
    <row r="126" spans="1:24" ht="20.45" customHeight="1">
      <c r="A126" s="10" t="s">
        <v>101</v>
      </c>
      <c r="B126" s="11">
        <v>1.1111111111111112E-2</v>
      </c>
      <c r="C126" s="11">
        <v>3.0671296296296297E-3</v>
      </c>
      <c r="D126" s="11">
        <f t="shared" si="48"/>
        <v>6.4644444444444445E-3</v>
      </c>
      <c r="E126" s="12">
        <v>0.58179999999999998</v>
      </c>
      <c r="F126" s="11">
        <f t="shared" si="49"/>
        <v>7.6678240740740743E-4</v>
      </c>
      <c r="G126" s="11">
        <f t="shared" si="50"/>
        <v>8.6192592592592592E-4</v>
      </c>
      <c r="H126" s="11">
        <f t="shared" si="51"/>
        <v>8.8888888888888893E-4</v>
      </c>
      <c r="I126" s="11">
        <f t="shared" si="52"/>
        <v>9.2680207088809239E-4</v>
      </c>
      <c r="J126" s="11">
        <f t="shared" si="53"/>
        <v>9.3687600644122375E-4</v>
      </c>
      <c r="K126" s="11">
        <f t="shared" si="54"/>
        <v>9.7946127946127947E-4</v>
      </c>
      <c r="L126" s="11">
        <f t="shared" si="55"/>
        <v>1.0261022927689596E-3</v>
      </c>
      <c r="M126" s="25">
        <f>WO2025Jan7men1191517192325293133353941434547495557596365676971737577791317192123[[#This Row],[Thresh]]</f>
        <v>9.7946127946127947E-4</v>
      </c>
      <c r="N126" s="28">
        <f>WO2025Jan7men1191517192325293133353941434547495557596365676971737577791317192123[[#This Row],[Thresh]]*2.5</f>
        <v>2.4486531986531988E-3</v>
      </c>
      <c r="O126" s="25">
        <f>WO2025Jan7men1191517192325293133353941434547495557596365676971737577791317192123[[#This Row],[R]]/2</f>
        <v>3.8339120370370371E-4</v>
      </c>
      <c r="P126" s="25">
        <f>WO2025Jan7men1191517192325293133353941434547495557596365676971737577791317192123[[#This Row],[VO2]]</f>
        <v>8.6192592592592592E-4</v>
      </c>
      <c r="Q126" s="25">
        <f>WO2025Jan7men1191517192325293133353941434547495557596365676971737577791317192123[[#This Row],[Thresh]]*2</f>
        <v>1.9589225589225589E-3</v>
      </c>
      <c r="R126" s="25">
        <f>WO2025Jan7men1191517192325293133353941434547495557596365676971737577791317192123[[#This Row],[R]]/2-0.0000115740740740741</f>
        <v>3.718171296296296E-4</v>
      </c>
      <c r="S126" s="25">
        <f>WO2025Jan7men1191517192325293133353941434547495557596365676971737577791317192123[[#This Row],[R]]/2-(0.0000115740740740741*2)</f>
        <v>3.6024305555555549E-4</v>
      </c>
      <c r="T126" s="25">
        <f>WO2025Jan7men1191517192325293133353941434547495557596365676971737577791317192123[[#This Row],[R]]/2-(0.0000115740740740741*3)</f>
        <v>3.4866898148148143E-4</v>
      </c>
      <c r="U126" s="25">
        <f>WO2025Jan7men1191517192325293133353941434547495557596365676971737577791317192123[[#This Row],[R]]/2-(0.0000115740740740741*4)</f>
        <v>3.3709490740740732E-4</v>
      </c>
      <c r="V126" s="25">
        <f>WO2025Jan7men1191517192325293133353941434547495557596365676971737577791317192123[[#This Row],[R]]/2-(0.0000115740740740741*5)</f>
        <v>3.2552083333333321E-4</v>
      </c>
      <c r="W126" s="15" t="s">
        <v>48</v>
      </c>
      <c r="X126" s="50"/>
    </row>
    <row r="127" spans="1:24" ht="20.45" customHeight="1">
      <c r="A127" s="10" t="s">
        <v>98</v>
      </c>
      <c r="B127" s="11">
        <v>1.1111111111111112E-2</v>
      </c>
      <c r="C127" s="11">
        <v>3.0671296296296297E-3</v>
      </c>
      <c r="D127" s="11">
        <f t="shared" si="48"/>
        <v>6.4644444444444445E-3</v>
      </c>
      <c r="E127" s="12">
        <v>0.58179999999999998</v>
      </c>
      <c r="F127" s="11">
        <f t="shared" si="49"/>
        <v>7.6678240740740743E-4</v>
      </c>
      <c r="G127" s="11">
        <f t="shared" si="50"/>
        <v>8.6192592592592592E-4</v>
      </c>
      <c r="H127" s="11">
        <f t="shared" si="51"/>
        <v>8.8888888888888893E-4</v>
      </c>
      <c r="I127" s="11">
        <f t="shared" si="52"/>
        <v>9.2680207088809239E-4</v>
      </c>
      <c r="J127" s="11">
        <f t="shared" si="53"/>
        <v>9.3687600644122375E-4</v>
      </c>
      <c r="K127" s="11">
        <f t="shared" si="54"/>
        <v>9.7946127946127947E-4</v>
      </c>
      <c r="L127" s="11">
        <f t="shared" si="55"/>
        <v>1.0261022927689596E-3</v>
      </c>
      <c r="M127" s="25">
        <f>WO2025Jan7men1191517192325293133353941434547495557596365676971737577791317192123[[#This Row],[Thresh]]</f>
        <v>9.7946127946127947E-4</v>
      </c>
      <c r="N127" s="28">
        <f>WO2025Jan7men1191517192325293133353941434547495557596365676971737577791317192123[[#This Row],[Thresh]]*2.5</f>
        <v>2.4486531986531988E-3</v>
      </c>
      <c r="O127" s="25">
        <f>WO2025Jan7men1191517192325293133353941434547495557596365676971737577791317192123[[#This Row],[R]]/2</f>
        <v>3.8339120370370371E-4</v>
      </c>
      <c r="P127" s="25">
        <f>WO2025Jan7men1191517192325293133353941434547495557596365676971737577791317192123[[#This Row],[VO2]]</f>
        <v>8.6192592592592592E-4</v>
      </c>
      <c r="Q127" s="25">
        <f>WO2025Jan7men1191517192325293133353941434547495557596365676971737577791317192123[[#This Row],[Thresh]]*2</f>
        <v>1.9589225589225589E-3</v>
      </c>
      <c r="R127" s="25">
        <f>WO2025Jan7men1191517192325293133353941434547495557596365676971737577791317192123[[#This Row],[R]]/2-0.0000115740740740741</f>
        <v>3.718171296296296E-4</v>
      </c>
      <c r="S127" s="25">
        <f>WO2025Jan7men1191517192325293133353941434547495557596365676971737577791317192123[[#This Row],[R]]/2-(0.0000115740740740741*2)</f>
        <v>3.6024305555555549E-4</v>
      </c>
      <c r="T127" s="25">
        <f>WO2025Jan7men1191517192325293133353941434547495557596365676971737577791317192123[[#This Row],[R]]/2-(0.0000115740740740741*3)</f>
        <v>3.4866898148148143E-4</v>
      </c>
      <c r="U127" s="25">
        <f>WO2025Jan7men1191517192325293133353941434547495557596365676971737577791317192123[[#This Row],[R]]/2-(0.0000115740740740741*4)</f>
        <v>3.3709490740740732E-4</v>
      </c>
      <c r="V127" s="25">
        <f>WO2025Jan7men1191517192325293133353941434547495557596365676971737577791317192123[[#This Row],[R]]/2-(0.0000115740740740741*5)</f>
        <v>3.2552083333333321E-4</v>
      </c>
      <c r="W127" s="27" t="s">
        <v>48</v>
      </c>
      <c r="X127" s="50"/>
    </row>
    <row r="128" spans="1:24" ht="20.45" customHeight="1">
      <c r="A128" s="10" t="s">
        <v>103</v>
      </c>
      <c r="B128" s="11">
        <v>1.1111111111111112E-2</v>
      </c>
      <c r="C128" s="11">
        <v>3.0671296296296297E-3</v>
      </c>
      <c r="D128" s="11">
        <f t="shared" si="40"/>
        <v>6.4644444444444445E-3</v>
      </c>
      <c r="E128" s="12">
        <v>0.58179999999999998</v>
      </c>
      <c r="F128" s="11">
        <f t="shared" si="41"/>
        <v>7.6678240740740743E-4</v>
      </c>
      <c r="G128" s="11">
        <f t="shared" si="42"/>
        <v>8.6192592592592592E-4</v>
      </c>
      <c r="H128" s="11">
        <f t="shared" si="43"/>
        <v>8.8888888888888893E-4</v>
      </c>
      <c r="I128" s="11">
        <f t="shared" si="44"/>
        <v>9.2680207088809239E-4</v>
      </c>
      <c r="J128" s="11">
        <f t="shared" si="45"/>
        <v>9.3687600644122375E-4</v>
      </c>
      <c r="K128" s="11">
        <f t="shared" si="46"/>
        <v>9.7946127946127947E-4</v>
      </c>
      <c r="L128" s="17">
        <f t="shared" si="47"/>
        <v>1.0261022927689596E-3</v>
      </c>
      <c r="M128" s="25">
        <f>WO2025Jan7men1191517192325293133353941434547495557596365676971737577791317192123[[#This Row],[Thresh]]</f>
        <v>9.7946127946127947E-4</v>
      </c>
      <c r="N128" s="28">
        <f>WO2025Jan7men1191517192325293133353941434547495557596365676971737577791317192123[[#This Row],[Thresh]]*2.5</f>
        <v>2.4486531986531988E-3</v>
      </c>
      <c r="O128" s="25">
        <f>WO2025Jan7men1191517192325293133353941434547495557596365676971737577791317192123[[#This Row],[R]]/2</f>
        <v>3.8339120370370371E-4</v>
      </c>
      <c r="P128" s="25">
        <f>WO2025Jan7men1191517192325293133353941434547495557596365676971737577791317192123[[#This Row],[VO2]]</f>
        <v>8.6192592592592592E-4</v>
      </c>
      <c r="Q128" s="25">
        <f>WO2025Jan7men1191517192325293133353941434547495557596365676971737577791317192123[[#This Row],[Thresh]]*2</f>
        <v>1.9589225589225589E-3</v>
      </c>
      <c r="R128" s="25">
        <f>WO2025Jan7men1191517192325293133353941434547495557596365676971737577791317192123[[#This Row],[R]]/2-0.0000115740740740741</f>
        <v>3.718171296296296E-4</v>
      </c>
      <c r="S128" s="25">
        <f>WO2025Jan7men1191517192325293133353941434547495557596365676971737577791317192123[[#This Row],[R]]/2-(0.0000115740740740741*2)</f>
        <v>3.6024305555555549E-4</v>
      </c>
      <c r="T128" s="25">
        <f>WO2025Jan7men1191517192325293133353941434547495557596365676971737577791317192123[[#This Row],[R]]/2-(0.0000115740740740741*3)</f>
        <v>3.4866898148148143E-4</v>
      </c>
      <c r="U128" s="25">
        <f>WO2025Jan7men1191517192325293133353941434547495557596365676971737577791317192123[[#This Row],[R]]/2-(0.0000115740740740741*4)</f>
        <v>3.3709490740740732E-4</v>
      </c>
      <c r="V128" s="25">
        <f>WO2025Jan7men1191517192325293133353941434547495557596365676971737577791317192123[[#This Row],[R]]/2-(0.0000115740740740741*5)</f>
        <v>3.2552083333333321E-4</v>
      </c>
      <c r="W128" s="15" t="s">
        <v>48</v>
      </c>
      <c r="X128" s="50"/>
    </row>
    <row r="129" spans="1:24" ht="20.45" customHeight="1">
      <c r="A129" s="10" t="s">
        <v>104</v>
      </c>
      <c r="B129" s="11">
        <v>1.1458333333333333E-2</v>
      </c>
      <c r="C129" s="11">
        <v>3.2986111111111111E-3</v>
      </c>
      <c r="D129" s="11">
        <f t="shared" si="40"/>
        <v>6.6664583333333324E-3</v>
      </c>
      <c r="E129" s="12">
        <v>0.58179999999999998</v>
      </c>
      <c r="F129" s="11">
        <f t="shared" si="41"/>
        <v>8.2465277777777778E-4</v>
      </c>
      <c r="G129" s="11">
        <f t="shared" si="42"/>
        <v>8.8886111111111099E-4</v>
      </c>
      <c r="H129" s="11">
        <f t="shared" si="43"/>
        <v>9.1666666666666665E-4</v>
      </c>
      <c r="I129" s="11">
        <f t="shared" si="44"/>
        <v>9.5576463560334514E-4</v>
      </c>
      <c r="J129" s="11">
        <f t="shared" si="45"/>
        <v>9.6615338164251195E-4</v>
      </c>
      <c r="K129" s="11">
        <f t="shared" si="46"/>
        <v>1.0100694444444443E-3</v>
      </c>
      <c r="L129" s="11">
        <f t="shared" si="47"/>
        <v>1.0581679894179892E-3</v>
      </c>
      <c r="M129" s="25">
        <f>WO2025Jan7men1191517192325293133353941434547495557596365676971737577791317192123[[#This Row],[Thresh]]</f>
        <v>1.0100694444444443E-3</v>
      </c>
      <c r="N129" s="28">
        <f>WO2025Jan7men1191517192325293133353941434547495557596365676971737577791317192123[[#This Row],[Thresh]]*2.5</f>
        <v>2.5251736111111108E-3</v>
      </c>
      <c r="O129" s="25">
        <f>WO2025Jan7men1191517192325293133353941434547495557596365676971737577791317192123[[#This Row],[R]]/2</f>
        <v>4.1232638888888889E-4</v>
      </c>
      <c r="P129" s="25">
        <f>WO2025Jan7men1191517192325293133353941434547495557596365676971737577791317192123[[#This Row],[VO2]]</f>
        <v>8.8886111111111099E-4</v>
      </c>
      <c r="Q129" s="25">
        <f>WO2025Jan7men1191517192325293133353941434547495557596365676971737577791317192123[[#This Row],[Thresh]]*2</f>
        <v>2.0201388888888886E-3</v>
      </c>
      <c r="R129" s="25">
        <f>WO2025Jan7men1191517192325293133353941434547495557596365676971737577791317192123[[#This Row],[R]]/2-0.0000115740740740741</f>
        <v>4.0075231481481478E-4</v>
      </c>
      <c r="S129" s="25">
        <f>WO2025Jan7men1191517192325293133353941434547495557596365676971737577791317192123[[#This Row],[R]]/2-(0.0000115740740740741*2)</f>
        <v>3.8917824074074066E-4</v>
      </c>
      <c r="T129" s="25">
        <f>WO2025Jan7men1191517192325293133353941434547495557596365676971737577791317192123[[#This Row],[R]]/2-(0.0000115740740740741*3)</f>
        <v>3.776041666666666E-4</v>
      </c>
      <c r="U129" s="25">
        <f>WO2025Jan7men1191517192325293133353941434547495557596365676971737577791317192123[[#This Row],[R]]/2-(0.0000115740740740741*4)</f>
        <v>3.6603009259259249E-4</v>
      </c>
      <c r="V129" s="25">
        <f>WO2025Jan7men1191517192325293133353941434547495557596365676971737577791317192123[[#This Row],[R]]/2-(0.0000115740740740741*5)</f>
        <v>3.5445601851851838E-4</v>
      </c>
      <c r="W129" s="15" t="s">
        <v>48</v>
      </c>
      <c r="X129" s="50"/>
    </row>
    <row r="130" spans="1:24" ht="20.45" customHeight="1">
      <c r="A130" s="10" t="s">
        <v>99</v>
      </c>
      <c r="B130" s="11">
        <v>1.1458333333333333E-2</v>
      </c>
      <c r="C130" s="11">
        <v>3.0092592592592593E-3</v>
      </c>
      <c r="D130" s="11">
        <f>B130*E130</f>
        <v>6.6664583333333324E-3</v>
      </c>
      <c r="E130" s="12">
        <v>0.58179999999999998</v>
      </c>
      <c r="F130" s="11">
        <f>C130/4</f>
        <v>7.5231481481481482E-4</v>
      </c>
      <c r="G130" s="11">
        <f>D130/7.5</f>
        <v>8.8886111111111099E-4</v>
      </c>
      <c r="H130" s="11">
        <f>B130/12.5</f>
        <v>9.1666666666666665E-4</v>
      </c>
      <c r="I130" s="11">
        <f>G130/0.93</f>
        <v>9.5576463560334514E-4</v>
      </c>
      <c r="J130" s="11">
        <f>G130/0.92</f>
        <v>9.6615338164251195E-4</v>
      </c>
      <c r="K130" s="11">
        <f>G130/0.88</f>
        <v>1.0100694444444443E-3</v>
      </c>
      <c r="L130" s="11">
        <f>G130/0.84</f>
        <v>1.0581679894179892E-3</v>
      </c>
      <c r="M130" s="25">
        <f>WO2025Jan7men1191517192325293133353941434547495557596365676971737577791317192123[[#This Row],[Thresh]]</f>
        <v>1.0100694444444443E-3</v>
      </c>
      <c r="N130" s="28">
        <f>WO2025Jan7men1191517192325293133353941434547495557596365676971737577791317192123[[#This Row],[Thresh]]*2.5</f>
        <v>2.5251736111111108E-3</v>
      </c>
      <c r="O130" s="25">
        <f>WO2025Jan7men1191517192325293133353941434547495557596365676971737577791317192123[[#This Row],[R]]/2</f>
        <v>3.7615740740740741E-4</v>
      </c>
      <c r="P130" s="25">
        <f>WO2025Jan7men1191517192325293133353941434547495557596365676971737577791317192123[[#This Row],[VO2]]</f>
        <v>8.8886111111111099E-4</v>
      </c>
      <c r="Q130" s="25">
        <f>WO2025Jan7men1191517192325293133353941434547495557596365676971737577791317192123[[#This Row],[Thresh]]*2</f>
        <v>2.0201388888888886E-3</v>
      </c>
      <c r="R130" s="25">
        <f>WO2025Jan7men1191517192325293133353941434547495557596365676971737577791317192123[[#This Row],[R]]/2-0.0000115740740740741</f>
        <v>3.645833333333333E-4</v>
      </c>
      <c r="S130" s="25">
        <f>WO2025Jan7men1191517192325293133353941434547495557596365676971737577791317192123[[#This Row],[R]]/2-(0.0000115740740740741*2)</f>
        <v>3.5300925925925918E-4</v>
      </c>
      <c r="T130" s="25">
        <f>WO2025Jan7men1191517192325293133353941434547495557596365676971737577791317192123[[#This Row],[R]]/2-(0.0000115740740740741*3)</f>
        <v>3.4143518518518513E-4</v>
      </c>
      <c r="U130" s="25">
        <f>WO2025Jan7men1191517192325293133353941434547495557596365676971737577791317192123[[#This Row],[R]]/2-(0.0000115740740740741*4)</f>
        <v>3.2986111111111101E-4</v>
      </c>
      <c r="V130" s="25">
        <f>WO2025Jan7men1191517192325293133353941434547495557596365676971737577791317192123[[#This Row],[R]]/2-(0.0000115740740740741*5)</f>
        <v>3.182870370370369E-4</v>
      </c>
      <c r="W130" s="27" t="s">
        <v>48</v>
      </c>
      <c r="X130" s="50"/>
    </row>
    <row r="131" spans="1:24" ht="20.45" customHeight="1">
      <c r="A131" s="10" t="s">
        <v>102</v>
      </c>
      <c r="B131" s="11">
        <v>1.1458333333333333E-2</v>
      </c>
      <c r="C131" s="11">
        <v>3.0671296296296297E-3</v>
      </c>
      <c r="D131" s="11">
        <f>B131*E131</f>
        <v>6.6664583333333324E-3</v>
      </c>
      <c r="E131" s="12">
        <v>0.58179999999999998</v>
      </c>
      <c r="F131" s="11">
        <f>C131/4</f>
        <v>7.6678240740740743E-4</v>
      </c>
      <c r="G131" s="11">
        <f>D131/7.5</f>
        <v>8.8886111111111099E-4</v>
      </c>
      <c r="H131" s="11">
        <f>B131/12.5</f>
        <v>9.1666666666666665E-4</v>
      </c>
      <c r="I131" s="11">
        <f>G131/0.93</f>
        <v>9.5576463560334514E-4</v>
      </c>
      <c r="J131" s="11">
        <f>G131/0.92</f>
        <v>9.6615338164251195E-4</v>
      </c>
      <c r="K131" s="11">
        <f>G131/0.88</f>
        <v>1.0100694444444443E-3</v>
      </c>
      <c r="L131" s="11">
        <f>G131/0.84</f>
        <v>1.0581679894179892E-3</v>
      </c>
      <c r="M131" s="25">
        <f>WO2025Jan7men1191517192325293133353941434547495557596365676971737577791317192123[[#This Row],[Thresh]]</f>
        <v>1.0100694444444443E-3</v>
      </c>
      <c r="N131" s="28">
        <f>WO2025Jan7men1191517192325293133353941434547495557596365676971737577791317192123[[#This Row],[Thresh]]*2.5</f>
        <v>2.5251736111111108E-3</v>
      </c>
      <c r="O131" s="25">
        <f>WO2025Jan7men1191517192325293133353941434547495557596365676971737577791317192123[[#This Row],[R]]/2</f>
        <v>3.8339120370370371E-4</v>
      </c>
      <c r="P131" s="25">
        <f>WO2025Jan7men1191517192325293133353941434547495557596365676971737577791317192123[[#This Row],[VO2]]</f>
        <v>8.8886111111111099E-4</v>
      </c>
      <c r="Q131" s="25">
        <f>WO2025Jan7men1191517192325293133353941434547495557596365676971737577791317192123[[#This Row],[Thresh]]*2</f>
        <v>2.0201388888888886E-3</v>
      </c>
      <c r="R131" s="25">
        <f>WO2025Jan7men1191517192325293133353941434547495557596365676971737577791317192123[[#This Row],[R]]/2-0.0000115740740740741</f>
        <v>3.718171296296296E-4</v>
      </c>
      <c r="S131" s="25">
        <f>WO2025Jan7men1191517192325293133353941434547495557596365676971737577791317192123[[#This Row],[R]]/2-(0.0000115740740740741*2)</f>
        <v>3.6024305555555549E-4</v>
      </c>
      <c r="T131" s="25">
        <f>WO2025Jan7men1191517192325293133353941434547495557596365676971737577791317192123[[#This Row],[R]]/2-(0.0000115740740740741*3)</f>
        <v>3.4866898148148143E-4</v>
      </c>
      <c r="U131" s="25">
        <f>WO2025Jan7men1191517192325293133353941434547495557596365676971737577791317192123[[#This Row],[R]]/2-(0.0000115740740740741*4)</f>
        <v>3.3709490740740732E-4</v>
      </c>
      <c r="V131" s="25">
        <f>WO2025Jan7men1191517192325293133353941434547495557596365676971737577791317192123[[#This Row],[R]]/2-(0.0000115740740740741*5)</f>
        <v>3.2552083333333321E-4</v>
      </c>
      <c r="W131" s="27" t="s">
        <v>48</v>
      </c>
      <c r="X131" s="50"/>
    </row>
    <row r="132" spans="1:24" ht="20.45" customHeight="1">
      <c r="A132" s="10"/>
      <c r="B132" s="11"/>
      <c r="C132" s="11"/>
      <c r="D132" s="11"/>
      <c r="E132" s="12"/>
      <c r="F132" s="11"/>
      <c r="G132" s="11"/>
      <c r="H132" s="11"/>
      <c r="I132" s="11"/>
      <c r="J132" s="11"/>
      <c r="K132" s="11"/>
      <c r="L132" s="11"/>
      <c r="M132" s="25"/>
      <c r="N132" s="28"/>
      <c r="O132" s="25"/>
      <c r="P132" s="25"/>
      <c r="Q132" s="25"/>
      <c r="R132" s="25"/>
      <c r="S132" s="25"/>
      <c r="T132" s="25"/>
      <c r="U132" s="28"/>
      <c r="V132" s="25"/>
      <c r="W132" s="15"/>
      <c r="X132" s="50"/>
    </row>
    <row r="133" spans="1:24" ht="20.45" customHeight="1">
      <c r="A133" s="10"/>
      <c r="B133" s="11"/>
      <c r="C133" s="11"/>
      <c r="D133" s="11"/>
      <c r="E133" s="12"/>
      <c r="F133" s="11"/>
      <c r="G133" s="11"/>
      <c r="H133" s="11"/>
      <c r="I133" s="11"/>
      <c r="J133" s="11"/>
      <c r="K133" s="11"/>
      <c r="L133" s="11"/>
      <c r="M133" s="25"/>
      <c r="N133" s="28"/>
      <c r="O133" s="25"/>
      <c r="P133" s="25"/>
      <c r="Q133" s="28"/>
      <c r="R133" s="28"/>
      <c r="S133" s="25"/>
      <c r="T133" s="25"/>
      <c r="U133" s="28"/>
      <c r="V133" s="25"/>
      <c r="W133" s="15"/>
      <c r="X133" s="50"/>
    </row>
    <row r="134" spans="1:24" ht="20.45" customHeight="1">
      <c r="A134" s="10"/>
      <c r="B134" s="11"/>
      <c r="C134" s="11"/>
      <c r="D134" s="11"/>
      <c r="E134" s="12"/>
      <c r="F134" s="11"/>
      <c r="G134" s="11"/>
      <c r="H134" s="11"/>
      <c r="I134" s="11"/>
      <c r="J134" s="11"/>
      <c r="K134" s="11"/>
      <c r="L134" s="17"/>
      <c r="M134" s="25"/>
      <c r="N134" s="28"/>
      <c r="O134" s="25"/>
      <c r="P134" s="25"/>
      <c r="Q134" s="25"/>
      <c r="R134" s="25"/>
      <c r="S134" s="25"/>
      <c r="T134" s="25"/>
      <c r="U134" s="28"/>
      <c r="V134" s="25"/>
      <c r="W134" s="15"/>
      <c r="X134" s="50"/>
    </row>
    <row r="135" spans="1:24" ht="20.45" customHeight="1">
      <c r="A135" s="10"/>
      <c r="B135" s="11"/>
      <c r="C135" s="11"/>
      <c r="D135" s="11"/>
      <c r="E135" s="12"/>
      <c r="F135" s="11"/>
      <c r="G135" s="11"/>
      <c r="H135" s="11"/>
      <c r="I135" s="11"/>
      <c r="J135" s="11"/>
      <c r="K135" s="11"/>
      <c r="L135" s="11"/>
      <c r="M135" s="25"/>
      <c r="N135" s="28"/>
      <c r="O135" s="25"/>
      <c r="P135" s="25"/>
      <c r="Q135" s="25"/>
      <c r="R135" s="28"/>
      <c r="S135" s="25"/>
      <c r="T135" s="25"/>
      <c r="U135" s="28"/>
      <c r="V135" s="25"/>
      <c r="W135" s="15"/>
      <c r="X135" s="50"/>
    </row>
    <row r="136" spans="1:24" ht="20.45" customHeight="1">
      <c r="A136" s="10"/>
      <c r="B136" s="11"/>
      <c r="C136" s="11"/>
      <c r="D136" s="11"/>
      <c r="E136" s="12"/>
      <c r="F136" s="11"/>
      <c r="G136" s="11"/>
      <c r="H136" s="11"/>
      <c r="I136" s="11"/>
      <c r="J136" s="11"/>
      <c r="K136" s="11"/>
      <c r="L136" s="17"/>
      <c r="M136" s="25"/>
      <c r="N136" s="28"/>
      <c r="O136" s="25"/>
      <c r="P136" s="25"/>
      <c r="Q136" s="25"/>
      <c r="R136" s="28"/>
      <c r="S136" s="25"/>
      <c r="T136" s="25"/>
      <c r="U136" s="28"/>
      <c r="V136" s="25"/>
      <c r="W136" s="15"/>
      <c r="X136" s="50"/>
    </row>
    <row r="137" spans="1:24" ht="20.45" customHeight="1">
      <c r="A137" s="10"/>
      <c r="B137" s="11"/>
      <c r="C137" s="11"/>
      <c r="D137" s="11"/>
      <c r="E137" s="12"/>
      <c r="F137" s="11"/>
      <c r="G137" s="11"/>
      <c r="H137" s="11"/>
      <c r="I137" s="11"/>
      <c r="J137" s="11"/>
      <c r="K137" s="11"/>
      <c r="L137" s="11"/>
      <c r="M137" s="25"/>
      <c r="N137" s="28"/>
      <c r="O137" s="25"/>
      <c r="P137" s="25"/>
      <c r="Q137" s="28"/>
      <c r="R137" s="28"/>
      <c r="S137" s="25"/>
      <c r="T137" s="25"/>
      <c r="U137" s="28"/>
      <c r="V137" s="25"/>
      <c r="W137" s="15"/>
      <c r="X137" s="50"/>
    </row>
    <row r="138" spans="1:24" ht="20.45" customHeight="1">
      <c r="A138" s="10"/>
      <c r="B138" s="11"/>
      <c r="C138" s="11"/>
      <c r="D138" s="11"/>
      <c r="E138" s="12"/>
      <c r="F138" s="11"/>
      <c r="G138" s="11"/>
      <c r="H138" s="11"/>
      <c r="I138" s="11"/>
      <c r="J138" s="11"/>
      <c r="K138" s="11"/>
      <c r="L138" s="11"/>
      <c r="M138" s="25"/>
      <c r="N138" s="28"/>
      <c r="O138" s="25"/>
      <c r="P138" s="28"/>
      <c r="Q138" s="25"/>
      <c r="R138" s="28"/>
      <c r="S138" s="25"/>
      <c r="T138" s="28"/>
      <c r="U138" s="28"/>
      <c r="V138" s="25"/>
      <c r="W138" s="15"/>
      <c r="X138" s="51"/>
    </row>
    <row r="139" spans="1:24" ht="20.45" customHeight="1">
      <c r="A139" s="10"/>
      <c r="B139" s="11"/>
      <c r="C139" s="11"/>
      <c r="D139" s="11"/>
      <c r="E139" s="12"/>
      <c r="F139" s="11"/>
      <c r="G139" s="11"/>
      <c r="H139" s="11"/>
      <c r="I139" s="11"/>
      <c r="J139" s="11"/>
      <c r="K139" s="11"/>
      <c r="L139" s="11"/>
      <c r="M139" s="25"/>
      <c r="N139" s="28"/>
      <c r="O139" s="25"/>
      <c r="P139" s="25"/>
      <c r="Q139" s="25"/>
      <c r="R139" s="25"/>
      <c r="S139" s="25"/>
      <c r="T139" s="25"/>
      <c r="U139" s="28"/>
      <c r="V139" s="25"/>
      <c r="W139" s="15"/>
      <c r="X139" s="51"/>
    </row>
    <row r="140" spans="1:24" ht="20.45" customHeight="1">
      <c r="A140" s="10"/>
      <c r="B140" s="11"/>
      <c r="C140" s="11"/>
      <c r="D140" s="11"/>
      <c r="E140" s="12"/>
      <c r="F140" s="11"/>
      <c r="G140" s="11"/>
      <c r="H140" s="11"/>
      <c r="I140" s="11"/>
      <c r="J140" s="11"/>
      <c r="K140" s="11"/>
      <c r="L140" s="17"/>
      <c r="M140" s="25"/>
      <c r="N140" s="28"/>
      <c r="O140" s="25"/>
      <c r="P140" s="28"/>
      <c r="Q140" s="25"/>
      <c r="R140" s="28"/>
      <c r="S140" s="25"/>
      <c r="T140" s="25"/>
      <c r="U140" s="28"/>
      <c r="V140" s="28"/>
      <c r="W140" s="27"/>
      <c r="X140" s="51"/>
    </row>
    <row r="141" spans="1:24" ht="20.45" customHeight="1">
      <c r="A141" s="10"/>
      <c r="B141" s="11"/>
      <c r="C141" s="11"/>
      <c r="D141" s="11"/>
      <c r="E141" s="12"/>
      <c r="F141" s="11"/>
      <c r="G141" s="11"/>
      <c r="H141" s="11"/>
      <c r="I141" s="11"/>
      <c r="J141" s="11"/>
      <c r="K141" s="11"/>
      <c r="L141" s="11"/>
      <c r="M141" s="11"/>
      <c r="N141" s="26"/>
      <c r="P141" s="26"/>
      <c r="Q141" s="26"/>
      <c r="R141" s="26"/>
      <c r="S141" s="14"/>
      <c r="T141" s="14"/>
      <c r="U141" s="26"/>
      <c r="V141" s="28"/>
      <c r="W141" s="27"/>
      <c r="X141" s="51"/>
    </row>
    <row r="142" spans="1:24" ht="20.100000000000001" customHeight="1">
      <c r="A142" s="10"/>
      <c r="B142" s="11"/>
      <c r="C142" s="11"/>
      <c r="D142" s="11">
        <f>B142*E142</f>
        <v>0</v>
      </c>
      <c r="E142" s="12"/>
      <c r="F142" s="11">
        <f>C142/4</f>
        <v>0</v>
      </c>
      <c r="G142" s="11">
        <f>D142/7.5</f>
        <v>0</v>
      </c>
      <c r="H142" s="11">
        <f>B142/12.5</f>
        <v>0</v>
      </c>
      <c r="I142" s="11">
        <f>G142/0.93</f>
        <v>0</v>
      </c>
      <c r="J142" s="11">
        <f>G142/0.92</f>
        <v>0</v>
      </c>
      <c r="K142" s="11">
        <f>G142/0.88</f>
        <v>0</v>
      </c>
      <c r="L142" s="17">
        <f>G142/0.84</f>
        <v>0</v>
      </c>
      <c r="M142" s="11"/>
      <c r="N142" s="26"/>
      <c r="P142" s="26"/>
      <c r="Q142" s="26"/>
      <c r="R142" s="26"/>
      <c r="S142" s="14"/>
      <c r="T142" s="14"/>
      <c r="U142" s="26"/>
      <c r="V142" s="38"/>
      <c r="W142" s="31"/>
      <c r="X142" s="51"/>
    </row>
    <row r="143" spans="1:24" ht="20.100000000000001" customHeight="1">
      <c r="A143" s="10"/>
      <c r="B143" s="11"/>
      <c r="C143" s="11"/>
      <c r="D143" s="11">
        <f>B143*E143</f>
        <v>0</v>
      </c>
      <c r="E143" s="12"/>
      <c r="F143" s="11">
        <f>C143/4</f>
        <v>0</v>
      </c>
      <c r="G143" s="11">
        <f>D143/7.5</f>
        <v>0</v>
      </c>
      <c r="H143" s="11">
        <f>B143/12.5</f>
        <v>0</v>
      </c>
      <c r="I143" s="11">
        <f>G143/0.93</f>
        <v>0</v>
      </c>
      <c r="J143" s="11">
        <f>G143/0.92</f>
        <v>0</v>
      </c>
      <c r="K143" s="11">
        <f>G143/0.88</f>
        <v>0</v>
      </c>
      <c r="L143" s="17">
        <f>G143/0.84</f>
        <v>0</v>
      </c>
      <c r="M143" s="11"/>
      <c r="N143" s="26"/>
      <c r="P143" s="26"/>
      <c r="Q143" s="26"/>
      <c r="R143" s="26"/>
      <c r="S143" s="14"/>
      <c r="T143" s="14"/>
      <c r="U143" s="26"/>
      <c r="V143" s="38"/>
      <c r="W143" s="31"/>
      <c r="X143" s="51"/>
    </row>
    <row r="144" spans="1:24" ht="20.100000000000001" customHeight="1">
      <c r="A144" s="10"/>
      <c r="B144" s="11"/>
      <c r="C144" s="11"/>
      <c r="D144" s="11">
        <f>B144*E144</f>
        <v>0</v>
      </c>
      <c r="E144" s="12"/>
      <c r="F144" s="11">
        <f>C144/4</f>
        <v>0</v>
      </c>
      <c r="G144" s="11">
        <f>D144/7.5</f>
        <v>0</v>
      </c>
      <c r="H144" s="11">
        <f>B144/12.5</f>
        <v>0</v>
      </c>
      <c r="I144" s="11">
        <f>G144/0.93</f>
        <v>0</v>
      </c>
      <c r="J144" s="11">
        <f>G144/0.92</f>
        <v>0</v>
      </c>
      <c r="K144" s="11">
        <f>G144/0.88</f>
        <v>0</v>
      </c>
      <c r="L144" s="17">
        <f>G144/0.84</f>
        <v>0</v>
      </c>
      <c r="M144" s="11"/>
      <c r="N144" s="26"/>
      <c r="P144" s="26"/>
      <c r="Q144" s="26"/>
      <c r="R144" s="26"/>
      <c r="S144" s="14"/>
      <c r="T144" s="14"/>
      <c r="U144" s="26"/>
      <c r="V144" s="38"/>
      <c r="W144" s="31"/>
      <c r="X144" s="51"/>
    </row>
  </sheetData>
  <mergeCells count="15">
    <mergeCell ref="X118:X127"/>
    <mergeCell ref="X128:X137"/>
    <mergeCell ref="X138:X144"/>
    <mergeCell ref="X58:X67"/>
    <mergeCell ref="X68:X77"/>
    <mergeCell ref="X78:X87"/>
    <mergeCell ref="X88:X97"/>
    <mergeCell ref="X98:X107"/>
    <mergeCell ref="X108:X117"/>
    <mergeCell ref="X51:X57"/>
    <mergeCell ref="X1:X10"/>
    <mergeCell ref="X11:X20"/>
    <mergeCell ref="X21:X30"/>
    <mergeCell ref="X31:X40"/>
    <mergeCell ref="X41:X50"/>
  </mergeCells>
  <pageMargins left="0.25" right="0.25" top="0.25" bottom="0.25" header="0" footer="0"/>
  <pageSetup scale="95" fitToHeight="0" orientation="landscape" r:id="rId1"/>
  <tableParts count="2">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E7174-D034-46F3-9BE4-27D037FB8FDB}">
  <sheetPr>
    <pageSetUpPr fitToPage="1"/>
  </sheetPr>
  <dimension ref="A1:Z144"/>
  <sheetViews>
    <sheetView topLeftCell="A71" zoomScale="85" zoomScaleNormal="85" workbookViewId="0">
      <selection activeCell="R71" sqref="R71"/>
    </sheetView>
  </sheetViews>
  <sheetFormatPr defaultColWidth="8.7109375" defaultRowHeight="14.45"/>
  <cols>
    <col min="1" max="1" width="19.5703125" customWidth="1"/>
    <col min="2" max="2" width="8.7109375" style="29" hidden="1" customWidth="1"/>
    <col min="3" max="3" width="10.140625" hidden="1" customWidth="1"/>
    <col min="4" max="4" width="8.7109375" style="29" hidden="1" customWidth="1"/>
    <col min="5" max="5" width="9.28515625" hidden="1" customWidth="1"/>
    <col min="6" max="6" width="8.7109375" hidden="1" customWidth="1"/>
    <col min="7" max="7" width="9.28515625" hidden="1" customWidth="1"/>
    <col min="8" max="9" width="8.7109375" hidden="1" customWidth="1"/>
    <col min="10" max="10" width="10.7109375" hidden="1" customWidth="1"/>
    <col min="11" max="11" width="11.42578125" hidden="1" customWidth="1"/>
    <col min="12" max="12" width="6.140625" hidden="1" customWidth="1"/>
    <col min="13" max="13" width="8.7109375" customWidth="1"/>
    <col min="14" max="19" width="10.140625" customWidth="1"/>
    <col min="20" max="22" width="8.7109375" customWidth="1"/>
    <col min="23" max="23" width="3.42578125" customWidth="1"/>
    <col min="24" max="24" width="20.42578125" customWidth="1"/>
    <col min="25" max="25" width="12.28515625" bestFit="1" customWidth="1"/>
    <col min="26" max="27" width="12.85546875" bestFit="1" customWidth="1"/>
  </cols>
  <sheetData>
    <row r="1" spans="1:26" ht="14.45" customHeight="1">
      <c r="A1" s="1" t="s">
        <v>279</v>
      </c>
      <c r="B1" s="2" t="s">
        <v>1</v>
      </c>
      <c r="C1" s="2" t="s">
        <v>2</v>
      </c>
      <c r="D1" s="2" t="s">
        <v>3</v>
      </c>
      <c r="E1" s="3" t="s">
        <v>4</v>
      </c>
      <c r="F1" s="2" t="s">
        <v>5</v>
      </c>
      <c r="G1" s="2" t="s">
        <v>6</v>
      </c>
      <c r="H1" s="2" t="s">
        <v>7</v>
      </c>
      <c r="I1" s="4" t="s">
        <v>8</v>
      </c>
      <c r="J1" s="2" t="s">
        <v>9</v>
      </c>
      <c r="K1" s="2" t="s">
        <v>10</v>
      </c>
      <c r="L1" s="2" t="s">
        <v>11</v>
      </c>
      <c r="M1" s="6" t="s">
        <v>280</v>
      </c>
      <c r="N1" s="6" t="s">
        <v>281</v>
      </c>
      <c r="O1" s="7" t="s">
        <v>12</v>
      </c>
      <c r="P1" s="8" t="s">
        <v>282</v>
      </c>
      <c r="Q1" s="8" t="s">
        <v>17</v>
      </c>
      <c r="R1" s="7" t="s">
        <v>283</v>
      </c>
      <c r="S1" s="7" t="s">
        <v>284</v>
      </c>
      <c r="T1" s="7" t="s">
        <v>285</v>
      </c>
      <c r="U1" s="7" t="s">
        <v>286</v>
      </c>
      <c r="V1" s="7" t="s">
        <v>21</v>
      </c>
      <c r="W1" s="9" t="s">
        <v>22</v>
      </c>
      <c r="X1" s="52" t="s">
        <v>287</v>
      </c>
    </row>
    <row r="2" spans="1:26" ht="21" customHeight="1">
      <c r="A2" s="10" t="s">
        <v>34</v>
      </c>
      <c r="B2" s="11">
        <v>1.1979166666666667E-2</v>
      </c>
      <c r="C2" s="11">
        <v>3.472222222222222E-3</v>
      </c>
      <c r="D2" s="11">
        <f t="shared" ref="D2:D7" si="0">B2*E2</f>
        <v>6.9694791666666672E-3</v>
      </c>
      <c r="E2" s="12">
        <v>0.58179999999999998</v>
      </c>
      <c r="F2" s="11">
        <f t="shared" ref="F2:F7" si="1">C2/4</f>
        <v>8.6805555555555551E-4</v>
      </c>
      <c r="G2" s="11">
        <f t="shared" ref="G2:G7" si="2">D2/7.5</f>
        <v>9.2926388888888898E-4</v>
      </c>
      <c r="H2" s="11">
        <f t="shared" ref="H2:H7" si="3">B2/12.5</f>
        <v>9.5833333333333339E-4</v>
      </c>
      <c r="I2" s="11">
        <f t="shared" ref="I2:I7" si="4">G2/0.93</f>
        <v>9.9920848267622464E-4</v>
      </c>
      <c r="J2" s="11">
        <f t="shared" ref="J2:J7" si="5">G2/0.92</f>
        <v>1.0100694444444445E-3</v>
      </c>
      <c r="K2" s="11">
        <f t="shared" ref="K2:K7" si="6">G2/0.88</f>
        <v>1.055981691919192E-3</v>
      </c>
      <c r="L2" s="11">
        <f t="shared" ref="L2:L7" si="7">G2/0.84</f>
        <v>1.1062665343915346E-3</v>
      </c>
      <c r="M2" s="25">
        <f>WO2025Jan710814161822242830323438404244464854565862646668707274766812161820[[#This Row],[10k]]</f>
        <v>9.9920848267622464E-4</v>
      </c>
      <c r="N2" s="28">
        <f>WO2025Jan710814161822242830323438404244464854565862646668707274766812161820[[#This Row],[10k]]*4</f>
        <v>3.9968339307048985E-3</v>
      </c>
      <c r="O2" s="25">
        <f>WO2025Jan710814161822242830323438404244464854565862646668707274766812161820[[#This Row],[Thresh L]]</f>
        <v>1.1062665343915346E-3</v>
      </c>
      <c r="P2" s="28">
        <f>WO2025Jan710814161822242830323438404244464854565862646668707274766812161820[[#This Row],[Thresh L]]*5</f>
        <v>5.5313326719576726E-3</v>
      </c>
      <c r="Q2" s="25">
        <f>WO2025Jan710814161822242830323438404244464854565862646668707274766812161820[[#This Row],[I]]</f>
        <v>9.5833333333333339E-4</v>
      </c>
      <c r="R2" s="25">
        <f>WO2025Jan710814161822242830323438404244464854565862646668707274766812161820[[#This Row],[I]]*3</f>
        <v>2.875E-3</v>
      </c>
      <c r="S2" s="25">
        <f>WO2025Jan710814161822242830323438404244464854565862646668707274766812161820[[#This Row],[VO2]]</f>
        <v>9.2926388888888898E-4</v>
      </c>
      <c r="T2" s="28">
        <f>WO2025Jan710814161822242830323438404244464854565862646668707274766812161820[[#This Row],[VO2]]*2</f>
        <v>1.858527777777778E-3</v>
      </c>
      <c r="U2" s="11" t="s">
        <v>25</v>
      </c>
      <c r="V2" s="36"/>
      <c r="W2" s="15" t="s">
        <v>288</v>
      </c>
      <c r="X2" s="52"/>
    </row>
    <row r="3" spans="1:26" ht="21" customHeight="1">
      <c r="A3" s="10" t="s">
        <v>24</v>
      </c>
      <c r="B3" s="11">
        <v>1.2152777777777778E-2</v>
      </c>
      <c r="C3" s="11">
        <v>3.5300925925925925E-3</v>
      </c>
      <c r="D3" s="11">
        <f t="shared" si="0"/>
        <v>7.0704861111111107E-3</v>
      </c>
      <c r="E3" s="12">
        <v>0.58179999999999998</v>
      </c>
      <c r="F3" s="11">
        <f t="shared" si="1"/>
        <v>8.8252314814814812E-4</v>
      </c>
      <c r="G3" s="11">
        <f t="shared" si="2"/>
        <v>9.4273148148148146E-4</v>
      </c>
      <c r="H3" s="11">
        <f t="shared" si="3"/>
        <v>9.7222222222222219E-4</v>
      </c>
      <c r="I3" s="11">
        <f t="shared" si="4"/>
        <v>1.0136897650338511E-3</v>
      </c>
      <c r="J3" s="11">
        <f t="shared" si="5"/>
        <v>1.0247081320450884E-3</v>
      </c>
      <c r="K3" s="11">
        <f t="shared" si="6"/>
        <v>1.0712857744107744E-3</v>
      </c>
      <c r="L3" s="11">
        <f t="shared" si="7"/>
        <v>1.1222993827160494E-3</v>
      </c>
      <c r="M3" s="25">
        <f>WO2025Jan710814161822242830323438404244464854565862646668707274766812161820[[#This Row],[10k]]</f>
        <v>1.0136897650338511E-3</v>
      </c>
      <c r="N3" s="28">
        <f>WO2025Jan710814161822242830323438404244464854565862646668707274766812161820[[#This Row],[10k]]*4</f>
        <v>4.0547590601354043E-3</v>
      </c>
      <c r="O3" s="25">
        <f>WO2025Jan710814161822242830323438404244464854565862646668707274766812161820[[#This Row],[Thresh L]]</f>
        <v>1.1222993827160494E-3</v>
      </c>
      <c r="P3" s="28">
        <f>WO2025Jan710814161822242830323438404244464854565862646668707274766812161820[[#This Row],[Thresh L]]*5</f>
        <v>5.6114969135802467E-3</v>
      </c>
      <c r="Q3" s="25">
        <f>WO2025Jan710814161822242830323438404244464854565862646668707274766812161820[[#This Row],[I]]</f>
        <v>9.7222222222222219E-4</v>
      </c>
      <c r="R3" s="25">
        <f>WO2025Jan710814161822242830323438404244464854565862646668707274766812161820[[#This Row],[I]]*3</f>
        <v>2.9166666666666664E-3</v>
      </c>
      <c r="S3" s="25">
        <f>WO2025Jan710814161822242830323438404244464854565862646668707274766812161820[[#This Row],[VO2]]</f>
        <v>9.4273148148148146E-4</v>
      </c>
      <c r="T3" s="28">
        <f>WO2025Jan710814161822242830323438404244464854565862646668707274766812161820[[#This Row],[VO2]]*2</f>
        <v>1.8854629629629629E-3</v>
      </c>
      <c r="U3" s="11" t="s">
        <v>25</v>
      </c>
      <c r="V3" s="28"/>
      <c r="W3" s="15" t="s">
        <v>288</v>
      </c>
      <c r="X3" s="52"/>
      <c r="Z3" s="16"/>
    </row>
    <row r="4" spans="1:26" ht="21" customHeight="1">
      <c r="A4" s="10" t="s">
        <v>60</v>
      </c>
      <c r="B4" s="11">
        <v>1.2152777777777778E-2</v>
      </c>
      <c r="C4" s="11">
        <v>3.6458333333333334E-3</v>
      </c>
      <c r="D4" s="11">
        <f t="shared" si="0"/>
        <v>7.0704861111111107E-3</v>
      </c>
      <c r="E4" s="12">
        <v>0.58179999999999998</v>
      </c>
      <c r="F4" s="11">
        <f t="shared" si="1"/>
        <v>9.1145833333333335E-4</v>
      </c>
      <c r="G4" s="11">
        <f t="shared" si="2"/>
        <v>9.4273148148148146E-4</v>
      </c>
      <c r="H4" s="11">
        <f t="shared" si="3"/>
        <v>9.7222222222222219E-4</v>
      </c>
      <c r="I4" s="11">
        <f t="shared" si="4"/>
        <v>1.0136897650338511E-3</v>
      </c>
      <c r="J4" s="11">
        <f t="shared" si="5"/>
        <v>1.0247081320450884E-3</v>
      </c>
      <c r="K4" s="11">
        <f t="shared" si="6"/>
        <v>1.0712857744107744E-3</v>
      </c>
      <c r="L4" s="11">
        <f t="shared" si="7"/>
        <v>1.1222993827160494E-3</v>
      </c>
      <c r="M4" s="25"/>
      <c r="N4" s="28"/>
      <c r="O4" s="25">
        <f>WO2025Jan710814161822242830323438404244464854565862646668707274766812161820[[#This Row],[Thresh L]]</f>
        <v>1.1222993827160494E-3</v>
      </c>
      <c r="P4" s="28">
        <f>WO2025Jan710814161822242830323438404244464854565862646668707274766812161820[[#This Row],[Thresh L]]*5</f>
        <v>5.6114969135802467E-3</v>
      </c>
      <c r="Q4" s="25">
        <f>WO2025Jan710814161822242830323438404244464854565862646668707274766812161820[[#This Row],[I]]</f>
        <v>9.7222222222222219E-4</v>
      </c>
      <c r="R4" s="25">
        <f>WO2025Jan710814161822242830323438404244464854565862646668707274766812161820[[#This Row],[I]]*3</f>
        <v>2.9166666666666664E-3</v>
      </c>
      <c r="S4" s="25">
        <f>WO2025Jan710814161822242830323438404244464854565862646668707274766812161820[[#This Row],[VO2]]</f>
        <v>9.4273148148148146E-4</v>
      </c>
      <c r="T4" s="28">
        <f>WO2025Jan710814161822242830323438404244464854565862646668707274766812161820[[#This Row],[VO2]]*2</f>
        <v>1.8854629629629629E-3</v>
      </c>
      <c r="U4" s="11" t="s">
        <v>25</v>
      </c>
      <c r="V4" s="28" t="s">
        <v>289</v>
      </c>
      <c r="W4" s="15" t="s">
        <v>290</v>
      </c>
      <c r="X4" s="52"/>
    </row>
    <row r="5" spans="1:26" ht="21" customHeight="1">
      <c r="A5" s="10" t="s">
        <v>38</v>
      </c>
      <c r="B5" s="11">
        <v>1.238425925925926E-2</v>
      </c>
      <c r="C5" s="11">
        <v>3.5300925925925925E-3</v>
      </c>
      <c r="D5" s="11">
        <f t="shared" si="0"/>
        <v>7.2051620370370368E-3</v>
      </c>
      <c r="E5" s="12">
        <v>0.58179999999999998</v>
      </c>
      <c r="F5" s="11">
        <f t="shared" si="1"/>
        <v>8.8252314814814812E-4</v>
      </c>
      <c r="G5" s="11">
        <f t="shared" si="2"/>
        <v>9.6068827160493821E-4</v>
      </c>
      <c r="H5" s="11">
        <f t="shared" si="3"/>
        <v>9.9074074074074082E-4</v>
      </c>
      <c r="I5" s="11">
        <f t="shared" si="4"/>
        <v>1.0329981415106862E-3</v>
      </c>
      <c r="J5" s="11">
        <f t="shared" si="5"/>
        <v>1.0442263821792807E-3</v>
      </c>
      <c r="K5" s="11">
        <f t="shared" si="6"/>
        <v>1.0916912177328843E-3</v>
      </c>
      <c r="L5" s="11">
        <f t="shared" si="7"/>
        <v>1.1436765138154027E-3</v>
      </c>
      <c r="M5" s="25"/>
      <c r="N5" s="28"/>
      <c r="O5" s="25">
        <f>WO2025Jan710814161822242830323438404244464854565862646668707274766812161820[[#This Row],[Thresh L]]</f>
        <v>1.1436765138154027E-3</v>
      </c>
      <c r="P5" s="28">
        <f>WO2025Jan710814161822242830323438404244464854565862646668707274766812161820[[#This Row],[Thresh L]]*5</f>
        <v>5.718382569077014E-3</v>
      </c>
      <c r="Q5" s="25">
        <f>WO2025Jan710814161822242830323438404244464854565862646668707274766812161820[[#This Row],[I]]</f>
        <v>9.9074074074074082E-4</v>
      </c>
      <c r="R5" s="25">
        <f>WO2025Jan710814161822242830323438404244464854565862646668707274766812161820[[#This Row],[I]]*3</f>
        <v>2.9722222222222225E-3</v>
      </c>
      <c r="S5" s="25">
        <f>WO2025Jan710814161822242830323438404244464854565862646668707274766812161820[[#This Row],[VO2]]</f>
        <v>9.6068827160493821E-4</v>
      </c>
      <c r="T5" s="28">
        <f>WO2025Jan710814161822242830323438404244464854565862646668707274766812161820[[#This Row],[VO2]]*2</f>
        <v>1.9213765432098764E-3</v>
      </c>
      <c r="U5" s="11" t="s">
        <v>25</v>
      </c>
      <c r="V5" s="28" t="s">
        <v>289</v>
      </c>
      <c r="W5" s="15" t="s">
        <v>291</v>
      </c>
      <c r="X5" s="52"/>
    </row>
    <row r="6" spans="1:26" ht="21" customHeight="1">
      <c r="A6" s="10" t="s">
        <v>27</v>
      </c>
      <c r="B6" s="11">
        <v>1.238425925925926E-2</v>
      </c>
      <c r="C6" s="11">
        <v>3.6458333333333334E-3</v>
      </c>
      <c r="D6" s="11">
        <f t="shared" si="0"/>
        <v>7.2051620370370368E-3</v>
      </c>
      <c r="E6" s="12">
        <v>0.58179999999999998</v>
      </c>
      <c r="F6" s="11">
        <f t="shared" si="1"/>
        <v>9.1145833333333335E-4</v>
      </c>
      <c r="G6" s="11">
        <f t="shared" si="2"/>
        <v>9.6068827160493821E-4</v>
      </c>
      <c r="H6" s="11">
        <f t="shared" si="3"/>
        <v>9.9074074074074082E-4</v>
      </c>
      <c r="I6" s="11">
        <f t="shared" si="4"/>
        <v>1.0329981415106862E-3</v>
      </c>
      <c r="J6" s="11">
        <f t="shared" si="5"/>
        <v>1.0442263821792807E-3</v>
      </c>
      <c r="K6" s="11">
        <f t="shared" si="6"/>
        <v>1.0916912177328843E-3</v>
      </c>
      <c r="L6" s="11">
        <f t="shared" si="7"/>
        <v>1.1436765138154027E-3</v>
      </c>
      <c r="M6" s="25"/>
      <c r="N6" s="28"/>
      <c r="O6" s="25">
        <f>WO2025Jan710814161822242830323438404244464854565862646668707274766812161820[[#This Row],[Thresh L]]</f>
        <v>1.1436765138154027E-3</v>
      </c>
      <c r="P6" s="28">
        <f>WO2025Jan710814161822242830323438404244464854565862646668707274766812161820[[#This Row],[Thresh L]]*5</f>
        <v>5.718382569077014E-3</v>
      </c>
      <c r="Q6" s="25">
        <f>WO2025Jan710814161822242830323438404244464854565862646668707274766812161820[[#This Row],[I]]</f>
        <v>9.9074074074074082E-4</v>
      </c>
      <c r="R6" s="25">
        <f>WO2025Jan710814161822242830323438404244464854565862646668707274766812161820[[#This Row],[I]]*3</f>
        <v>2.9722222222222225E-3</v>
      </c>
      <c r="S6" s="25">
        <f>WO2025Jan710814161822242830323438404244464854565862646668707274766812161820[[#This Row],[VO2]]</f>
        <v>9.6068827160493821E-4</v>
      </c>
      <c r="T6" s="28">
        <f>WO2025Jan710814161822242830323438404244464854565862646668707274766812161820[[#This Row],[VO2]]*2</f>
        <v>1.9213765432098764E-3</v>
      </c>
      <c r="U6" s="11" t="s">
        <v>25</v>
      </c>
      <c r="V6" s="28"/>
      <c r="W6" s="15" t="s">
        <v>290</v>
      </c>
      <c r="X6" s="52"/>
    </row>
    <row r="7" spans="1:26" ht="21" customHeight="1">
      <c r="A7" s="10" t="s">
        <v>31</v>
      </c>
      <c r="B7" s="11">
        <v>1.238425925925926E-2</v>
      </c>
      <c r="C7" s="11">
        <v>3.7037037037037038E-3</v>
      </c>
      <c r="D7" s="11">
        <f t="shared" si="0"/>
        <v>7.2051620370370368E-3</v>
      </c>
      <c r="E7" s="12">
        <v>0.58179999999999998</v>
      </c>
      <c r="F7" s="11">
        <f t="shared" si="1"/>
        <v>9.2592592592592596E-4</v>
      </c>
      <c r="G7" s="11">
        <f t="shared" si="2"/>
        <v>9.6068827160493821E-4</v>
      </c>
      <c r="H7" s="11">
        <f t="shared" si="3"/>
        <v>9.9074074074074082E-4</v>
      </c>
      <c r="I7" s="11">
        <f t="shared" si="4"/>
        <v>1.0329981415106862E-3</v>
      </c>
      <c r="J7" s="11">
        <f t="shared" si="5"/>
        <v>1.0442263821792807E-3</v>
      </c>
      <c r="K7" s="11">
        <f t="shared" si="6"/>
        <v>1.0916912177328843E-3</v>
      </c>
      <c r="L7" s="11">
        <f t="shared" si="7"/>
        <v>1.1436765138154027E-3</v>
      </c>
      <c r="M7" s="25"/>
      <c r="N7" s="28"/>
      <c r="O7" s="25">
        <f>WO2025Jan710814161822242830323438404244464854565862646668707274766812161820[[#This Row],[Thresh L]]</f>
        <v>1.1436765138154027E-3</v>
      </c>
      <c r="P7" s="28">
        <f>WO2025Jan710814161822242830323438404244464854565862646668707274766812161820[[#This Row],[Thresh L]]*5</f>
        <v>5.718382569077014E-3</v>
      </c>
      <c r="Q7" s="25">
        <f>WO2025Jan710814161822242830323438404244464854565862646668707274766812161820[[#This Row],[I]]</f>
        <v>9.9074074074074082E-4</v>
      </c>
      <c r="R7" s="25">
        <f>WO2025Jan710814161822242830323438404244464854565862646668707274766812161820[[#This Row],[I]]*3</f>
        <v>2.9722222222222225E-3</v>
      </c>
      <c r="S7" s="25">
        <f>WO2025Jan710814161822242830323438404244464854565862646668707274766812161820[[#This Row],[VO2]]</f>
        <v>9.6068827160493821E-4</v>
      </c>
      <c r="T7" s="28">
        <f>WO2025Jan710814161822242830323438404244464854565862646668707274766812161820[[#This Row],[VO2]]*2</f>
        <v>1.9213765432098764E-3</v>
      </c>
      <c r="U7" s="11" t="s">
        <v>25</v>
      </c>
      <c r="V7" s="28"/>
      <c r="W7" s="15" t="s">
        <v>290</v>
      </c>
      <c r="X7" s="52"/>
    </row>
    <row r="8" spans="1:26" ht="21" customHeight="1">
      <c r="A8" s="10" t="s">
        <v>59</v>
      </c>
      <c r="B8" s="11">
        <v>1.2500000000000001E-2</v>
      </c>
      <c r="C8" s="11">
        <v>3.7037037037037038E-3</v>
      </c>
      <c r="D8" s="11">
        <f t="shared" ref="D8:D27" si="8">B8*E8</f>
        <v>7.2725000000000003E-3</v>
      </c>
      <c r="E8" s="12">
        <v>0.58179999999999998</v>
      </c>
      <c r="F8" s="11">
        <f t="shared" ref="F8:F27" si="9">C8/4</f>
        <v>9.2592592592592596E-4</v>
      </c>
      <c r="G8" s="11">
        <f t="shared" ref="G8:G27" si="10">D8/7.5</f>
        <v>9.6966666666666675E-4</v>
      </c>
      <c r="H8" s="11">
        <f t="shared" ref="H8:H27" si="11">B8/12.5</f>
        <v>1E-3</v>
      </c>
      <c r="I8" s="11">
        <f t="shared" ref="I8:I27" si="12">G8/0.93</f>
        <v>1.0426523297491039E-3</v>
      </c>
      <c r="J8" s="11">
        <f t="shared" ref="J8:J27" si="13">G8/0.92</f>
        <v>1.0539855072463768E-3</v>
      </c>
      <c r="K8" s="11">
        <f t="shared" ref="K8:K27" si="14">G8/0.88</f>
        <v>1.1018939393939394E-3</v>
      </c>
      <c r="L8" s="17">
        <f t="shared" ref="L8:L27" si="15">G8/0.84</f>
        <v>1.1543650793650795E-3</v>
      </c>
      <c r="M8" s="25"/>
      <c r="N8" s="28"/>
      <c r="O8" s="25">
        <f>WO2025Jan710814161822242830323438404244464854565862646668707274766812161820[[#This Row],[Thresh L]]</f>
        <v>1.1543650793650795E-3</v>
      </c>
      <c r="P8" s="28">
        <f>WO2025Jan710814161822242830323438404244464854565862646668707274766812161820[[#This Row],[Thresh L]]*5</f>
        <v>5.7718253968253976E-3</v>
      </c>
      <c r="Q8" s="25">
        <f>WO2025Jan710814161822242830323438404244464854565862646668707274766812161820[[#This Row],[I]]</f>
        <v>1E-3</v>
      </c>
      <c r="R8" s="25">
        <f>WO2025Jan710814161822242830323438404244464854565862646668707274766812161820[[#This Row],[I]]*3</f>
        <v>3.0000000000000001E-3</v>
      </c>
      <c r="S8" s="25">
        <f>WO2025Jan710814161822242830323438404244464854565862646668707274766812161820[[#This Row],[VO2]]</f>
        <v>9.6966666666666675E-4</v>
      </c>
      <c r="T8" s="28">
        <f>WO2025Jan710814161822242830323438404244464854565862646668707274766812161820[[#This Row],[VO2]]*2</f>
        <v>1.9393333333333335E-3</v>
      </c>
      <c r="U8" s="11" t="s">
        <v>25</v>
      </c>
      <c r="V8" s="38"/>
      <c r="W8" s="15" t="s">
        <v>290</v>
      </c>
      <c r="X8" s="52"/>
    </row>
    <row r="9" spans="1:26" ht="21" customHeight="1">
      <c r="A9" s="10" t="s">
        <v>28</v>
      </c>
      <c r="B9" s="11">
        <v>1.2500000000000001E-2</v>
      </c>
      <c r="C9" s="11">
        <v>3.7037037037037038E-3</v>
      </c>
      <c r="D9" s="11">
        <f t="shared" si="8"/>
        <v>7.2725000000000003E-3</v>
      </c>
      <c r="E9" s="12">
        <v>0.58179999999999998</v>
      </c>
      <c r="F9" s="11">
        <f t="shared" si="9"/>
        <v>9.2592592592592596E-4</v>
      </c>
      <c r="G9" s="11">
        <f t="shared" si="10"/>
        <v>9.6966666666666675E-4</v>
      </c>
      <c r="H9" s="11">
        <f t="shared" si="11"/>
        <v>1E-3</v>
      </c>
      <c r="I9" s="11">
        <f t="shared" si="12"/>
        <v>1.0426523297491039E-3</v>
      </c>
      <c r="J9" s="11">
        <f t="shared" si="13"/>
        <v>1.0539855072463768E-3</v>
      </c>
      <c r="K9" s="11">
        <f t="shared" si="14"/>
        <v>1.1018939393939394E-3</v>
      </c>
      <c r="L9" s="11">
        <f t="shared" si="15"/>
        <v>1.1543650793650795E-3</v>
      </c>
      <c r="M9" s="25">
        <f>WO2025Jan710814161822242830323438404244464854565862646668707274766812161820[[#This Row],[10k]]</f>
        <v>1.0426523297491039E-3</v>
      </c>
      <c r="N9" s="28">
        <f>WO2025Jan710814161822242830323438404244464854565862646668707274766812161820[[#This Row],[10k]]*4</f>
        <v>4.1706093189964157E-3</v>
      </c>
      <c r="O9" s="25">
        <f>WO2025Jan710814161822242830323438404244464854565862646668707274766812161820[[#This Row],[Thresh L]]</f>
        <v>1.1543650793650795E-3</v>
      </c>
      <c r="P9" s="28">
        <f>WO2025Jan710814161822242830323438404244464854565862646668707274766812161820[[#This Row],[Thresh L]]*5</f>
        <v>5.7718253968253976E-3</v>
      </c>
      <c r="Q9" s="25">
        <f>WO2025Jan710814161822242830323438404244464854565862646668707274766812161820[[#This Row],[I]]</f>
        <v>1E-3</v>
      </c>
      <c r="R9" s="25">
        <f>WO2025Jan710814161822242830323438404244464854565862646668707274766812161820[[#This Row],[I]]*3</f>
        <v>3.0000000000000001E-3</v>
      </c>
      <c r="S9" s="25">
        <f>WO2025Jan710814161822242830323438404244464854565862646668707274766812161820[[#This Row],[VO2]]</f>
        <v>9.6966666666666675E-4</v>
      </c>
      <c r="T9" s="28">
        <f>WO2025Jan710814161822242830323438404244464854565862646668707274766812161820[[#This Row],[VO2]]*2</f>
        <v>1.9393333333333335E-3</v>
      </c>
      <c r="U9" s="11" t="s">
        <v>25</v>
      </c>
      <c r="V9" s="28"/>
      <c r="W9" s="15" t="s">
        <v>288</v>
      </c>
      <c r="X9" s="52"/>
    </row>
    <row r="10" spans="1:26" ht="21" customHeight="1">
      <c r="A10" s="10" t="s">
        <v>29</v>
      </c>
      <c r="B10" s="11">
        <v>1.2500000000000001E-2</v>
      </c>
      <c r="C10" s="11">
        <v>3.8194444444444443E-3</v>
      </c>
      <c r="D10" s="11">
        <f t="shared" si="8"/>
        <v>7.2725000000000003E-3</v>
      </c>
      <c r="E10" s="12">
        <v>0.58179999999999998</v>
      </c>
      <c r="F10" s="11">
        <f t="shared" si="9"/>
        <v>9.5486111111111108E-4</v>
      </c>
      <c r="G10" s="11">
        <f t="shared" si="10"/>
        <v>9.6966666666666675E-4</v>
      </c>
      <c r="H10" s="11">
        <f t="shared" si="11"/>
        <v>1E-3</v>
      </c>
      <c r="I10" s="11">
        <f t="shared" si="12"/>
        <v>1.0426523297491039E-3</v>
      </c>
      <c r="J10" s="11">
        <f t="shared" si="13"/>
        <v>1.0539855072463768E-3</v>
      </c>
      <c r="K10" s="11">
        <f t="shared" si="14"/>
        <v>1.1018939393939394E-3</v>
      </c>
      <c r="L10" s="11">
        <f t="shared" si="15"/>
        <v>1.1543650793650795E-3</v>
      </c>
      <c r="M10" s="25">
        <f>WO2025Jan710814161822242830323438404244464854565862646668707274766812161820[[#This Row],[10k]]</f>
        <v>1.0426523297491039E-3</v>
      </c>
      <c r="N10" s="28">
        <f>WO2025Jan710814161822242830323438404244464854565862646668707274766812161820[[#This Row],[10k]]*4</f>
        <v>4.1706093189964157E-3</v>
      </c>
      <c r="O10" s="25">
        <f>WO2025Jan710814161822242830323438404244464854565862646668707274766812161820[[#This Row],[Thresh L]]</f>
        <v>1.1543650793650795E-3</v>
      </c>
      <c r="P10" s="28">
        <f>WO2025Jan710814161822242830323438404244464854565862646668707274766812161820[[#This Row],[Thresh L]]*5</f>
        <v>5.7718253968253976E-3</v>
      </c>
      <c r="Q10" s="25">
        <f>WO2025Jan710814161822242830323438404244464854565862646668707274766812161820[[#This Row],[I]]</f>
        <v>1E-3</v>
      </c>
      <c r="R10" s="25">
        <f>WO2025Jan710814161822242830323438404244464854565862646668707274766812161820[[#This Row],[I]]*3</f>
        <v>3.0000000000000001E-3</v>
      </c>
      <c r="S10" s="25">
        <f>WO2025Jan710814161822242830323438404244464854565862646668707274766812161820[[#This Row],[VO2]]</f>
        <v>9.6966666666666675E-4</v>
      </c>
      <c r="T10" s="28">
        <f>WO2025Jan710814161822242830323438404244464854565862646668707274766812161820[[#This Row],[VO2]]*2</f>
        <v>1.9393333333333335E-3</v>
      </c>
      <c r="U10" s="11" t="s">
        <v>25</v>
      </c>
      <c r="V10" s="38"/>
      <c r="W10" s="18" t="s">
        <v>288</v>
      </c>
      <c r="X10" s="52"/>
    </row>
    <row r="11" spans="1:26" ht="21" customHeight="1">
      <c r="A11" s="10" t="s">
        <v>30</v>
      </c>
      <c r="B11" s="11">
        <v>1.2500000000000001E-2</v>
      </c>
      <c r="C11" s="11">
        <v>3.6458333333333334E-3</v>
      </c>
      <c r="D11" s="11">
        <f t="shared" si="8"/>
        <v>7.2725000000000003E-3</v>
      </c>
      <c r="E11" s="12">
        <v>0.58179999999999998</v>
      </c>
      <c r="F11" s="11">
        <f t="shared" si="9"/>
        <v>9.1145833333333335E-4</v>
      </c>
      <c r="G11" s="11">
        <f t="shared" si="10"/>
        <v>9.6966666666666675E-4</v>
      </c>
      <c r="H11" s="11">
        <f t="shared" si="11"/>
        <v>1E-3</v>
      </c>
      <c r="I11" s="11">
        <f t="shared" si="12"/>
        <v>1.0426523297491039E-3</v>
      </c>
      <c r="J11" s="11">
        <f t="shared" si="13"/>
        <v>1.0539855072463768E-3</v>
      </c>
      <c r="K11" s="11">
        <f t="shared" si="14"/>
        <v>1.1018939393939394E-3</v>
      </c>
      <c r="L11" s="11">
        <f t="shared" si="15"/>
        <v>1.1543650793650795E-3</v>
      </c>
      <c r="M11" s="25"/>
      <c r="N11" s="28"/>
      <c r="O11" s="25">
        <f>WO2025Jan710814161822242830323438404244464854565862646668707274766812161820[[#This Row],[Thresh L]]</f>
        <v>1.1543650793650795E-3</v>
      </c>
      <c r="P11" s="28">
        <f>WO2025Jan710814161822242830323438404244464854565862646668707274766812161820[[#This Row],[Thresh L]]*5</f>
        <v>5.7718253968253976E-3</v>
      </c>
      <c r="Q11" s="25">
        <f>WO2025Jan710814161822242830323438404244464854565862646668707274766812161820[[#This Row],[I]]</f>
        <v>1E-3</v>
      </c>
      <c r="R11" s="25">
        <f>WO2025Jan710814161822242830323438404244464854565862646668707274766812161820[[#This Row],[I]]*3</f>
        <v>3.0000000000000001E-3</v>
      </c>
      <c r="S11" s="25">
        <f>WO2025Jan710814161822242830323438404244464854565862646668707274766812161820[[#This Row],[VO2]]</f>
        <v>9.6966666666666675E-4</v>
      </c>
      <c r="T11" s="28">
        <f>WO2025Jan710814161822242830323438404244464854565862646668707274766812161820[[#This Row],[VO2]]*2</f>
        <v>1.9393333333333335E-3</v>
      </c>
      <c r="U11" s="11" t="s">
        <v>25</v>
      </c>
      <c r="V11" s="28"/>
      <c r="W11" s="15" t="s">
        <v>291</v>
      </c>
      <c r="X11" s="52" t="s">
        <v>292</v>
      </c>
    </row>
    <row r="12" spans="1:26" ht="21" customHeight="1">
      <c r="A12" s="10" t="s">
        <v>55</v>
      </c>
      <c r="B12" s="11">
        <v>1.2500000000000001E-2</v>
      </c>
      <c r="C12" s="11">
        <v>3.5879629629629629E-3</v>
      </c>
      <c r="D12" s="11">
        <f t="shared" si="8"/>
        <v>7.2725000000000003E-3</v>
      </c>
      <c r="E12" s="12">
        <v>0.58179999999999998</v>
      </c>
      <c r="F12" s="11">
        <f t="shared" si="9"/>
        <v>8.9699074074074073E-4</v>
      </c>
      <c r="G12" s="11">
        <f t="shared" si="10"/>
        <v>9.6966666666666675E-4</v>
      </c>
      <c r="H12" s="11">
        <f t="shared" si="11"/>
        <v>1E-3</v>
      </c>
      <c r="I12" s="11">
        <f t="shared" si="12"/>
        <v>1.0426523297491039E-3</v>
      </c>
      <c r="J12" s="11">
        <f t="shared" si="13"/>
        <v>1.0539855072463768E-3</v>
      </c>
      <c r="K12" s="11">
        <f t="shared" si="14"/>
        <v>1.1018939393939394E-3</v>
      </c>
      <c r="L12" s="11">
        <f t="shared" si="15"/>
        <v>1.1543650793650795E-3</v>
      </c>
      <c r="M12" s="25"/>
      <c r="N12" s="28"/>
      <c r="O12" s="25">
        <f>WO2025Jan710814161822242830323438404244464854565862646668707274766812161820[[#This Row],[Thresh L]]</f>
        <v>1.1543650793650795E-3</v>
      </c>
      <c r="P12" s="28">
        <f>WO2025Jan710814161822242830323438404244464854565862646668707274766812161820[[#This Row],[Thresh L]]*5</f>
        <v>5.7718253968253976E-3</v>
      </c>
      <c r="Q12" s="25">
        <f>WO2025Jan710814161822242830323438404244464854565862646668707274766812161820[[#This Row],[I]]</f>
        <v>1E-3</v>
      </c>
      <c r="R12" s="25">
        <f>WO2025Jan710814161822242830323438404244464854565862646668707274766812161820[[#This Row],[I]]*3</f>
        <v>3.0000000000000001E-3</v>
      </c>
      <c r="S12" s="25">
        <f>WO2025Jan710814161822242830323438404244464854565862646668707274766812161820[[#This Row],[VO2]]</f>
        <v>9.6966666666666675E-4</v>
      </c>
      <c r="T12" s="28">
        <f>WO2025Jan710814161822242830323438404244464854565862646668707274766812161820[[#This Row],[VO2]]*2</f>
        <v>1.9393333333333335E-3</v>
      </c>
      <c r="U12" s="11" t="s">
        <v>25</v>
      </c>
      <c r="V12" s="17"/>
      <c r="W12" s="18" t="s">
        <v>290</v>
      </c>
      <c r="X12" s="52"/>
    </row>
    <row r="13" spans="1:26" ht="21" customHeight="1">
      <c r="A13" s="10" t="s">
        <v>62</v>
      </c>
      <c r="B13" s="11">
        <v>1.2500000000000001E-2</v>
      </c>
      <c r="C13" s="11">
        <v>3.6458333333333334E-3</v>
      </c>
      <c r="D13" s="11">
        <f>B13*E13</f>
        <v>7.2725000000000003E-3</v>
      </c>
      <c r="E13" s="12">
        <v>0.58179999999999998</v>
      </c>
      <c r="F13" s="11">
        <f>C13/4</f>
        <v>9.1145833333333335E-4</v>
      </c>
      <c r="G13" s="11">
        <f>D13/7.5</f>
        <v>9.6966666666666675E-4</v>
      </c>
      <c r="H13" s="11">
        <f>B13/12.5</f>
        <v>1E-3</v>
      </c>
      <c r="I13" s="11">
        <f>G13/0.93</f>
        <v>1.0426523297491039E-3</v>
      </c>
      <c r="J13" s="11">
        <f>G13/0.92</f>
        <v>1.0539855072463768E-3</v>
      </c>
      <c r="K13" s="11">
        <f>G13/0.88</f>
        <v>1.1018939393939394E-3</v>
      </c>
      <c r="L13" s="11">
        <f>G13/0.84</f>
        <v>1.1543650793650795E-3</v>
      </c>
      <c r="M13" s="25">
        <f>WO2025Jan710814161822242830323438404244464854565862646668707274766812161820[[#This Row],[10k]]</f>
        <v>1.0426523297491039E-3</v>
      </c>
      <c r="N13" s="28">
        <f>WO2025Jan710814161822242830323438404244464854565862646668707274766812161820[[#This Row],[10k]]*4</f>
        <v>4.1706093189964157E-3</v>
      </c>
      <c r="O13" s="25">
        <f>WO2025Jan710814161822242830323438404244464854565862646668707274766812161820[[#This Row],[Thresh L]]</f>
        <v>1.1543650793650795E-3</v>
      </c>
      <c r="P13" s="28">
        <f>WO2025Jan710814161822242830323438404244464854565862646668707274766812161820[[#This Row],[Thresh L]]*5</f>
        <v>5.7718253968253976E-3</v>
      </c>
      <c r="Q13" s="25">
        <f>WO2025Jan710814161822242830323438404244464854565862646668707274766812161820[[#This Row],[I]]</f>
        <v>1E-3</v>
      </c>
      <c r="R13" s="25">
        <f>WO2025Jan710814161822242830323438404244464854565862646668707274766812161820[[#This Row],[I]]*3</f>
        <v>3.0000000000000001E-3</v>
      </c>
      <c r="S13" s="25">
        <f>WO2025Jan710814161822242830323438404244464854565862646668707274766812161820[[#This Row],[VO2]]</f>
        <v>9.6966666666666675E-4</v>
      </c>
      <c r="T13" s="28">
        <f>WO2025Jan710814161822242830323438404244464854565862646668707274766812161820[[#This Row],[VO2]]*2</f>
        <v>1.9393333333333335E-3</v>
      </c>
      <c r="U13" s="11" t="s">
        <v>25</v>
      </c>
      <c r="V13" s="17"/>
      <c r="W13" s="18" t="s">
        <v>288</v>
      </c>
      <c r="X13" s="52"/>
    </row>
    <row r="14" spans="1:26" ht="21" customHeight="1">
      <c r="A14" s="10" t="s">
        <v>63</v>
      </c>
      <c r="B14" s="11">
        <v>1.2615740740740742E-2</v>
      </c>
      <c r="C14" s="11">
        <v>3.7037037037037038E-3</v>
      </c>
      <c r="D14" s="11">
        <f>B14*E14</f>
        <v>7.3398379629629629E-3</v>
      </c>
      <c r="E14" s="12">
        <v>0.58179999999999998</v>
      </c>
      <c r="F14" s="11">
        <f>C14/4</f>
        <v>9.2592592592592596E-4</v>
      </c>
      <c r="G14" s="11">
        <f>D14/7.5</f>
        <v>9.7864506172839496E-4</v>
      </c>
      <c r="H14" s="11">
        <f>B14/12.5</f>
        <v>1.0092592592592592E-3</v>
      </c>
      <c r="I14" s="11">
        <f>G14/0.93</f>
        <v>1.0523065179875214E-3</v>
      </c>
      <c r="J14" s="11">
        <f>G14/0.92</f>
        <v>1.0637446323134728E-3</v>
      </c>
      <c r="K14" s="11">
        <f>G14/0.88</f>
        <v>1.1120966610549943E-3</v>
      </c>
      <c r="L14" s="11">
        <f>G14/0.84</f>
        <v>1.165053644914756E-3</v>
      </c>
      <c r="M14" s="25"/>
      <c r="N14" s="28"/>
      <c r="O14" s="25">
        <f>WO2025Jan710814161822242830323438404244464854565862646668707274766812161820[[#This Row],[Thresh L]]</f>
        <v>1.165053644914756E-3</v>
      </c>
      <c r="P14" s="28">
        <f>WO2025Jan710814161822242830323438404244464854565862646668707274766812161820[[#This Row],[Thresh L]]*5</f>
        <v>5.8252682245737803E-3</v>
      </c>
      <c r="Q14" s="25">
        <f>WO2025Jan710814161822242830323438404244464854565862646668707274766812161820[[#This Row],[I]]</f>
        <v>1.0092592592592592E-3</v>
      </c>
      <c r="R14" s="25">
        <f>WO2025Jan710814161822242830323438404244464854565862646668707274766812161820[[#This Row],[I]]*3</f>
        <v>3.0277777777777777E-3</v>
      </c>
      <c r="S14" s="25">
        <f>WO2025Jan710814161822242830323438404244464854565862646668707274766812161820[[#This Row],[VO2]]</f>
        <v>9.7864506172839496E-4</v>
      </c>
      <c r="T14" s="28">
        <f>WO2025Jan710814161822242830323438404244464854565862646668707274766812161820[[#This Row],[VO2]]*2</f>
        <v>1.9572901234567899E-3</v>
      </c>
      <c r="U14" s="11" t="s">
        <v>25</v>
      </c>
      <c r="V14" s="36"/>
      <c r="W14" s="15" t="s">
        <v>291</v>
      </c>
      <c r="X14" s="52"/>
    </row>
    <row r="15" spans="1:26" ht="21" customHeight="1">
      <c r="A15" s="10" t="s">
        <v>51</v>
      </c>
      <c r="B15" s="11">
        <v>1.2615740740740742E-2</v>
      </c>
      <c r="C15" s="11">
        <v>3.5879629629629629E-3</v>
      </c>
      <c r="D15" s="11">
        <f t="shared" si="8"/>
        <v>7.3398379629629629E-3</v>
      </c>
      <c r="E15" s="12">
        <v>0.58179999999999998</v>
      </c>
      <c r="F15" s="11">
        <f t="shared" si="9"/>
        <v>8.9699074074074073E-4</v>
      </c>
      <c r="G15" s="11">
        <f t="shared" si="10"/>
        <v>9.7864506172839496E-4</v>
      </c>
      <c r="H15" s="11">
        <f t="shared" si="11"/>
        <v>1.0092592592592592E-3</v>
      </c>
      <c r="I15" s="11">
        <f t="shared" si="12"/>
        <v>1.0523065179875214E-3</v>
      </c>
      <c r="J15" s="11">
        <f t="shared" si="13"/>
        <v>1.0637446323134728E-3</v>
      </c>
      <c r="K15" s="11">
        <f t="shared" si="14"/>
        <v>1.1120966610549943E-3</v>
      </c>
      <c r="L15" s="11">
        <f t="shared" si="15"/>
        <v>1.165053644914756E-3</v>
      </c>
      <c r="M15" s="25"/>
      <c r="N15" s="28"/>
      <c r="O15" s="25">
        <f>WO2025Jan710814161822242830323438404244464854565862646668707274766812161820[[#This Row],[Thresh L]]</f>
        <v>1.165053644914756E-3</v>
      </c>
      <c r="P15" s="28">
        <f>WO2025Jan710814161822242830323438404244464854565862646668707274766812161820[[#This Row],[Thresh L]]*5</f>
        <v>5.8252682245737803E-3</v>
      </c>
      <c r="Q15" s="25">
        <f>WO2025Jan710814161822242830323438404244464854565862646668707274766812161820[[#This Row],[I]]</f>
        <v>1.0092592592592592E-3</v>
      </c>
      <c r="R15" s="25">
        <f>WO2025Jan710814161822242830323438404244464854565862646668707274766812161820[[#This Row],[I]]*3</f>
        <v>3.0277777777777777E-3</v>
      </c>
      <c r="S15" s="25">
        <f>WO2025Jan710814161822242830323438404244464854565862646668707274766812161820[[#This Row],[VO2]]</f>
        <v>9.7864506172839496E-4</v>
      </c>
      <c r="T15" s="28">
        <f>WO2025Jan710814161822242830323438404244464854565862646668707274766812161820[[#This Row],[VO2]]*2</f>
        <v>1.9572901234567899E-3</v>
      </c>
      <c r="U15" s="11" t="s">
        <v>25</v>
      </c>
      <c r="V15" s="36" t="s">
        <v>289</v>
      </c>
      <c r="W15" s="15" t="s">
        <v>290</v>
      </c>
      <c r="X15" s="52"/>
    </row>
    <row r="16" spans="1:26" ht="21" customHeight="1">
      <c r="A16" s="10" t="s">
        <v>49</v>
      </c>
      <c r="B16" s="11">
        <v>1.2731481481481481E-2</v>
      </c>
      <c r="C16" s="11">
        <v>3.5879629629629629E-3</v>
      </c>
      <c r="D16" s="11">
        <f t="shared" si="8"/>
        <v>7.4071759259259256E-3</v>
      </c>
      <c r="E16" s="12">
        <v>0.58179999999999998</v>
      </c>
      <c r="F16" s="11">
        <f t="shared" si="9"/>
        <v>8.9699074074074073E-4</v>
      </c>
      <c r="G16" s="11">
        <f t="shared" si="10"/>
        <v>9.8762345679012349E-4</v>
      </c>
      <c r="H16" s="11">
        <f t="shared" si="11"/>
        <v>1.0185185185185184E-3</v>
      </c>
      <c r="I16" s="11">
        <f t="shared" si="12"/>
        <v>1.0619607062259391E-3</v>
      </c>
      <c r="J16" s="11">
        <f t="shared" si="13"/>
        <v>1.073503757380569E-3</v>
      </c>
      <c r="K16" s="11">
        <f t="shared" si="14"/>
        <v>1.1222993827160494E-3</v>
      </c>
      <c r="L16" s="11">
        <f t="shared" si="15"/>
        <v>1.1757422104644328E-3</v>
      </c>
      <c r="M16" s="25"/>
      <c r="N16" s="28"/>
      <c r="O16" s="25">
        <f>WO2025Jan710814161822242830323438404244464854565862646668707274766812161820[[#This Row],[Thresh L]]</f>
        <v>1.1757422104644328E-3</v>
      </c>
      <c r="P16" s="28">
        <f>WO2025Jan710814161822242830323438404244464854565862646668707274766812161820[[#This Row],[Thresh L]]*5</f>
        <v>5.878711052322164E-3</v>
      </c>
      <c r="Q16" s="25">
        <f>WO2025Jan710814161822242830323438404244464854565862646668707274766812161820[[#This Row],[I]]</f>
        <v>1.0185185185185184E-3</v>
      </c>
      <c r="R16" s="25">
        <f>WO2025Jan710814161822242830323438404244464854565862646668707274766812161820[[#This Row],[I]]*3</f>
        <v>3.0555555555555553E-3</v>
      </c>
      <c r="S16" s="25">
        <f>WO2025Jan710814161822242830323438404244464854565862646668707274766812161820[[#This Row],[VO2]]</f>
        <v>9.8762345679012349E-4</v>
      </c>
      <c r="T16" s="28">
        <f>WO2025Jan710814161822242830323438404244464854565862646668707274766812161820[[#This Row],[VO2]]*2</f>
        <v>1.975246913580247E-3</v>
      </c>
      <c r="U16" s="11" t="s">
        <v>25</v>
      </c>
      <c r="V16" s="11" t="s">
        <v>289</v>
      </c>
      <c r="W16" s="15" t="s">
        <v>290</v>
      </c>
      <c r="X16" s="52"/>
    </row>
    <row r="17" spans="1:24" ht="21" customHeight="1">
      <c r="A17" s="10" t="s">
        <v>65</v>
      </c>
      <c r="B17" s="11">
        <v>1.2731481481481481E-2</v>
      </c>
      <c r="C17" s="11">
        <v>3.8194444444444443E-3</v>
      </c>
      <c r="D17" s="11">
        <f t="shared" si="8"/>
        <v>7.4071759259259256E-3</v>
      </c>
      <c r="E17" s="12">
        <v>0.58179999999999998</v>
      </c>
      <c r="F17" s="11">
        <f t="shared" si="9"/>
        <v>9.5486111111111108E-4</v>
      </c>
      <c r="G17" s="11">
        <f t="shared" si="10"/>
        <v>9.8762345679012349E-4</v>
      </c>
      <c r="H17" s="11">
        <f t="shared" si="11"/>
        <v>1.0185185185185184E-3</v>
      </c>
      <c r="I17" s="11">
        <f t="shared" si="12"/>
        <v>1.0619607062259391E-3</v>
      </c>
      <c r="J17" s="11">
        <f t="shared" si="13"/>
        <v>1.073503757380569E-3</v>
      </c>
      <c r="K17" s="11">
        <f t="shared" si="14"/>
        <v>1.1222993827160494E-3</v>
      </c>
      <c r="L17" s="11">
        <f t="shared" si="15"/>
        <v>1.1757422104644328E-3</v>
      </c>
      <c r="M17" s="25"/>
      <c r="N17" s="28"/>
      <c r="O17" s="25">
        <f>WO2025Jan710814161822242830323438404244464854565862646668707274766812161820[[#This Row],[Thresh L]]</f>
        <v>1.1757422104644328E-3</v>
      </c>
      <c r="P17" s="28">
        <f>WO2025Jan710814161822242830323438404244464854565862646668707274766812161820[[#This Row],[Thresh L]]*5</f>
        <v>5.878711052322164E-3</v>
      </c>
      <c r="Q17" s="25">
        <f>WO2025Jan710814161822242830323438404244464854565862646668707274766812161820[[#This Row],[I]]</f>
        <v>1.0185185185185184E-3</v>
      </c>
      <c r="R17" s="25">
        <f>WO2025Jan710814161822242830323438404244464854565862646668707274766812161820[[#This Row],[I]]*3</f>
        <v>3.0555555555555553E-3</v>
      </c>
      <c r="S17" s="25">
        <f>WO2025Jan710814161822242830323438404244464854565862646668707274766812161820[[#This Row],[VO2]]</f>
        <v>9.8762345679012349E-4</v>
      </c>
      <c r="T17" s="28">
        <f>WO2025Jan710814161822242830323438404244464854565862646668707274766812161820[[#This Row],[VO2]]*2</f>
        <v>1.975246913580247E-3</v>
      </c>
      <c r="U17" s="11" t="s">
        <v>25</v>
      </c>
      <c r="V17" s="28" t="s">
        <v>289</v>
      </c>
      <c r="W17" s="15" t="s">
        <v>290</v>
      </c>
      <c r="X17" s="52"/>
    </row>
    <row r="18" spans="1:24" ht="21" customHeight="1">
      <c r="A18" s="10" t="s">
        <v>66</v>
      </c>
      <c r="B18" s="11">
        <v>1.2731481481481481E-2</v>
      </c>
      <c r="C18" s="11">
        <v>3.7037037037037038E-3</v>
      </c>
      <c r="D18" s="11">
        <f>B18*E18</f>
        <v>7.4071759259259256E-3</v>
      </c>
      <c r="E18" s="12">
        <v>0.58179999999999998</v>
      </c>
      <c r="F18" s="11">
        <f>C18/4</f>
        <v>9.2592592592592596E-4</v>
      </c>
      <c r="G18" s="11">
        <f>D18/7.5</f>
        <v>9.8762345679012349E-4</v>
      </c>
      <c r="H18" s="11">
        <f>B18/12.5</f>
        <v>1.0185185185185184E-3</v>
      </c>
      <c r="I18" s="11">
        <f>G18/0.93</f>
        <v>1.0619607062259391E-3</v>
      </c>
      <c r="J18" s="11">
        <f>G18/0.92</f>
        <v>1.073503757380569E-3</v>
      </c>
      <c r="K18" s="11">
        <f>G18/0.88</f>
        <v>1.1222993827160494E-3</v>
      </c>
      <c r="L18" s="17">
        <f>G18/0.84</f>
        <v>1.1757422104644328E-3</v>
      </c>
      <c r="M18" s="25"/>
      <c r="N18" s="28"/>
      <c r="O18" s="25">
        <f>WO2025Jan710814161822242830323438404244464854565862646668707274766812161820[[#This Row],[Thresh L]]</f>
        <v>1.1757422104644328E-3</v>
      </c>
      <c r="P18" s="28">
        <f>WO2025Jan710814161822242830323438404244464854565862646668707274766812161820[[#This Row],[Thresh L]]*5</f>
        <v>5.878711052322164E-3</v>
      </c>
      <c r="Q18" s="25">
        <f>WO2025Jan710814161822242830323438404244464854565862646668707274766812161820[[#This Row],[I]]</f>
        <v>1.0185185185185184E-3</v>
      </c>
      <c r="R18" s="25">
        <f>WO2025Jan710814161822242830323438404244464854565862646668707274766812161820[[#This Row],[I]]*3</f>
        <v>3.0555555555555553E-3</v>
      </c>
      <c r="S18" s="25">
        <f>WO2025Jan710814161822242830323438404244464854565862646668707274766812161820[[#This Row],[VO2]]</f>
        <v>9.8762345679012349E-4</v>
      </c>
      <c r="T18" s="28">
        <f>WO2025Jan710814161822242830323438404244464854565862646668707274766812161820[[#This Row],[VO2]]*2</f>
        <v>1.975246913580247E-3</v>
      </c>
      <c r="U18" s="11" t="s">
        <v>25</v>
      </c>
      <c r="V18" s="36"/>
      <c r="W18" s="15" t="s">
        <v>290</v>
      </c>
      <c r="X18" s="52"/>
    </row>
    <row r="19" spans="1:24" ht="21" customHeight="1">
      <c r="A19" s="10" t="s">
        <v>67</v>
      </c>
      <c r="B19" s="11">
        <v>1.3020833333333334E-2</v>
      </c>
      <c r="C19" s="11">
        <v>3.8194444444444443E-3</v>
      </c>
      <c r="D19" s="11">
        <f>B19*E19</f>
        <v>7.5755208333333334E-3</v>
      </c>
      <c r="E19" s="12">
        <v>0.58179999999999998</v>
      </c>
      <c r="F19" s="11">
        <f>C19/4</f>
        <v>9.5486111111111108E-4</v>
      </c>
      <c r="G19" s="11">
        <f>D19/7.5</f>
        <v>1.0100694444444445E-3</v>
      </c>
      <c r="H19" s="11">
        <f>B19/12.5</f>
        <v>1.0416666666666667E-3</v>
      </c>
      <c r="I19" s="11">
        <f>G19/0.93</f>
        <v>1.0860961768219832E-3</v>
      </c>
      <c r="J19" s="11">
        <f>G19/0.92</f>
        <v>1.0979015700483092E-3</v>
      </c>
      <c r="K19" s="11">
        <f>G19/0.88</f>
        <v>1.1478061868686869E-3</v>
      </c>
      <c r="L19" s="11">
        <f>G19/0.84</f>
        <v>1.2024636243386244E-3</v>
      </c>
      <c r="M19" s="25"/>
      <c r="N19" s="28"/>
      <c r="O19" s="25">
        <f>WO2025Jan710814161822242830323438404244464854565862646668707274766812161820[[#This Row],[Thresh L]]</f>
        <v>1.2024636243386244E-3</v>
      </c>
      <c r="P19" s="28">
        <f>WO2025Jan710814161822242830323438404244464854565862646668707274766812161820[[#This Row],[Thresh L]]*5</f>
        <v>6.0123181216931217E-3</v>
      </c>
      <c r="Q19" s="25">
        <f>WO2025Jan710814161822242830323438404244464854565862646668707274766812161820[[#This Row],[I]]</f>
        <v>1.0416666666666667E-3</v>
      </c>
      <c r="R19" s="25">
        <f>WO2025Jan710814161822242830323438404244464854565862646668707274766812161820[[#This Row],[I]]*3</f>
        <v>3.1250000000000002E-3</v>
      </c>
      <c r="S19" s="25">
        <f>WO2025Jan710814161822242830323438404244464854565862646668707274766812161820[[#This Row],[VO2]]</f>
        <v>1.0100694444444445E-3</v>
      </c>
      <c r="T19" s="28">
        <f>WO2025Jan710814161822242830323438404244464854565862646668707274766812161820[[#This Row],[VO2]]*2</f>
        <v>2.020138888888889E-3</v>
      </c>
      <c r="U19" s="11" t="s">
        <v>25</v>
      </c>
      <c r="V19" s="28"/>
      <c r="W19" s="18" t="s">
        <v>290</v>
      </c>
      <c r="X19" s="52"/>
    </row>
    <row r="20" spans="1:24" ht="21" customHeight="1">
      <c r="A20" s="10" t="s">
        <v>58</v>
      </c>
      <c r="B20" s="11">
        <v>1.3020833333333334E-2</v>
      </c>
      <c r="C20" s="11">
        <v>4.1087962962962962E-3</v>
      </c>
      <c r="D20" s="11">
        <f>B20*E20</f>
        <v>7.5755208333333334E-3</v>
      </c>
      <c r="E20" s="12">
        <v>0.58179999999999998</v>
      </c>
      <c r="F20" s="11">
        <f>C20/4</f>
        <v>1.027199074074074E-3</v>
      </c>
      <c r="G20" s="11">
        <f>D20/7.5</f>
        <v>1.0100694444444445E-3</v>
      </c>
      <c r="H20" s="11">
        <f>B20/12.5</f>
        <v>1.0416666666666667E-3</v>
      </c>
      <c r="I20" s="11">
        <f>G20/0.93</f>
        <v>1.0860961768219832E-3</v>
      </c>
      <c r="J20" s="11">
        <f>G20/0.92</f>
        <v>1.0979015700483092E-3</v>
      </c>
      <c r="K20" s="11">
        <f>G20/0.88</f>
        <v>1.1478061868686869E-3</v>
      </c>
      <c r="L20" s="11">
        <f>G20/0.84</f>
        <v>1.2024636243386244E-3</v>
      </c>
      <c r="M20" s="25"/>
      <c r="N20" s="28"/>
      <c r="O20" s="25">
        <f>WO2025Jan710814161822242830323438404244464854565862646668707274766812161820[[#This Row],[Thresh L]]</f>
        <v>1.2024636243386244E-3</v>
      </c>
      <c r="P20" s="28">
        <f>WO2025Jan710814161822242830323438404244464854565862646668707274766812161820[[#This Row],[Thresh L]]*5</f>
        <v>6.0123181216931217E-3</v>
      </c>
      <c r="Q20" s="25">
        <f>WO2025Jan710814161822242830323438404244464854565862646668707274766812161820[[#This Row],[I]]</f>
        <v>1.0416666666666667E-3</v>
      </c>
      <c r="R20" s="25">
        <f>WO2025Jan710814161822242830323438404244464854565862646668707274766812161820[[#This Row],[I]]*3</f>
        <v>3.1250000000000002E-3</v>
      </c>
      <c r="S20" s="25">
        <f>WO2025Jan710814161822242830323438404244464854565862646668707274766812161820[[#This Row],[VO2]]</f>
        <v>1.0100694444444445E-3</v>
      </c>
      <c r="T20" s="28">
        <f>WO2025Jan710814161822242830323438404244464854565862646668707274766812161820[[#This Row],[VO2]]*2</f>
        <v>2.020138888888889E-3</v>
      </c>
      <c r="U20" s="11" t="s">
        <v>25</v>
      </c>
      <c r="V20" s="38"/>
      <c r="W20" s="15" t="s">
        <v>291</v>
      </c>
      <c r="X20" s="52"/>
    </row>
    <row r="21" spans="1:24" ht="21" customHeight="1">
      <c r="A21" s="10" t="s">
        <v>69</v>
      </c>
      <c r="B21" s="11">
        <v>1.3368055555555555E-2</v>
      </c>
      <c r="C21" s="11"/>
      <c r="D21" s="11">
        <f t="shared" si="8"/>
        <v>7.7775347222222213E-3</v>
      </c>
      <c r="E21" s="12">
        <v>0.58179999999999998</v>
      </c>
      <c r="F21" s="11">
        <f t="shared" si="9"/>
        <v>0</v>
      </c>
      <c r="G21" s="11">
        <f t="shared" si="10"/>
        <v>1.0370046296296295E-3</v>
      </c>
      <c r="H21" s="11">
        <f t="shared" si="11"/>
        <v>1.0694444444444445E-3</v>
      </c>
      <c r="I21" s="11">
        <f t="shared" si="12"/>
        <v>1.1150587415372358E-3</v>
      </c>
      <c r="J21" s="11">
        <f t="shared" si="13"/>
        <v>1.1271789452495973E-3</v>
      </c>
      <c r="K21" s="11">
        <f t="shared" si="14"/>
        <v>1.1784143518518517E-3</v>
      </c>
      <c r="L21" s="11">
        <f t="shared" si="15"/>
        <v>1.2345293209876543E-3</v>
      </c>
      <c r="M21" s="25"/>
      <c r="N21" s="28"/>
      <c r="O21" s="25">
        <f>WO2025Jan710814161822242830323438404244464854565862646668707274766812161820[[#This Row],[Thresh L]]</f>
        <v>1.2345293209876543E-3</v>
      </c>
      <c r="P21" s="28">
        <f>WO2025Jan710814161822242830323438404244464854565862646668707274766812161820[[#This Row],[Thresh L]]*5</f>
        <v>6.1726466049382717E-3</v>
      </c>
      <c r="Q21" s="25">
        <f>WO2025Jan710814161822242830323438404244464854565862646668707274766812161820[[#This Row],[I]]</f>
        <v>1.0694444444444445E-3</v>
      </c>
      <c r="R21" s="25">
        <f>WO2025Jan710814161822242830323438404244464854565862646668707274766812161820[[#This Row],[I]]*3</f>
        <v>3.2083333333333334E-3</v>
      </c>
      <c r="S21" s="25">
        <f>WO2025Jan710814161822242830323438404244464854565862646668707274766812161820[[#This Row],[VO2]]</f>
        <v>1.0370046296296295E-3</v>
      </c>
      <c r="T21" s="28">
        <f>WO2025Jan710814161822242830323438404244464854565862646668707274766812161820[[#This Row],[VO2]]*2</f>
        <v>2.0740092592592589E-3</v>
      </c>
      <c r="U21" s="11" t="s">
        <v>25</v>
      </c>
      <c r="V21" s="36" t="s">
        <v>289</v>
      </c>
      <c r="W21" s="15" t="s">
        <v>291</v>
      </c>
      <c r="X21" s="52" t="s">
        <v>293</v>
      </c>
    </row>
    <row r="22" spans="1:24" ht="21" customHeight="1">
      <c r="A22" s="10" t="s">
        <v>70</v>
      </c>
      <c r="B22" s="11">
        <v>1.3368055555555555E-2</v>
      </c>
      <c r="C22" s="11">
        <v>4.0509259259259257E-3</v>
      </c>
      <c r="D22" s="11">
        <f t="shared" si="8"/>
        <v>7.7775347222222213E-3</v>
      </c>
      <c r="E22" s="12">
        <v>0.58179999999999998</v>
      </c>
      <c r="F22" s="11">
        <f t="shared" si="9"/>
        <v>1.0127314814814814E-3</v>
      </c>
      <c r="G22" s="11">
        <f t="shared" si="10"/>
        <v>1.0370046296296295E-3</v>
      </c>
      <c r="H22" s="11">
        <f t="shared" si="11"/>
        <v>1.0694444444444445E-3</v>
      </c>
      <c r="I22" s="11">
        <f t="shared" si="12"/>
        <v>1.1150587415372358E-3</v>
      </c>
      <c r="J22" s="11">
        <f t="shared" si="13"/>
        <v>1.1271789452495973E-3</v>
      </c>
      <c r="K22" s="11">
        <f t="shared" si="14"/>
        <v>1.1784143518518517E-3</v>
      </c>
      <c r="L22" s="11">
        <f t="shared" si="15"/>
        <v>1.2345293209876543E-3</v>
      </c>
      <c r="M22" s="25"/>
      <c r="N22" s="28"/>
      <c r="O22" s="25">
        <f>WO2025Jan710814161822242830323438404244464854565862646668707274766812161820[[#This Row],[Thresh L]]</f>
        <v>1.2345293209876543E-3</v>
      </c>
      <c r="P22" s="28">
        <f>WO2025Jan710814161822242830323438404244464854565862646668707274766812161820[[#This Row],[Thresh L]]*5</f>
        <v>6.1726466049382717E-3</v>
      </c>
      <c r="Q22" s="25">
        <f>WO2025Jan710814161822242830323438404244464854565862646668707274766812161820[[#This Row],[I]]</f>
        <v>1.0694444444444445E-3</v>
      </c>
      <c r="R22" s="25">
        <f>WO2025Jan710814161822242830323438404244464854565862646668707274766812161820[[#This Row],[I]]*3</f>
        <v>3.2083333333333334E-3</v>
      </c>
      <c r="S22" s="25">
        <f>WO2025Jan710814161822242830323438404244464854565862646668707274766812161820[[#This Row],[VO2]]</f>
        <v>1.0370046296296295E-3</v>
      </c>
      <c r="T22" s="28">
        <f>WO2025Jan710814161822242830323438404244464854565862646668707274766812161820[[#This Row],[VO2]]*2</f>
        <v>2.0740092592592589E-3</v>
      </c>
      <c r="U22" s="11" t="s">
        <v>25</v>
      </c>
      <c r="V22" s="38" t="s">
        <v>289</v>
      </c>
      <c r="W22" s="15" t="s">
        <v>291</v>
      </c>
      <c r="X22" s="52"/>
    </row>
    <row r="23" spans="1:24" ht="21" customHeight="1">
      <c r="A23" s="10" t="s">
        <v>68</v>
      </c>
      <c r="B23" s="11">
        <v>1.3368055555555555E-2</v>
      </c>
      <c r="C23" s="11"/>
      <c r="D23" s="11">
        <f>B23*E23</f>
        <v>7.7775347222222213E-3</v>
      </c>
      <c r="E23" s="12">
        <v>0.58179999999999998</v>
      </c>
      <c r="F23" s="11">
        <f>C23/4</f>
        <v>0</v>
      </c>
      <c r="G23" s="11">
        <f>D23/7.5</f>
        <v>1.0370046296296295E-3</v>
      </c>
      <c r="H23" s="11">
        <f>B23/12.5</f>
        <v>1.0694444444444445E-3</v>
      </c>
      <c r="I23" s="11">
        <f>G23/0.93</f>
        <v>1.1150587415372358E-3</v>
      </c>
      <c r="J23" s="11">
        <f>G23/0.92</f>
        <v>1.1271789452495973E-3</v>
      </c>
      <c r="K23" s="11">
        <f>G23/0.88</f>
        <v>1.1784143518518517E-3</v>
      </c>
      <c r="L23" s="11">
        <f>G23/0.84</f>
        <v>1.2345293209876543E-3</v>
      </c>
      <c r="M23" s="25"/>
      <c r="N23" s="28"/>
      <c r="O23" s="25">
        <f>WO2025Jan710814161822242830323438404244464854565862646668707274766812161820[[#This Row],[Thresh L]]</f>
        <v>1.2345293209876543E-3</v>
      </c>
      <c r="P23" s="28">
        <f>WO2025Jan710814161822242830323438404244464854565862646668707274766812161820[[#This Row],[Thresh L]]*5</f>
        <v>6.1726466049382717E-3</v>
      </c>
      <c r="Q23" s="25">
        <f>WO2025Jan710814161822242830323438404244464854565862646668707274766812161820[[#This Row],[I]]</f>
        <v>1.0694444444444445E-3</v>
      </c>
      <c r="R23" s="25">
        <f>WO2025Jan710814161822242830323438404244464854565862646668707274766812161820[[#This Row],[I]]*3</f>
        <v>3.2083333333333334E-3</v>
      </c>
      <c r="S23" s="25">
        <f>WO2025Jan710814161822242830323438404244464854565862646668707274766812161820[[#This Row],[VO2]]</f>
        <v>1.0370046296296295E-3</v>
      </c>
      <c r="T23" s="28">
        <f>WO2025Jan710814161822242830323438404244464854565862646668707274766812161820[[#This Row],[VO2]]*2</f>
        <v>2.0740092592592589E-3</v>
      </c>
      <c r="U23" s="11" t="s">
        <v>25</v>
      </c>
      <c r="V23" s="11" t="s">
        <v>289</v>
      </c>
      <c r="W23" s="15" t="s">
        <v>291</v>
      </c>
      <c r="X23" s="52"/>
    </row>
    <row r="24" spans="1:24" ht="21" customHeight="1">
      <c r="A24" s="10" t="s">
        <v>71</v>
      </c>
      <c r="B24" s="11">
        <v>1.3541666666666667E-2</v>
      </c>
      <c r="C24" s="11">
        <v>4.0509259259259257E-3</v>
      </c>
      <c r="D24" s="11">
        <f>B24*E24</f>
        <v>7.8785416666666674E-3</v>
      </c>
      <c r="E24" s="12">
        <v>0.58179999999999998</v>
      </c>
      <c r="F24" s="11">
        <f>C24/4</f>
        <v>1.0127314814814814E-3</v>
      </c>
      <c r="G24" s="11">
        <f>D24/7.5</f>
        <v>1.0504722222222224E-3</v>
      </c>
      <c r="H24" s="11">
        <f>B24/12.5</f>
        <v>1.0833333333333333E-3</v>
      </c>
      <c r="I24" s="11">
        <f>G24/0.93</f>
        <v>1.1295400238948627E-3</v>
      </c>
      <c r="J24" s="11">
        <f>G24/0.92</f>
        <v>1.1418176328502417E-3</v>
      </c>
      <c r="K24" s="11">
        <f>G24/0.88</f>
        <v>1.1937184343434346E-3</v>
      </c>
      <c r="L24" s="11">
        <f>G24/0.84</f>
        <v>1.2505621693121695E-3</v>
      </c>
      <c r="M24" s="25"/>
      <c r="N24" s="28"/>
      <c r="O24" s="25">
        <f>WO2025Jan710814161822242830323438404244464854565862646668707274766812161820[[#This Row],[Thresh L]]</f>
        <v>1.2505621693121695E-3</v>
      </c>
      <c r="P24" s="28">
        <f>WO2025Jan710814161822242830323438404244464854565862646668707274766812161820[[#This Row],[Thresh L]]*5</f>
        <v>6.2528108465608476E-3</v>
      </c>
      <c r="Q24" s="25">
        <f>WO2025Jan710814161822242830323438404244464854565862646668707274766812161820[[#This Row],[I]]</f>
        <v>1.0833333333333333E-3</v>
      </c>
      <c r="R24" s="25">
        <f>WO2025Jan710814161822242830323438404244464854565862646668707274766812161820[[#This Row],[I]]*3</f>
        <v>3.2499999999999999E-3</v>
      </c>
      <c r="S24" s="25">
        <f>WO2025Jan710814161822242830323438404244464854565862646668707274766812161820[[#This Row],[VO2]]</f>
        <v>1.0504722222222224E-3</v>
      </c>
      <c r="T24" s="28">
        <f>WO2025Jan710814161822242830323438404244464854565862646668707274766812161820[[#This Row],[VO2]]*2</f>
        <v>2.1009444444444448E-3</v>
      </c>
      <c r="U24" s="11" t="s">
        <v>25</v>
      </c>
      <c r="V24" s="38" t="s">
        <v>289</v>
      </c>
      <c r="W24" s="18" t="s">
        <v>291</v>
      </c>
      <c r="X24" s="52"/>
    </row>
    <row r="25" spans="1:24" ht="21" customHeight="1">
      <c r="A25" s="10" t="s">
        <v>72</v>
      </c>
      <c r="B25" s="11">
        <v>1.3541666666666667E-2</v>
      </c>
      <c r="C25" s="11">
        <v>4.0509259259259257E-3</v>
      </c>
      <c r="D25" s="11">
        <f t="shared" si="8"/>
        <v>7.8785416666666674E-3</v>
      </c>
      <c r="E25" s="12">
        <v>0.58179999999999998</v>
      </c>
      <c r="F25" s="11">
        <f t="shared" si="9"/>
        <v>1.0127314814814814E-3</v>
      </c>
      <c r="G25" s="11">
        <f t="shared" si="10"/>
        <v>1.0504722222222224E-3</v>
      </c>
      <c r="H25" s="11">
        <f t="shared" si="11"/>
        <v>1.0833333333333333E-3</v>
      </c>
      <c r="I25" s="11">
        <f t="shared" si="12"/>
        <v>1.1295400238948627E-3</v>
      </c>
      <c r="J25" s="11">
        <f t="shared" si="13"/>
        <v>1.1418176328502417E-3</v>
      </c>
      <c r="K25" s="11">
        <f t="shared" si="14"/>
        <v>1.1937184343434346E-3</v>
      </c>
      <c r="L25" s="11">
        <f t="shared" si="15"/>
        <v>1.2505621693121695E-3</v>
      </c>
      <c r="M25" s="25"/>
      <c r="N25" s="28"/>
      <c r="O25" s="25">
        <f>WO2025Jan710814161822242830323438404244464854565862646668707274766812161820[[#This Row],[Thresh L]]</f>
        <v>1.2505621693121695E-3</v>
      </c>
      <c r="P25" s="28">
        <f>WO2025Jan710814161822242830323438404244464854565862646668707274766812161820[[#This Row],[Thresh L]]*5</f>
        <v>6.2528108465608476E-3</v>
      </c>
      <c r="Q25" s="25">
        <f>WO2025Jan710814161822242830323438404244464854565862646668707274766812161820[[#This Row],[I]]</f>
        <v>1.0833333333333333E-3</v>
      </c>
      <c r="R25" s="25">
        <f>WO2025Jan710814161822242830323438404244464854565862646668707274766812161820[[#This Row],[I]]*3</f>
        <v>3.2499999999999999E-3</v>
      </c>
      <c r="S25" s="25">
        <f>WO2025Jan710814161822242830323438404244464854565862646668707274766812161820[[#This Row],[VO2]]</f>
        <v>1.0504722222222224E-3</v>
      </c>
      <c r="T25" s="28">
        <f>WO2025Jan710814161822242830323438404244464854565862646668707274766812161820[[#This Row],[VO2]]*2</f>
        <v>2.1009444444444448E-3</v>
      </c>
      <c r="U25" s="11" t="s">
        <v>25</v>
      </c>
      <c r="V25" s="28" t="s">
        <v>289</v>
      </c>
      <c r="W25" s="15" t="s">
        <v>291</v>
      </c>
      <c r="X25" s="52"/>
    </row>
    <row r="26" spans="1:24" ht="21" customHeight="1">
      <c r="A26" s="10" t="s">
        <v>73</v>
      </c>
      <c r="B26" s="11">
        <v>1.40625E-2</v>
      </c>
      <c r="C26" s="11">
        <v>4.3981481481481484E-3</v>
      </c>
      <c r="D26" s="11">
        <f t="shared" si="8"/>
        <v>8.1815624999999996E-3</v>
      </c>
      <c r="E26" s="12">
        <v>0.58179999999999998</v>
      </c>
      <c r="F26" s="11">
        <f t="shared" si="9"/>
        <v>1.0995370370370371E-3</v>
      </c>
      <c r="G26" s="11">
        <f t="shared" si="10"/>
        <v>1.090875E-3</v>
      </c>
      <c r="H26" s="11">
        <f t="shared" si="11"/>
        <v>1.1250000000000001E-3</v>
      </c>
      <c r="I26" s="11">
        <f t="shared" si="12"/>
        <v>1.172983870967742E-3</v>
      </c>
      <c r="J26" s="11">
        <f t="shared" si="13"/>
        <v>1.1857336956521739E-3</v>
      </c>
      <c r="K26" s="11">
        <f t="shared" si="14"/>
        <v>1.2396306818181818E-3</v>
      </c>
      <c r="L26" s="11">
        <f t="shared" si="15"/>
        <v>1.2986607142857144E-3</v>
      </c>
      <c r="M26" s="25"/>
      <c r="N26" s="28"/>
      <c r="O26" s="25">
        <f>WO2025Jan710814161822242830323438404244464854565862646668707274766812161820[[#This Row],[Thresh L]]</f>
        <v>1.2986607142857144E-3</v>
      </c>
      <c r="P26" s="28">
        <f>WO2025Jan710814161822242830323438404244464854565862646668707274766812161820[[#This Row],[Thresh L]]*5</f>
        <v>6.4933035714285717E-3</v>
      </c>
      <c r="Q26" s="25">
        <f>WO2025Jan710814161822242830323438404244464854565862646668707274766812161820[[#This Row],[I]]</f>
        <v>1.1250000000000001E-3</v>
      </c>
      <c r="R26" s="25">
        <f>WO2025Jan710814161822242830323438404244464854565862646668707274766812161820[[#This Row],[I]]*3</f>
        <v>3.3750000000000004E-3</v>
      </c>
      <c r="S26" s="25">
        <f>WO2025Jan710814161822242830323438404244464854565862646668707274766812161820[[#This Row],[VO2]]</f>
        <v>1.090875E-3</v>
      </c>
      <c r="T26" s="28">
        <f>WO2025Jan710814161822242830323438404244464854565862646668707274766812161820[[#This Row],[VO2]]*2</f>
        <v>2.1817500000000001E-3</v>
      </c>
      <c r="U26" s="11" t="s">
        <v>25</v>
      </c>
      <c r="V26" s="28" t="s">
        <v>289</v>
      </c>
      <c r="W26" s="15" t="s">
        <v>291</v>
      </c>
      <c r="X26" s="52"/>
    </row>
    <row r="27" spans="1:24" ht="21" customHeight="1">
      <c r="A27" s="10" t="s">
        <v>76</v>
      </c>
      <c r="B27" s="11">
        <v>1.40625E-2</v>
      </c>
      <c r="C27" s="11"/>
      <c r="D27" s="11">
        <f t="shared" si="8"/>
        <v>8.1815624999999996E-3</v>
      </c>
      <c r="E27" s="12">
        <v>0.58179999999999998</v>
      </c>
      <c r="F27" s="11">
        <f t="shared" si="9"/>
        <v>0</v>
      </c>
      <c r="G27" s="11">
        <f t="shared" si="10"/>
        <v>1.090875E-3</v>
      </c>
      <c r="H27" s="11">
        <f t="shared" si="11"/>
        <v>1.1250000000000001E-3</v>
      </c>
      <c r="I27" s="11">
        <f t="shared" si="12"/>
        <v>1.172983870967742E-3</v>
      </c>
      <c r="J27" s="11">
        <f t="shared" si="13"/>
        <v>1.1857336956521739E-3</v>
      </c>
      <c r="K27" s="11">
        <f t="shared" si="14"/>
        <v>1.2396306818181818E-3</v>
      </c>
      <c r="L27" s="11">
        <f t="shared" si="15"/>
        <v>1.2986607142857144E-3</v>
      </c>
      <c r="M27" s="25"/>
      <c r="N27" s="28"/>
      <c r="O27" s="25">
        <f>WO2025Jan710814161822242830323438404244464854565862646668707274766812161820[[#This Row],[Thresh L]]</f>
        <v>1.2986607142857144E-3</v>
      </c>
      <c r="P27" s="28">
        <f>WO2025Jan710814161822242830323438404244464854565862646668707274766812161820[[#This Row],[Thresh L]]*5</f>
        <v>6.4933035714285717E-3</v>
      </c>
      <c r="Q27" s="25">
        <f>WO2025Jan710814161822242830323438404244464854565862646668707274766812161820[[#This Row],[I]]</f>
        <v>1.1250000000000001E-3</v>
      </c>
      <c r="R27" s="25">
        <f>WO2025Jan710814161822242830323438404244464854565862646668707274766812161820[[#This Row],[I]]*3</f>
        <v>3.3750000000000004E-3</v>
      </c>
      <c r="S27" s="25">
        <f>WO2025Jan710814161822242830323438404244464854565862646668707274766812161820[[#This Row],[VO2]]</f>
        <v>1.090875E-3</v>
      </c>
      <c r="T27" s="28">
        <f>WO2025Jan710814161822242830323438404244464854565862646668707274766812161820[[#This Row],[VO2]]*2</f>
        <v>2.1817500000000001E-3</v>
      </c>
      <c r="U27" s="11" t="s">
        <v>25</v>
      </c>
      <c r="V27" s="28" t="s">
        <v>289</v>
      </c>
      <c r="W27" s="15" t="s">
        <v>291</v>
      </c>
      <c r="X27" s="52"/>
    </row>
    <row r="28" spans="1:24" ht="21" customHeight="1">
      <c r="A28" s="10"/>
      <c r="B28" s="11"/>
      <c r="C28" s="11"/>
      <c r="D28" s="11"/>
      <c r="E28" s="12"/>
      <c r="F28" s="11"/>
      <c r="G28" s="11"/>
      <c r="H28" s="11"/>
      <c r="I28" s="11"/>
      <c r="J28" s="11"/>
      <c r="K28" s="11"/>
      <c r="L28" s="11"/>
      <c r="M28" s="13"/>
      <c r="N28" s="11"/>
      <c r="O28" s="11"/>
      <c r="P28" s="11"/>
      <c r="Q28" s="14"/>
      <c r="R28" s="11"/>
      <c r="S28" s="14"/>
      <c r="T28" s="14"/>
      <c r="U28" s="14"/>
      <c r="V28" s="17"/>
      <c r="W28" s="18"/>
      <c r="X28" s="52"/>
    </row>
    <row r="29" spans="1:24" ht="21" customHeight="1" thickBot="1">
      <c r="A29" s="10"/>
      <c r="B29" s="11"/>
      <c r="C29" s="11"/>
      <c r="D29" s="11"/>
      <c r="E29" s="12"/>
      <c r="F29" s="11"/>
      <c r="G29" s="11"/>
      <c r="H29" s="11"/>
      <c r="I29" s="11"/>
      <c r="J29" s="11"/>
      <c r="K29" s="11"/>
      <c r="L29" s="11"/>
      <c r="M29" s="45"/>
      <c r="N29" s="11"/>
      <c r="O29" s="11"/>
      <c r="P29" s="11"/>
      <c r="Q29" s="14"/>
      <c r="R29" s="11"/>
      <c r="S29" s="14"/>
      <c r="T29" s="11"/>
      <c r="U29" s="14"/>
      <c r="V29" s="17"/>
      <c r="W29" s="18"/>
      <c r="X29" s="52"/>
    </row>
    <row r="30" spans="1:24" ht="21" customHeight="1">
      <c r="A30" s="1" t="s">
        <v>279</v>
      </c>
      <c r="B30" s="6"/>
      <c r="C30" s="6"/>
      <c r="D30" s="6"/>
      <c r="E30" s="20"/>
      <c r="F30" s="6"/>
      <c r="G30" s="6"/>
      <c r="H30" s="6"/>
      <c r="I30" s="6"/>
      <c r="J30" s="6"/>
      <c r="K30" s="6"/>
      <c r="L30" s="6"/>
      <c r="M30" s="6" t="s">
        <v>14</v>
      </c>
      <c r="N30" s="6" t="s">
        <v>156</v>
      </c>
      <c r="O30" s="6" t="s">
        <v>172</v>
      </c>
      <c r="P30" s="6" t="s">
        <v>155</v>
      </c>
      <c r="Q30" s="6"/>
      <c r="R30" s="6"/>
      <c r="S30" s="6"/>
      <c r="T30" s="6"/>
      <c r="U30" s="6"/>
      <c r="V30" s="21"/>
      <c r="W30" s="35"/>
      <c r="X30" s="52"/>
    </row>
    <row r="31" spans="1:24" ht="21" customHeight="1">
      <c r="A31" s="10" t="s">
        <v>36</v>
      </c>
      <c r="B31" s="11">
        <v>1.2731481481481481E-2</v>
      </c>
      <c r="C31" s="11">
        <v>3.6458333333333334E-3</v>
      </c>
      <c r="D31" s="11">
        <f t="shared" ref="D31:D38" si="16">B31*E31</f>
        <v>7.4071759259259256E-3</v>
      </c>
      <c r="E31" s="12">
        <v>0.58179999999999998</v>
      </c>
      <c r="F31" s="11">
        <f t="shared" ref="F31:F38" si="17">C31/4</f>
        <v>9.1145833333333335E-4</v>
      </c>
      <c r="G31" s="11">
        <f t="shared" ref="G31:G38" si="18">D31/7.5</f>
        <v>9.8762345679012349E-4</v>
      </c>
      <c r="H31" s="11">
        <f t="shared" ref="H31:H38" si="19">B31/12.5</f>
        <v>1.0185185185185184E-3</v>
      </c>
      <c r="I31" s="11">
        <f t="shared" ref="I31:I38" si="20">G31/0.93</f>
        <v>1.0619607062259391E-3</v>
      </c>
      <c r="J31" s="11">
        <f t="shared" ref="J31:J38" si="21">G31/0.92</f>
        <v>1.073503757380569E-3</v>
      </c>
      <c r="K31" s="11">
        <f t="shared" ref="K31:K38" si="22">G31/0.88</f>
        <v>1.1222993827160494E-3</v>
      </c>
      <c r="L31" s="11">
        <f t="shared" ref="L31:L38" si="23">G31/0.84</f>
        <v>1.1757422104644328E-3</v>
      </c>
      <c r="M31" s="25">
        <f>WO2025Jan710814161822242830323438404244464854565862646668707274766812161820[[#This Row],[CV]]</f>
        <v>1.073503757380569E-3</v>
      </c>
      <c r="N31" s="28">
        <f>WO2025Jan710814161822242830323438404244464854565862646668707274766812161820[[#This Row],[CV]]*2</f>
        <v>2.1470075147611381E-3</v>
      </c>
      <c r="O31" s="25">
        <f>WO2025Jan710814161822242830323438404244464854565862646668707274766812161820[[#This Row],[Thresh]]</f>
        <v>1.1222993827160494E-3</v>
      </c>
      <c r="P31" s="28">
        <f>WO2025Jan710814161822242830323438404244464854565862646668707274766812161820[[#This Row],[Thresh]]*2</f>
        <v>2.2445987654320988E-3</v>
      </c>
      <c r="Q31" s="25"/>
      <c r="R31" s="25"/>
      <c r="S31" s="25"/>
      <c r="T31" s="28"/>
      <c r="U31" s="11"/>
      <c r="V31" s="36"/>
      <c r="W31" s="15" t="s">
        <v>294</v>
      </c>
      <c r="X31" s="52" t="s">
        <v>295</v>
      </c>
    </row>
    <row r="32" spans="1:24" ht="21" customHeight="1">
      <c r="A32" s="10" t="s">
        <v>64</v>
      </c>
      <c r="B32" s="11">
        <v>1.2731481481481481E-2</v>
      </c>
      <c r="C32" s="11">
        <v>3.5879629629629629E-3</v>
      </c>
      <c r="D32" s="11">
        <f>B32*E32</f>
        <v>7.4071759259259256E-3</v>
      </c>
      <c r="E32" s="12">
        <v>0.58179999999999998</v>
      </c>
      <c r="F32" s="11">
        <f>C32/4</f>
        <v>8.9699074074074073E-4</v>
      </c>
      <c r="G32" s="11">
        <f>D32/7.5</f>
        <v>9.8762345679012349E-4</v>
      </c>
      <c r="H32" s="11">
        <f>B32/12.5</f>
        <v>1.0185185185185184E-3</v>
      </c>
      <c r="I32" s="11">
        <f>G32/0.93</f>
        <v>1.0619607062259391E-3</v>
      </c>
      <c r="J32" s="11">
        <f>G32/0.92</f>
        <v>1.073503757380569E-3</v>
      </c>
      <c r="K32" s="11">
        <f>G32/0.88</f>
        <v>1.1222993827160494E-3</v>
      </c>
      <c r="L32" s="11">
        <f>G32/0.84</f>
        <v>1.1757422104644328E-3</v>
      </c>
      <c r="M32" s="25">
        <f>WO2025Jan710814161822242830323438404244464854565862646668707274766812161820[[#This Row],[CV]]</f>
        <v>1.073503757380569E-3</v>
      </c>
      <c r="N32" s="28">
        <f>WO2025Jan710814161822242830323438404244464854565862646668707274766812161820[[#This Row],[CV]]*2</f>
        <v>2.1470075147611381E-3</v>
      </c>
      <c r="O32" s="25">
        <f>WO2025Jan710814161822242830323438404244464854565862646668707274766812161820[[#This Row],[Thresh]]</f>
        <v>1.1222993827160494E-3</v>
      </c>
      <c r="P32" s="28">
        <f>WO2025Jan710814161822242830323438404244464854565862646668707274766812161820[[#This Row],[Thresh]]*2</f>
        <v>2.2445987654320988E-3</v>
      </c>
      <c r="Q32" s="25"/>
      <c r="R32" s="25"/>
      <c r="S32" s="25"/>
      <c r="T32" s="28"/>
      <c r="U32" s="11"/>
      <c r="V32" s="48"/>
      <c r="W32" s="15" t="s">
        <v>294</v>
      </c>
      <c r="X32" s="52"/>
    </row>
    <row r="33" spans="1:24" ht="21" customHeight="1">
      <c r="A33" s="10" t="s">
        <v>53</v>
      </c>
      <c r="B33" s="11">
        <v>1.2731481481481481E-2</v>
      </c>
      <c r="C33" s="11">
        <v>3.7615740740740739E-3</v>
      </c>
      <c r="D33" s="11">
        <f t="shared" si="16"/>
        <v>7.4071759259259256E-3</v>
      </c>
      <c r="E33" s="12">
        <v>0.58179999999999998</v>
      </c>
      <c r="F33" s="11">
        <f t="shared" si="17"/>
        <v>9.4039351851851847E-4</v>
      </c>
      <c r="G33" s="11">
        <f t="shared" si="18"/>
        <v>9.8762345679012349E-4</v>
      </c>
      <c r="H33" s="11">
        <f t="shared" si="19"/>
        <v>1.0185185185185184E-3</v>
      </c>
      <c r="I33" s="11">
        <f t="shared" si="20"/>
        <v>1.0619607062259391E-3</v>
      </c>
      <c r="J33" s="11">
        <f t="shared" si="21"/>
        <v>1.073503757380569E-3</v>
      </c>
      <c r="K33" s="11">
        <f t="shared" si="22"/>
        <v>1.1222993827160494E-3</v>
      </c>
      <c r="L33" s="11">
        <f t="shared" si="23"/>
        <v>1.1757422104644328E-3</v>
      </c>
      <c r="M33" s="25">
        <f>WO2025Jan710814161822242830323438404244464854565862646668707274766812161820[[#This Row],[CV]]</f>
        <v>1.073503757380569E-3</v>
      </c>
      <c r="N33" s="28">
        <f>WO2025Jan710814161822242830323438404244464854565862646668707274766812161820[[#This Row],[CV]]*2</f>
        <v>2.1470075147611381E-3</v>
      </c>
      <c r="O33" s="25">
        <f>WO2025Jan710814161822242830323438404244464854565862646668707274766812161820[[#This Row],[Thresh]]</f>
        <v>1.1222993827160494E-3</v>
      </c>
      <c r="P33" s="28">
        <f>WO2025Jan710814161822242830323438404244464854565862646668707274766812161820[[#This Row],[Thresh]]*2</f>
        <v>2.2445987654320988E-3</v>
      </c>
      <c r="Q33" s="25"/>
      <c r="R33" s="25"/>
      <c r="S33" s="25"/>
      <c r="T33" s="28"/>
      <c r="U33" s="11"/>
      <c r="V33" s="47"/>
      <c r="W33" s="18" t="s">
        <v>294</v>
      </c>
      <c r="X33" s="52"/>
    </row>
    <row r="34" spans="1:24" ht="21" customHeight="1">
      <c r="A34" s="10" t="s">
        <v>74</v>
      </c>
      <c r="B34" s="11">
        <v>1.3020833333333334E-2</v>
      </c>
      <c r="C34" s="11">
        <v>3.7037037037037038E-3</v>
      </c>
      <c r="D34" s="11">
        <f t="shared" si="16"/>
        <v>7.5755208333333334E-3</v>
      </c>
      <c r="E34" s="12">
        <v>0.58179999999999998</v>
      </c>
      <c r="F34" s="11">
        <f t="shared" si="17"/>
        <v>9.2592592592592596E-4</v>
      </c>
      <c r="G34" s="11">
        <f t="shared" si="18"/>
        <v>1.0100694444444445E-3</v>
      </c>
      <c r="H34" s="11">
        <f t="shared" si="19"/>
        <v>1.0416666666666667E-3</v>
      </c>
      <c r="I34" s="11">
        <f t="shared" si="20"/>
        <v>1.0860961768219832E-3</v>
      </c>
      <c r="J34" s="11">
        <f t="shared" si="21"/>
        <v>1.0979015700483092E-3</v>
      </c>
      <c r="K34" s="11">
        <f t="shared" si="22"/>
        <v>1.1478061868686869E-3</v>
      </c>
      <c r="L34" s="11">
        <f t="shared" si="23"/>
        <v>1.2024636243386244E-3</v>
      </c>
      <c r="M34" s="25">
        <f>WO2025Jan710814161822242830323438404244464854565862646668707274766812161820[[#This Row],[CV]]</f>
        <v>1.0979015700483092E-3</v>
      </c>
      <c r="N34" s="28">
        <f>WO2025Jan710814161822242830323438404244464854565862646668707274766812161820[[#This Row],[CV]]*2</f>
        <v>2.1958031400966184E-3</v>
      </c>
      <c r="O34" s="25">
        <f>WO2025Jan710814161822242830323438404244464854565862646668707274766812161820[[#This Row],[Thresh]]</f>
        <v>1.1478061868686869E-3</v>
      </c>
      <c r="P34" s="28">
        <f>WO2025Jan710814161822242830323438404244464854565862646668707274766812161820[[#This Row],[Thresh]]*2</f>
        <v>2.2956123737373738E-3</v>
      </c>
      <c r="Q34" s="25"/>
      <c r="R34" s="25"/>
      <c r="S34" s="25"/>
      <c r="T34" s="28"/>
      <c r="U34" s="11"/>
      <c r="V34" s="36"/>
      <c r="W34" s="15" t="s">
        <v>294</v>
      </c>
      <c r="X34" s="52"/>
    </row>
    <row r="35" spans="1:24" ht="21" customHeight="1">
      <c r="A35" s="10" t="s">
        <v>50</v>
      </c>
      <c r="B35" s="11">
        <v>1.3020833333333334E-2</v>
      </c>
      <c r="C35" s="11">
        <v>3.7037037037037038E-3</v>
      </c>
      <c r="D35" s="11">
        <f t="shared" si="16"/>
        <v>7.5755208333333334E-3</v>
      </c>
      <c r="E35" s="12">
        <v>0.58179999999999998</v>
      </c>
      <c r="F35" s="11">
        <f t="shared" si="17"/>
        <v>9.2592592592592596E-4</v>
      </c>
      <c r="G35" s="11">
        <f t="shared" si="18"/>
        <v>1.0100694444444445E-3</v>
      </c>
      <c r="H35" s="11">
        <f t="shared" si="19"/>
        <v>1.0416666666666667E-3</v>
      </c>
      <c r="I35" s="11">
        <f t="shared" si="20"/>
        <v>1.0860961768219832E-3</v>
      </c>
      <c r="J35" s="11">
        <f t="shared" si="21"/>
        <v>1.0979015700483092E-3</v>
      </c>
      <c r="K35" s="11">
        <f t="shared" si="22"/>
        <v>1.1478061868686869E-3</v>
      </c>
      <c r="L35" s="11">
        <f t="shared" si="23"/>
        <v>1.2024636243386244E-3</v>
      </c>
      <c r="M35" s="25">
        <f>WO2025Jan710814161822242830323438404244464854565862646668707274766812161820[[#This Row],[CV]]</f>
        <v>1.0979015700483092E-3</v>
      </c>
      <c r="N35" s="28">
        <f>WO2025Jan710814161822242830323438404244464854565862646668707274766812161820[[#This Row],[CV]]*2</f>
        <v>2.1958031400966184E-3</v>
      </c>
      <c r="O35" s="25">
        <f>WO2025Jan710814161822242830323438404244464854565862646668707274766812161820[[#This Row],[Thresh]]</f>
        <v>1.1478061868686869E-3</v>
      </c>
      <c r="P35" s="28">
        <f>WO2025Jan710814161822242830323438404244464854565862646668707274766812161820[[#This Row],[Thresh]]*2</f>
        <v>2.2956123737373738E-3</v>
      </c>
      <c r="Q35" s="25"/>
      <c r="R35" s="25"/>
      <c r="S35" s="25"/>
      <c r="T35" s="28"/>
      <c r="U35" s="11"/>
      <c r="V35" s="36"/>
      <c r="W35" s="15" t="s">
        <v>294</v>
      </c>
      <c r="X35" s="52"/>
    </row>
    <row r="36" spans="1:24" ht="21" customHeight="1">
      <c r="A36" s="10" t="s">
        <v>47</v>
      </c>
      <c r="B36" s="11">
        <v>1.3020833333333334E-2</v>
      </c>
      <c r="C36" s="11">
        <v>3.7037037037037038E-3</v>
      </c>
      <c r="D36" s="11">
        <f t="shared" si="16"/>
        <v>7.5755208333333334E-3</v>
      </c>
      <c r="E36" s="12">
        <v>0.58179999999999998</v>
      </c>
      <c r="F36" s="11">
        <f t="shared" si="17"/>
        <v>9.2592592592592596E-4</v>
      </c>
      <c r="G36" s="11">
        <f t="shared" si="18"/>
        <v>1.0100694444444445E-3</v>
      </c>
      <c r="H36" s="11">
        <f t="shared" si="19"/>
        <v>1.0416666666666667E-3</v>
      </c>
      <c r="I36" s="11">
        <f t="shared" si="20"/>
        <v>1.0860961768219832E-3</v>
      </c>
      <c r="J36" s="11">
        <f t="shared" si="21"/>
        <v>1.0979015700483092E-3</v>
      </c>
      <c r="K36" s="11">
        <f t="shared" si="22"/>
        <v>1.1478061868686869E-3</v>
      </c>
      <c r="L36" s="11">
        <f t="shared" si="23"/>
        <v>1.2024636243386244E-3</v>
      </c>
      <c r="M36" s="25">
        <f>WO2025Jan710814161822242830323438404244464854565862646668707274766812161820[[#This Row],[CV]]</f>
        <v>1.0979015700483092E-3</v>
      </c>
      <c r="N36" s="28">
        <f>WO2025Jan710814161822242830323438404244464854565862646668707274766812161820[[#This Row],[CV]]*2</f>
        <v>2.1958031400966184E-3</v>
      </c>
      <c r="O36" s="25">
        <f>WO2025Jan710814161822242830323438404244464854565862646668707274766812161820[[#This Row],[Thresh]]</f>
        <v>1.1478061868686869E-3</v>
      </c>
      <c r="P36" s="28">
        <f>WO2025Jan710814161822242830323438404244464854565862646668707274766812161820[[#This Row],[Thresh]]*2</f>
        <v>2.2956123737373738E-3</v>
      </c>
      <c r="Q36" s="25"/>
      <c r="R36" s="25"/>
      <c r="S36" s="25"/>
      <c r="T36" s="28"/>
      <c r="U36" s="11"/>
      <c r="V36" s="36"/>
      <c r="W36" s="15" t="s">
        <v>294</v>
      </c>
      <c r="X36" s="52"/>
    </row>
    <row r="37" spans="1:24" ht="21" customHeight="1">
      <c r="A37" s="10" t="s">
        <v>75</v>
      </c>
      <c r="B37" s="11">
        <v>1.3541666666666667E-2</v>
      </c>
      <c r="C37" s="11"/>
      <c r="D37" s="11">
        <f>B37*E37</f>
        <v>7.8785416666666674E-3</v>
      </c>
      <c r="E37" s="12">
        <v>0.58179999999999998</v>
      </c>
      <c r="F37" s="11">
        <f>C37/4</f>
        <v>0</v>
      </c>
      <c r="G37" s="11">
        <f>D37/7.5</f>
        <v>1.0504722222222224E-3</v>
      </c>
      <c r="H37" s="11">
        <f>B37/12.5</f>
        <v>1.0833333333333333E-3</v>
      </c>
      <c r="I37" s="11">
        <f>G37/0.93</f>
        <v>1.1295400238948627E-3</v>
      </c>
      <c r="J37" s="11">
        <f>G37/0.92</f>
        <v>1.1418176328502417E-3</v>
      </c>
      <c r="K37" s="11">
        <f>G37/0.88</f>
        <v>1.1937184343434346E-3</v>
      </c>
      <c r="L37" s="11">
        <f>G37/0.84</f>
        <v>1.2505621693121695E-3</v>
      </c>
      <c r="M37" s="25">
        <f>WO2025Jan710814161822242830323438404244464854565862646668707274766812161820[[#This Row],[CV]]</f>
        <v>1.1418176328502417E-3</v>
      </c>
      <c r="N37" s="28">
        <f>WO2025Jan710814161822242830323438404244464854565862646668707274766812161820[[#This Row],[CV]]*2</f>
        <v>2.2836352657004833E-3</v>
      </c>
      <c r="O37" s="25">
        <f>WO2025Jan710814161822242830323438404244464854565862646668707274766812161820[[#This Row],[Thresh]]</f>
        <v>1.1937184343434346E-3</v>
      </c>
      <c r="P37" s="28">
        <f>WO2025Jan710814161822242830323438404244464854565862646668707274766812161820[[#This Row],[Thresh]]*2</f>
        <v>2.3874368686868691E-3</v>
      </c>
      <c r="Q37" s="25"/>
      <c r="R37" s="25"/>
      <c r="S37" s="25"/>
      <c r="T37" s="28"/>
      <c r="U37" s="11"/>
      <c r="V37" s="11"/>
      <c r="W37" s="15" t="s">
        <v>294</v>
      </c>
      <c r="X37" s="52"/>
    </row>
    <row r="38" spans="1:24" ht="21" customHeight="1">
      <c r="A38" s="10" t="s">
        <v>198</v>
      </c>
      <c r="B38" s="11">
        <v>1.4583333333333334E-2</v>
      </c>
      <c r="C38" s="11">
        <v>4.1666666666666666E-3</v>
      </c>
      <c r="D38" s="11">
        <f t="shared" si="16"/>
        <v>8.4845833333333336E-3</v>
      </c>
      <c r="E38" s="12">
        <v>0.58179999999999998</v>
      </c>
      <c r="F38" s="11">
        <f t="shared" si="17"/>
        <v>1.0416666666666667E-3</v>
      </c>
      <c r="G38" s="11">
        <f t="shared" si="18"/>
        <v>1.1312777777777777E-3</v>
      </c>
      <c r="H38" s="11">
        <f t="shared" si="19"/>
        <v>1.1666666666666668E-3</v>
      </c>
      <c r="I38" s="11">
        <f t="shared" si="20"/>
        <v>1.2164277180406211E-3</v>
      </c>
      <c r="J38" s="11">
        <f t="shared" si="21"/>
        <v>1.2296497584541061E-3</v>
      </c>
      <c r="K38" s="11">
        <f t="shared" si="22"/>
        <v>1.2855429292929293E-3</v>
      </c>
      <c r="L38" s="11">
        <f t="shared" si="23"/>
        <v>1.3467592592592591E-3</v>
      </c>
      <c r="M38" s="25">
        <f>WO2025Jan710814161822242830323438404244464854565862646668707274766812161820[[#This Row],[CV]]</f>
        <v>1.2296497584541061E-3</v>
      </c>
      <c r="N38" s="28">
        <f>WO2025Jan710814161822242830323438404244464854565862646668707274766812161820[[#This Row],[CV]]*2</f>
        <v>2.4592995169082123E-3</v>
      </c>
      <c r="O38" s="25">
        <f>WO2025Jan710814161822242830323438404244464854565862646668707274766812161820[[#This Row],[Thresh]]</f>
        <v>1.2855429292929293E-3</v>
      </c>
      <c r="P38" s="28">
        <f>WO2025Jan710814161822242830323438404244464854565862646668707274766812161820[[#This Row],[Thresh]]*2</f>
        <v>2.5710858585858585E-3</v>
      </c>
      <c r="Q38" s="25"/>
      <c r="R38" s="25"/>
      <c r="S38" s="25"/>
      <c r="T38" s="28"/>
      <c r="U38" s="11"/>
      <c r="V38" s="36"/>
      <c r="W38" s="15" t="s">
        <v>294</v>
      </c>
      <c r="X38" s="52"/>
    </row>
    <row r="39" spans="1:24" ht="21" customHeight="1">
      <c r="A39" s="10"/>
      <c r="B39" s="11"/>
      <c r="C39" s="11"/>
      <c r="D39" s="11"/>
      <c r="E39" s="12"/>
      <c r="F39" s="11"/>
      <c r="G39" s="11"/>
      <c r="H39" s="11"/>
      <c r="I39" s="11"/>
      <c r="J39" s="11"/>
      <c r="K39" s="11"/>
      <c r="L39" s="11"/>
      <c r="M39" s="25"/>
      <c r="N39" s="28"/>
      <c r="O39" s="25"/>
      <c r="P39" s="28"/>
      <c r="Q39" s="25"/>
      <c r="R39" s="11"/>
      <c r="S39" s="14"/>
      <c r="T39" s="11"/>
      <c r="U39" s="11"/>
      <c r="V39" s="17"/>
      <c r="W39" s="18"/>
      <c r="X39" s="52"/>
    </row>
    <row r="40" spans="1:24" ht="21" customHeight="1">
      <c r="A40" s="19"/>
      <c r="B40" s="6"/>
      <c r="C40" s="6"/>
      <c r="D40" s="6"/>
      <c r="E40" s="20"/>
      <c r="F40" s="6"/>
      <c r="G40" s="6"/>
      <c r="H40" s="6"/>
      <c r="I40" s="6"/>
      <c r="J40" s="6"/>
      <c r="K40" s="6"/>
      <c r="L40" s="6"/>
      <c r="M40" s="6"/>
      <c r="N40" s="6"/>
      <c r="O40" s="6"/>
      <c r="P40" s="6"/>
      <c r="Q40" s="6"/>
      <c r="R40" s="6"/>
      <c r="S40" s="6"/>
      <c r="T40" s="6"/>
      <c r="U40" s="6"/>
      <c r="V40" s="6"/>
      <c r="W40" s="35"/>
      <c r="X40" s="52"/>
    </row>
    <row r="41" spans="1:24" ht="21" customHeight="1">
      <c r="A41" s="10" t="s">
        <v>61</v>
      </c>
      <c r="B41" s="11">
        <v>1.4583333333333334E-2</v>
      </c>
      <c r="C41" s="11">
        <v>4.3981481481481484E-3</v>
      </c>
      <c r="D41" s="11">
        <f>B41*E41</f>
        <v>8.4845833333333336E-3</v>
      </c>
      <c r="E41" s="12">
        <v>0.58179999999999998</v>
      </c>
      <c r="F41" s="11">
        <f>C41/4</f>
        <v>1.0995370370370371E-3</v>
      </c>
      <c r="G41" s="11">
        <f>D41/7.5</f>
        <v>1.1312777777777777E-3</v>
      </c>
      <c r="H41" s="11">
        <f>B41/12.5</f>
        <v>1.1666666666666668E-3</v>
      </c>
      <c r="I41" s="11">
        <f>G41/0.93</f>
        <v>1.2164277180406211E-3</v>
      </c>
      <c r="J41" s="11">
        <f>G41/0.92</f>
        <v>1.2296497584541061E-3</v>
      </c>
      <c r="K41" s="11">
        <f>G41/0.88</f>
        <v>1.2855429292929293E-3</v>
      </c>
      <c r="L41" s="11">
        <f>G41/0.84</f>
        <v>1.3467592592592591E-3</v>
      </c>
      <c r="M41" s="25"/>
      <c r="N41" s="28"/>
      <c r="O41" s="25"/>
      <c r="P41" s="25"/>
      <c r="Q41" s="25"/>
      <c r="R41" s="25"/>
      <c r="S41" s="28"/>
      <c r="T41" s="28"/>
      <c r="U41" s="28"/>
      <c r="V41" s="28"/>
      <c r="W41" s="15" t="s">
        <v>52</v>
      </c>
      <c r="X41" s="52" t="s">
        <v>296</v>
      </c>
    </row>
    <row r="42" spans="1:24" ht="21" customHeight="1">
      <c r="A42" s="10" t="s">
        <v>57</v>
      </c>
      <c r="B42" s="11"/>
      <c r="C42" s="11"/>
      <c r="D42" s="11"/>
      <c r="E42" s="12"/>
      <c r="F42" s="11"/>
      <c r="G42" s="11"/>
      <c r="H42" s="11"/>
      <c r="I42" s="11"/>
      <c r="J42" s="11"/>
      <c r="K42" s="11"/>
      <c r="L42" s="11"/>
      <c r="M42" s="25"/>
      <c r="N42" s="28"/>
      <c r="O42" s="25"/>
      <c r="P42" s="28"/>
      <c r="Q42" s="25"/>
      <c r="R42" s="28"/>
      <c r="S42" s="28"/>
      <c r="T42" s="11"/>
      <c r="U42" s="11"/>
      <c r="V42" s="11"/>
      <c r="W42" s="15" t="s">
        <v>52</v>
      </c>
      <c r="X42" s="52"/>
    </row>
    <row r="43" spans="1:24" ht="21" customHeight="1">
      <c r="A43" s="39"/>
      <c r="B43" s="40"/>
      <c r="C43" s="40"/>
      <c r="D43" s="40"/>
      <c r="E43" s="41"/>
      <c r="F43" s="40"/>
      <c r="G43" s="40"/>
      <c r="H43" s="40"/>
      <c r="I43" s="40"/>
      <c r="J43" s="40"/>
      <c r="K43" s="40"/>
      <c r="L43" s="40"/>
      <c r="M43" s="40" t="s">
        <v>39</v>
      </c>
      <c r="N43" s="40"/>
      <c r="O43" s="40"/>
      <c r="P43" s="40"/>
      <c r="Q43" s="40"/>
      <c r="R43" s="40"/>
      <c r="S43" s="40"/>
      <c r="T43" s="40"/>
      <c r="U43" s="40"/>
      <c r="V43" s="40"/>
      <c r="W43" s="42"/>
      <c r="X43" s="52"/>
    </row>
    <row r="44" spans="1:24" ht="21" customHeight="1">
      <c r="A44" s="10"/>
      <c r="B44" s="11"/>
      <c r="C44" s="11"/>
      <c r="D44" s="11"/>
      <c r="E44" s="12"/>
      <c r="F44" s="11"/>
      <c r="G44" s="11"/>
      <c r="H44" s="11"/>
      <c r="I44" s="11"/>
      <c r="J44" s="11"/>
      <c r="K44" s="11"/>
      <c r="L44" s="11"/>
      <c r="M44" s="13"/>
      <c r="N44" s="11"/>
      <c r="O44" s="11"/>
      <c r="P44" s="11"/>
      <c r="Q44" s="14"/>
      <c r="R44" s="11"/>
      <c r="S44" s="14"/>
      <c r="T44" s="14"/>
      <c r="U44" s="14"/>
      <c r="V44" s="17"/>
      <c r="W44" s="18"/>
      <c r="X44" s="52"/>
    </row>
    <row r="45" spans="1:24" ht="21" customHeight="1">
      <c r="A45" s="39"/>
      <c r="B45" s="40"/>
      <c r="C45" s="40"/>
      <c r="D45" s="40"/>
      <c r="E45" s="41"/>
      <c r="F45" s="40"/>
      <c r="G45" s="40"/>
      <c r="H45" s="40"/>
      <c r="I45" s="40"/>
      <c r="J45" s="40"/>
      <c r="K45" s="40"/>
      <c r="L45" s="40"/>
      <c r="M45" s="40"/>
      <c r="N45" s="40"/>
      <c r="O45" s="40"/>
      <c r="P45" s="40"/>
      <c r="Q45" s="40"/>
      <c r="R45" s="40"/>
      <c r="S45" s="40"/>
      <c r="T45" s="40"/>
      <c r="U45" s="40"/>
      <c r="V45" s="40"/>
      <c r="W45" s="42"/>
      <c r="X45" s="52"/>
    </row>
    <row r="46" spans="1:24" ht="21" customHeight="1">
      <c r="A46" s="10"/>
      <c r="B46" s="11"/>
      <c r="C46" s="11"/>
      <c r="D46" s="11"/>
      <c r="E46" s="12"/>
      <c r="F46" s="11"/>
      <c r="G46" s="11"/>
      <c r="H46" s="11"/>
      <c r="I46" s="11"/>
      <c r="J46" s="11"/>
      <c r="K46" s="11"/>
      <c r="L46" s="11"/>
      <c r="M46" s="45"/>
      <c r="N46" s="11"/>
      <c r="O46" s="11"/>
      <c r="P46" s="11"/>
      <c r="Q46" s="14"/>
      <c r="R46" s="11"/>
      <c r="S46" s="14"/>
      <c r="T46" s="11"/>
      <c r="U46" s="14"/>
      <c r="V46" s="17"/>
      <c r="W46" s="18"/>
      <c r="X46" s="52"/>
    </row>
    <row r="47" spans="1:24" ht="21" customHeight="1">
      <c r="A47" s="10"/>
      <c r="B47" s="11"/>
      <c r="C47" s="11"/>
      <c r="D47" s="11"/>
      <c r="E47" s="12"/>
      <c r="F47" s="11"/>
      <c r="G47" s="11"/>
      <c r="H47" s="11"/>
      <c r="I47" s="11"/>
      <c r="J47" s="11"/>
      <c r="K47" s="11"/>
      <c r="L47" s="11"/>
      <c r="M47" s="45"/>
      <c r="N47" s="11"/>
      <c r="O47" s="11"/>
      <c r="P47" s="11"/>
      <c r="Q47" s="14"/>
      <c r="R47" s="11"/>
      <c r="S47" s="14"/>
      <c r="T47" s="11"/>
      <c r="U47" s="14"/>
      <c r="V47" s="17"/>
      <c r="W47" s="18"/>
      <c r="X47" s="52"/>
    </row>
    <row r="48" spans="1:24" ht="21" customHeight="1">
      <c r="A48" s="10"/>
      <c r="B48" s="11"/>
      <c r="C48" s="11"/>
      <c r="D48" s="11"/>
      <c r="E48" s="12"/>
      <c r="F48" s="11"/>
      <c r="G48" s="11"/>
      <c r="H48" s="11"/>
      <c r="I48" s="11"/>
      <c r="J48" s="11"/>
      <c r="K48" s="11"/>
      <c r="L48" s="11"/>
      <c r="M48" s="14"/>
      <c r="N48" s="11"/>
      <c r="O48" s="14"/>
      <c r="P48" s="11"/>
      <c r="Q48" s="14"/>
      <c r="R48" s="11"/>
      <c r="S48" s="14"/>
      <c r="T48" s="14"/>
      <c r="U48" s="14"/>
      <c r="V48" s="11"/>
      <c r="W48" s="15"/>
      <c r="X48" s="52"/>
    </row>
    <row r="49" spans="1:24" ht="21" customHeight="1">
      <c r="A49" s="10"/>
      <c r="B49" s="11"/>
      <c r="C49" s="11"/>
      <c r="D49" s="11"/>
      <c r="E49" s="12"/>
      <c r="F49" s="11"/>
      <c r="G49" s="11"/>
      <c r="H49" s="11"/>
      <c r="I49" s="11"/>
      <c r="J49" s="11"/>
      <c r="K49" s="11"/>
      <c r="L49" s="11"/>
      <c r="M49" s="14"/>
      <c r="O49" s="14"/>
      <c r="P49" s="11"/>
      <c r="Q49" s="14"/>
      <c r="R49" s="11"/>
      <c r="S49" s="14"/>
      <c r="T49" s="14"/>
      <c r="U49" s="14"/>
      <c r="V49" s="11"/>
      <c r="W49" s="15"/>
      <c r="X49" s="52"/>
    </row>
    <row r="50" spans="1:24" ht="21" customHeight="1">
      <c r="A50" s="10"/>
      <c r="B50" s="11"/>
      <c r="C50" s="11"/>
      <c r="D50" s="11"/>
      <c r="E50" s="12"/>
      <c r="F50" s="11"/>
      <c r="G50" s="11"/>
      <c r="H50" s="11"/>
      <c r="I50" s="11"/>
      <c r="J50" s="11"/>
      <c r="K50" s="11"/>
      <c r="L50" s="11"/>
      <c r="M50" s="13"/>
      <c r="N50" s="11"/>
      <c r="O50" s="11"/>
      <c r="P50" s="11"/>
      <c r="Q50" s="14"/>
      <c r="R50" s="11"/>
      <c r="S50" s="14"/>
      <c r="T50" s="14"/>
      <c r="U50" s="14"/>
      <c r="V50" s="17"/>
      <c r="W50" s="18"/>
      <c r="X50" s="52"/>
    </row>
    <row r="51" spans="1:24" ht="21" customHeight="1">
      <c r="A51" s="10"/>
      <c r="B51" s="11"/>
      <c r="C51" s="11"/>
      <c r="D51" s="11"/>
      <c r="E51" s="12"/>
      <c r="F51" s="11"/>
      <c r="G51" s="11"/>
      <c r="H51" s="11"/>
      <c r="I51" s="11"/>
      <c r="J51" s="11"/>
      <c r="K51" s="11"/>
      <c r="L51" s="11"/>
      <c r="M51" s="13"/>
      <c r="N51" s="11"/>
      <c r="O51" s="11"/>
      <c r="P51" s="11"/>
      <c r="Q51" s="14"/>
      <c r="R51" s="11"/>
      <c r="S51" s="14"/>
      <c r="T51" s="14"/>
      <c r="U51" s="14"/>
      <c r="V51" s="17"/>
      <c r="W51" s="18"/>
      <c r="X51" s="52"/>
    </row>
    <row r="52" spans="1:24" ht="21" customHeight="1">
      <c r="A52" s="10"/>
      <c r="B52" s="11"/>
      <c r="C52" s="11"/>
      <c r="D52" s="11"/>
      <c r="E52" s="12"/>
      <c r="F52" s="11"/>
      <c r="G52" s="11"/>
      <c r="H52" s="11"/>
      <c r="I52" s="11"/>
      <c r="J52" s="11"/>
      <c r="K52" s="11"/>
      <c r="L52" s="11"/>
      <c r="M52" s="14"/>
      <c r="N52" s="11"/>
      <c r="O52" s="14"/>
      <c r="P52" s="11"/>
      <c r="Q52" s="14"/>
      <c r="R52" s="11"/>
      <c r="S52" s="14"/>
      <c r="T52" s="14"/>
      <c r="U52" s="14"/>
      <c r="V52" s="11"/>
      <c r="W52" s="15"/>
      <c r="X52" s="52"/>
    </row>
    <row r="53" spans="1:24" ht="21" customHeight="1">
      <c r="A53" s="10"/>
      <c r="B53" s="11"/>
      <c r="C53" s="11"/>
      <c r="D53" s="11"/>
      <c r="E53" s="12"/>
      <c r="F53" s="11"/>
      <c r="G53" s="11"/>
      <c r="H53" s="11"/>
      <c r="I53" s="11"/>
      <c r="J53" s="11"/>
      <c r="K53" s="11"/>
      <c r="L53" s="17"/>
      <c r="M53" s="14"/>
      <c r="N53" s="11"/>
      <c r="O53" s="11"/>
      <c r="P53" s="11"/>
      <c r="Q53" s="14"/>
      <c r="R53" s="11"/>
      <c r="S53" s="14"/>
      <c r="T53" s="11"/>
      <c r="U53" s="11"/>
      <c r="V53" s="11"/>
      <c r="W53" s="15"/>
      <c r="X53" s="52"/>
    </row>
    <row r="54" spans="1:24" ht="21" customHeight="1">
      <c r="A54" s="10"/>
      <c r="B54" s="11"/>
      <c r="C54" s="11"/>
      <c r="D54" s="11"/>
      <c r="E54" s="12"/>
      <c r="F54" s="11"/>
      <c r="G54" s="11"/>
      <c r="H54" s="11"/>
      <c r="I54" s="11"/>
      <c r="J54" s="11"/>
      <c r="K54" s="11"/>
      <c r="L54" s="11"/>
      <c r="M54" s="13"/>
      <c r="N54" s="11"/>
      <c r="O54" s="11"/>
      <c r="P54" s="11"/>
      <c r="Q54" s="14"/>
      <c r="R54" s="11"/>
      <c r="S54" s="14"/>
      <c r="T54" s="14"/>
      <c r="U54" s="14"/>
      <c r="V54" s="17"/>
      <c r="W54" s="18"/>
      <c r="X54" s="52"/>
    </row>
    <row r="55" spans="1:24" ht="21" customHeight="1">
      <c r="A55" s="10"/>
      <c r="B55" s="11"/>
      <c r="C55" s="11"/>
      <c r="D55" s="11"/>
      <c r="E55" s="12"/>
      <c r="F55" s="11"/>
      <c r="G55" s="11"/>
      <c r="H55" s="11"/>
      <c r="I55" s="11"/>
      <c r="J55" s="11"/>
      <c r="K55" s="11"/>
      <c r="L55" s="11"/>
      <c r="M55" s="13"/>
      <c r="N55" s="11"/>
      <c r="O55" s="14"/>
      <c r="P55" s="11"/>
      <c r="Q55" s="14"/>
      <c r="R55" s="11"/>
      <c r="S55" s="14"/>
      <c r="T55" s="14"/>
      <c r="U55" s="14"/>
      <c r="V55" s="11"/>
      <c r="W55" s="18"/>
      <c r="X55" s="52"/>
    </row>
    <row r="56" spans="1:24" ht="21" customHeight="1">
      <c r="A56" s="10"/>
      <c r="B56" s="11"/>
      <c r="C56" s="11"/>
      <c r="D56" s="11"/>
      <c r="E56" s="12"/>
      <c r="F56" s="11"/>
      <c r="G56" s="11"/>
      <c r="H56" s="11"/>
      <c r="I56" s="11"/>
      <c r="J56" s="11"/>
      <c r="K56" s="11"/>
      <c r="L56" s="11"/>
      <c r="M56" s="13"/>
      <c r="N56" s="11"/>
      <c r="O56" s="11"/>
      <c r="P56" s="11"/>
      <c r="Q56" s="14"/>
      <c r="R56" s="11"/>
      <c r="S56" s="14"/>
      <c r="T56" s="14"/>
      <c r="U56" s="14"/>
      <c r="V56" s="17"/>
      <c r="W56" s="18"/>
      <c r="X56" s="52"/>
    </row>
    <row r="57" spans="1:24" ht="21" customHeight="1" thickBot="1">
      <c r="A57" s="10"/>
      <c r="B57" s="11"/>
      <c r="C57" s="11"/>
      <c r="D57" s="11"/>
      <c r="E57" s="12"/>
      <c r="F57" s="11"/>
      <c r="G57" s="11"/>
      <c r="H57" s="11"/>
      <c r="I57" s="11"/>
      <c r="J57" s="11"/>
      <c r="K57" s="11"/>
      <c r="L57" s="11"/>
      <c r="M57" s="13"/>
      <c r="N57" s="11"/>
      <c r="O57" s="11"/>
      <c r="P57" s="11"/>
      <c r="Q57" s="14"/>
      <c r="R57" s="11"/>
      <c r="S57" s="14"/>
      <c r="T57" s="14"/>
      <c r="U57" s="14"/>
      <c r="V57" s="17"/>
      <c r="W57" s="18"/>
      <c r="X57" s="52"/>
    </row>
    <row r="58" spans="1:24" ht="20.45" customHeight="1">
      <c r="A58" s="1" t="s">
        <v>279</v>
      </c>
      <c r="B58" s="2" t="s">
        <v>1</v>
      </c>
      <c r="C58" s="2" t="s">
        <v>2</v>
      </c>
      <c r="D58" s="2" t="s">
        <v>3</v>
      </c>
      <c r="E58" s="3" t="s">
        <v>4</v>
      </c>
      <c r="F58" s="2" t="s">
        <v>5</v>
      </c>
      <c r="G58" s="2" t="s">
        <v>6</v>
      </c>
      <c r="H58" s="2" t="s">
        <v>7</v>
      </c>
      <c r="I58" s="4" t="s">
        <v>8</v>
      </c>
      <c r="J58" s="2" t="s">
        <v>9</v>
      </c>
      <c r="K58" s="2" t="s">
        <v>10</v>
      </c>
      <c r="L58" s="2" t="s">
        <v>11</v>
      </c>
      <c r="M58" s="6" t="s">
        <v>280</v>
      </c>
      <c r="N58" s="6" t="s">
        <v>281</v>
      </c>
      <c r="O58" s="7" t="s">
        <v>12</v>
      </c>
      <c r="P58" s="8" t="s">
        <v>282</v>
      </c>
      <c r="Q58" s="8" t="s">
        <v>17</v>
      </c>
      <c r="R58" s="7" t="s">
        <v>283</v>
      </c>
      <c r="S58" s="7" t="s">
        <v>284</v>
      </c>
      <c r="T58" s="7" t="s">
        <v>285</v>
      </c>
      <c r="U58" s="7" t="s">
        <v>286</v>
      </c>
      <c r="V58" s="8" t="s">
        <v>21</v>
      </c>
      <c r="W58" s="24" t="s">
        <v>22</v>
      </c>
      <c r="X58" s="52" t="s">
        <v>287</v>
      </c>
    </row>
    <row r="59" spans="1:24" ht="20.45" customHeight="1">
      <c r="A59" s="10" t="s">
        <v>79</v>
      </c>
      <c r="B59" s="11">
        <v>9.8379629629629633E-3</v>
      </c>
      <c r="C59" s="11">
        <v>2.9745370370370373E-3</v>
      </c>
      <c r="D59" s="11">
        <f>B59*E59</f>
        <v>5.7237268518518522E-3</v>
      </c>
      <c r="E59" s="12">
        <v>0.58179999999999998</v>
      </c>
      <c r="F59" s="11">
        <f>C59/4</f>
        <v>7.4363425925925931E-4</v>
      </c>
      <c r="G59" s="11">
        <f>D59/7.5</f>
        <v>7.6316358024691364E-4</v>
      </c>
      <c r="H59" s="11">
        <f>B59/12.5</f>
        <v>7.8703703703703705E-4</v>
      </c>
      <c r="I59" s="11">
        <f>G59/0.93</f>
        <v>8.2060600026549854E-4</v>
      </c>
      <c r="J59" s="11">
        <f>G59/0.92</f>
        <v>8.29525630703167E-4</v>
      </c>
      <c r="K59" s="11">
        <f>G59/0.88</f>
        <v>8.6723134118967459E-4</v>
      </c>
      <c r="L59" s="11">
        <f>G59/0.84</f>
        <v>9.085280717225163E-4</v>
      </c>
      <c r="M59" s="25">
        <f>WO2025Jan7men11915171923252931333539414345474955575963656769717375777913171921[[#This Row],[10k]]</f>
        <v>8.2060600026549854E-4</v>
      </c>
      <c r="N59" s="28">
        <f>WO2025Jan7men11915171923252931333539414345474955575963656769717375777913171921[[#This Row],[10k]]*4</f>
        <v>3.2824240010619942E-3</v>
      </c>
      <c r="O59" s="25">
        <f>WO2025Jan7men11915171923252931333539414345474955575963656769717375777913171921[[#This Row],[Thresh L]]</f>
        <v>9.085280717225163E-4</v>
      </c>
      <c r="P59" s="25">
        <f>WO2025Jan7men11915171923252931333539414345474955575963656769717375777913171921[[#This Row],[Thresh L]]*5</f>
        <v>4.5426403586125812E-3</v>
      </c>
      <c r="Q59" s="25">
        <f>WO2025Jan7men11915171923252931333539414345474955575963656769717375777913171921[[#This Row],[I]]</f>
        <v>7.8703703703703705E-4</v>
      </c>
      <c r="R59" s="28">
        <f>WO2025Jan7men11915171923252931333539414345474955575963656769717375777913171921[[#This Row],[I]]*3</f>
        <v>2.3611111111111111E-3</v>
      </c>
      <c r="S59" s="25">
        <f>WO2025Jan7men11915171923252931333539414345474955575963656769717375777913171921[[#This Row],[VO2]]</f>
        <v>7.6316358024691364E-4</v>
      </c>
      <c r="T59" s="25">
        <f>WO2025Jan7men11915171923252931333539414345474955575963656769717375777913171921[[#This Row],[VO2]]*2</f>
        <v>1.5263271604938273E-3</v>
      </c>
      <c r="U59" s="28" t="s">
        <v>25</v>
      </c>
      <c r="V59" s="25"/>
      <c r="W59" s="15" t="s">
        <v>288</v>
      </c>
      <c r="X59" s="52"/>
    </row>
    <row r="60" spans="1:24" ht="20.45" customHeight="1">
      <c r="A60" s="10" t="s">
        <v>80</v>
      </c>
      <c r="B60" s="11">
        <v>9.8379629629629633E-3</v>
      </c>
      <c r="C60" s="11">
        <v>2.8587962962962963E-3</v>
      </c>
      <c r="D60" s="11">
        <f>B60*E60</f>
        <v>5.7237268518518522E-3</v>
      </c>
      <c r="E60" s="12">
        <v>0.58179999999999998</v>
      </c>
      <c r="F60" s="11">
        <f>C60/4</f>
        <v>7.1469907407407409E-4</v>
      </c>
      <c r="G60" s="11">
        <f>D60/7.5</f>
        <v>7.6316358024691364E-4</v>
      </c>
      <c r="H60" s="11">
        <f>B60/12.5</f>
        <v>7.8703703703703705E-4</v>
      </c>
      <c r="I60" s="11">
        <f>G60/0.93</f>
        <v>8.2060600026549854E-4</v>
      </c>
      <c r="J60" s="11">
        <f>G60/0.92</f>
        <v>8.29525630703167E-4</v>
      </c>
      <c r="K60" s="11">
        <f>G60/0.88</f>
        <v>8.6723134118967459E-4</v>
      </c>
      <c r="L60" s="11">
        <f>G60/0.84</f>
        <v>9.085280717225163E-4</v>
      </c>
      <c r="M60" s="25">
        <f>WO2025Jan7men11915171923252931333539414345474955575963656769717375777913171921[[#This Row],[10k]]</f>
        <v>8.2060600026549854E-4</v>
      </c>
      <c r="N60" s="28">
        <f>WO2025Jan7men11915171923252931333539414345474955575963656769717375777913171921[[#This Row],[10k]]*4</f>
        <v>3.2824240010619942E-3</v>
      </c>
      <c r="O60" s="25">
        <f>WO2025Jan7men11915171923252931333539414345474955575963656769717375777913171921[[#This Row],[Thresh L]]</f>
        <v>9.085280717225163E-4</v>
      </c>
      <c r="P60" s="25">
        <f>WO2025Jan7men11915171923252931333539414345474955575963656769717375777913171921[[#This Row],[Thresh L]]*5</f>
        <v>4.5426403586125812E-3</v>
      </c>
      <c r="Q60" s="25">
        <f>WO2025Jan7men11915171923252931333539414345474955575963656769717375777913171921[[#This Row],[I]]</f>
        <v>7.8703703703703705E-4</v>
      </c>
      <c r="R60" s="28">
        <f>WO2025Jan7men11915171923252931333539414345474955575963656769717375777913171921[[#This Row],[I]]*3</f>
        <v>2.3611111111111111E-3</v>
      </c>
      <c r="S60" s="25">
        <f>WO2025Jan7men11915171923252931333539414345474955575963656769717375777913171921[[#This Row],[VO2]]</f>
        <v>7.6316358024691364E-4</v>
      </c>
      <c r="T60" s="25">
        <f>WO2025Jan7men11915171923252931333539414345474955575963656769717375777913171921[[#This Row],[VO2]]*2</f>
        <v>1.5263271604938273E-3</v>
      </c>
      <c r="U60" s="28" t="s">
        <v>25</v>
      </c>
      <c r="V60" s="25" t="s">
        <v>289</v>
      </c>
      <c r="W60" s="15" t="s">
        <v>288</v>
      </c>
      <c r="X60" s="52"/>
    </row>
    <row r="61" spans="1:24" ht="20.45" customHeight="1">
      <c r="A61" s="10" t="s">
        <v>109</v>
      </c>
      <c r="B61" s="11">
        <v>9.8379629629629633E-3</v>
      </c>
      <c r="C61" s="11">
        <v>2.9745370370370373E-3</v>
      </c>
      <c r="D61" s="11">
        <f>B61*E61</f>
        <v>5.7237268518518522E-3</v>
      </c>
      <c r="E61" s="12">
        <v>0.58179999999999998</v>
      </c>
      <c r="F61" s="11">
        <f>C61/4</f>
        <v>7.4363425925925931E-4</v>
      </c>
      <c r="G61" s="11">
        <f>D61/7.5</f>
        <v>7.6316358024691364E-4</v>
      </c>
      <c r="H61" s="11">
        <f>B61/12.5</f>
        <v>7.8703703703703705E-4</v>
      </c>
      <c r="I61" s="11">
        <f>G61/0.93</f>
        <v>8.2060600026549854E-4</v>
      </c>
      <c r="J61" s="11">
        <f>G61/0.92</f>
        <v>8.29525630703167E-4</v>
      </c>
      <c r="K61" s="11">
        <f>G61/0.88</f>
        <v>8.6723134118967459E-4</v>
      </c>
      <c r="L61" s="11">
        <f>G61/0.84</f>
        <v>9.085280717225163E-4</v>
      </c>
      <c r="M61" s="25">
        <f>WO2025Jan7men11915171923252931333539414345474955575963656769717375777913171921[[#This Row],[10k]]</f>
        <v>8.2060600026549854E-4</v>
      </c>
      <c r="N61" s="28">
        <f>WO2025Jan7men11915171923252931333539414345474955575963656769717375777913171921[[#This Row],[10k]]*4</f>
        <v>3.2824240010619942E-3</v>
      </c>
      <c r="O61" s="25">
        <f>WO2025Jan7men11915171923252931333539414345474955575963656769717375777913171921[[#This Row],[Thresh L]]</f>
        <v>9.085280717225163E-4</v>
      </c>
      <c r="P61" s="25">
        <f>WO2025Jan7men11915171923252931333539414345474955575963656769717375777913171921[[#This Row],[Thresh L]]*5</f>
        <v>4.5426403586125812E-3</v>
      </c>
      <c r="Q61" s="25">
        <f>WO2025Jan7men11915171923252931333539414345474955575963656769717375777913171921[[#This Row],[I]]</f>
        <v>7.8703703703703705E-4</v>
      </c>
      <c r="R61" s="28">
        <f>WO2025Jan7men11915171923252931333539414345474955575963656769717375777913171921[[#This Row],[I]]*3</f>
        <v>2.3611111111111111E-3</v>
      </c>
      <c r="S61" s="25">
        <f>WO2025Jan7men11915171923252931333539414345474955575963656769717375777913171921[[#This Row],[VO2]]</f>
        <v>7.6316358024691364E-4</v>
      </c>
      <c r="T61" s="25">
        <f>WO2025Jan7men11915171923252931333539414345474955575963656769717375777913171921[[#This Row],[VO2]]*2</f>
        <v>1.5263271604938273E-3</v>
      </c>
      <c r="U61" s="28" t="s">
        <v>25</v>
      </c>
      <c r="V61" s="25" t="s">
        <v>289</v>
      </c>
      <c r="W61" s="15" t="s">
        <v>288</v>
      </c>
      <c r="X61" s="52"/>
    </row>
    <row r="62" spans="1:24" ht="20.45" customHeight="1">
      <c r="A62" s="10" t="s">
        <v>81</v>
      </c>
      <c r="B62" s="11">
        <v>9.9537037037037042E-3</v>
      </c>
      <c r="C62" s="11">
        <v>2.9745370370370373E-3</v>
      </c>
      <c r="D62" s="11">
        <f>B62*E62</f>
        <v>5.7910648148148149E-3</v>
      </c>
      <c r="E62" s="12">
        <v>0.58179999999999998</v>
      </c>
      <c r="F62" s="11">
        <f>C62/4</f>
        <v>7.4363425925925931E-4</v>
      </c>
      <c r="G62" s="11">
        <f>D62/7.5</f>
        <v>7.7214197530864196E-4</v>
      </c>
      <c r="H62" s="11">
        <f>B62/12.5</f>
        <v>7.9629629629629636E-4</v>
      </c>
      <c r="I62" s="11">
        <f>G62/0.93</f>
        <v>8.3026018850391602E-4</v>
      </c>
      <c r="J62" s="11">
        <f>G62/0.92</f>
        <v>8.3928475577026292E-4</v>
      </c>
      <c r="K62" s="11">
        <f>G62/0.88</f>
        <v>8.7743406285072947E-4</v>
      </c>
      <c r="L62" s="11">
        <f>G62/0.84</f>
        <v>9.1921663727219285E-4</v>
      </c>
      <c r="M62" s="25">
        <f>WO2025Jan7men11915171923252931333539414345474955575963656769717375777913171921[[#This Row],[10k]]</f>
        <v>8.3026018850391602E-4</v>
      </c>
      <c r="N62" s="28">
        <f>WO2025Jan7men11915171923252931333539414345474955575963656769717375777913171921[[#This Row],[10k]]*4</f>
        <v>3.3210407540156641E-3</v>
      </c>
      <c r="O62" s="25">
        <f>WO2025Jan7men11915171923252931333539414345474955575963656769717375777913171921[[#This Row],[Thresh L]]</f>
        <v>9.1921663727219285E-4</v>
      </c>
      <c r="P62" s="25">
        <f>WO2025Jan7men11915171923252931333539414345474955575963656769717375777913171921[[#This Row],[Thresh L]]*5</f>
        <v>4.5960831863609639E-3</v>
      </c>
      <c r="Q62" s="25">
        <f>WO2025Jan7men11915171923252931333539414345474955575963656769717375777913171921[[#This Row],[I]]</f>
        <v>7.9629629629629636E-4</v>
      </c>
      <c r="R62" s="28">
        <f>WO2025Jan7men11915171923252931333539414345474955575963656769717375777913171921[[#This Row],[I]]*3</f>
        <v>2.3888888888888892E-3</v>
      </c>
      <c r="S62" s="25">
        <f>WO2025Jan7men11915171923252931333539414345474955575963656769717375777913171921[[#This Row],[VO2]]</f>
        <v>7.7214197530864196E-4</v>
      </c>
      <c r="T62" s="25">
        <f>WO2025Jan7men11915171923252931333539414345474955575963656769717375777913171921[[#This Row],[VO2]]*2</f>
        <v>1.5442839506172839E-3</v>
      </c>
      <c r="U62" s="28" t="s">
        <v>25</v>
      </c>
      <c r="V62" s="25"/>
      <c r="W62" s="15" t="s">
        <v>288</v>
      </c>
      <c r="X62" s="52"/>
    </row>
    <row r="63" spans="1:24" ht="20.45" customHeight="1">
      <c r="A63" s="10" t="s">
        <v>82</v>
      </c>
      <c r="B63" s="11">
        <v>9.9537037037037042E-3</v>
      </c>
      <c r="C63" s="11">
        <v>2.8935185185185188E-3</v>
      </c>
      <c r="D63" s="11">
        <f>B63*E63</f>
        <v>5.7910648148148149E-3</v>
      </c>
      <c r="E63" s="12">
        <v>0.58179999999999998</v>
      </c>
      <c r="F63" s="11">
        <f>C63/4</f>
        <v>7.233796296296297E-4</v>
      </c>
      <c r="G63" s="11">
        <f>D63/7.5</f>
        <v>7.7214197530864196E-4</v>
      </c>
      <c r="H63" s="11">
        <f>B63/12.5</f>
        <v>7.9629629629629636E-4</v>
      </c>
      <c r="I63" s="11">
        <f>G63/0.93</f>
        <v>8.3026018850391602E-4</v>
      </c>
      <c r="J63" s="11">
        <f>G63/0.92</f>
        <v>8.3928475577026292E-4</v>
      </c>
      <c r="K63" s="11">
        <f>G63/0.88</f>
        <v>8.7743406285072947E-4</v>
      </c>
      <c r="L63" s="11">
        <f>G63/0.84</f>
        <v>9.1921663727219285E-4</v>
      </c>
      <c r="M63" s="25">
        <f>WO2025Jan7men11915171923252931333539414345474955575963656769717375777913171921[[#This Row],[10k]]</f>
        <v>8.3026018850391602E-4</v>
      </c>
      <c r="N63" s="28">
        <f>WO2025Jan7men11915171923252931333539414345474955575963656769717375777913171921[[#This Row],[10k]]*4</f>
        <v>3.3210407540156641E-3</v>
      </c>
      <c r="O63" s="25">
        <f>WO2025Jan7men11915171923252931333539414345474955575963656769717375777913171921[[#This Row],[Thresh L]]</f>
        <v>9.1921663727219285E-4</v>
      </c>
      <c r="P63" s="25">
        <f>WO2025Jan7men11915171923252931333539414345474955575963656769717375777913171921[[#This Row],[Thresh L]]*5</f>
        <v>4.5960831863609639E-3</v>
      </c>
      <c r="Q63" s="25">
        <f>WO2025Jan7men11915171923252931333539414345474955575963656769717375777913171921[[#This Row],[I]]</f>
        <v>7.9629629629629636E-4</v>
      </c>
      <c r="R63" s="28">
        <f>WO2025Jan7men11915171923252931333539414345474955575963656769717375777913171921[[#This Row],[I]]*3</f>
        <v>2.3888888888888892E-3</v>
      </c>
      <c r="S63" s="25">
        <f>WO2025Jan7men11915171923252931333539414345474955575963656769717375777913171921[[#This Row],[VO2]]</f>
        <v>7.7214197530864196E-4</v>
      </c>
      <c r="T63" s="25">
        <f>WO2025Jan7men11915171923252931333539414345474955575963656769717375777913171921[[#This Row],[VO2]]*2</f>
        <v>1.5442839506172839E-3</v>
      </c>
      <c r="U63" s="28" t="s">
        <v>25</v>
      </c>
      <c r="V63" s="25"/>
      <c r="W63" s="15" t="s">
        <v>288</v>
      </c>
      <c r="X63" s="52"/>
    </row>
    <row r="64" spans="1:24" ht="20.45" customHeight="1">
      <c r="A64" s="10" t="s">
        <v>84</v>
      </c>
      <c r="B64" s="11">
        <v>1.0069444444444445E-2</v>
      </c>
      <c r="C64" s="11">
        <v>3.0092592592592593E-3</v>
      </c>
      <c r="D64" s="11">
        <f t="shared" ref="D64:D97" si="24">B64*E64</f>
        <v>5.8584027777777783E-3</v>
      </c>
      <c r="E64" s="12">
        <v>0.58179999999999998</v>
      </c>
      <c r="F64" s="11">
        <f t="shared" ref="F64:F97" si="25">C64/4</f>
        <v>7.5231481481481482E-4</v>
      </c>
      <c r="G64" s="11">
        <f t="shared" ref="G64:G97" si="26">D64/7.5</f>
        <v>7.811203703703705E-4</v>
      </c>
      <c r="H64" s="11">
        <f t="shared" ref="H64:H97" si="27">B64/12.5</f>
        <v>8.0555555555555556E-4</v>
      </c>
      <c r="I64" s="11">
        <f t="shared" ref="I64:I97" si="28">G64/0.93</f>
        <v>8.3991437674233382E-4</v>
      </c>
      <c r="J64" s="11">
        <f t="shared" ref="J64:J97" si="29">G64/0.92</f>
        <v>8.4904388083735917E-4</v>
      </c>
      <c r="K64" s="11">
        <f t="shared" ref="K64:K97" si="30">G64/0.88</f>
        <v>8.8763678451178466E-4</v>
      </c>
      <c r="L64" s="11">
        <f t="shared" ref="L64:L97" si="31">G64/0.84</f>
        <v>9.2990520282186973E-4</v>
      </c>
      <c r="M64" s="25">
        <f>WO2025Jan7men11915171923252931333539414345474955575963656769717375777913171921[[#This Row],[10k]]</f>
        <v>8.3991437674233382E-4</v>
      </c>
      <c r="N64" s="28">
        <f>WO2025Jan7men11915171923252931333539414345474955575963656769717375777913171921[[#This Row],[10k]]*4</f>
        <v>3.3596575069693353E-3</v>
      </c>
      <c r="O64" s="25">
        <f>WO2025Jan7men11915171923252931333539414345474955575963656769717375777913171921[[#This Row],[Thresh L]]</f>
        <v>9.2990520282186973E-4</v>
      </c>
      <c r="P64" s="25">
        <f>WO2025Jan7men11915171923252931333539414345474955575963656769717375777913171921[[#This Row],[Thresh L]]*5</f>
        <v>4.6495260141093484E-3</v>
      </c>
      <c r="Q64" s="25">
        <f>WO2025Jan7men11915171923252931333539414345474955575963656769717375777913171921[[#This Row],[I]]</f>
        <v>8.0555555555555556E-4</v>
      </c>
      <c r="R64" s="28">
        <f>WO2025Jan7men11915171923252931333539414345474955575963656769717375777913171921[[#This Row],[I]]*3</f>
        <v>2.4166666666666668E-3</v>
      </c>
      <c r="S64" s="25">
        <f>WO2025Jan7men11915171923252931333539414345474955575963656769717375777913171921[[#This Row],[VO2]]</f>
        <v>7.811203703703705E-4</v>
      </c>
      <c r="T64" s="25">
        <f>WO2025Jan7men11915171923252931333539414345474955575963656769717375777913171921[[#This Row],[VO2]]*2</f>
        <v>1.562240740740741E-3</v>
      </c>
      <c r="U64" s="28" t="s">
        <v>25</v>
      </c>
      <c r="V64" s="25"/>
      <c r="W64" s="15" t="s">
        <v>288</v>
      </c>
      <c r="X64" s="52"/>
    </row>
    <row r="65" spans="1:24" ht="20.45" customHeight="1">
      <c r="A65" s="10" t="s">
        <v>110</v>
      </c>
      <c r="B65" s="11">
        <v>1.0069444444444445E-2</v>
      </c>
      <c r="C65" s="11">
        <v>2.8935185185185184E-3</v>
      </c>
      <c r="D65" s="11">
        <f>B65*E65</f>
        <v>5.8584027777777783E-3</v>
      </c>
      <c r="E65" s="12">
        <v>0.58179999999999998</v>
      </c>
      <c r="F65" s="11">
        <f>C65/4</f>
        <v>7.2337962962962959E-4</v>
      </c>
      <c r="G65" s="11">
        <f>D65/7.5</f>
        <v>7.811203703703705E-4</v>
      </c>
      <c r="H65" s="11">
        <f>B65/12.5</f>
        <v>8.0555555555555556E-4</v>
      </c>
      <c r="I65" s="11">
        <f>G65/0.93</f>
        <v>8.3991437674233382E-4</v>
      </c>
      <c r="J65" s="11">
        <f>G65/0.92</f>
        <v>8.4904388083735917E-4</v>
      </c>
      <c r="K65" s="11">
        <f>G65/0.88</f>
        <v>8.8763678451178466E-4</v>
      </c>
      <c r="L65" s="11">
        <f>G65/0.84</f>
        <v>9.2990520282186973E-4</v>
      </c>
      <c r="M65" s="25"/>
      <c r="N65" s="28"/>
      <c r="O65" s="25">
        <f>WO2025Jan7men11915171923252931333539414345474955575963656769717375777913171921[[#This Row],[Thresh L]]</f>
        <v>9.2990520282186973E-4</v>
      </c>
      <c r="P65" s="25">
        <f>WO2025Jan7men11915171923252931333539414345474955575963656769717375777913171921[[#This Row],[Thresh L]]*5</f>
        <v>4.6495260141093484E-3</v>
      </c>
      <c r="Q65" s="25">
        <f>WO2025Jan7men11915171923252931333539414345474955575963656769717375777913171921[[#This Row],[I]]</f>
        <v>8.0555555555555556E-4</v>
      </c>
      <c r="R65" s="28">
        <f>WO2025Jan7men11915171923252931333539414345474955575963656769717375777913171921[[#This Row],[I]]*3</f>
        <v>2.4166666666666668E-3</v>
      </c>
      <c r="S65" s="25">
        <f>WO2025Jan7men11915171923252931333539414345474955575963656769717375777913171921[[#This Row],[VO2]]</f>
        <v>7.811203703703705E-4</v>
      </c>
      <c r="T65" s="25">
        <f>WO2025Jan7men11915171923252931333539414345474955575963656769717375777913171921[[#This Row],[VO2]]*2</f>
        <v>1.562240740740741E-3</v>
      </c>
      <c r="U65" s="28" t="s">
        <v>25</v>
      </c>
      <c r="V65" s="25" t="s">
        <v>289</v>
      </c>
      <c r="W65" s="15" t="s">
        <v>290</v>
      </c>
      <c r="X65" s="52"/>
    </row>
    <row r="66" spans="1:24" ht="20.45" customHeight="1">
      <c r="A66" s="10" t="s">
        <v>83</v>
      </c>
      <c r="B66" s="11">
        <v>1.0069444444444445E-2</v>
      </c>
      <c r="C66" s="11">
        <v>3.0671296296296297E-3</v>
      </c>
      <c r="D66" s="11">
        <f>B66*E66</f>
        <v>5.8584027777777783E-3</v>
      </c>
      <c r="E66" s="12">
        <v>0.58179999999999998</v>
      </c>
      <c r="F66" s="11">
        <f>C66/4</f>
        <v>7.6678240740740743E-4</v>
      </c>
      <c r="G66" s="11">
        <f>D66/7.5</f>
        <v>7.811203703703705E-4</v>
      </c>
      <c r="H66" s="11">
        <f>B66/12.5</f>
        <v>8.0555555555555556E-4</v>
      </c>
      <c r="I66" s="11">
        <f>G66/0.93</f>
        <v>8.3991437674233382E-4</v>
      </c>
      <c r="J66" s="11">
        <f>G66/0.92</f>
        <v>8.4904388083735917E-4</v>
      </c>
      <c r="K66" s="11">
        <f>G66/0.88</f>
        <v>8.8763678451178466E-4</v>
      </c>
      <c r="L66" s="11">
        <f>G66/0.84</f>
        <v>9.2990520282186973E-4</v>
      </c>
      <c r="M66" s="25">
        <f>WO2025Jan7men11915171923252931333539414345474955575963656769717375777913171921[[#This Row],[10k]]</f>
        <v>8.3991437674233382E-4</v>
      </c>
      <c r="N66" s="28">
        <f>WO2025Jan7men11915171923252931333539414345474955575963656769717375777913171921[[#This Row],[10k]]*4</f>
        <v>3.3596575069693353E-3</v>
      </c>
      <c r="O66" s="25">
        <f>WO2025Jan7men11915171923252931333539414345474955575963656769717375777913171921[[#This Row],[Thresh L]]</f>
        <v>9.2990520282186973E-4</v>
      </c>
      <c r="P66" s="25">
        <f>WO2025Jan7men11915171923252931333539414345474955575963656769717375777913171921[[#This Row],[Thresh L]]*5</f>
        <v>4.6495260141093484E-3</v>
      </c>
      <c r="Q66" s="25">
        <f>WO2025Jan7men11915171923252931333539414345474955575963656769717375777913171921[[#This Row],[I]]</f>
        <v>8.0555555555555556E-4</v>
      </c>
      <c r="R66" s="28">
        <f>WO2025Jan7men11915171923252931333539414345474955575963656769717375777913171921[[#This Row],[I]]*3</f>
        <v>2.4166666666666668E-3</v>
      </c>
      <c r="S66" s="25">
        <f>WO2025Jan7men11915171923252931333539414345474955575963656769717375777913171921[[#This Row],[VO2]]</f>
        <v>7.811203703703705E-4</v>
      </c>
      <c r="T66" s="25">
        <f>WO2025Jan7men11915171923252931333539414345474955575963656769717375777913171921[[#This Row],[VO2]]*2</f>
        <v>1.562240740740741E-3</v>
      </c>
      <c r="U66" s="28" t="s">
        <v>25</v>
      </c>
      <c r="V66" s="28"/>
      <c r="W66" s="15" t="s">
        <v>288</v>
      </c>
      <c r="X66" s="52"/>
    </row>
    <row r="67" spans="1:24" ht="20.45" customHeight="1">
      <c r="A67" s="10" t="s">
        <v>112</v>
      </c>
      <c r="B67" s="11">
        <v>1.0243055555555556E-2</v>
      </c>
      <c r="C67" s="11">
        <v>2.8587962962962963E-3</v>
      </c>
      <c r="D67" s="11">
        <f t="shared" si="24"/>
        <v>5.9594097222222218E-3</v>
      </c>
      <c r="E67" s="12">
        <v>0.58179999999999998</v>
      </c>
      <c r="F67" s="11">
        <f t="shared" si="25"/>
        <v>7.1469907407407409E-4</v>
      </c>
      <c r="G67" s="11">
        <f t="shared" si="26"/>
        <v>7.9458796296296287E-4</v>
      </c>
      <c r="H67" s="11">
        <f t="shared" si="27"/>
        <v>8.1944444444444447E-4</v>
      </c>
      <c r="I67" s="11">
        <f t="shared" si="28"/>
        <v>8.5439565909996003E-4</v>
      </c>
      <c r="J67" s="11">
        <f t="shared" si="29"/>
        <v>8.636825684380031E-4</v>
      </c>
      <c r="K67" s="11">
        <f t="shared" si="30"/>
        <v>9.0294086700336686E-4</v>
      </c>
      <c r="L67" s="11">
        <f t="shared" si="31"/>
        <v>9.4593805114638445E-4</v>
      </c>
      <c r="M67" s="25">
        <f>WO2025Jan7men11915171923252931333539414345474955575963656769717375777913171921[[#This Row],[10k]]</f>
        <v>8.5439565909996003E-4</v>
      </c>
      <c r="N67" s="28">
        <f>WO2025Jan7men11915171923252931333539414345474955575963656769717375777913171921[[#This Row],[10k]]*4</f>
        <v>3.4175826363998401E-3</v>
      </c>
      <c r="O67" s="25">
        <f>WO2025Jan7men11915171923252931333539414345474955575963656769717375777913171921[[#This Row],[Thresh L]]</f>
        <v>9.4593805114638445E-4</v>
      </c>
      <c r="P67" s="25">
        <f>WO2025Jan7men11915171923252931333539414345474955575963656769717375777913171921[[#This Row],[Thresh L]]*5</f>
        <v>4.7296902557319226E-3</v>
      </c>
      <c r="Q67" s="25">
        <f>WO2025Jan7men11915171923252931333539414345474955575963656769717375777913171921[[#This Row],[I]]</f>
        <v>8.1944444444444447E-4</v>
      </c>
      <c r="R67" s="28">
        <f>WO2025Jan7men11915171923252931333539414345474955575963656769717375777913171921[[#This Row],[I]]*3</f>
        <v>2.4583333333333332E-3</v>
      </c>
      <c r="S67" s="25">
        <f>WO2025Jan7men11915171923252931333539414345474955575963656769717375777913171921[[#This Row],[VO2]]</f>
        <v>7.9458796296296287E-4</v>
      </c>
      <c r="T67" s="25">
        <f>WO2025Jan7men11915171923252931333539414345474955575963656769717375777913171921[[#This Row],[VO2]]*2</f>
        <v>1.5891759259259257E-3</v>
      </c>
      <c r="U67" s="28" t="s">
        <v>25</v>
      </c>
      <c r="V67" s="25"/>
      <c r="W67" s="15" t="s">
        <v>288</v>
      </c>
      <c r="X67" s="52"/>
    </row>
    <row r="68" spans="1:24" ht="20.45" customHeight="1">
      <c r="A68" s="10" t="s">
        <v>93</v>
      </c>
      <c r="B68" s="11">
        <v>1.0243055555555556E-2</v>
      </c>
      <c r="C68" s="11"/>
      <c r="D68" s="11">
        <f t="shared" si="24"/>
        <v>5.9594097222222218E-3</v>
      </c>
      <c r="E68" s="12">
        <v>0.58179999999999998</v>
      </c>
      <c r="F68" s="11">
        <f t="shared" si="25"/>
        <v>0</v>
      </c>
      <c r="G68" s="11">
        <f t="shared" si="26"/>
        <v>7.9458796296296287E-4</v>
      </c>
      <c r="H68" s="11">
        <f t="shared" si="27"/>
        <v>8.1944444444444447E-4</v>
      </c>
      <c r="I68" s="11">
        <f t="shared" si="28"/>
        <v>8.5439565909996003E-4</v>
      </c>
      <c r="J68" s="11">
        <f t="shared" si="29"/>
        <v>8.636825684380031E-4</v>
      </c>
      <c r="K68" s="11">
        <f t="shared" si="30"/>
        <v>9.0294086700336686E-4</v>
      </c>
      <c r="L68" s="11">
        <f t="shared" si="31"/>
        <v>9.4593805114638445E-4</v>
      </c>
      <c r="M68" s="25">
        <f>WO2025Jan7men11915171923252931333539414345474955575963656769717375777913171921[[#This Row],[10k]]</f>
        <v>8.5439565909996003E-4</v>
      </c>
      <c r="N68" s="28">
        <f>WO2025Jan7men11915171923252931333539414345474955575963656769717375777913171921[[#This Row],[10k]]*4</f>
        <v>3.4175826363998401E-3</v>
      </c>
      <c r="O68" s="25">
        <f>WO2025Jan7men11915171923252931333539414345474955575963656769717375777913171921[[#This Row],[Thresh L]]</f>
        <v>9.4593805114638445E-4</v>
      </c>
      <c r="P68" s="25">
        <f>WO2025Jan7men11915171923252931333539414345474955575963656769717375777913171921[[#This Row],[Thresh L]]*5</f>
        <v>4.7296902557319226E-3</v>
      </c>
      <c r="Q68" s="25">
        <f>WO2025Jan7men11915171923252931333539414345474955575963656769717375777913171921[[#This Row],[I]]</f>
        <v>8.1944444444444447E-4</v>
      </c>
      <c r="R68" s="28">
        <f>WO2025Jan7men11915171923252931333539414345474955575963656769717375777913171921[[#This Row],[I]]*3</f>
        <v>2.4583333333333332E-3</v>
      </c>
      <c r="S68" s="25">
        <f>WO2025Jan7men11915171923252931333539414345474955575963656769717375777913171921[[#This Row],[VO2]]</f>
        <v>7.9458796296296287E-4</v>
      </c>
      <c r="T68" s="25">
        <f>WO2025Jan7men11915171923252931333539414345474955575963656769717375777913171921[[#This Row],[VO2]]*2</f>
        <v>1.5891759259259257E-3</v>
      </c>
      <c r="U68" s="28" t="s">
        <v>25</v>
      </c>
      <c r="V68" s="28"/>
      <c r="W68" s="27" t="s">
        <v>288</v>
      </c>
      <c r="X68" s="52" t="s">
        <v>292</v>
      </c>
    </row>
    <row r="69" spans="1:24" ht="20.45" customHeight="1">
      <c r="A69" s="10" t="s">
        <v>95</v>
      </c>
      <c r="B69" s="11">
        <v>1.0243055555555556E-2</v>
      </c>
      <c r="C69" s="11">
        <v>2.9513888888888888E-3</v>
      </c>
      <c r="D69" s="11">
        <f>B69*E69</f>
        <v>5.9594097222222218E-3</v>
      </c>
      <c r="E69" s="12">
        <v>0.58179999999999998</v>
      </c>
      <c r="F69" s="11">
        <f>C69/4</f>
        <v>7.378472222222222E-4</v>
      </c>
      <c r="G69" s="11">
        <f>D69/7.5</f>
        <v>7.9458796296296287E-4</v>
      </c>
      <c r="H69" s="11">
        <f>B69/12.5</f>
        <v>8.1944444444444447E-4</v>
      </c>
      <c r="I69" s="11">
        <f>G69/0.93</f>
        <v>8.5439565909996003E-4</v>
      </c>
      <c r="J69" s="11">
        <f>G69/0.92</f>
        <v>8.636825684380031E-4</v>
      </c>
      <c r="K69" s="11">
        <f>G69/0.88</f>
        <v>9.0294086700336686E-4</v>
      </c>
      <c r="L69" s="11">
        <f>G69/0.84</f>
        <v>9.4593805114638445E-4</v>
      </c>
      <c r="M69" s="25">
        <f>WO2025Jan7men11915171923252931333539414345474955575963656769717375777913171921[[#This Row],[10k]]</f>
        <v>8.5439565909996003E-4</v>
      </c>
      <c r="N69" s="28">
        <f>WO2025Jan7men11915171923252931333539414345474955575963656769717375777913171921[[#This Row],[10k]]*4</f>
        <v>3.4175826363998401E-3</v>
      </c>
      <c r="O69" s="25">
        <f>WO2025Jan7men11915171923252931333539414345474955575963656769717375777913171921[[#This Row],[Thresh L]]</f>
        <v>9.4593805114638445E-4</v>
      </c>
      <c r="P69" s="25">
        <f>WO2025Jan7men11915171923252931333539414345474955575963656769717375777913171921[[#This Row],[Thresh L]]*5</f>
        <v>4.7296902557319226E-3</v>
      </c>
      <c r="Q69" s="25">
        <f>WO2025Jan7men11915171923252931333539414345474955575963656769717375777913171921[[#This Row],[I]]</f>
        <v>8.1944444444444447E-4</v>
      </c>
      <c r="R69" s="28">
        <f>WO2025Jan7men11915171923252931333539414345474955575963656769717375777913171921[[#This Row],[I]]*3</f>
        <v>2.4583333333333332E-3</v>
      </c>
      <c r="S69" s="25">
        <f>WO2025Jan7men11915171923252931333539414345474955575963656769717375777913171921[[#This Row],[VO2]]</f>
        <v>7.9458796296296287E-4</v>
      </c>
      <c r="T69" s="25">
        <f>WO2025Jan7men11915171923252931333539414345474955575963656769717375777913171921[[#This Row],[VO2]]*2</f>
        <v>1.5891759259259257E-3</v>
      </c>
      <c r="U69" s="28" t="s">
        <v>25</v>
      </c>
      <c r="V69" s="25"/>
      <c r="W69" s="15" t="s">
        <v>288</v>
      </c>
      <c r="X69" s="52"/>
    </row>
    <row r="70" spans="1:24" ht="20.45" customHeight="1">
      <c r="A70" s="10" t="s">
        <v>116</v>
      </c>
      <c r="B70" s="11">
        <v>1.0243055555555556E-2</v>
      </c>
      <c r="C70" s="11">
        <v>2.9513888888888888E-3</v>
      </c>
      <c r="D70" s="11">
        <f>B70*E70</f>
        <v>5.9594097222222218E-3</v>
      </c>
      <c r="E70" s="12">
        <v>0.58179999999999998</v>
      </c>
      <c r="F70" s="11">
        <f>C70/4</f>
        <v>7.378472222222222E-4</v>
      </c>
      <c r="G70" s="11">
        <f>D70/7.5</f>
        <v>7.9458796296296287E-4</v>
      </c>
      <c r="H70" s="11">
        <f>B70/12.5</f>
        <v>8.1944444444444447E-4</v>
      </c>
      <c r="I70" s="11">
        <f>G70/0.93</f>
        <v>8.5439565909996003E-4</v>
      </c>
      <c r="J70" s="11">
        <f>G70/0.92</f>
        <v>8.636825684380031E-4</v>
      </c>
      <c r="K70" s="11">
        <f>G70/0.88</f>
        <v>9.0294086700336686E-4</v>
      </c>
      <c r="L70" s="17">
        <f>G70/0.84</f>
        <v>9.4593805114638445E-4</v>
      </c>
      <c r="M70" s="25"/>
      <c r="N70" s="28"/>
      <c r="O70" s="25">
        <f>WO2025Jan7men11915171923252931333539414345474955575963656769717375777913171921[[#This Row],[Thresh L]]</f>
        <v>9.4593805114638445E-4</v>
      </c>
      <c r="P70" s="25">
        <f>WO2025Jan7men11915171923252931333539414345474955575963656769717375777913171921[[#This Row],[Thresh L]]*5</f>
        <v>4.7296902557319226E-3</v>
      </c>
      <c r="Q70" s="25">
        <f>WO2025Jan7men11915171923252931333539414345474955575963656769717375777913171921[[#This Row],[I]]</f>
        <v>8.1944444444444447E-4</v>
      </c>
      <c r="R70" s="28">
        <f>WO2025Jan7men11915171923252931333539414345474955575963656769717375777913171921[[#This Row],[I]]*3</f>
        <v>2.4583333333333332E-3</v>
      </c>
      <c r="S70" s="25">
        <f>WO2025Jan7men11915171923252931333539414345474955575963656769717375777913171921[[#This Row],[VO2]]</f>
        <v>7.9458796296296287E-4</v>
      </c>
      <c r="T70" s="25">
        <f>WO2025Jan7men11915171923252931333539414345474955575963656769717375777913171921[[#This Row],[VO2]]*2</f>
        <v>1.5891759259259257E-3</v>
      </c>
      <c r="U70" s="28" t="s">
        <v>25</v>
      </c>
      <c r="V70" s="25" t="s">
        <v>289</v>
      </c>
      <c r="W70" s="15" t="s">
        <v>290</v>
      </c>
      <c r="X70" s="52"/>
    </row>
    <row r="71" spans="1:24" ht="20.45" customHeight="1">
      <c r="A71" s="10" t="s">
        <v>111</v>
      </c>
      <c r="B71" s="11">
        <v>1.0243055555555556E-2</v>
      </c>
      <c r="C71" s="11">
        <v>3.0092592592592588E-3</v>
      </c>
      <c r="D71" s="11">
        <f>B71*E71</f>
        <v>5.9594097222222218E-3</v>
      </c>
      <c r="E71" s="12">
        <v>0.58179999999999998</v>
      </c>
      <c r="F71" s="11">
        <f>C71/4</f>
        <v>7.5231481481481471E-4</v>
      </c>
      <c r="G71" s="11">
        <f>D71/7.5</f>
        <v>7.9458796296296287E-4</v>
      </c>
      <c r="H71" s="11">
        <f>B71/12.5</f>
        <v>8.1944444444444447E-4</v>
      </c>
      <c r="I71" s="11">
        <f>G71/0.93</f>
        <v>8.5439565909996003E-4</v>
      </c>
      <c r="J71" s="11">
        <f>G71/0.92</f>
        <v>8.636825684380031E-4</v>
      </c>
      <c r="K71" s="11">
        <f>G71/0.88</f>
        <v>9.0294086700336686E-4</v>
      </c>
      <c r="L71" s="11">
        <f>G71/0.84</f>
        <v>9.4593805114638445E-4</v>
      </c>
      <c r="M71" s="25"/>
      <c r="N71" s="28"/>
      <c r="O71" s="25">
        <f>WO2025Jan7men11915171923252931333539414345474955575963656769717375777913171921[[#This Row],[Thresh L]]</f>
        <v>9.4593805114638445E-4</v>
      </c>
      <c r="P71" s="25">
        <f>WO2025Jan7men11915171923252931333539414345474955575963656769717375777913171921[[#This Row],[Thresh L]]*5</f>
        <v>4.7296902557319226E-3</v>
      </c>
      <c r="Q71" s="25">
        <f>WO2025Jan7men11915171923252931333539414345474955575963656769717375777913171921[[#This Row],[I]]</f>
        <v>8.1944444444444447E-4</v>
      </c>
      <c r="R71" s="28">
        <f>WO2025Jan7men11915171923252931333539414345474955575963656769717375777913171921[[#This Row],[I]]*3</f>
        <v>2.4583333333333332E-3</v>
      </c>
      <c r="S71" s="25">
        <f>WO2025Jan7men11915171923252931333539414345474955575963656769717375777913171921[[#This Row],[VO2]]</f>
        <v>7.9458796296296287E-4</v>
      </c>
      <c r="T71" s="25">
        <f>WO2025Jan7men11915171923252931333539414345474955575963656769717375777913171921[[#This Row],[VO2]]*2</f>
        <v>1.5891759259259257E-3</v>
      </c>
      <c r="U71" s="28" t="s">
        <v>25</v>
      </c>
      <c r="V71" s="25"/>
      <c r="W71" s="15" t="s">
        <v>290</v>
      </c>
      <c r="X71" s="52"/>
    </row>
    <row r="72" spans="1:24" ht="20.45" customHeight="1">
      <c r="A72" s="10" t="s">
        <v>92</v>
      </c>
      <c r="B72" s="11">
        <v>1.0300925925925925E-2</v>
      </c>
      <c r="C72" s="11">
        <v>2.9745370370370373E-3</v>
      </c>
      <c r="D72" s="11">
        <f>B72*E72</f>
        <v>5.9930787037037027E-3</v>
      </c>
      <c r="E72" s="12">
        <v>0.58179999999999998</v>
      </c>
      <c r="F72" s="11">
        <f>C72/4</f>
        <v>7.4363425925925931E-4</v>
      </c>
      <c r="G72" s="11">
        <f>D72/7.5</f>
        <v>7.9907716049382703E-4</v>
      </c>
      <c r="H72" s="11">
        <f>B72/12.5</f>
        <v>8.2407407407407397E-4</v>
      </c>
      <c r="I72" s="11">
        <f>G72/0.93</f>
        <v>8.5922275321916877E-4</v>
      </c>
      <c r="J72" s="11">
        <f>G72/0.92</f>
        <v>8.6856213097155112E-4</v>
      </c>
      <c r="K72" s="11">
        <f>G72/0.88</f>
        <v>9.080422278338944E-4</v>
      </c>
      <c r="L72" s="11">
        <f>G72/0.84</f>
        <v>9.5128233392122272E-4</v>
      </c>
      <c r="M72" s="25"/>
      <c r="N72" s="28"/>
      <c r="O72" s="25">
        <f>WO2025Jan7men11915171923252931333539414345474955575963656769717375777913171921[[#This Row],[Thresh L]]</f>
        <v>9.5128233392122272E-4</v>
      </c>
      <c r="P72" s="25">
        <f>WO2025Jan7men11915171923252931333539414345474955575963656769717375777913171921[[#This Row],[Thresh L]]*5</f>
        <v>4.7564116696061139E-3</v>
      </c>
      <c r="Q72" s="25">
        <f>WO2025Jan7men11915171923252931333539414345474955575963656769717375777913171921[[#This Row],[I]]</f>
        <v>8.2407407407407397E-4</v>
      </c>
      <c r="R72" s="28">
        <f>WO2025Jan7men11915171923252931333539414345474955575963656769717375777913171921[[#This Row],[I]]*3</f>
        <v>2.472222222222222E-3</v>
      </c>
      <c r="S72" s="25">
        <f>WO2025Jan7men11915171923252931333539414345474955575963656769717375777913171921[[#This Row],[VO2]]</f>
        <v>7.9907716049382703E-4</v>
      </c>
      <c r="T72" s="25">
        <f>WO2025Jan7men11915171923252931333539414345474955575963656769717375777913171921[[#This Row],[VO2]]*2</f>
        <v>1.5981543209876541E-3</v>
      </c>
      <c r="U72" s="28" t="s">
        <v>25</v>
      </c>
      <c r="V72" s="25"/>
      <c r="W72" s="15" t="s">
        <v>290</v>
      </c>
      <c r="X72" s="52"/>
    </row>
    <row r="73" spans="1:24" ht="20.45" customHeight="1">
      <c r="A73" s="10" t="s">
        <v>86</v>
      </c>
      <c r="B73" s="11">
        <v>1.0300925925925925E-2</v>
      </c>
      <c r="C73" s="11">
        <v>3.0671296296296297E-3</v>
      </c>
      <c r="D73" s="11">
        <f t="shared" si="24"/>
        <v>5.9930787037037027E-3</v>
      </c>
      <c r="E73" s="12">
        <v>0.58179999999999998</v>
      </c>
      <c r="F73" s="11">
        <f t="shared" si="25"/>
        <v>7.6678240740740743E-4</v>
      </c>
      <c r="G73" s="11">
        <f t="shared" si="26"/>
        <v>7.9907716049382703E-4</v>
      </c>
      <c r="H73" s="11">
        <f t="shared" si="27"/>
        <v>8.2407407407407397E-4</v>
      </c>
      <c r="I73" s="11">
        <f t="shared" si="28"/>
        <v>8.5922275321916877E-4</v>
      </c>
      <c r="J73" s="11">
        <f t="shared" si="29"/>
        <v>8.6856213097155112E-4</v>
      </c>
      <c r="K73" s="11">
        <f t="shared" si="30"/>
        <v>9.080422278338944E-4</v>
      </c>
      <c r="L73" s="11">
        <f t="shared" si="31"/>
        <v>9.5128233392122272E-4</v>
      </c>
      <c r="M73" s="25">
        <f>WO2025Jan7men11915171923252931333539414345474955575963656769717375777913171921[[#This Row],[10k]]</f>
        <v>8.5922275321916877E-4</v>
      </c>
      <c r="N73" s="28">
        <f>WO2025Jan7men11915171923252931333539414345474955575963656769717375777913171921[[#This Row],[10k]]*4</f>
        <v>3.4368910128766751E-3</v>
      </c>
      <c r="O73" s="25">
        <f>WO2025Jan7men11915171923252931333539414345474955575963656769717375777913171921[[#This Row],[Thresh L]]</f>
        <v>9.5128233392122272E-4</v>
      </c>
      <c r="P73" s="25">
        <f>WO2025Jan7men11915171923252931333539414345474955575963656769717375777913171921[[#This Row],[Thresh L]]*5</f>
        <v>4.7564116696061139E-3</v>
      </c>
      <c r="Q73" s="25">
        <f>WO2025Jan7men11915171923252931333539414345474955575963656769717375777913171921[[#This Row],[I]]</f>
        <v>8.2407407407407397E-4</v>
      </c>
      <c r="R73" s="28">
        <f>WO2025Jan7men11915171923252931333539414345474955575963656769717375777913171921[[#This Row],[I]]*3</f>
        <v>2.472222222222222E-3</v>
      </c>
      <c r="S73" s="25">
        <f>WO2025Jan7men11915171923252931333539414345474955575963656769717375777913171921[[#This Row],[VO2]]</f>
        <v>7.9907716049382703E-4</v>
      </c>
      <c r="T73" s="25">
        <f>WO2025Jan7men11915171923252931333539414345474955575963656769717375777913171921[[#This Row],[VO2]]*2</f>
        <v>1.5981543209876541E-3</v>
      </c>
      <c r="U73" s="28" t="s">
        <v>25</v>
      </c>
      <c r="V73" s="25"/>
      <c r="W73" s="15" t="s">
        <v>288</v>
      </c>
      <c r="X73" s="52"/>
    </row>
    <row r="74" spans="1:24" ht="20.45" customHeight="1">
      <c r="A74" s="10" t="s">
        <v>117</v>
      </c>
      <c r="B74" s="11">
        <v>1.0300925925925925E-2</v>
      </c>
      <c r="C74" s="11">
        <v>3.0671296296296297E-3</v>
      </c>
      <c r="D74" s="11">
        <f t="shared" si="24"/>
        <v>5.9930787037037027E-3</v>
      </c>
      <c r="E74" s="12">
        <v>0.58179999999999998</v>
      </c>
      <c r="F74" s="11">
        <f t="shared" si="25"/>
        <v>7.6678240740740743E-4</v>
      </c>
      <c r="G74" s="11">
        <f t="shared" si="26"/>
        <v>7.9907716049382703E-4</v>
      </c>
      <c r="H74" s="11">
        <f t="shared" si="27"/>
        <v>8.2407407407407397E-4</v>
      </c>
      <c r="I74" s="11">
        <f t="shared" si="28"/>
        <v>8.5922275321916877E-4</v>
      </c>
      <c r="J74" s="11">
        <f t="shared" si="29"/>
        <v>8.6856213097155112E-4</v>
      </c>
      <c r="K74" s="11">
        <f t="shared" si="30"/>
        <v>9.080422278338944E-4</v>
      </c>
      <c r="L74" s="11">
        <f t="shared" si="31"/>
        <v>9.5128233392122272E-4</v>
      </c>
      <c r="M74" s="25"/>
      <c r="N74" s="28"/>
      <c r="O74" s="25">
        <f>WO2025Jan7men11915171923252931333539414345474955575963656769717375777913171921[[#This Row],[Thresh L]]</f>
        <v>9.5128233392122272E-4</v>
      </c>
      <c r="P74" s="25">
        <f>WO2025Jan7men11915171923252931333539414345474955575963656769717375777913171921[[#This Row],[Thresh L]]*5</f>
        <v>4.7564116696061139E-3</v>
      </c>
      <c r="Q74" s="25">
        <f>WO2025Jan7men11915171923252931333539414345474955575963656769717375777913171921[[#This Row],[I]]</f>
        <v>8.2407407407407397E-4</v>
      </c>
      <c r="R74" s="28">
        <f>WO2025Jan7men11915171923252931333539414345474955575963656769717375777913171921[[#This Row],[I]]*3</f>
        <v>2.472222222222222E-3</v>
      </c>
      <c r="S74" s="25">
        <f>WO2025Jan7men11915171923252931333539414345474955575963656769717375777913171921[[#This Row],[VO2]]</f>
        <v>7.9907716049382703E-4</v>
      </c>
      <c r="T74" s="25">
        <f>WO2025Jan7men11915171923252931333539414345474955575963656769717375777913171921[[#This Row],[VO2]]*2</f>
        <v>1.5981543209876541E-3</v>
      </c>
      <c r="U74" s="28" t="s">
        <v>25</v>
      </c>
      <c r="V74" s="25" t="s">
        <v>289</v>
      </c>
      <c r="W74" s="15" t="s">
        <v>290</v>
      </c>
      <c r="X74" s="52"/>
    </row>
    <row r="75" spans="1:24" ht="20.45" customHeight="1">
      <c r="A75" s="10" t="s">
        <v>118</v>
      </c>
      <c r="B75" s="11">
        <v>1.0300925925925925E-2</v>
      </c>
      <c r="C75" s="11">
        <v>3.0671296296296297E-3</v>
      </c>
      <c r="D75" s="11">
        <f>B75*E75</f>
        <v>5.9930787037037027E-3</v>
      </c>
      <c r="E75" s="12">
        <v>0.58179999999999998</v>
      </c>
      <c r="F75" s="11">
        <f>C75/4</f>
        <v>7.6678240740740743E-4</v>
      </c>
      <c r="G75" s="11">
        <f>D75/7.5</f>
        <v>7.9907716049382703E-4</v>
      </c>
      <c r="H75" s="11">
        <f>B75/12.5</f>
        <v>8.2407407407407397E-4</v>
      </c>
      <c r="I75" s="11">
        <f>G75/0.93</f>
        <v>8.5922275321916877E-4</v>
      </c>
      <c r="J75" s="11">
        <f>G75/0.92</f>
        <v>8.6856213097155112E-4</v>
      </c>
      <c r="K75" s="11">
        <f>G75/0.88</f>
        <v>9.080422278338944E-4</v>
      </c>
      <c r="L75" s="11">
        <f>G75/0.84</f>
        <v>9.5128233392122272E-4</v>
      </c>
      <c r="M75" s="25">
        <f>WO2025Jan7men11915171923252931333539414345474955575963656769717375777913171921[[#This Row],[10k]]</f>
        <v>8.5922275321916877E-4</v>
      </c>
      <c r="N75" s="28">
        <f>WO2025Jan7men11915171923252931333539414345474955575963656769717375777913171921[[#This Row],[10k]]*4</f>
        <v>3.4368910128766751E-3</v>
      </c>
      <c r="O75" s="25">
        <f>WO2025Jan7men11915171923252931333539414345474955575963656769717375777913171921[[#This Row],[Thresh L]]</f>
        <v>9.5128233392122272E-4</v>
      </c>
      <c r="P75" s="25">
        <f>WO2025Jan7men11915171923252931333539414345474955575963656769717375777913171921[[#This Row],[Thresh L]]*5</f>
        <v>4.7564116696061139E-3</v>
      </c>
      <c r="Q75" s="25">
        <f>WO2025Jan7men11915171923252931333539414345474955575963656769717375777913171921[[#This Row],[I]]</f>
        <v>8.2407407407407397E-4</v>
      </c>
      <c r="R75" s="28">
        <f>WO2025Jan7men11915171923252931333539414345474955575963656769717375777913171921[[#This Row],[I]]*3</f>
        <v>2.472222222222222E-3</v>
      </c>
      <c r="S75" s="25">
        <f>WO2025Jan7men11915171923252931333539414345474955575963656769717375777913171921[[#This Row],[VO2]]</f>
        <v>7.9907716049382703E-4</v>
      </c>
      <c r="T75" s="25">
        <f>WO2025Jan7men11915171923252931333539414345474955575963656769717375777913171921[[#This Row],[VO2]]*2</f>
        <v>1.5981543209876541E-3</v>
      </c>
      <c r="U75" s="28" t="s">
        <v>25</v>
      </c>
      <c r="V75" s="25"/>
      <c r="W75" s="15" t="s">
        <v>288</v>
      </c>
      <c r="X75" s="52"/>
    </row>
    <row r="76" spans="1:24" ht="20.45" customHeight="1">
      <c r="A76" s="10" t="s">
        <v>115</v>
      </c>
      <c r="B76" s="11">
        <v>1.0416666666666666E-2</v>
      </c>
      <c r="C76" s="11"/>
      <c r="D76" s="11">
        <f t="shared" si="24"/>
        <v>6.0604166666666662E-3</v>
      </c>
      <c r="E76" s="12">
        <v>0.58179999999999998</v>
      </c>
      <c r="F76" s="11">
        <f t="shared" si="25"/>
        <v>0</v>
      </c>
      <c r="G76" s="11">
        <f t="shared" si="26"/>
        <v>8.0805555555555546E-4</v>
      </c>
      <c r="H76" s="11">
        <f t="shared" si="27"/>
        <v>8.3333333333333328E-4</v>
      </c>
      <c r="I76" s="11">
        <f t="shared" si="28"/>
        <v>8.6887694145758646E-4</v>
      </c>
      <c r="J76" s="11">
        <f t="shared" si="29"/>
        <v>8.7832125603864715E-4</v>
      </c>
      <c r="K76" s="11">
        <f t="shared" si="30"/>
        <v>9.1824494949494938E-4</v>
      </c>
      <c r="L76" s="11">
        <f t="shared" si="31"/>
        <v>9.6197089947089938E-4</v>
      </c>
      <c r="M76" s="25"/>
      <c r="N76" s="28"/>
      <c r="O76" s="25">
        <f>WO2025Jan7men11915171923252931333539414345474955575963656769717375777913171921[[#This Row],[Thresh L]]</f>
        <v>9.6197089947089938E-4</v>
      </c>
      <c r="P76" s="25">
        <f>WO2025Jan7men11915171923252931333539414345474955575963656769717375777913171921[[#This Row],[Thresh L]]*5</f>
        <v>4.8098544973544967E-3</v>
      </c>
      <c r="Q76" s="25">
        <f>WO2025Jan7men11915171923252931333539414345474955575963656769717375777913171921[[#This Row],[I]]</f>
        <v>8.3333333333333328E-4</v>
      </c>
      <c r="R76" s="28">
        <f>WO2025Jan7men11915171923252931333539414345474955575963656769717375777913171921[[#This Row],[I]]*3</f>
        <v>2.4999999999999996E-3</v>
      </c>
      <c r="S76" s="25">
        <f>WO2025Jan7men11915171923252931333539414345474955575963656769717375777913171921[[#This Row],[VO2]]</f>
        <v>8.0805555555555546E-4</v>
      </c>
      <c r="T76" s="25">
        <f>WO2025Jan7men11915171923252931333539414345474955575963656769717375777913171921[[#This Row],[VO2]]*2</f>
        <v>1.6161111111111109E-3</v>
      </c>
      <c r="U76" s="28" t="s">
        <v>25</v>
      </c>
      <c r="V76" s="28" t="s">
        <v>289</v>
      </c>
      <c r="W76" s="27" t="s">
        <v>291</v>
      </c>
      <c r="X76" s="52"/>
    </row>
    <row r="77" spans="1:24" ht="20.45" customHeight="1">
      <c r="A77" s="10" t="s">
        <v>94</v>
      </c>
      <c r="B77" s="11">
        <v>1.0416666666666666E-2</v>
      </c>
      <c r="C77" s="11">
        <v>2.8935185185185188E-3</v>
      </c>
      <c r="D77" s="11">
        <f t="shared" si="24"/>
        <v>6.0604166666666662E-3</v>
      </c>
      <c r="E77" s="12">
        <v>0.58179999999999998</v>
      </c>
      <c r="F77" s="11">
        <f t="shared" si="25"/>
        <v>7.233796296296297E-4</v>
      </c>
      <c r="G77" s="11">
        <f t="shared" si="26"/>
        <v>8.0805555555555546E-4</v>
      </c>
      <c r="H77" s="11">
        <f t="shared" si="27"/>
        <v>8.3333333333333328E-4</v>
      </c>
      <c r="I77" s="11">
        <f t="shared" si="28"/>
        <v>8.6887694145758646E-4</v>
      </c>
      <c r="J77" s="11">
        <f t="shared" si="29"/>
        <v>8.7832125603864715E-4</v>
      </c>
      <c r="K77" s="11">
        <f t="shared" si="30"/>
        <v>9.1824494949494938E-4</v>
      </c>
      <c r="L77" s="17">
        <f t="shared" si="31"/>
        <v>9.6197089947089938E-4</v>
      </c>
      <c r="M77" s="25"/>
      <c r="N77" s="28"/>
      <c r="O77" s="25">
        <f>WO2025Jan7men11915171923252931333539414345474955575963656769717375777913171921[[#This Row],[Thresh L]]</f>
        <v>9.6197089947089938E-4</v>
      </c>
      <c r="P77" s="25">
        <f>WO2025Jan7men11915171923252931333539414345474955575963656769717375777913171921[[#This Row],[Thresh L]]*5</f>
        <v>4.8098544973544967E-3</v>
      </c>
      <c r="Q77" s="25">
        <f>WO2025Jan7men11915171923252931333539414345474955575963656769717375777913171921[[#This Row],[I]]</f>
        <v>8.3333333333333328E-4</v>
      </c>
      <c r="R77" s="28">
        <f>WO2025Jan7men11915171923252931333539414345474955575963656769717375777913171921[[#This Row],[I]]*3</f>
        <v>2.4999999999999996E-3</v>
      </c>
      <c r="S77" s="25">
        <f>WO2025Jan7men11915171923252931333539414345474955575963656769717375777913171921[[#This Row],[VO2]]</f>
        <v>8.0805555555555546E-4</v>
      </c>
      <c r="T77" s="25">
        <f>WO2025Jan7men11915171923252931333539414345474955575963656769717375777913171921[[#This Row],[VO2]]*2</f>
        <v>1.6161111111111109E-3</v>
      </c>
      <c r="U77" s="28" t="s">
        <v>25</v>
      </c>
      <c r="V77" s="25" t="s">
        <v>289</v>
      </c>
      <c r="W77" s="15" t="s">
        <v>290</v>
      </c>
      <c r="X77" s="52"/>
    </row>
    <row r="78" spans="1:24" ht="20.45" customHeight="1">
      <c r="A78" s="10" t="s">
        <v>119</v>
      </c>
      <c r="B78" s="11">
        <v>1.0416666666666666E-2</v>
      </c>
      <c r="C78" s="11"/>
      <c r="D78" s="11">
        <f t="shared" si="24"/>
        <v>6.0604166666666662E-3</v>
      </c>
      <c r="E78" s="12">
        <v>0.58179999999999998</v>
      </c>
      <c r="F78" s="11">
        <f t="shared" si="25"/>
        <v>0</v>
      </c>
      <c r="G78" s="11">
        <f t="shared" si="26"/>
        <v>8.0805555555555546E-4</v>
      </c>
      <c r="H78" s="11">
        <f t="shared" si="27"/>
        <v>8.3333333333333328E-4</v>
      </c>
      <c r="I78" s="11">
        <f t="shared" si="28"/>
        <v>8.6887694145758646E-4</v>
      </c>
      <c r="J78" s="11">
        <f t="shared" si="29"/>
        <v>8.7832125603864715E-4</v>
      </c>
      <c r="K78" s="11">
        <f t="shared" si="30"/>
        <v>9.1824494949494938E-4</v>
      </c>
      <c r="L78" s="11">
        <f t="shared" si="31"/>
        <v>9.6197089947089938E-4</v>
      </c>
      <c r="M78" s="25"/>
      <c r="N78" s="28"/>
      <c r="O78" s="25">
        <f>WO2025Jan7men11915171923252931333539414345474955575963656769717375777913171921[[#This Row],[Thresh L]]</f>
        <v>9.6197089947089938E-4</v>
      </c>
      <c r="P78" s="25">
        <f>WO2025Jan7men11915171923252931333539414345474955575963656769717375777913171921[[#This Row],[Thresh L]]*5</f>
        <v>4.8098544973544967E-3</v>
      </c>
      <c r="Q78" s="25">
        <f>WO2025Jan7men11915171923252931333539414345474955575963656769717375777913171921[[#This Row],[I]]</f>
        <v>8.3333333333333328E-4</v>
      </c>
      <c r="R78" s="28">
        <f>WO2025Jan7men11915171923252931333539414345474955575963656769717375777913171921[[#This Row],[I]]*3</f>
        <v>2.4999999999999996E-3</v>
      </c>
      <c r="S78" s="25">
        <f>WO2025Jan7men11915171923252931333539414345474955575963656769717375777913171921[[#This Row],[VO2]]</f>
        <v>8.0805555555555546E-4</v>
      </c>
      <c r="T78" s="25">
        <f>WO2025Jan7men11915171923252931333539414345474955575963656769717375777913171921[[#This Row],[VO2]]*2</f>
        <v>1.6161111111111109E-3</v>
      </c>
      <c r="U78" s="28" t="s">
        <v>25</v>
      </c>
      <c r="V78" s="28"/>
      <c r="W78" s="27" t="s">
        <v>290</v>
      </c>
      <c r="X78" s="52" t="s">
        <v>293</v>
      </c>
    </row>
    <row r="79" spans="1:24" ht="20.45" customHeight="1">
      <c r="A79" s="10" t="s">
        <v>120</v>
      </c>
      <c r="B79" s="11">
        <v>1.0416666666666666E-2</v>
      </c>
      <c r="C79" s="11">
        <v>3.1250000000000002E-3</v>
      </c>
      <c r="D79" s="11">
        <f t="shared" si="24"/>
        <v>6.0604166666666662E-3</v>
      </c>
      <c r="E79" s="12">
        <v>0.58179999999999998</v>
      </c>
      <c r="F79" s="11">
        <f t="shared" si="25"/>
        <v>7.8125000000000004E-4</v>
      </c>
      <c r="G79" s="11">
        <f t="shared" si="26"/>
        <v>8.0805555555555546E-4</v>
      </c>
      <c r="H79" s="11">
        <f t="shared" si="27"/>
        <v>8.3333333333333328E-4</v>
      </c>
      <c r="I79" s="11">
        <f t="shared" si="28"/>
        <v>8.6887694145758646E-4</v>
      </c>
      <c r="J79" s="11">
        <f t="shared" si="29"/>
        <v>8.7832125603864715E-4</v>
      </c>
      <c r="K79" s="11">
        <f t="shared" si="30"/>
        <v>9.1824494949494938E-4</v>
      </c>
      <c r="L79" s="11">
        <f t="shared" si="31"/>
        <v>9.6197089947089938E-4</v>
      </c>
      <c r="M79" s="25"/>
      <c r="N79" s="28"/>
      <c r="O79" s="25">
        <f>WO2025Jan7men11915171923252931333539414345474955575963656769717375777913171921[[#This Row],[Thresh L]]</f>
        <v>9.6197089947089938E-4</v>
      </c>
      <c r="P79" s="25">
        <f>WO2025Jan7men11915171923252931333539414345474955575963656769717375777913171921[[#This Row],[Thresh L]]*5</f>
        <v>4.8098544973544967E-3</v>
      </c>
      <c r="Q79" s="25">
        <f>WO2025Jan7men11915171923252931333539414345474955575963656769717375777913171921[[#This Row],[I]]</f>
        <v>8.3333333333333328E-4</v>
      </c>
      <c r="R79" s="28">
        <f>WO2025Jan7men11915171923252931333539414345474955575963656769717375777913171921[[#This Row],[I]]*3</f>
        <v>2.4999999999999996E-3</v>
      </c>
      <c r="S79" s="25">
        <f>WO2025Jan7men11915171923252931333539414345474955575963656769717375777913171921[[#This Row],[VO2]]</f>
        <v>8.0805555555555546E-4</v>
      </c>
      <c r="T79" s="25">
        <f>WO2025Jan7men11915171923252931333539414345474955575963656769717375777913171921[[#This Row],[VO2]]*2</f>
        <v>1.6161111111111109E-3</v>
      </c>
      <c r="U79" s="28" t="s">
        <v>25</v>
      </c>
      <c r="V79" s="25"/>
      <c r="W79" s="15" t="s">
        <v>290</v>
      </c>
      <c r="X79" s="52"/>
    </row>
    <row r="80" spans="1:24" ht="20.45" customHeight="1">
      <c r="A80" s="10" t="s">
        <v>87</v>
      </c>
      <c r="B80" s="11">
        <v>1.0532407407407407E-2</v>
      </c>
      <c r="C80" s="11">
        <v>2.9745370370370373E-3</v>
      </c>
      <c r="D80" s="11">
        <f t="shared" si="24"/>
        <v>6.1277546296296288E-3</v>
      </c>
      <c r="E80" s="12">
        <v>0.58179999999999998</v>
      </c>
      <c r="F80" s="11">
        <f t="shared" si="25"/>
        <v>7.4363425925925931E-4</v>
      </c>
      <c r="G80" s="11">
        <f t="shared" si="26"/>
        <v>8.1703395061728389E-4</v>
      </c>
      <c r="H80" s="11">
        <f t="shared" si="27"/>
        <v>8.4259259259259259E-4</v>
      </c>
      <c r="I80" s="11">
        <f t="shared" si="28"/>
        <v>8.7853112969600415E-4</v>
      </c>
      <c r="J80" s="11">
        <f t="shared" si="29"/>
        <v>8.8808038110574329E-4</v>
      </c>
      <c r="K80" s="11">
        <f t="shared" si="30"/>
        <v>9.2844767115600447E-4</v>
      </c>
      <c r="L80" s="11">
        <f t="shared" si="31"/>
        <v>9.7265946502057604E-4</v>
      </c>
      <c r="M80" s="25">
        <f>WO2025Jan7men11915171923252931333539414345474955575963656769717375777913171921[[#This Row],[10k]]</f>
        <v>8.7853112969600415E-4</v>
      </c>
      <c r="N80" s="28">
        <f>WO2025Jan7men11915171923252931333539414345474955575963656769717375777913171921[[#This Row],[10k]]*4</f>
        <v>3.5141245187840166E-3</v>
      </c>
      <c r="O80" s="25">
        <f>WO2025Jan7men11915171923252931333539414345474955575963656769717375777913171921[[#This Row],[Thresh L]]</f>
        <v>9.7265946502057604E-4</v>
      </c>
      <c r="P80" s="25">
        <f>WO2025Jan7men11915171923252931333539414345474955575963656769717375777913171921[[#This Row],[Thresh L]]*5</f>
        <v>4.8632973251028803E-3</v>
      </c>
      <c r="Q80" s="25">
        <f>WO2025Jan7men11915171923252931333539414345474955575963656769717375777913171921[[#This Row],[I]]</f>
        <v>8.4259259259259259E-4</v>
      </c>
      <c r="R80" s="28">
        <f>WO2025Jan7men11915171923252931333539414345474955575963656769717375777913171921[[#This Row],[I]]*3</f>
        <v>2.5277777777777777E-3</v>
      </c>
      <c r="S80" s="25">
        <f>WO2025Jan7men11915171923252931333539414345474955575963656769717375777913171921[[#This Row],[VO2]]</f>
        <v>8.1703395061728389E-4</v>
      </c>
      <c r="T80" s="25">
        <f>WO2025Jan7men11915171923252931333539414345474955575963656769717375777913171921[[#This Row],[VO2]]*2</f>
        <v>1.6340679012345678E-3</v>
      </c>
      <c r="U80" s="28" t="s">
        <v>25</v>
      </c>
      <c r="V80" s="25"/>
      <c r="W80" s="15" t="s">
        <v>288</v>
      </c>
      <c r="X80" s="52"/>
    </row>
    <row r="81" spans="1:24" ht="20.45" customHeight="1">
      <c r="A81" s="10" t="s">
        <v>88</v>
      </c>
      <c r="B81" s="11">
        <v>1.0532407407407407E-2</v>
      </c>
      <c r="C81" s="11">
        <v>3.0671296296296297E-3</v>
      </c>
      <c r="D81" s="11">
        <f>B81*E81</f>
        <v>6.1277546296296288E-3</v>
      </c>
      <c r="E81" s="12">
        <v>0.58179999999999998</v>
      </c>
      <c r="F81" s="11">
        <f>C81/4</f>
        <v>7.6678240740740743E-4</v>
      </c>
      <c r="G81" s="11">
        <f>D81/7.5</f>
        <v>8.1703395061728389E-4</v>
      </c>
      <c r="H81" s="11">
        <f>B81/12.5</f>
        <v>8.4259259259259259E-4</v>
      </c>
      <c r="I81" s="11">
        <f>G81/0.93</f>
        <v>8.7853112969600415E-4</v>
      </c>
      <c r="J81" s="11">
        <f>G81/0.92</f>
        <v>8.8808038110574329E-4</v>
      </c>
      <c r="K81" s="11">
        <f>G81/0.88</f>
        <v>9.2844767115600447E-4</v>
      </c>
      <c r="L81" s="11">
        <f>G81/0.84</f>
        <v>9.7265946502057604E-4</v>
      </c>
      <c r="M81" s="25">
        <f>WO2025Jan7men11915171923252931333539414345474955575963656769717375777913171921[[#This Row],[10k]]</f>
        <v>8.7853112969600415E-4</v>
      </c>
      <c r="N81" s="28">
        <f>WO2025Jan7men11915171923252931333539414345474955575963656769717375777913171921[[#This Row],[10k]]*4</f>
        <v>3.5141245187840166E-3</v>
      </c>
      <c r="O81" s="25">
        <f>WO2025Jan7men11915171923252931333539414345474955575963656769717375777913171921[[#This Row],[Thresh L]]</f>
        <v>9.7265946502057604E-4</v>
      </c>
      <c r="P81" s="25">
        <f>WO2025Jan7men11915171923252931333539414345474955575963656769717375777913171921[[#This Row],[Thresh L]]*5</f>
        <v>4.8632973251028803E-3</v>
      </c>
      <c r="Q81" s="25">
        <f>WO2025Jan7men11915171923252931333539414345474955575963656769717375777913171921[[#This Row],[I]]</f>
        <v>8.4259259259259259E-4</v>
      </c>
      <c r="R81" s="28">
        <f>WO2025Jan7men11915171923252931333539414345474955575963656769717375777913171921[[#This Row],[I]]*3</f>
        <v>2.5277777777777777E-3</v>
      </c>
      <c r="S81" s="25">
        <f>WO2025Jan7men11915171923252931333539414345474955575963656769717375777913171921[[#This Row],[VO2]]</f>
        <v>8.1703395061728389E-4</v>
      </c>
      <c r="T81" s="25">
        <f>WO2025Jan7men11915171923252931333539414345474955575963656769717375777913171921[[#This Row],[VO2]]*2</f>
        <v>1.6340679012345678E-3</v>
      </c>
      <c r="U81" s="28" t="s">
        <v>25</v>
      </c>
      <c r="V81" s="44"/>
      <c r="W81" s="28" t="s">
        <v>288</v>
      </c>
      <c r="X81" s="52"/>
    </row>
    <row r="82" spans="1:24" ht="20.45" customHeight="1">
      <c r="A82" s="10" t="s">
        <v>121</v>
      </c>
      <c r="B82" s="11">
        <v>1.0532407407407407E-2</v>
      </c>
      <c r="C82" s="11"/>
      <c r="D82" s="11">
        <f>B82*E82</f>
        <v>6.1277546296296288E-3</v>
      </c>
      <c r="E82" s="12">
        <v>0.58179999999999998</v>
      </c>
      <c r="F82" s="11">
        <f>C82/4</f>
        <v>0</v>
      </c>
      <c r="G82" s="11">
        <f>D82/7.5</f>
        <v>8.1703395061728389E-4</v>
      </c>
      <c r="H82" s="11">
        <f>B82/12.5</f>
        <v>8.4259259259259259E-4</v>
      </c>
      <c r="I82" s="11">
        <f>G82/0.93</f>
        <v>8.7853112969600415E-4</v>
      </c>
      <c r="J82" s="11">
        <f>G82/0.92</f>
        <v>8.8808038110574329E-4</v>
      </c>
      <c r="K82" s="11">
        <f>G82/0.88</f>
        <v>9.2844767115600447E-4</v>
      </c>
      <c r="L82" s="11">
        <f>G82/0.84</f>
        <v>9.7265946502057604E-4</v>
      </c>
      <c r="M82" s="25"/>
      <c r="N82" s="28"/>
      <c r="O82" s="25">
        <f>WO2025Jan7men11915171923252931333539414345474955575963656769717375777913171921[[#This Row],[Thresh L]]</f>
        <v>9.7265946502057604E-4</v>
      </c>
      <c r="P82" s="25">
        <f>WO2025Jan7men11915171923252931333539414345474955575963656769717375777913171921[[#This Row],[Thresh L]]*5</f>
        <v>4.8632973251028803E-3</v>
      </c>
      <c r="Q82" s="25">
        <f>WO2025Jan7men11915171923252931333539414345474955575963656769717375777913171921[[#This Row],[I]]</f>
        <v>8.4259259259259259E-4</v>
      </c>
      <c r="R82" s="28">
        <f>WO2025Jan7men11915171923252931333539414345474955575963656769717375777913171921[[#This Row],[I]]*3</f>
        <v>2.5277777777777777E-3</v>
      </c>
      <c r="S82" s="25">
        <f>WO2025Jan7men11915171923252931333539414345474955575963656769717375777913171921[[#This Row],[VO2]]</f>
        <v>8.1703395061728389E-4</v>
      </c>
      <c r="T82" s="25">
        <f>WO2025Jan7men11915171923252931333539414345474955575963656769717375777913171921[[#This Row],[VO2]]*2</f>
        <v>1.6340679012345678E-3</v>
      </c>
      <c r="U82" s="28" t="s">
        <v>25</v>
      </c>
      <c r="V82" s="28"/>
      <c r="W82" s="27" t="s">
        <v>290</v>
      </c>
      <c r="X82" s="52"/>
    </row>
    <row r="83" spans="1:24" ht="20.45" customHeight="1">
      <c r="A83" s="10" t="s">
        <v>123</v>
      </c>
      <c r="B83" s="11">
        <v>1.0590277777777778E-2</v>
      </c>
      <c r="C83" s="11">
        <v>3.1828703703703702E-3</v>
      </c>
      <c r="D83" s="11">
        <f>B83*E83</f>
        <v>6.1614236111111114E-3</v>
      </c>
      <c r="E83" s="12">
        <v>0.58179999999999998</v>
      </c>
      <c r="F83" s="11">
        <f>C83/4</f>
        <v>7.9571759259259255E-4</v>
      </c>
      <c r="G83" s="11">
        <f>D83/7.5</f>
        <v>8.2152314814814816E-4</v>
      </c>
      <c r="H83" s="11">
        <f>B83/12.5</f>
        <v>8.472222222222223E-4</v>
      </c>
      <c r="I83" s="11">
        <f>G83/0.93</f>
        <v>8.8335822381521299E-4</v>
      </c>
      <c r="J83" s="11">
        <f>G83/0.92</f>
        <v>8.9295994363929141E-4</v>
      </c>
      <c r="K83" s="11">
        <f>G83/0.88</f>
        <v>9.3354903198653201E-4</v>
      </c>
      <c r="L83" s="11">
        <f>G83/0.84</f>
        <v>9.7800374779541442E-4</v>
      </c>
      <c r="M83" s="25">
        <f>WO2025Jan7men11915171923252931333539414345474955575963656769717375777913171921[[#This Row],[10k]]</f>
        <v>8.8335822381521299E-4</v>
      </c>
      <c r="N83" s="28">
        <f>WO2025Jan7men11915171923252931333539414345474955575963656769717375777913171921[[#This Row],[10k]]*4</f>
        <v>3.533432895260852E-3</v>
      </c>
      <c r="O83" s="25">
        <f>WO2025Jan7men11915171923252931333539414345474955575963656769717375777913171921[[#This Row],[Thresh L]]</f>
        <v>9.7800374779541442E-4</v>
      </c>
      <c r="P83" s="25">
        <f>WO2025Jan7men11915171923252931333539414345474955575963656769717375777913171921[[#This Row],[Thresh L]]*5</f>
        <v>4.8900187389770717E-3</v>
      </c>
      <c r="Q83" s="25">
        <f>WO2025Jan7men11915171923252931333539414345474955575963656769717375777913171921[[#This Row],[I]]</f>
        <v>8.472222222222223E-4</v>
      </c>
      <c r="R83" s="28">
        <f>WO2025Jan7men11915171923252931333539414345474955575963656769717375777913171921[[#This Row],[I]]*3</f>
        <v>2.5416666666666669E-3</v>
      </c>
      <c r="S83" s="25">
        <f>WO2025Jan7men11915171923252931333539414345474955575963656769717375777913171921[[#This Row],[VO2]]</f>
        <v>8.2152314814814816E-4</v>
      </c>
      <c r="T83" s="25">
        <f>WO2025Jan7men11915171923252931333539414345474955575963656769717375777913171921[[#This Row],[VO2]]*2</f>
        <v>1.6430462962962963E-3</v>
      </c>
      <c r="U83" s="28" t="s">
        <v>25</v>
      </c>
      <c r="V83" s="28"/>
      <c r="W83" s="15" t="s">
        <v>288</v>
      </c>
      <c r="X83" s="52"/>
    </row>
    <row r="84" spans="1:24" ht="20.45" customHeight="1">
      <c r="A84" s="10" t="s">
        <v>91</v>
      </c>
      <c r="B84" s="11">
        <v>1.0590277777777778E-2</v>
      </c>
      <c r="C84" s="11">
        <v>3.1249999999999997E-3</v>
      </c>
      <c r="D84" s="11">
        <f t="shared" si="24"/>
        <v>6.1614236111111114E-3</v>
      </c>
      <c r="E84" s="12">
        <v>0.58179999999999998</v>
      </c>
      <c r="F84" s="11">
        <f t="shared" si="25"/>
        <v>7.8124999999999993E-4</v>
      </c>
      <c r="G84" s="11">
        <f t="shared" si="26"/>
        <v>8.2152314814814816E-4</v>
      </c>
      <c r="H84" s="11">
        <f t="shared" si="27"/>
        <v>8.472222222222223E-4</v>
      </c>
      <c r="I84" s="11">
        <f t="shared" si="28"/>
        <v>8.8335822381521299E-4</v>
      </c>
      <c r="J84" s="11">
        <f t="shared" si="29"/>
        <v>8.9295994363929141E-4</v>
      </c>
      <c r="K84" s="11">
        <f t="shared" si="30"/>
        <v>9.3354903198653201E-4</v>
      </c>
      <c r="L84" s="11">
        <f t="shared" si="31"/>
        <v>9.7800374779541442E-4</v>
      </c>
      <c r="M84" s="25"/>
      <c r="N84" s="28"/>
      <c r="O84" s="25">
        <f>WO2025Jan7men11915171923252931333539414345474955575963656769717375777913171921[[#This Row],[Thresh L]]</f>
        <v>9.7800374779541442E-4</v>
      </c>
      <c r="P84" s="25">
        <f>WO2025Jan7men11915171923252931333539414345474955575963656769717375777913171921[[#This Row],[Thresh L]]*5</f>
        <v>4.8900187389770717E-3</v>
      </c>
      <c r="Q84" s="25">
        <f>WO2025Jan7men11915171923252931333539414345474955575963656769717375777913171921[[#This Row],[I]]</f>
        <v>8.472222222222223E-4</v>
      </c>
      <c r="R84" s="28">
        <f>WO2025Jan7men11915171923252931333539414345474955575963656769717375777913171921[[#This Row],[I]]*3</f>
        <v>2.5416666666666669E-3</v>
      </c>
      <c r="S84" s="25">
        <f>WO2025Jan7men11915171923252931333539414345474955575963656769717375777913171921[[#This Row],[VO2]]</f>
        <v>8.2152314814814816E-4</v>
      </c>
      <c r="T84" s="25">
        <f>WO2025Jan7men11915171923252931333539414345474955575963656769717375777913171921[[#This Row],[VO2]]*2</f>
        <v>1.6430462962962963E-3</v>
      </c>
      <c r="U84" s="28" t="s">
        <v>25</v>
      </c>
      <c r="V84" s="25"/>
      <c r="W84" s="15" t="s">
        <v>290</v>
      </c>
      <c r="X84" s="52"/>
    </row>
    <row r="85" spans="1:24" ht="20.45" customHeight="1">
      <c r="A85" s="10" t="s">
        <v>129</v>
      </c>
      <c r="B85" s="11">
        <v>1.0648148148148148E-2</v>
      </c>
      <c r="C85" s="11">
        <v>3.0092592592592593E-3</v>
      </c>
      <c r="D85" s="11">
        <f t="shared" si="24"/>
        <v>6.1950925925925923E-3</v>
      </c>
      <c r="E85" s="12">
        <v>0.58179999999999998</v>
      </c>
      <c r="F85" s="11">
        <f t="shared" si="25"/>
        <v>7.5231481481481482E-4</v>
      </c>
      <c r="G85" s="11">
        <f t="shared" si="26"/>
        <v>8.2601234567901232E-4</v>
      </c>
      <c r="H85" s="11">
        <f t="shared" si="27"/>
        <v>8.5185185185185179E-4</v>
      </c>
      <c r="I85" s="11">
        <f t="shared" si="28"/>
        <v>8.8818531793442184E-4</v>
      </c>
      <c r="J85" s="11">
        <f t="shared" si="29"/>
        <v>8.9783950617283942E-4</v>
      </c>
      <c r="K85" s="11">
        <f t="shared" si="30"/>
        <v>9.3865039281705945E-4</v>
      </c>
      <c r="L85" s="11">
        <f t="shared" si="31"/>
        <v>9.833480305702527E-4</v>
      </c>
      <c r="M85" s="25"/>
      <c r="N85" s="28"/>
      <c r="O85" s="25">
        <f>WO2025Jan7men11915171923252931333539414345474955575963656769717375777913171921[[#This Row],[Thresh L]]</f>
        <v>9.833480305702527E-4</v>
      </c>
      <c r="P85" s="25">
        <f>WO2025Jan7men11915171923252931333539414345474955575963656769717375777913171921[[#This Row],[Thresh L]]*5</f>
        <v>4.9167401528512639E-3</v>
      </c>
      <c r="Q85" s="25">
        <f>WO2025Jan7men11915171923252931333539414345474955575963656769717375777913171921[[#This Row],[I]]</f>
        <v>8.5185185185185179E-4</v>
      </c>
      <c r="R85" s="28">
        <f>WO2025Jan7men11915171923252931333539414345474955575963656769717375777913171921[[#This Row],[I]]*3</f>
        <v>2.5555555555555553E-3</v>
      </c>
      <c r="S85" s="25">
        <f>WO2025Jan7men11915171923252931333539414345474955575963656769717375777913171921[[#This Row],[VO2]]</f>
        <v>8.2601234567901232E-4</v>
      </c>
      <c r="T85" s="25">
        <f>WO2025Jan7men11915171923252931333539414345474955575963656769717375777913171921[[#This Row],[VO2]]*2</f>
        <v>1.6520246913580246E-3</v>
      </c>
      <c r="U85" s="28" t="s">
        <v>25</v>
      </c>
      <c r="V85" s="25" t="s">
        <v>289</v>
      </c>
      <c r="W85" s="15" t="s">
        <v>290</v>
      </c>
      <c r="X85" s="52"/>
    </row>
    <row r="86" spans="1:24" ht="20.45" customHeight="1" thickBot="1">
      <c r="A86" s="10" t="s">
        <v>90</v>
      </c>
      <c r="B86" s="11">
        <v>1.0648148148148148E-2</v>
      </c>
      <c r="C86" s="11">
        <v>3.0671296296296297E-3</v>
      </c>
      <c r="D86" s="11">
        <f>B86*E86</f>
        <v>6.1950925925925923E-3</v>
      </c>
      <c r="E86" s="12">
        <v>0.58179999999999998</v>
      </c>
      <c r="F86" s="11">
        <f>C86/4</f>
        <v>7.6678240740740743E-4</v>
      </c>
      <c r="G86" s="11">
        <f>D86/7.5</f>
        <v>8.2601234567901232E-4</v>
      </c>
      <c r="H86" s="11">
        <f>B86/12.5</f>
        <v>8.5185185185185179E-4</v>
      </c>
      <c r="I86" s="11">
        <f>G86/0.93</f>
        <v>8.8818531793442184E-4</v>
      </c>
      <c r="J86" s="11">
        <f>G86/0.92</f>
        <v>8.9783950617283942E-4</v>
      </c>
      <c r="K86" s="11">
        <f>G86/0.88</f>
        <v>9.3865039281705945E-4</v>
      </c>
      <c r="L86" s="17">
        <f>G86/0.84</f>
        <v>9.833480305702527E-4</v>
      </c>
      <c r="M86" s="25">
        <f>WO2025Jan7men11915171923252931333539414345474955575963656769717375777913171921[[#This Row],[10k]]</f>
        <v>8.8818531793442184E-4</v>
      </c>
      <c r="N86" s="28">
        <f>WO2025Jan7men11915171923252931333539414345474955575963656769717375777913171921[[#This Row],[10k]]*4</f>
        <v>3.5527412717376874E-3</v>
      </c>
      <c r="O86" s="25">
        <f>WO2025Jan7men11915171923252931333539414345474955575963656769717375777913171921[[#This Row],[Thresh L]]</f>
        <v>9.833480305702527E-4</v>
      </c>
      <c r="P86" s="25">
        <f>WO2025Jan7men11915171923252931333539414345474955575963656769717375777913171921[[#This Row],[Thresh L]]*5</f>
        <v>4.9167401528512639E-3</v>
      </c>
      <c r="Q86" s="25">
        <f>WO2025Jan7men11915171923252931333539414345474955575963656769717375777913171921[[#This Row],[I]]</f>
        <v>8.5185185185185179E-4</v>
      </c>
      <c r="R86" s="28">
        <f>WO2025Jan7men11915171923252931333539414345474955575963656769717375777913171921[[#This Row],[I]]*3</f>
        <v>2.5555555555555553E-3</v>
      </c>
      <c r="S86" s="25">
        <f>WO2025Jan7men11915171923252931333539414345474955575963656769717375777913171921[[#This Row],[VO2]]</f>
        <v>8.2601234567901232E-4</v>
      </c>
      <c r="T86" s="25">
        <f>WO2025Jan7men11915171923252931333539414345474955575963656769717375777913171921[[#This Row],[VO2]]*2</f>
        <v>1.6520246913580246E-3</v>
      </c>
      <c r="U86" s="28" t="s">
        <v>25</v>
      </c>
      <c r="V86" s="25" t="s">
        <v>289</v>
      </c>
      <c r="W86" s="15" t="s">
        <v>288</v>
      </c>
      <c r="X86" s="52"/>
    </row>
    <row r="87" spans="1:24" ht="20.45" customHeight="1">
      <c r="A87" s="1" t="s">
        <v>279</v>
      </c>
      <c r="B87" s="6"/>
      <c r="C87" s="6"/>
      <c r="D87" s="6"/>
      <c r="E87" s="20"/>
      <c r="F87" s="6"/>
      <c r="G87" s="6"/>
      <c r="H87" s="6"/>
      <c r="I87" s="6"/>
      <c r="J87" s="6"/>
      <c r="K87" s="6"/>
      <c r="L87" s="6"/>
      <c r="M87" s="6" t="s">
        <v>280</v>
      </c>
      <c r="N87" s="6" t="s">
        <v>281</v>
      </c>
      <c r="O87" s="6" t="s">
        <v>12</v>
      </c>
      <c r="P87" s="6" t="s">
        <v>282</v>
      </c>
      <c r="Q87" s="22" t="s">
        <v>17</v>
      </c>
      <c r="R87" s="6" t="s">
        <v>283</v>
      </c>
      <c r="S87" s="6" t="s">
        <v>284</v>
      </c>
      <c r="T87" s="6" t="s">
        <v>285</v>
      </c>
      <c r="U87" s="6" t="s">
        <v>286</v>
      </c>
      <c r="V87" s="23"/>
      <c r="W87" s="35"/>
      <c r="X87" s="52"/>
    </row>
    <row r="88" spans="1:24" ht="20.45" customHeight="1">
      <c r="A88" s="10" t="s">
        <v>125</v>
      </c>
      <c r="B88" s="11">
        <v>1.0648148148148148E-2</v>
      </c>
      <c r="C88" s="11"/>
      <c r="D88" s="11">
        <f t="shared" si="24"/>
        <v>6.1950925925925923E-3</v>
      </c>
      <c r="E88" s="12">
        <v>0.58179999999999998</v>
      </c>
      <c r="F88" s="11">
        <f t="shared" si="25"/>
        <v>0</v>
      </c>
      <c r="G88" s="11">
        <f t="shared" si="26"/>
        <v>8.2601234567901232E-4</v>
      </c>
      <c r="H88" s="11">
        <f t="shared" si="27"/>
        <v>8.5185185185185179E-4</v>
      </c>
      <c r="I88" s="11">
        <f t="shared" si="28"/>
        <v>8.8818531793442184E-4</v>
      </c>
      <c r="J88" s="11">
        <f t="shared" si="29"/>
        <v>8.9783950617283942E-4</v>
      </c>
      <c r="K88" s="11">
        <f t="shared" si="30"/>
        <v>9.3865039281705945E-4</v>
      </c>
      <c r="L88" s="11">
        <f t="shared" si="31"/>
        <v>9.833480305702527E-4</v>
      </c>
      <c r="M88" s="25">
        <f>WO2025Jan7men11915171923252931333539414345474955575963656769717375777913171921[[#This Row],[10k]]</f>
        <v>8.8818531793442184E-4</v>
      </c>
      <c r="N88" s="28">
        <f>WO2025Jan7men11915171923252931333539414345474955575963656769717375777913171921[[#This Row],[10k]]*4</f>
        <v>3.5527412717376874E-3</v>
      </c>
      <c r="O88" s="25">
        <f>WO2025Jan7men11915171923252931333539414345474955575963656769717375777913171921[[#This Row],[Thresh L]]</f>
        <v>9.833480305702527E-4</v>
      </c>
      <c r="P88" s="25">
        <f>WO2025Jan7men11915171923252931333539414345474955575963656769717375777913171921[[#This Row],[Thresh L]]*5</f>
        <v>4.9167401528512639E-3</v>
      </c>
      <c r="Q88" s="25">
        <f>WO2025Jan7men11915171923252931333539414345474955575963656769717375777913171921[[#This Row],[I]]</f>
        <v>8.5185185185185179E-4</v>
      </c>
      <c r="R88" s="28">
        <f>WO2025Jan7men11915171923252931333539414345474955575963656769717375777913171921[[#This Row],[I]]*3</f>
        <v>2.5555555555555553E-3</v>
      </c>
      <c r="S88" s="25">
        <f>WO2025Jan7men11915171923252931333539414345474955575963656769717375777913171921[[#This Row],[VO2]]</f>
        <v>8.2601234567901232E-4</v>
      </c>
      <c r="T88" s="25">
        <f>WO2025Jan7men11915171923252931333539414345474955575963656769717375777913171921[[#This Row],[VO2]]*2</f>
        <v>1.6520246913580246E-3</v>
      </c>
      <c r="U88" s="28" t="s">
        <v>25</v>
      </c>
      <c r="V88" s="28"/>
      <c r="W88" s="15" t="s">
        <v>288</v>
      </c>
      <c r="X88" s="52" t="s">
        <v>297</v>
      </c>
    </row>
    <row r="89" spans="1:24" ht="20.45" customHeight="1">
      <c r="A89" s="10" t="s">
        <v>264</v>
      </c>
      <c r="B89" s="11">
        <v>1.0648148148148148E-2</v>
      </c>
      <c r="C89" s="11"/>
      <c r="D89" s="11">
        <f t="shared" si="24"/>
        <v>6.1950925925925923E-3</v>
      </c>
      <c r="E89" s="12">
        <v>0.58179999999999998</v>
      </c>
      <c r="F89" s="11">
        <f t="shared" si="25"/>
        <v>0</v>
      </c>
      <c r="G89" s="11">
        <f t="shared" si="26"/>
        <v>8.2601234567901232E-4</v>
      </c>
      <c r="H89" s="11">
        <f t="shared" si="27"/>
        <v>8.5185185185185179E-4</v>
      </c>
      <c r="I89" s="11">
        <f t="shared" si="28"/>
        <v>8.8818531793442184E-4</v>
      </c>
      <c r="J89" s="11">
        <f t="shared" si="29"/>
        <v>8.9783950617283942E-4</v>
      </c>
      <c r="K89" s="11">
        <f t="shared" si="30"/>
        <v>9.3865039281705945E-4</v>
      </c>
      <c r="L89" s="11">
        <f t="shared" si="31"/>
        <v>9.833480305702527E-4</v>
      </c>
      <c r="M89" s="25"/>
      <c r="N89" s="28"/>
      <c r="O89" s="25">
        <f>WO2025Jan7men11915171923252931333539414345474955575963656769717375777913171921[[#This Row],[Thresh L]]</f>
        <v>9.833480305702527E-4</v>
      </c>
      <c r="P89" s="25">
        <f>WO2025Jan7men11915171923252931333539414345474955575963656769717375777913171921[[#This Row],[Thresh L]]*5</f>
        <v>4.9167401528512639E-3</v>
      </c>
      <c r="Q89" s="25">
        <f>WO2025Jan7men11915171923252931333539414345474955575963656769717375777913171921[[#This Row],[I]]</f>
        <v>8.5185185185185179E-4</v>
      </c>
      <c r="R89" s="28">
        <f>WO2025Jan7men11915171923252931333539414345474955575963656769717375777913171921[[#This Row],[I]]*3</f>
        <v>2.5555555555555553E-3</v>
      </c>
      <c r="S89" s="25">
        <f>WO2025Jan7men11915171923252931333539414345474955575963656769717375777913171921[[#This Row],[VO2]]</f>
        <v>8.2601234567901232E-4</v>
      </c>
      <c r="T89" s="25">
        <f>WO2025Jan7men11915171923252931333539414345474955575963656769717375777913171921[[#This Row],[VO2]]*2</f>
        <v>1.6520246913580246E-3</v>
      </c>
      <c r="U89" s="28" t="s">
        <v>25</v>
      </c>
      <c r="V89" s="28"/>
      <c r="W89" s="27" t="s">
        <v>290</v>
      </c>
      <c r="X89" s="52"/>
    </row>
    <row r="90" spans="1:24" ht="20.45" customHeight="1">
      <c r="A90" s="10" t="s">
        <v>126</v>
      </c>
      <c r="B90" s="11">
        <v>1.0648148148148148E-2</v>
      </c>
      <c r="C90" s="11"/>
      <c r="D90" s="11">
        <f t="shared" si="24"/>
        <v>6.1950925925925923E-3</v>
      </c>
      <c r="E90" s="12">
        <v>0.58179999999999998</v>
      </c>
      <c r="F90" s="11">
        <f t="shared" si="25"/>
        <v>0</v>
      </c>
      <c r="G90" s="11">
        <f t="shared" si="26"/>
        <v>8.2601234567901232E-4</v>
      </c>
      <c r="H90" s="11">
        <f t="shared" si="27"/>
        <v>8.5185185185185179E-4</v>
      </c>
      <c r="I90" s="11">
        <f t="shared" si="28"/>
        <v>8.8818531793442184E-4</v>
      </c>
      <c r="J90" s="11">
        <f t="shared" si="29"/>
        <v>8.9783950617283942E-4</v>
      </c>
      <c r="K90" s="11">
        <f t="shared" si="30"/>
        <v>9.3865039281705945E-4</v>
      </c>
      <c r="L90" s="11">
        <f t="shared" si="31"/>
        <v>9.833480305702527E-4</v>
      </c>
      <c r="M90" s="25"/>
      <c r="N90" s="28"/>
      <c r="O90" s="25">
        <f>WO2025Jan7men11915171923252931333539414345474955575963656769717375777913171921[[#This Row],[Thresh L]]</f>
        <v>9.833480305702527E-4</v>
      </c>
      <c r="P90" s="25">
        <f>WO2025Jan7men11915171923252931333539414345474955575963656769717375777913171921[[#This Row],[Thresh L]]*5</f>
        <v>4.9167401528512639E-3</v>
      </c>
      <c r="Q90" s="25">
        <f>WO2025Jan7men11915171923252931333539414345474955575963656769717375777913171921[[#This Row],[I]]</f>
        <v>8.5185185185185179E-4</v>
      </c>
      <c r="R90" s="28">
        <f>WO2025Jan7men11915171923252931333539414345474955575963656769717375777913171921[[#This Row],[I]]*3</f>
        <v>2.5555555555555553E-3</v>
      </c>
      <c r="S90" s="25">
        <f>WO2025Jan7men11915171923252931333539414345474955575963656769717375777913171921[[#This Row],[VO2]]</f>
        <v>8.2601234567901232E-4</v>
      </c>
      <c r="T90" s="25">
        <f>WO2025Jan7men11915171923252931333539414345474955575963656769717375777913171921[[#This Row],[VO2]]*2</f>
        <v>1.6520246913580246E-3</v>
      </c>
      <c r="U90" s="28" t="s">
        <v>25</v>
      </c>
      <c r="V90" s="28" t="s">
        <v>289</v>
      </c>
      <c r="W90" s="27" t="s">
        <v>290</v>
      </c>
      <c r="X90" s="52"/>
    </row>
    <row r="91" spans="1:24" ht="20.45" customHeight="1">
      <c r="A91" s="10" t="s">
        <v>124</v>
      </c>
      <c r="B91" s="11">
        <v>1.0648148148148148E-2</v>
      </c>
      <c r="C91" s="11"/>
      <c r="D91" s="11">
        <f t="shared" si="24"/>
        <v>6.1950925925925923E-3</v>
      </c>
      <c r="E91" s="12">
        <v>0.58179999999999998</v>
      </c>
      <c r="F91" s="11">
        <f t="shared" si="25"/>
        <v>0</v>
      </c>
      <c r="G91" s="11">
        <f t="shared" si="26"/>
        <v>8.2601234567901232E-4</v>
      </c>
      <c r="H91" s="11">
        <f t="shared" si="27"/>
        <v>8.5185185185185179E-4</v>
      </c>
      <c r="I91" s="11">
        <f t="shared" si="28"/>
        <v>8.8818531793442184E-4</v>
      </c>
      <c r="J91" s="11">
        <f t="shared" si="29"/>
        <v>8.9783950617283942E-4</v>
      </c>
      <c r="K91" s="11">
        <f t="shared" si="30"/>
        <v>9.3865039281705945E-4</v>
      </c>
      <c r="L91" s="11">
        <f t="shared" si="31"/>
        <v>9.833480305702527E-4</v>
      </c>
      <c r="M91" s="25">
        <f>WO2025Jan7men11915171923252931333539414345474955575963656769717375777913171921[[#This Row],[10k]]</f>
        <v>8.8818531793442184E-4</v>
      </c>
      <c r="N91" s="28">
        <f>WO2025Jan7men11915171923252931333539414345474955575963656769717375777913171921[[#This Row],[10k]]*4</f>
        <v>3.5527412717376874E-3</v>
      </c>
      <c r="O91" s="25">
        <f>WO2025Jan7men11915171923252931333539414345474955575963656769717375777913171921[[#This Row],[Thresh L]]</f>
        <v>9.833480305702527E-4</v>
      </c>
      <c r="P91" s="25">
        <f>WO2025Jan7men11915171923252931333539414345474955575963656769717375777913171921[[#This Row],[Thresh L]]*5</f>
        <v>4.9167401528512639E-3</v>
      </c>
      <c r="Q91" s="25">
        <f>WO2025Jan7men11915171923252931333539414345474955575963656769717375777913171921[[#This Row],[I]]</f>
        <v>8.5185185185185179E-4</v>
      </c>
      <c r="R91" s="28">
        <f>WO2025Jan7men11915171923252931333539414345474955575963656769717375777913171921[[#This Row],[I]]*3</f>
        <v>2.5555555555555553E-3</v>
      </c>
      <c r="S91" s="25">
        <f>WO2025Jan7men11915171923252931333539414345474955575963656769717375777913171921[[#This Row],[VO2]]</f>
        <v>8.2601234567901232E-4</v>
      </c>
      <c r="T91" s="25">
        <f>WO2025Jan7men11915171923252931333539414345474955575963656769717375777913171921[[#This Row],[VO2]]*2</f>
        <v>1.6520246913580246E-3</v>
      </c>
      <c r="U91" s="28" t="s">
        <v>25</v>
      </c>
      <c r="V91" s="28"/>
      <c r="W91" s="27" t="s">
        <v>288</v>
      </c>
      <c r="X91" s="52"/>
    </row>
    <row r="92" spans="1:24" ht="20.45" customHeight="1">
      <c r="A92" s="10" t="s">
        <v>131</v>
      </c>
      <c r="B92" s="11">
        <v>1.0763888888888891E-2</v>
      </c>
      <c r="C92" s="11">
        <v>3.1828703703703702E-3</v>
      </c>
      <c r="D92" s="11">
        <f t="shared" si="24"/>
        <v>6.2624305555555567E-3</v>
      </c>
      <c r="E92" s="12">
        <v>0.58179999999999998</v>
      </c>
      <c r="F92" s="11">
        <f t="shared" si="25"/>
        <v>7.9571759259259255E-4</v>
      </c>
      <c r="G92" s="11">
        <f t="shared" si="26"/>
        <v>8.3499074074074085E-4</v>
      </c>
      <c r="H92" s="11">
        <f t="shared" si="27"/>
        <v>8.6111111111111121E-4</v>
      </c>
      <c r="I92" s="11">
        <f t="shared" si="28"/>
        <v>8.9783950617283953E-4</v>
      </c>
      <c r="J92" s="11">
        <f t="shared" si="29"/>
        <v>9.0759863123993567E-4</v>
      </c>
      <c r="K92" s="11">
        <f t="shared" si="30"/>
        <v>9.4885311447811464E-4</v>
      </c>
      <c r="L92" s="11">
        <f t="shared" si="31"/>
        <v>9.9403659611992969E-4</v>
      </c>
      <c r="M92" s="25">
        <f>WO2025Jan7men11915171923252931333539414345474955575963656769717375777913171921[[#This Row],[10k]]</f>
        <v>8.9783950617283953E-4</v>
      </c>
      <c r="N92" s="28">
        <f>WO2025Jan7men11915171923252931333539414345474955575963656769717375777913171921[[#This Row],[10k]]*4</f>
        <v>3.5913580246913581E-3</v>
      </c>
      <c r="O92" s="25">
        <f>WO2025Jan7men11915171923252931333539414345474955575963656769717375777913171921[[#This Row],[Thresh L]]</f>
        <v>9.9403659611992969E-4</v>
      </c>
      <c r="P92" s="25">
        <f>WO2025Jan7men11915171923252931333539414345474955575963656769717375777913171921[[#This Row],[Thresh L]]*5</f>
        <v>4.9701829805996484E-3</v>
      </c>
      <c r="Q92" s="25">
        <f>WO2025Jan7men11915171923252931333539414345474955575963656769717375777913171921[[#This Row],[I]]</f>
        <v>8.6111111111111121E-4</v>
      </c>
      <c r="R92" s="28">
        <f>WO2025Jan7men11915171923252931333539414345474955575963656769717375777913171921[[#This Row],[I]]*3</f>
        <v>2.5833333333333337E-3</v>
      </c>
      <c r="S92" s="25">
        <f>WO2025Jan7men11915171923252931333539414345474955575963656769717375777913171921[[#This Row],[VO2]]</f>
        <v>8.3499074074074085E-4</v>
      </c>
      <c r="T92" s="25">
        <f>WO2025Jan7men11915171923252931333539414345474955575963656769717375777913171921[[#This Row],[VO2]]*2</f>
        <v>1.6699814814814817E-3</v>
      </c>
      <c r="U92" s="28" t="s">
        <v>25</v>
      </c>
      <c r="V92" s="28"/>
      <c r="W92" s="15" t="s">
        <v>288</v>
      </c>
      <c r="X92" s="52"/>
    </row>
    <row r="93" spans="1:24" ht="20.45" customHeight="1">
      <c r="A93" s="10" t="s">
        <v>130</v>
      </c>
      <c r="B93" s="11">
        <v>1.0763888888888891E-2</v>
      </c>
      <c r="C93" s="11">
        <v>3.1828703703703702E-3</v>
      </c>
      <c r="D93" s="11">
        <f t="shared" si="24"/>
        <v>6.2624305555555567E-3</v>
      </c>
      <c r="E93" s="12">
        <v>0.58179999999999998</v>
      </c>
      <c r="F93" s="11">
        <f t="shared" si="25"/>
        <v>7.9571759259259255E-4</v>
      </c>
      <c r="G93" s="11">
        <f t="shared" si="26"/>
        <v>8.3499074074074085E-4</v>
      </c>
      <c r="H93" s="11">
        <f t="shared" si="27"/>
        <v>8.6111111111111121E-4</v>
      </c>
      <c r="I93" s="11">
        <f t="shared" si="28"/>
        <v>8.9783950617283953E-4</v>
      </c>
      <c r="J93" s="11">
        <f t="shared" si="29"/>
        <v>9.0759863123993567E-4</v>
      </c>
      <c r="K93" s="11">
        <f t="shared" si="30"/>
        <v>9.4885311447811464E-4</v>
      </c>
      <c r="L93" s="11">
        <f t="shared" si="31"/>
        <v>9.9403659611992969E-4</v>
      </c>
      <c r="M93" s="25"/>
      <c r="N93" s="28"/>
      <c r="O93" s="25">
        <f>WO2025Jan7men11915171923252931333539414345474955575963656769717375777913171921[[#This Row],[Thresh L]]</f>
        <v>9.9403659611992969E-4</v>
      </c>
      <c r="P93" s="25">
        <f>WO2025Jan7men11915171923252931333539414345474955575963656769717375777913171921[[#This Row],[Thresh L]]*5</f>
        <v>4.9701829805996484E-3</v>
      </c>
      <c r="Q93" s="25">
        <f>WO2025Jan7men11915171923252931333539414345474955575963656769717375777913171921[[#This Row],[I]]</f>
        <v>8.6111111111111121E-4</v>
      </c>
      <c r="R93" s="28">
        <f>WO2025Jan7men11915171923252931333539414345474955575963656769717375777913171921[[#This Row],[I]]*3</f>
        <v>2.5833333333333337E-3</v>
      </c>
      <c r="S93" s="25">
        <f>WO2025Jan7men11915171923252931333539414345474955575963656769717375777913171921[[#This Row],[VO2]]</f>
        <v>8.3499074074074085E-4</v>
      </c>
      <c r="T93" s="25">
        <f>WO2025Jan7men11915171923252931333539414345474955575963656769717375777913171921[[#This Row],[VO2]]*2</f>
        <v>1.6699814814814817E-3</v>
      </c>
      <c r="U93" s="28" t="s">
        <v>25</v>
      </c>
      <c r="V93" s="48"/>
      <c r="W93" s="27" t="s">
        <v>290</v>
      </c>
      <c r="X93" s="52"/>
    </row>
    <row r="94" spans="1:24" ht="20.45" customHeight="1">
      <c r="A94" s="10" t="s">
        <v>100</v>
      </c>
      <c r="B94" s="11">
        <v>1.0763888888888889E-2</v>
      </c>
      <c r="C94" s="11">
        <v>3.0671296296296297E-3</v>
      </c>
      <c r="D94" s="11">
        <f t="shared" si="24"/>
        <v>6.2624305555555549E-3</v>
      </c>
      <c r="E94" s="12">
        <v>0.58179999999999998</v>
      </c>
      <c r="F94" s="11">
        <f t="shared" si="25"/>
        <v>7.6678240740740743E-4</v>
      </c>
      <c r="G94" s="11">
        <f t="shared" si="26"/>
        <v>8.3499074074074064E-4</v>
      </c>
      <c r="H94" s="11">
        <f t="shared" si="27"/>
        <v>8.611111111111111E-4</v>
      </c>
      <c r="I94" s="11">
        <f t="shared" si="28"/>
        <v>8.9783950617283931E-4</v>
      </c>
      <c r="J94" s="11">
        <f t="shared" si="29"/>
        <v>9.0759863123993545E-4</v>
      </c>
      <c r="K94" s="11">
        <f t="shared" si="30"/>
        <v>9.4885311447811432E-4</v>
      </c>
      <c r="L94" s="17">
        <f t="shared" si="31"/>
        <v>9.9403659611992947E-4</v>
      </c>
      <c r="M94" s="25"/>
      <c r="N94" s="28"/>
      <c r="O94" s="25">
        <f>WO2025Jan7men11915171923252931333539414345474955575963656769717375777913171921[[#This Row],[Thresh L]]</f>
        <v>9.9403659611992947E-4</v>
      </c>
      <c r="P94" s="25">
        <f>WO2025Jan7men11915171923252931333539414345474955575963656769717375777913171921[[#This Row],[Thresh L]]*5</f>
        <v>4.9701829805996476E-3</v>
      </c>
      <c r="Q94" s="25">
        <f>WO2025Jan7men11915171923252931333539414345474955575963656769717375777913171921[[#This Row],[I]]</f>
        <v>8.611111111111111E-4</v>
      </c>
      <c r="R94" s="28">
        <f>WO2025Jan7men11915171923252931333539414345474955575963656769717375777913171921[[#This Row],[I]]*3</f>
        <v>2.5833333333333333E-3</v>
      </c>
      <c r="S94" s="25">
        <f>WO2025Jan7men11915171923252931333539414345474955575963656769717375777913171921[[#This Row],[VO2]]</f>
        <v>8.3499074074074064E-4</v>
      </c>
      <c r="T94" s="25">
        <f>WO2025Jan7men11915171923252931333539414345474955575963656769717375777913171921[[#This Row],[VO2]]*2</f>
        <v>1.6699814814814813E-3</v>
      </c>
      <c r="U94" s="28" t="s">
        <v>25</v>
      </c>
      <c r="V94" s="25"/>
      <c r="W94" s="15" t="s">
        <v>290</v>
      </c>
      <c r="X94" s="52"/>
    </row>
    <row r="95" spans="1:24" ht="20.45" customHeight="1">
      <c r="A95" s="10" t="s">
        <v>132</v>
      </c>
      <c r="B95" s="11">
        <v>1.087962962962963E-2</v>
      </c>
      <c r="C95" s="11"/>
      <c r="D95" s="11">
        <f t="shared" si="24"/>
        <v>6.3297685185185184E-3</v>
      </c>
      <c r="E95" s="12">
        <v>0.58179999999999998</v>
      </c>
      <c r="F95" s="11">
        <f t="shared" si="25"/>
        <v>0</v>
      </c>
      <c r="G95" s="11">
        <f t="shared" si="26"/>
        <v>8.4396913580246917E-4</v>
      </c>
      <c r="H95" s="11">
        <f t="shared" si="27"/>
        <v>8.7037037037037042E-4</v>
      </c>
      <c r="I95" s="11">
        <f t="shared" si="28"/>
        <v>9.0749369441125711E-4</v>
      </c>
      <c r="J95" s="11">
        <f t="shared" si="29"/>
        <v>9.173577563070317E-4</v>
      </c>
      <c r="K95" s="11">
        <f t="shared" si="30"/>
        <v>9.5905583613916951E-4</v>
      </c>
      <c r="L95" s="11">
        <f t="shared" si="31"/>
        <v>1.0047251616696062E-3</v>
      </c>
      <c r="M95" s="25"/>
      <c r="N95" s="28"/>
      <c r="O95" s="25">
        <f>WO2025Jan7men11915171923252931333539414345474955575963656769717375777913171921[[#This Row],[Thresh L]]</f>
        <v>1.0047251616696062E-3</v>
      </c>
      <c r="P95" s="25">
        <f>WO2025Jan7men11915171923252931333539414345474955575963656769717375777913171921[[#This Row],[Thresh L]]*5</f>
        <v>5.0236258083480312E-3</v>
      </c>
      <c r="Q95" s="25">
        <f>WO2025Jan7men11915171923252931333539414345474955575963656769717375777913171921[[#This Row],[I]]</f>
        <v>8.7037037037037042E-4</v>
      </c>
      <c r="R95" s="28">
        <f>WO2025Jan7men11915171923252931333539414345474955575963656769717375777913171921[[#This Row],[I]]*3</f>
        <v>2.6111111111111114E-3</v>
      </c>
      <c r="S95" s="25">
        <f>WO2025Jan7men11915171923252931333539414345474955575963656769717375777913171921[[#This Row],[VO2]]</f>
        <v>8.4396913580246917E-4</v>
      </c>
      <c r="T95" s="25">
        <f>WO2025Jan7men11915171923252931333539414345474955575963656769717375777913171921[[#This Row],[VO2]]*2</f>
        <v>1.6879382716049383E-3</v>
      </c>
      <c r="U95" s="28" t="s">
        <v>25</v>
      </c>
      <c r="V95" s="28" t="s">
        <v>289</v>
      </c>
      <c r="W95" s="27" t="s">
        <v>290</v>
      </c>
      <c r="X95" s="52"/>
    </row>
    <row r="96" spans="1:24" ht="20.45" customHeight="1">
      <c r="A96" s="10" t="s">
        <v>133</v>
      </c>
      <c r="B96" s="11">
        <v>1.087962962962963E-2</v>
      </c>
      <c r="C96" s="11">
        <v>3.1250000000000002E-3</v>
      </c>
      <c r="D96" s="11">
        <f t="shared" si="24"/>
        <v>6.3297685185185184E-3</v>
      </c>
      <c r="E96" s="12">
        <v>0.58179999999999998</v>
      </c>
      <c r="F96" s="11">
        <f t="shared" si="25"/>
        <v>7.8125000000000004E-4</v>
      </c>
      <c r="G96" s="11">
        <f t="shared" si="26"/>
        <v>8.4396913580246917E-4</v>
      </c>
      <c r="H96" s="11">
        <f t="shared" si="27"/>
        <v>8.7037037037037042E-4</v>
      </c>
      <c r="I96" s="11">
        <f t="shared" si="28"/>
        <v>9.0749369441125711E-4</v>
      </c>
      <c r="J96" s="11">
        <f t="shared" si="29"/>
        <v>9.173577563070317E-4</v>
      </c>
      <c r="K96" s="11">
        <f t="shared" si="30"/>
        <v>9.5905583613916951E-4</v>
      </c>
      <c r="L96" s="11">
        <f t="shared" si="31"/>
        <v>1.0047251616696062E-3</v>
      </c>
      <c r="M96" s="25"/>
      <c r="N96" s="28"/>
      <c r="O96" s="25">
        <f>WO2025Jan7men11915171923252931333539414345474955575963656769717375777913171921[[#This Row],[Thresh L]]</f>
        <v>1.0047251616696062E-3</v>
      </c>
      <c r="P96" s="25">
        <f>WO2025Jan7men11915171923252931333539414345474955575963656769717375777913171921[[#This Row],[Thresh L]]*5</f>
        <v>5.0236258083480312E-3</v>
      </c>
      <c r="Q96" s="25">
        <f>WO2025Jan7men11915171923252931333539414345474955575963656769717375777913171921[[#This Row],[I]]</f>
        <v>8.7037037037037042E-4</v>
      </c>
      <c r="R96" s="28">
        <f>WO2025Jan7men11915171923252931333539414345474955575963656769717375777913171921[[#This Row],[I]]*3</f>
        <v>2.6111111111111114E-3</v>
      </c>
      <c r="S96" s="25">
        <f>WO2025Jan7men11915171923252931333539414345474955575963656769717375777913171921[[#This Row],[VO2]]</f>
        <v>8.4396913580246917E-4</v>
      </c>
      <c r="T96" s="25">
        <f>WO2025Jan7men11915171923252931333539414345474955575963656769717375777913171921[[#This Row],[VO2]]*2</f>
        <v>1.6879382716049383E-3</v>
      </c>
      <c r="U96" s="28" t="s">
        <v>25</v>
      </c>
      <c r="V96" s="25"/>
      <c r="W96" s="15" t="s">
        <v>290</v>
      </c>
      <c r="X96" s="52"/>
    </row>
    <row r="97" spans="1:24" ht="20.45" customHeight="1">
      <c r="A97" s="10" t="s">
        <v>113</v>
      </c>
      <c r="B97" s="11">
        <v>1.087962962962963E-2</v>
      </c>
      <c r="C97" s="11">
        <v>3.2986111111111111E-3</v>
      </c>
      <c r="D97" s="11">
        <f t="shared" si="24"/>
        <v>6.3297685185185184E-3</v>
      </c>
      <c r="E97" s="12">
        <v>0.58179999999999998</v>
      </c>
      <c r="F97" s="11">
        <f t="shared" si="25"/>
        <v>8.2465277777777778E-4</v>
      </c>
      <c r="G97" s="11">
        <f t="shared" si="26"/>
        <v>8.4396913580246917E-4</v>
      </c>
      <c r="H97" s="11">
        <f t="shared" si="27"/>
        <v>8.7037037037037042E-4</v>
      </c>
      <c r="I97" s="11">
        <f t="shared" si="28"/>
        <v>9.0749369441125711E-4</v>
      </c>
      <c r="J97" s="11">
        <f t="shared" si="29"/>
        <v>9.173577563070317E-4</v>
      </c>
      <c r="K97" s="11">
        <f t="shared" si="30"/>
        <v>9.5905583613916951E-4</v>
      </c>
      <c r="L97" s="11">
        <f t="shared" si="31"/>
        <v>1.0047251616696062E-3</v>
      </c>
      <c r="M97" s="25"/>
      <c r="N97" s="28"/>
      <c r="O97" s="25">
        <f>WO2025Jan7men11915171923252931333539414345474955575963656769717375777913171921[[#This Row],[Thresh L]]</f>
        <v>1.0047251616696062E-3</v>
      </c>
      <c r="P97" s="25">
        <f>WO2025Jan7men11915171923252931333539414345474955575963656769717375777913171921[[#This Row],[Thresh L]]*5</f>
        <v>5.0236258083480312E-3</v>
      </c>
      <c r="Q97" s="25">
        <f>WO2025Jan7men11915171923252931333539414345474955575963656769717375777913171921[[#This Row],[I]]</f>
        <v>8.7037037037037042E-4</v>
      </c>
      <c r="R97" s="28">
        <f>WO2025Jan7men11915171923252931333539414345474955575963656769717375777913171921[[#This Row],[I]]*3</f>
        <v>2.6111111111111114E-3</v>
      </c>
      <c r="S97" s="25">
        <f>WO2025Jan7men11915171923252931333539414345474955575963656769717375777913171921[[#This Row],[VO2]]</f>
        <v>8.4396913580246917E-4</v>
      </c>
      <c r="T97" s="25">
        <f>WO2025Jan7men11915171923252931333539414345474955575963656769717375777913171921[[#This Row],[VO2]]*2</f>
        <v>1.6879382716049383E-3</v>
      </c>
      <c r="U97" s="28" t="s">
        <v>25</v>
      </c>
      <c r="V97" s="25" t="s">
        <v>289</v>
      </c>
      <c r="W97" s="15" t="s">
        <v>290</v>
      </c>
      <c r="X97" s="52"/>
    </row>
    <row r="98" spans="1:24" ht="20.45" customHeight="1">
      <c r="A98" s="10" t="s">
        <v>128</v>
      </c>
      <c r="B98" s="11">
        <v>1.087962962962963E-2</v>
      </c>
      <c r="C98" s="11"/>
      <c r="D98" s="11">
        <f>B98*E98</f>
        <v>6.3297685185185184E-3</v>
      </c>
      <c r="E98" s="12">
        <v>0.58179999999999998</v>
      </c>
      <c r="F98" s="11">
        <f>C98/4</f>
        <v>0</v>
      </c>
      <c r="G98" s="11">
        <f>D98/7.5</f>
        <v>8.4396913580246917E-4</v>
      </c>
      <c r="H98" s="11">
        <f>B98/12.5</f>
        <v>8.7037037037037042E-4</v>
      </c>
      <c r="I98" s="11">
        <f>G98/0.93</f>
        <v>9.0749369441125711E-4</v>
      </c>
      <c r="J98" s="11">
        <f>G98/0.92</f>
        <v>9.173577563070317E-4</v>
      </c>
      <c r="K98" s="11">
        <f>G98/0.88</f>
        <v>9.5905583613916951E-4</v>
      </c>
      <c r="L98" s="11">
        <f>G98/0.84</f>
        <v>1.0047251616696062E-3</v>
      </c>
      <c r="M98" s="25"/>
      <c r="N98" s="28"/>
      <c r="O98" s="25">
        <f>WO2025Jan7men11915171923252931333539414345474955575963656769717375777913171921[[#This Row],[Thresh L]]</f>
        <v>1.0047251616696062E-3</v>
      </c>
      <c r="P98" s="25">
        <f>WO2025Jan7men11915171923252931333539414345474955575963656769717375777913171921[[#This Row],[Thresh L]]*5</f>
        <v>5.0236258083480312E-3</v>
      </c>
      <c r="Q98" s="25">
        <f>WO2025Jan7men11915171923252931333539414345474955575963656769717375777913171921[[#This Row],[I]]</f>
        <v>8.7037037037037042E-4</v>
      </c>
      <c r="R98" s="28">
        <f>WO2025Jan7men11915171923252931333539414345474955575963656769717375777913171921[[#This Row],[I]]*3</f>
        <v>2.6111111111111114E-3</v>
      </c>
      <c r="S98" s="25">
        <f>WO2025Jan7men11915171923252931333539414345474955575963656769717375777913171921[[#This Row],[VO2]]</f>
        <v>8.4396913580246917E-4</v>
      </c>
      <c r="T98" s="25">
        <f>WO2025Jan7men11915171923252931333539414345474955575963656769717375777913171921[[#This Row],[VO2]]*2</f>
        <v>1.6879382716049383E-3</v>
      </c>
      <c r="U98" s="28" t="s">
        <v>25</v>
      </c>
      <c r="V98" s="28"/>
      <c r="W98" s="27" t="s">
        <v>290</v>
      </c>
      <c r="X98" s="52" t="s">
        <v>296</v>
      </c>
    </row>
    <row r="99" spans="1:24" ht="20.45" customHeight="1">
      <c r="A99" s="10" t="s">
        <v>136</v>
      </c>
      <c r="B99" s="11">
        <v>1.1111111111111112E-2</v>
      </c>
      <c r="C99" s="11">
        <v>3.1828703703703702E-3</v>
      </c>
      <c r="D99" s="11">
        <f>B99*E99</f>
        <v>6.4644444444444445E-3</v>
      </c>
      <c r="E99" s="12">
        <v>0.58179999999999998</v>
      </c>
      <c r="F99" s="11">
        <f>C99/4</f>
        <v>7.9571759259259255E-4</v>
      </c>
      <c r="G99" s="11">
        <f>D99/7.5</f>
        <v>8.6192592592592592E-4</v>
      </c>
      <c r="H99" s="11">
        <f>B99/12.5</f>
        <v>8.8888888888888893E-4</v>
      </c>
      <c r="I99" s="11">
        <f>G99/0.93</f>
        <v>9.2680207088809239E-4</v>
      </c>
      <c r="J99" s="11">
        <f>G99/0.92</f>
        <v>9.3687600644122375E-4</v>
      </c>
      <c r="K99" s="11">
        <f>G99/0.88</f>
        <v>9.7946127946127947E-4</v>
      </c>
      <c r="L99" s="11">
        <f>G99/0.84</f>
        <v>1.0261022927689596E-3</v>
      </c>
      <c r="M99" s="25"/>
      <c r="N99" s="28"/>
      <c r="O99" s="25">
        <f>WO2025Jan7men11915171923252931333539414345474955575963656769717375777913171921[[#This Row],[Thresh L]]</f>
        <v>1.0261022927689596E-3</v>
      </c>
      <c r="P99" s="25">
        <f>WO2025Jan7men11915171923252931333539414345474955575963656769717375777913171921[[#This Row],[Thresh L]]*5</f>
        <v>5.1305114638447976E-3</v>
      </c>
      <c r="Q99" s="25">
        <f>WO2025Jan7men11915171923252931333539414345474955575963656769717375777913171921[[#This Row],[I]]</f>
        <v>8.8888888888888893E-4</v>
      </c>
      <c r="R99" s="28">
        <f>WO2025Jan7men11915171923252931333539414345474955575963656769717375777913171921[[#This Row],[I]]*3</f>
        <v>2.666666666666667E-3</v>
      </c>
      <c r="S99" s="25">
        <f>WO2025Jan7men11915171923252931333539414345474955575963656769717375777913171921[[#This Row],[VO2]]</f>
        <v>8.6192592592592592E-4</v>
      </c>
      <c r="T99" s="25">
        <f>WO2025Jan7men11915171923252931333539414345474955575963656769717375777913171921[[#This Row],[VO2]]*2</f>
        <v>1.7238518518518518E-3</v>
      </c>
      <c r="U99" s="28" t="s">
        <v>25</v>
      </c>
      <c r="V99" s="25"/>
      <c r="W99" s="15" t="s">
        <v>290</v>
      </c>
      <c r="X99" s="52"/>
    </row>
    <row r="100" spans="1:24" ht="20.45" customHeight="1">
      <c r="A100" s="10" t="s">
        <v>135</v>
      </c>
      <c r="B100" s="11">
        <v>1.1631944444444445E-2</v>
      </c>
      <c r="C100" s="11">
        <v>3.414351851851852E-3</v>
      </c>
      <c r="D100" s="11">
        <f>B100*E100</f>
        <v>6.7674652777777776E-3</v>
      </c>
      <c r="E100" s="12">
        <v>0.58179999999999998</v>
      </c>
      <c r="F100" s="11">
        <f>C100/4</f>
        <v>8.53587962962963E-4</v>
      </c>
      <c r="G100" s="11">
        <f>D100/7.5</f>
        <v>9.0232870370370369E-4</v>
      </c>
      <c r="H100" s="11">
        <f>B100/12.5</f>
        <v>9.3055555555555556E-4</v>
      </c>
      <c r="I100" s="11">
        <f>G100/0.93</f>
        <v>9.7024591796097167E-4</v>
      </c>
      <c r="J100" s="11">
        <f>G100/0.92</f>
        <v>9.8079206924315621E-4</v>
      </c>
      <c r="K100" s="11">
        <f>G100/0.88</f>
        <v>1.0253735269360269E-3</v>
      </c>
      <c r="L100" s="17">
        <f>G100/0.84</f>
        <v>1.0742008377425045E-3</v>
      </c>
      <c r="M100" s="25">
        <v>9.9920848267622464E-4</v>
      </c>
      <c r="N100" s="28">
        <v>3.9968339307048985E-3</v>
      </c>
      <c r="O100" s="25">
        <v>1.1062665343915346E-3</v>
      </c>
      <c r="P100" s="25">
        <v>5.5313326719576726E-3</v>
      </c>
      <c r="Q100" s="25">
        <v>9.5833333333333339E-4</v>
      </c>
      <c r="R100" s="28">
        <v>2.875E-3</v>
      </c>
      <c r="S100" s="25">
        <v>9.2926388888888898E-4</v>
      </c>
      <c r="T100" s="25">
        <v>1.858527777777778E-3</v>
      </c>
      <c r="U100" s="28" t="s">
        <v>25</v>
      </c>
      <c r="V100" s="44" t="s">
        <v>298</v>
      </c>
      <c r="W100" s="28" t="s">
        <v>288</v>
      </c>
      <c r="X100" s="52"/>
    </row>
    <row r="101" spans="1:24" ht="20.45" customHeight="1">
      <c r="A101" s="10"/>
      <c r="B101" s="11"/>
      <c r="C101" s="11"/>
      <c r="D101" s="11"/>
      <c r="E101" s="12"/>
      <c r="F101" s="11"/>
      <c r="G101" s="11"/>
      <c r="H101" s="11"/>
      <c r="I101" s="11"/>
      <c r="J101" s="11"/>
      <c r="K101" s="11"/>
      <c r="L101" s="11"/>
      <c r="M101" s="25"/>
      <c r="N101" s="28"/>
      <c r="O101" s="25"/>
      <c r="P101" s="28"/>
      <c r="Q101" s="25"/>
      <c r="R101" s="28"/>
      <c r="S101" s="25"/>
      <c r="T101" s="28"/>
      <c r="U101" s="28"/>
      <c r="V101" s="25"/>
      <c r="W101" s="15"/>
      <c r="X101" s="52"/>
    </row>
    <row r="102" spans="1:24" ht="20.45" customHeight="1">
      <c r="A102" s="19"/>
      <c r="B102" s="6"/>
      <c r="C102" s="6"/>
      <c r="D102" s="6"/>
      <c r="E102" s="20"/>
      <c r="F102" s="6"/>
      <c r="G102" s="6"/>
      <c r="H102" s="6"/>
      <c r="I102" s="6"/>
      <c r="J102" s="6"/>
      <c r="K102" s="6"/>
      <c r="L102" s="6"/>
      <c r="M102" s="6"/>
      <c r="N102" s="6"/>
      <c r="O102" s="6"/>
      <c r="P102" s="6"/>
      <c r="Q102" s="6"/>
      <c r="R102" s="6"/>
      <c r="S102" s="6"/>
      <c r="T102" s="6"/>
      <c r="U102" s="6"/>
      <c r="V102" s="23"/>
      <c r="W102" s="35"/>
      <c r="X102" s="52"/>
    </row>
    <row r="103" spans="1:24" ht="20.45" customHeight="1">
      <c r="A103" s="10" t="s">
        <v>85</v>
      </c>
      <c r="B103" s="11">
        <v>1.0300925925925925E-2</v>
      </c>
      <c r="C103" s="11">
        <v>3.0671296296296297E-3</v>
      </c>
      <c r="D103" s="11">
        <f>B103*E103</f>
        <v>5.9930787037037027E-3</v>
      </c>
      <c r="E103" s="12">
        <v>0.58179999999999998</v>
      </c>
      <c r="F103" s="11">
        <f>C103/4</f>
        <v>7.6678240740740743E-4</v>
      </c>
      <c r="G103" s="11">
        <f>D103/7.5</f>
        <v>7.9907716049382703E-4</v>
      </c>
      <c r="H103" s="11">
        <f>B103/12.5</f>
        <v>8.2407407407407397E-4</v>
      </c>
      <c r="I103" s="11">
        <f>G103/0.93</f>
        <v>8.5922275321916877E-4</v>
      </c>
      <c r="J103" s="11">
        <f>G103/0.92</f>
        <v>8.6856213097155112E-4</v>
      </c>
      <c r="K103" s="11">
        <f>G103/0.88</f>
        <v>9.080422278338944E-4</v>
      </c>
      <c r="L103" s="17">
        <f>G103/0.84</f>
        <v>9.5128233392122272E-4</v>
      </c>
      <c r="M103" s="25"/>
      <c r="N103" s="28"/>
      <c r="O103" s="25"/>
      <c r="P103" s="25"/>
      <c r="Q103" s="25"/>
      <c r="R103" s="28"/>
      <c r="S103" s="25"/>
      <c r="T103" s="25"/>
      <c r="U103" s="28"/>
      <c r="V103" s="25"/>
      <c r="W103" s="15" t="s">
        <v>52</v>
      </c>
      <c r="X103" s="52"/>
    </row>
    <row r="104" spans="1:24" ht="20.45" customHeight="1">
      <c r="A104" s="10" t="s">
        <v>107</v>
      </c>
      <c r="B104" s="11">
        <v>1.1111111111111112E-2</v>
      </c>
      <c r="C104" s="11">
        <v>3.2407407407407406E-3</v>
      </c>
      <c r="D104" s="11">
        <f t="shared" ref="D104:D109" si="32">B104*E104</f>
        <v>6.4644444444444445E-3</v>
      </c>
      <c r="E104" s="12">
        <v>0.58179999999999998</v>
      </c>
      <c r="F104" s="11">
        <f t="shared" ref="F104:F109" si="33">C104/4</f>
        <v>8.1018518518518516E-4</v>
      </c>
      <c r="G104" s="11">
        <f t="shared" ref="G104:G109" si="34">D104/7.5</f>
        <v>8.6192592592592592E-4</v>
      </c>
      <c r="H104" s="11">
        <f t="shared" ref="H104:H109" si="35">B104/12.5</f>
        <v>8.8888888888888893E-4</v>
      </c>
      <c r="I104" s="11">
        <f t="shared" ref="I104:I109" si="36">G104/0.93</f>
        <v>9.2680207088809239E-4</v>
      </c>
      <c r="J104" s="11">
        <f t="shared" ref="J104:J109" si="37">G104/0.92</f>
        <v>9.3687600644122375E-4</v>
      </c>
      <c r="K104" s="11">
        <f t="shared" ref="K104:K109" si="38">G104/0.88</f>
        <v>9.7946127946127947E-4</v>
      </c>
      <c r="L104" s="11">
        <f t="shared" ref="L104:L109" si="39">G104/0.84</f>
        <v>1.0261022927689596E-3</v>
      </c>
      <c r="M104" s="25"/>
      <c r="N104" s="28"/>
      <c r="O104" s="25"/>
      <c r="P104" s="25"/>
      <c r="Q104" s="25"/>
      <c r="R104" s="28"/>
      <c r="S104" s="25"/>
      <c r="T104" s="25"/>
      <c r="U104" s="28"/>
      <c r="V104" s="28"/>
      <c r="W104" s="15" t="s">
        <v>52</v>
      </c>
      <c r="X104" s="52"/>
    </row>
    <row r="105" spans="1:24" ht="20.45" customHeight="1">
      <c r="A105" s="10" t="s">
        <v>106</v>
      </c>
      <c r="B105" s="11">
        <v>1.0532407407407407E-2</v>
      </c>
      <c r="C105" s="11">
        <v>2.9745370370370373E-3</v>
      </c>
      <c r="D105" s="11">
        <f t="shared" si="32"/>
        <v>6.1277546296296288E-3</v>
      </c>
      <c r="E105" s="12">
        <v>0.58179999999999998</v>
      </c>
      <c r="F105" s="11">
        <f t="shared" si="33"/>
        <v>7.4363425925925931E-4</v>
      </c>
      <c r="G105" s="11">
        <f t="shared" si="34"/>
        <v>8.1703395061728389E-4</v>
      </c>
      <c r="H105" s="11">
        <f t="shared" si="35"/>
        <v>8.4259259259259259E-4</v>
      </c>
      <c r="I105" s="11">
        <f t="shared" si="36"/>
        <v>8.7853112969600415E-4</v>
      </c>
      <c r="J105" s="11">
        <f t="shared" si="37"/>
        <v>8.8808038110574329E-4</v>
      </c>
      <c r="K105" s="11">
        <f t="shared" si="38"/>
        <v>9.2844767115600447E-4</v>
      </c>
      <c r="L105" s="11">
        <f t="shared" si="39"/>
        <v>9.7265946502057604E-4</v>
      </c>
      <c r="M105" s="25"/>
      <c r="N105" s="28"/>
      <c r="O105" s="25"/>
      <c r="P105" s="25"/>
      <c r="Q105" s="25"/>
      <c r="R105" s="25"/>
      <c r="S105" s="25"/>
      <c r="T105" s="25"/>
      <c r="U105" s="28"/>
      <c r="V105" s="25"/>
      <c r="W105" s="15" t="s">
        <v>52</v>
      </c>
      <c r="X105" s="52"/>
    </row>
    <row r="106" spans="1:24" ht="20.45" customHeight="1">
      <c r="A106" s="10" t="s">
        <v>122</v>
      </c>
      <c r="B106" s="11">
        <v>1.0532407407407407E-2</v>
      </c>
      <c r="C106" s="11">
        <v>3.0671296296296297E-3</v>
      </c>
      <c r="D106" s="11">
        <f t="shared" si="32"/>
        <v>6.1277546296296288E-3</v>
      </c>
      <c r="E106" s="12">
        <v>0.58179999999999998</v>
      </c>
      <c r="F106" s="11">
        <f t="shared" si="33"/>
        <v>7.6678240740740743E-4</v>
      </c>
      <c r="G106" s="11">
        <f t="shared" si="34"/>
        <v>8.1703395061728389E-4</v>
      </c>
      <c r="H106" s="11">
        <f t="shared" si="35"/>
        <v>8.4259259259259259E-4</v>
      </c>
      <c r="I106" s="11">
        <f t="shared" si="36"/>
        <v>8.7853112969600415E-4</v>
      </c>
      <c r="J106" s="11">
        <f t="shared" si="37"/>
        <v>8.8808038110574329E-4</v>
      </c>
      <c r="K106" s="11">
        <f t="shared" si="38"/>
        <v>9.2844767115600447E-4</v>
      </c>
      <c r="L106" s="11">
        <f t="shared" si="39"/>
        <v>9.7265946502057604E-4</v>
      </c>
      <c r="M106" s="25"/>
      <c r="N106" s="28"/>
      <c r="O106" s="25"/>
      <c r="P106" s="25"/>
      <c r="Q106" s="25"/>
      <c r="R106" s="28"/>
      <c r="S106" s="25"/>
      <c r="T106" s="25"/>
      <c r="U106" s="28"/>
      <c r="V106" s="25"/>
      <c r="W106" s="15" t="s">
        <v>52</v>
      </c>
      <c r="X106" s="52"/>
    </row>
    <row r="107" spans="1:24" ht="20.45" customHeight="1">
      <c r="A107" s="10" t="s">
        <v>164</v>
      </c>
      <c r="B107" s="11">
        <v>1.1342592592592593E-2</v>
      </c>
      <c r="C107" s="11">
        <v>3.2407407407407406E-3</v>
      </c>
      <c r="D107" s="11">
        <f t="shared" si="32"/>
        <v>6.5991203703703706E-3</v>
      </c>
      <c r="E107" s="12">
        <v>0.58179999999999998</v>
      </c>
      <c r="F107" s="11">
        <f t="shared" si="33"/>
        <v>8.1018518518518516E-4</v>
      </c>
      <c r="G107" s="11">
        <f t="shared" si="34"/>
        <v>8.7988271604938278E-4</v>
      </c>
      <c r="H107" s="11">
        <f t="shared" si="35"/>
        <v>9.0740740740740745E-4</v>
      </c>
      <c r="I107" s="11">
        <f t="shared" si="36"/>
        <v>9.4611044736492766E-4</v>
      </c>
      <c r="J107" s="11">
        <f t="shared" si="37"/>
        <v>9.5639425657541603E-4</v>
      </c>
      <c r="K107" s="11">
        <f t="shared" si="38"/>
        <v>9.9986672278338943E-4</v>
      </c>
      <c r="L107" s="11">
        <f t="shared" si="39"/>
        <v>1.0474794238683129E-3</v>
      </c>
      <c r="M107" s="25"/>
      <c r="N107" s="28"/>
      <c r="O107" s="25"/>
      <c r="P107" s="28"/>
      <c r="Q107" s="28"/>
      <c r="R107" s="11"/>
      <c r="S107" s="14"/>
      <c r="T107" s="14"/>
      <c r="U107" s="26"/>
      <c r="V107" s="28"/>
      <c r="W107" s="27" t="s">
        <v>52</v>
      </c>
      <c r="X107" s="52"/>
    </row>
    <row r="108" spans="1:24" ht="20.45" customHeight="1">
      <c r="A108" s="10" t="s">
        <v>108</v>
      </c>
      <c r="B108" s="11">
        <v>1.0763888888888891E-2</v>
      </c>
      <c r="C108" s="11">
        <v>3.0671296296296297E-3</v>
      </c>
      <c r="D108" s="11">
        <f t="shared" si="32"/>
        <v>6.2624305555555567E-3</v>
      </c>
      <c r="E108" s="12">
        <v>0.58179999999999998</v>
      </c>
      <c r="F108" s="11">
        <f t="shared" si="33"/>
        <v>7.6678240740740743E-4</v>
      </c>
      <c r="G108" s="11">
        <f t="shared" si="34"/>
        <v>8.3499074074074085E-4</v>
      </c>
      <c r="H108" s="11">
        <f t="shared" si="35"/>
        <v>8.6111111111111121E-4</v>
      </c>
      <c r="I108" s="11">
        <f t="shared" si="36"/>
        <v>8.9783950617283953E-4</v>
      </c>
      <c r="J108" s="11">
        <f t="shared" si="37"/>
        <v>9.0759863123993567E-4</v>
      </c>
      <c r="K108" s="11">
        <f t="shared" si="38"/>
        <v>9.4885311447811464E-4</v>
      </c>
      <c r="L108" s="11">
        <f t="shared" si="39"/>
        <v>9.9403659611992969E-4</v>
      </c>
      <c r="M108" s="25"/>
      <c r="N108" s="28"/>
      <c r="O108" s="25"/>
      <c r="P108" s="28"/>
      <c r="Q108" s="25"/>
      <c r="R108" s="28"/>
      <c r="S108" s="25"/>
      <c r="T108" s="25"/>
      <c r="U108" s="28"/>
      <c r="V108" s="28"/>
      <c r="W108" s="15" t="s">
        <v>52</v>
      </c>
      <c r="X108" s="52"/>
    </row>
    <row r="109" spans="1:24" ht="20.45" customHeight="1">
      <c r="A109" s="10" t="s">
        <v>105</v>
      </c>
      <c r="B109" s="11">
        <v>1.0648148148148148E-2</v>
      </c>
      <c r="C109" s="11">
        <v>2.9745370370370373E-3</v>
      </c>
      <c r="D109" s="11">
        <f t="shared" si="32"/>
        <v>6.1950925925925923E-3</v>
      </c>
      <c r="E109" s="12">
        <v>0.58179999999999998</v>
      </c>
      <c r="F109" s="11">
        <f t="shared" si="33"/>
        <v>7.4363425925925931E-4</v>
      </c>
      <c r="G109" s="11">
        <f t="shared" si="34"/>
        <v>8.2601234567901232E-4</v>
      </c>
      <c r="H109" s="11">
        <f t="shared" si="35"/>
        <v>8.5185185185185179E-4</v>
      </c>
      <c r="I109" s="11">
        <f t="shared" si="36"/>
        <v>8.8818531793442184E-4</v>
      </c>
      <c r="J109" s="11">
        <f t="shared" si="37"/>
        <v>8.9783950617283942E-4</v>
      </c>
      <c r="K109" s="11">
        <f t="shared" si="38"/>
        <v>9.3865039281705945E-4</v>
      </c>
      <c r="L109" s="11">
        <f t="shared" si="39"/>
        <v>9.833480305702527E-4</v>
      </c>
      <c r="M109" s="37"/>
      <c r="N109" s="28"/>
      <c r="O109" s="25"/>
      <c r="P109" s="25"/>
      <c r="Q109" s="25"/>
      <c r="R109" s="25"/>
      <c r="S109" s="25"/>
      <c r="T109" s="25"/>
      <c r="U109" s="28"/>
      <c r="V109" s="25"/>
      <c r="W109" s="15" t="s">
        <v>52</v>
      </c>
      <c r="X109" s="52"/>
    </row>
    <row r="110" spans="1:24" ht="20.45" customHeight="1">
      <c r="A110" s="10"/>
      <c r="B110" s="11"/>
      <c r="C110" s="11"/>
      <c r="D110" s="11"/>
      <c r="E110" s="12"/>
      <c r="F110" s="11"/>
      <c r="G110" s="11"/>
      <c r="H110" s="11"/>
      <c r="I110" s="11"/>
      <c r="J110" s="11"/>
      <c r="K110" s="11"/>
      <c r="L110" s="11"/>
      <c r="M110" s="25"/>
      <c r="N110" s="28"/>
      <c r="O110" s="25"/>
      <c r="P110" s="25"/>
      <c r="Q110" s="25"/>
      <c r="R110" s="28"/>
      <c r="S110" s="25"/>
      <c r="T110" s="25"/>
      <c r="U110" s="28"/>
      <c r="V110" s="25"/>
      <c r="W110" s="15"/>
      <c r="X110" s="52"/>
    </row>
    <row r="111" spans="1:24" ht="20.45" customHeight="1">
      <c r="A111" s="10"/>
      <c r="B111" s="11"/>
      <c r="C111" s="11"/>
      <c r="D111" s="11"/>
      <c r="E111" s="12"/>
      <c r="F111" s="11"/>
      <c r="G111" s="11"/>
      <c r="H111" s="11"/>
      <c r="I111" s="11"/>
      <c r="J111" s="11"/>
      <c r="K111" s="11"/>
      <c r="L111" s="11"/>
      <c r="M111" s="25"/>
      <c r="N111" s="28"/>
      <c r="O111" s="25"/>
      <c r="P111" s="25"/>
      <c r="Q111" s="28"/>
      <c r="R111" s="28"/>
      <c r="S111" s="25"/>
      <c r="T111" s="25"/>
      <c r="U111" s="28"/>
      <c r="V111" s="28"/>
      <c r="W111" s="15"/>
      <c r="X111" s="52"/>
    </row>
    <row r="112" spans="1:24" ht="20.45" customHeight="1">
      <c r="A112" s="10"/>
      <c r="B112" s="11"/>
      <c r="C112" s="11"/>
      <c r="D112" s="11"/>
      <c r="E112" s="12"/>
      <c r="F112" s="11"/>
      <c r="G112" s="11"/>
      <c r="H112" s="11"/>
      <c r="I112" s="11"/>
      <c r="J112" s="11"/>
      <c r="K112" s="11"/>
      <c r="L112" s="11"/>
      <c r="M112" s="25"/>
      <c r="N112" s="28"/>
      <c r="O112" s="25"/>
      <c r="P112" s="25"/>
      <c r="Q112" s="25"/>
      <c r="R112" s="25"/>
      <c r="S112" s="25"/>
      <c r="T112" s="25"/>
      <c r="U112" s="28"/>
      <c r="V112" s="25"/>
      <c r="W112" s="15"/>
      <c r="X112" s="52"/>
    </row>
    <row r="113" spans="1:24" ht="20.45" customHeight="1">
      <c r="A113" s="10"/>
      <c r="B113" s="11"/>
      <c r="C113" s="11"/>
      <c r="D113" s="11"/>
      <c r="E113" s="12"/>
      <c r="F113" s="11"/>
      <c r="G113" s="11"/>
      <c r="H113" s="11"/>
      <c r="I113" s="11"/>
      <c r="J113" s="11"/>
      <c r="K113" s="11"/>
      <c r="L113" s="17"/>
      <c r="M113" s="11"/>
      <c r="N113" s="26"/>
      <c r="P113" s="26"/>
      <c r="Q113" s="26"/>
      <c r="R113" s="26"/>
      <c r="S113" s="14"/>
      <c r="T113" s="14"/>
      <c r="U113" s="26"/>
      <c r="V113" s="38"/>
      <c r="W113" s="31"/>
      <c r="X113" s="52"/>
    </row>
    <row r="114" spans="1:24" ht="20.45" customHeight="1">
      <c r="A114" s="10"/>
      <c r="B114" s="11"/>
      <c r="C114" s="11"/>
      <c r="D114" s="11"/>
      <c r="E114" s="12"/>
      <c r="F114" s="11"/>
      <c r="G114" s="11"/>
      <c r="H114" s="11"/>
      <c r="I114" s="11"/>
      <c r="J114" s="11"/>
      <c r="K114" s="11"/>
      <c r="L114" s="17"/>
      <c r="M114" s="11"/>
      <c r="N114" s="26"/>
      <c r="P114" s="26"/>
      <c r="Q114" s="26"/>
      <c r="R114" s="26"/>
      <c r="S114" s="14"/>
      <c r="T114" s="14"/>
      <c r="U114" s="26"/>
      <c r="V114" s="38"/>
      <c r="W114" s="31"/>
      <c r="X114" s="52"/>
    </row>
    <row r="115" spans="1:24" ht="20.45" customHeight="1" thickBot="1">
      <c r="A115" s="10"/>
      <c r="B115" s="11"/>
      <c r="C115" s="11"/>
      <c r="D115" s="11"/>
      <c r="E115" s="12"/>
      <c r="F115" s="11"/>
      <c r="G115" s="11"/>
      <c r="H115" s="11"/>
      <c r="I115" s="11"/>
      <c r="J115" s="11"/>
      <c r="K115" s="11"/>
      <c r="L115" s="11"/>
      <c r="M115" s="25"/>
      <c r="N115" s="28"/>
      <c r="O115" s="25"/>
      <c r="P115" s="28"/>
      <c r="Q115" s="25"/>
      <c r="R115" s="28"/>
      <c r="S115" s="25"/>
      <c r="T115" s="25"/>
      <c r="U115" s="28"/>
      <c r="V115" s="28"/>
      <c r="W115" s="27"/>
      <c r="X115" s="52"/>
    </row>
    <row r="116" spans="1:24" ht="20.45" customHeight="1">
      <c r="A116" s="1" t="s">
        <v>279</v>
      </c>
      <c r="B116" s="6"/>
      <c r="C116" s="6"/>
      <c r="D116" s="6"/>
      <c r="E116" s="20"/>
      <c r="F116" s="6"/>
      <c r="G116" s="6"/>
      <c r="H116" s="6"/>
      <c r="I116" s="6"/>
      <c r="J116" s="6"/>
      <c r="K116" s="6"/>
      <c r="L116" s="6"/>
      <c r="M116" s="6" t="s">
        <v>14</v>
      </c>
      <c r="N116" s="6" t="s">
        <v>299</v>
      </c>
      <c r="O116" s="6" t="s">
        <v>172</v>
      </c>
      <c r="P116" s="6" t="s">
        <v>174</v>
      </c>
      <c r="Q116" s="22"/>
      <c r="R116" s="6"/>
      <c r="S116" s="6"/>
      <c r="T116" s="6"/>
      <c r="U116" s="6"/>
      <c r="V116" s="23"/>
      <c r="W116" s="35"/>
      <c r="X116" s="52"/>
    </row>
    <row r="117" spans="1:24" ht="20.45" customHeight="1">
      <c r="A117" s="10" t="s">
        <v>127</v>
      </c>
      <c r="B117" s="11">
        <v>1.0648148148148148E-2</v>
      </c>
      <c r="C117" s="11"/>
      <c r="D117" s="11">
        <f>B117*E117</f>
        <v>6.1950925925925923E-3</v>
      </c>
      <c r="E117" s="12">
        <v>0.58179999999999998</v>
      </c>
      <c r="F117" s="11">
        <f>C117/4</f>
        <v>0</v>
      </c>
      <c r="G117" s="11">
        <f>D117/7.5</f>
        <v>8.2601234567901232E-4</v>
      </c>
      <c r="H117" s="11">
        <f>B117/12.5</f>
        <v>8.5185185185185179E-4</v>
      </c>
      <c r="I117" s="11">
        <f>G117/0.93</f>
        <v>8.8818531793442184E-4</v>
      </c>
      <c r="J117" s="11">
        <f>G117/0.92</f>
        <v>8.9783950617283942E-4</v>
      </c>
      <c r="K117" s="11">
        <f>G117/0.88</f>
        <v>9.3865039281705945E-4</v>
      </c>
      <c r="L117" s="11">
        <f>G117/0.84</f>
        <v>9.833480305702527E-4</v>
      </c>
      <c r="M117" s="25">
        <f>WO2025Jan7men11915171923252931333539414345474955575963656769717375777913171921[[#This Row],[CV]]</f>
        <v>8.9783950617283942E-4</v>
      </c>
      <c r="N117" s="28">
        <f>WO2025Jan7men11915171923252931333539414345474955575963656769717375777913171921[[#This Row],[CV]]*4</f>
        <v>3.5913580246913577E-3</v>
      </c>
      <c r="O117" s="25">
        <f>WO2025Jan7men11915171923252931333539414345474955575963656769717375777913171921[[#This Row],[Thresh]]</f>
        <v>9.3865039281705945E-4</v>
      </c>
      <c r="P117" s="25">
        <f>WO2025Jan7men11915171923252931333539414345474955575963656769717375777913171921[[#This Row],[Thresh]]*3</f>
        <v>2.8159511784511784E-3</v>
      </c>
      <c r="Q117" s="25"/>
      <c r="R117" s="28"/>
      <c r="S117" s="25"/>
      <c r="T117" s="25"/>
      <c r="U117" s="28"/>
      <c r="V117" s="48"/>
      <c r="W117" s="15" t="s">
        <v>300</v>
      </c>
      <c r="X117" s="52"/>
    </row>
    <row r="118" spans="1:24" ht="20.45" customHeight="1">
      <c r="A118" s="10" t="s">
        <v>96</v>
      </c>
      <c r="B118" s="11">
        <v>1.0648148148148148E-2</v>
      </c>
      <c r="C118" s="11">
        <v>2.9513888888888888E-3</v>
      </c>
      <c r="D118" s="11">
        <f t="shared" ref="D118:D125" si="40">B118*E118</f>
        <v>6.1950925925925923E-3</v>
      </c>
      <c r="E118" s="12">
        <v>0.58179999999999998</v>
      </c>
      <c r="F118" s="11">
        <f t="shared" ref="F118:F125" si="41">C118/4</f>
        <v>7.378472222222222E-4</v>
      </c>
      <c r="G118" s="11">
        <f t="shared" ref="G118:G125" si="42">D118/7.5</f>
        <v>8.2601234567901232E-4</v>
      </c>
      <c r="H118" s="11">
        <f t="shared" ref="H118:H125" si="43">B118/12.5</f>
        <v>8.5185185185185179E-4</v>
      </c>
      <c r="I118" s="11">
        <f t="shared" ref="I118:I125" si="44">G118/0.93</f>
        <v>8.8818531793442184E-4</v>
      </c>
      <c r="J118" s="11">
        <f t="shared" ref="J118:J125" si="45">G118/0.92</f>
        <v>8.9783950617283942E-4</v>
      </c>
      <c r="K118" s="11">
        <f t="shared" ref="K118:K125" si="46">G118/0.88</f>
        <v>9.3865039281705945E-4</v>
      </c>
      <c r="L118" s="17">
        <f t="shared" ref="L118:L125" si="47">G118/0.84</f>
        <v>9.833480305702527E-4</v>
      </c>
      <c r="M118" s="25">
        <f>WO2025Jan7men11915171923252931333539414345474955575963656769717375777913171921[[#This Row],[CV]]</f>
        <v>8.9783950617283942E-4</v>
      </c>
      <c r="N118" s="28">
        <f>WO2025Jan7men11915171923252931333539414345474955575963656769717375777913171921[[#This Row],[CV]]*4</f>
        <v>3.5913580246913577E-3</v>
      </c>
      <c r="O118" s="25">
        <f>WO2025Jan7men11915171923252931333539414345474955575963656769717375777913171921[[#This Row],[Thresh]]</f>
        <v>9.3865039281705945E-4</v>
      </c>
      <c r="P118" s="25">
        <f>WO2025Jan7men11915171923252931333539414345474955575963656769717375777913171921[[#This Row],[Thresh]]*3</f>
        <v>2.8159511784511784E-3</v>
      </c>
      <c r="Q118" s="25"/>
      <c r="R118" s="28"/>
      <c r="S118" s="25"/>
      <c r="T118" s="25"/>
      <c r="U118" s="28"/>
      <c r="V118" s="25"/>
      <c r="W118" s="15" t="s">
        <v>300</v>
      </c>
      <c r="X118" s="50"/>
    </row>
    <row r="119" spans="1:24" ht="20.45" customHeight="1">
      <c r="A119" s="10" t="s">
        <v>137</v>
      </c>
      <c r="B119" s="11">
        <v>1.0763888888888891E-2</v>
      </c>
      <c r="C119" s="11"/>
      <c r="D119" s="11">
        <f>B119*E119</f>
        <v>6.2624305555555567E-3</v>
      </c>
      <c r="E119" s="12">
        <v>0.58179999999999998</v>
      </c>
      <c r="F119" s="11">
        <f>C119/4</f>
        <v>0</v>
      </c>
      <c r="G119" s="11">
        <f>D119/7.5</f>
        <v>8.3499074074074085E-4</v>
      </c>
      <c r="H119" s="11">
        <f>B119/12.5</f>
        <v>8.6111111111111121E-4</v>
      </c>
      <c r="I119" s="11">
        <f>G119/0.93</f>
        <v>8.9783950617283953E-4</v>
      </c>
      <c r="J119" s="11">
        <f>G119/0.92</f>
        <v>9.0759863123993567E-4</v>
      </c>
      <c r="K119" s="11">
        <f>G119/0.88</f>
        <v>9.4885311447811464E-4</v>
      </c>
      <c r="L119" s="11">
        <f>G119/0.84</f>
        <v>9.9403659611992969E-4</v>
      </c>
      <c r="M119" s="25">
        <f>WO2025Jan7men11915171923252931333539414345474955575963656769717375777913171921[[#This Row],[CV]]</f>
        <v>9.0759863123993567E-4</v>
      </c>
      <c r="N119" s="28">
        <f>WO2025Jan7men11915171923252931333539414345474955575963656769717375777913171921[[#This Row],[CV]]*4</f>
        <v>3.6303945249597427E-3</v>
      </c>
      <c r="O119" s="25">
        <f>WO2025Jan7men11915171923252931333539414345474955575963656769717375777913171921[[#This Row],[Thresh]]</f>
        <v>9.4885311447811464E-4</v>
      </c>
      <c r="P119" s="25">
        <f>WO2025Jan7men11915171923252931333539414345474955575963656769717375777913171921[[#This Row],[Thresh]]*3</f>
        <v>2.8465593434343437E-3</v>
      </c>
      <c r="Q119" s="25"/>
      <c r="R119" s="28"/>
      <c r="S119" s="25"/>
      <c r="T119" s="25"/>
      <c r="U119" s="28"/>
      <c r="V119" s="28"/>
      <c r="W119" s="15" t="s">
        <v>300</v>
      </c>
      <c r="X119" s="50"/>
    </row>
    <row r="120" spans="1:24" ht="20.45" customHeight="1">
      <c r="A120" s="10" t="s">
        <v>97</v>
      </c>
      <c r="B120" s="11">
        <v>1.0763888888888889E-2</v>
      </c>
      <c r="C120" s="11">
        <v>2.9513888888888888E-3</v>
      </c>
      <c r="D120" s="11">
        <f>B120*E120</f>
        <v>6.2624305555555549E-3</v>
      </c>
      <c r="E120" s="12">
        <v>0.58179999999999998</v>
      </c>
      <c r="F120" s="11">
        <f>C120/4</f>
        <v>7.378472222222222E-4</v>
      </c>
      <c r="G120" s="11">
        <f>D120/7.5</f>
        <v>8.3499074074074064E-4</v>
      </c>
      <c r="H120" s="11">
        <f>B120/12.5</f>
        <v>8.611111111111111E-4</v>
      </c>
      <c r="I120" s="11">
        <f>G120/0.93</f>
        <v>8.9783950617283931E-4</v>
      </c>
      <c r="J120" s="11">
        <f>G120/0.92</f>
        <v>9.0759863123993545E-4</v>
      </c>
      <c r="K120" s="11">
        <f>G120/0.88</f>
        <v>9.4885311447811432E-4</v>
      </c>
      <c r="L120" s="11">
        <f>G120/0.84</f>
        <v>9.9403659611992947E-4</v>
      </c>
      <c r="M120" s="25">
        <f>WO2025Jan7men11915171923252931333539414345474955575963656769717375777913171921[[#This Row],[CV]]</f>
        <v>9.0759863123993545E-4</v>
      </c>
      <c r="N120" s="28">
        <f>WO2025Jan7men11915171923252931333539414345474955575963656769717375777913171921[[#This Row],[CV]]*4</f>
        <v>3.6303945249597418E-3</v>
      </c>
      <c r="O120" s="25">
        <f>WO2025Jan7men11915171923252931333539414345474955575963656769717375777913171921[[#This Row],[Thresh]]</f>
        <v>9.4885311447811432E-4</v>
      </c>
      <c r="P120" s="25">
        <f>WO2025Jan7men11915171923252931333539414345474955575963656769717375777913171921[[#This Row],[Thresh]]*3</f>
        <v>2.8465593434343428E-3</v>
      </c>
      <c r="Q120" s="25"/>
      <c r="R120" s="28"/>
      <c r="S120" s="25"/>
      <c r="T120" s="25"/>
      <c r="U120" s="28"/>
      <c r="V120" s="25"/>
      <c r="W120" s="15" t="s">
        <v>300</v>
      </c>
      <c r="X120" s="50"/>
    </row>
    <row r="121" spans="1:24" ht="20.45" customHeight="1">
      <c r="A121" s="10" t="s">
        <v>114</v>
      </c>
      <c r="B121" s="11">
        <v>1.087962962962963E-2</v>
      </c>
      <c r="C121" s="11"/>
      <c r="D121" s="11">
        <f>B121*E121</f>
        <v>6.3297685185185184E-3</v>
      </c>
      <c r="E121" s="12">
        <v>0.58179999999999998</v>
      </c>
      <c r="F121" s="11">
        <f>C121/4</f>
        <v>0</v>
      </c>
      <c r="G121" s="11">
        <f>D121/7.5</f>
        <v>8.4396913580246917E-4</v>
      </c>
      <c r="H121" s="11">
        <f>B121/12.5</f>
        <v>8.7037037037037042E-4</v>
      </c>
      <c r="I121" s="11">
        <f>G121/0.93</f>
        <v>9.0749369441125711E-4</v>
      </c>
      <c r="J121" s="11">
        <f>G121/0.92</f>
        <v>9.173577563070317E-4</v>
      </c>
      <c r="K121" s="11">
        <f>G121/0.88</f>
        <v>9.5905583613916951E-4</v>
      </c>
      <c r="L121" s="11">
        <f>G121/0.84</f>
        <v>1.0047251616696062E-3</v>
      </c>
      <c r="M121" s="25">
        <f>WO2025Jan7men11915171923252931333539414345474955575963656769717375777913171921[[#This Row],[CV]]</f>
        <v>9.173577563070317E-4</v>
      </c>
      <c r="N121" s="28">
        <f>WO2025Jan7men11915171923252931333539414345474955575963656769717375777913171921[[#This Row],[CV]]*4</f>
        <v>3.6694310252281268E-3</v>
      </c>
      <c r="O121" s="25">
        <f>WO2025Jan7men11915171923252931333539414345474955575963656769717375777913171921[[#This Row],[Thresh]]</f>
        <v>9.5905583613916951E-4</v>
      </c>
      <c r="P121" s="25">
        <f>WO2025Jan7men11915171923252931333539414345474955575963656769717375777913171921[[#This Row],[Thresh]]*3</f>
        <v>2.8771675084175085E-3</v>
      </c>
      <c r="Q121" s="25"/>
      <c r="R121" s="28"/>
      <c r="S121" s="25"/>
      <c r="T121" s="25"/>
      <c r="U121" s="28"/>
      <c r="V121" s="28"/>
      <c r="W121" s="15" t="s">
        <v>300</v>
      </c>
      <c r="X121" s="50"/>
    </row>
    <row r="122" spans="1:24" ht="20.45" customHeight="1">
      <c r="A122" s="10" t="s">
        <v>101</v>
      </c>
      <c r="B122" s="11">
        <v>1.1111111111111112E-2</v>
      </c>
      <c r="C122" s="11">
        <v>3.0671296296296297E-3</v>
      </c>
      <c r="D122" s="11">
        <f>B122*E122</f>
        <v>6.4644444444444445E-3</v>
      </c>
      <c r="E122" s="12">
        <v>0.58179999999999998</v>
      </c>
      <c r="F122" s="11">
        <f>C122/4</f>
        <v>7.6678240740740743E-4</v>
      </c>
      <c r="G122" s="11">
        <f>D122/7.5</f>
        <v>8.6192592592592592E-4</v>
      </c>
      <c r="H122" s="11">
        <f>B122/12.5</f>
        <v>8.8888888888888893E-4</v>
      </c>
      <c r="I122" s="11">
        <f>G122/0.93</f>
        <v>9.2680207088809239E-4</v>
      </c>
      <c r="J122" s="11">
        <f>G122/0.92</f>
        <v>9.3687600644122375E-4</v>
      </c>
      <c r="K122" s="11">
        <f>G122/0.88</f>
        <v>9.7946127946127947E-4</v>
      </c>
      <c r="L122" s="11">
        <f>G122/0.84</f>
        <v>1.0261022927689596E-3</v>
      </c>
      <c r="M122" s="25">
        <f>WO2025Jan7men11915171923252931333539414345474955575963656769717375777913171921[[#This Row],[CV]]</f>
        <v>9.3687600644122375E-4</v>
      </c>
      <c r="N122" s="28">
        <f>WO2025Jan7men11915171923252931333539414345474955575963656769717375777913171921[[#This Row],[CV]]*4</f>
        <v>3.747504025764895E-3</v>
      </c>
      <c r="O122" s="25">
        <f>WO2025Jan7men11915171923252931333539414345474955575963656769717375777913171921[[#This Row],[Thresh]]</f>
        <v>9.7946127946127947E-4</v>
      </c>
      <c r="P122" s="25">
        <f>WO2025Jan7men11915171923252931333539414345474955575963656769717375777913171921[[#This Row],[Thresh]]*3</f>
        <v>2.9383838383838382E-3</v>
      </c>
      <c r="Q122" s="25"/>
      <c r="R122" s="28"/>
      <c r="S122" s="25"/>
      <c r="T122" s="25"/>
      <c r="U122" s="28"/>
      <c r="V122" s="25"/>
      <c r="W122" s="15" t="s">
        <v>300</v>
      </c>
      <c r="X122" s="50"/>
    </row>
    <row r="123" spans="1:24" ht="20.45" customHeight="1">
      <c r="A123" s="10" t="s">
        <v>98</v>
      </c>
      <c r="B123" s="11">
        <v>1.1111111111111112E-2</v>
      </c>
      <c r="C123" s="11">
        <v>3.0671296296296297E-3</v>
      </c>
      <c r="D123" s="11">
        <f>B123*E123</f>
        <v>6.4644444444444445E-3</v>
      </c>
      <c r="E123" s="12">
        <v>0.58179999999999998</v>
      </c>
      <c r="F123" s="11">
        <f>C123/4</f>
        <v>7.6678240740740743E-4</v>
      </c>
      <c r="G123" s="11">
        <f>D123/7.5</f>
        <v>8.6192592592592592E-4</v>
      </c>
      <c r="H123" s="11">
        <f>B123/12.5</f>
        <v>8.8888888888888893E-4</v>
      </c>
      <c r="I123" s="11">
        <f>G123/0.93</f>
        <v>9.2680207088809239E-4</v>
      </c>
      <c r="J123" s="11">
        <f>G123/0.92</f>
        <v>9.3687600644122375E-4</v>
      </c>
      <c r="K123" s="11">
        <f>G123/0.88</f>
        <v>9.7946127946127947E-4</v>
      </c>
      <c r="L123" s="11">
        <f>G123/0.84</f>
        <v>1.0261022927689596E-3</v>
      </c>
      <c r="M123" s="25">
        <f>WO2025Jan7men11915171923252931333539414345474955575963656769717375777913171921[[#This Row],[CV]]</f>
        <v>9.3687600644122375E-4</v>
      </c>
      <c r="N123" s="28">
        <f>WO2025Jan7men11915171923252931333539414345474955575963656769717375777913171921[[#This Row],[CV]]*4</f>
        <v>3.747504025764895E-3</v>
      </c>
      <c r="O123" s="25">
        <f>WO2025Jan7men11915171923252931333539414345474955575963656769717375777913171921[[#This Row],[Thresh]]</f>
        <v>9.7946127946127947E-4</v>
      </c>
      <c r="P123" s="25">
        <f>WO2025Jan7men11915171923252931333539414345474955575963656769717375777913171921[[#This Row],[Thresh]]*3</f>
        <v>2.9383838383838382E-3</v>
      </c>
      <c r="Q123" s="25"/>
      <c r="R123" s="28"/>
      <c r="S123" s="25"/>
      <c r="T123" s="25"/>
      <c r="U123" s="28"/>
      <c r="V123" s="28"/>
      <c r="W123" s="27" t="s">
        <v>300</v>
      </c>
      <c r="X123" s="50"/>
    </row>
    <row r="124" spans="1:24" ht="20.45" customHeight="1">
      <c r="A124" s="10" t="s">
        <v>103</v>
      </c>
      <c r="B124" s="11">
        <v>1.1111111111111112E-2</v>
      </c>
      <c r="C124" s="11">
        <v>3.0671296296296297E-3</v>
      </c>
      <c r="D124" s="11">
        <f t="shared" si="40"/>
        <v>6.4644444444444445E-3</v>
      </c>
      <c r="E124" s="12">
        <v>0.58179999999999998</v>
      </c>
      <c r="F124" s="11">
        <f t="shared" si="41"/>
        <v>7.6678240740740743E-4</v>
      </c>
      <c r="G124" s="11">
        <f t="shared" si="42"/>
        <v>8.6192592592592592E-4</v>
      </c>
      <c r="H124" s="11">
        <f t="shared" si="43"/>
        <v>8.8888888888888893E-4</v>
      </c>
      <c r="I124" s="11">
        <f t="shared" si="44"/>
        <v>9.2680207088809239E-4</v>
      </c>
      <c r="J124" s="11">
        <f t="shared" si="45"/>
        <v>9.3687600644122375E-4</v>
      </c>
      <c r="K124" s="11">
        <f t="shared" si="46"/>
        <v>9.7946127946127947E-4</v>
      </c>
      <c r="L124" s="17">
        <f t="shared" si="47"/>
        <v>1.0261022927689596E-3</v>
      </c>
      <c r="M124" s="25">
        <f>WO2025Jan7men11915171923252931333539414345474955575963656769717375777913171921[[#This Row],[CV]]</f>
        <v>9.3687600644122375E-4</v>
      </c>
      <c r="N124" s="28">
        <f>WO2025Jan7men11915171923252931333539414345474955575963656769717375777913171921[[#This Row],[CV]]*4</f>
        <v>3.747504025764895E-3</v>
      </c>
      <c r="O124" s="25">
        <f>WO2025Jan7men11915171923252931333539414345474955575963656769717375777913171921[[#This Row],[Thresh]]</f>
        <v>9.7946127946127947E-4</v>
      </c>
      <c r="P124" s="25">
        <f>WO2025Jan7men11915171923252931333539414345474955575963656769717375777913171921[[#This Row],[Thresh]]*3</f>
        <v>2.9383838383838382E-3</v>
      </c>
      <c r="Q124" s="25"/>
      <c r="R124" s="28"/>
      <c r="S124" s="25"/>
      <c r="T124" s="25"/>
      <c r="U124" s="28"/>
      <c r="V124" s="25"/>
      <c r="W124" s="15" t="s">
        <v>300</v>
      </c>
      <c r="X124" s="50"/>
    </row>
    <row r="125" spans="1:24" ht="20.45" customHeight="1">
      <c r="A125" s="10" t="s">
        <v>104</v>
      </c>
      <c r="B125" s="11">
        <v>1.1458333333333333E-2</v>
      </c>
      <c r="C125" s="11">
        <v>3.2986111111111111E-3</v>
      </c>
      <c r="D125" s="11">
        <f t="shared" si="40"/>
        <v>6.6664583333333324E-3</v>
      </c>
      <c r="E125" s="12">
        <v>0.58179999999999998</v>
      </c>
      <c r="F125" s="11">
        <f t="shared" si="41"/>
        <v>8.2465277777777778E-4</v>
      </c>
      <c r="G125" s="11">
        <f t="shared" si="42"/>
        <v>8.8886111111111099E-4</v>
      </c>
      <c r="H125" s="11">
        <f t="shared" si="43"/>
        <v>9.1666666666666665E-4</v>
      </c>
      <c r="I125" s="11">
        <f t="shared" si="44"/>
        <v>9.5576463560334514E-4</v>
      </c>
      <c r="J125" s="11">
        <f t="shared" si="45"/>
        <v>9.6615338164251195E-4</v>
      </c>
      <c r="K125" s="11">
        <f t="shared" si="46"/>
        <v>1.0100694444444443E-3</v>
      </c>
      <c r="L125" s="11">
        <f t="shared" si="47"/>
        <v>1.0581679894179892E-3</v>
      </c>
      <c r="M125" s="25">
        <f>WO2025Jan7men11915171923252931333539414345474955575963656769717375777913171921[[#This Row],[CV]]</f>
        <v>9.6615338164251195E-4</v>
      </c>
      <c r="N125" s="28">
        <f>WO2025Jan7men11915171923252931333539414345474955575963656769717375777913171921[[#This Row],[CV]]*4</f>
        <v>3.8646135265700478E-3</v>
      </c>
      <c r="O125" s="25">
        <f>WO2025Jan7men11915171923252931333539414345474955575963656769717375777913171921[[#This Row],[Thresh]]</f>
        <v>1.0100694444444443E-3</v>
      </c>
      <c r="P125" s="25">
        <f>WO2025Jan7men11915171923252931333539414345474955575963656769717375777913171921[[#This Row],[Thresh]]*3</f>
        <v>3.0302083333333327E-3</v>
      </c>
      <c r="Q125" s="25"/>
      <c r="R125" s="28"/>
      <c r="S125" s="25"/>
      <c r="T125" s="25"/>
      <c r="U125" s="28"/>
      <c r="V125" s="25"/>
      <c r="W125" s="15" t="s">
        <v>300</v>
      </c>
      <c r="X125" s="50"/>
    </row>
    <row r="126" spans="1:24" ht="20.45" customHeight="1">
      <c r="A126" s="10" t="s">
        <v>99</v>
      </c>
      <c r="B126" s="11">
        <v>1.1458333333333333E-2</v>
      </c>
      <c r="C126" s="11">
        <v>3.0092592592592593E-3</v>
      </c>
      <c r="D126" s="11">
        <f>B126*E126</f>
        <v>6.6664583333333324E-3</v>
      </c>
      <c r="E126" s="12">
        <v>0.58179999999999998</v>
      </c>
      <c r="F126" s="11">
        <f>C126/4</f>
        <v>7.5231481481481482E-4</v>
      </c>
      <c r="G126" s="11">
        <f>D126/7.5</f>
        <v>8.8886111111111099E-4</v>
      </c>
      <c r="H126" s="11">
        <f>B126/12.5</f>
        <v>9.1666666666666665E-4</v>
      </c>
      <c r="I126" s="11">
        <f>G126/0.93</f>
        <v>9.5576463560334514E-4</v>
      </c>
      <c r="J126" s="11">
        <f>G126/0.92</f>
        <v>9.6615338164251195E-4</v>
      </c>
      <c r="K126" s="11">
        <f>G126/0.88</f>
        <v>1.0100694444444443E-3</v>
      </c>
      <c r="L126" s="11">
        <f>G126/0.84</f>
        <v>1.0581679894179892E-3</v>
      </c>
      <c r="M126" s="25">
        <f>WO2025Jan7men11915171923252931333539414345474955575963656769717375777913171921[[#This Row],[CV]]</f>
        <v>9.6615338164251195E-4</v>
      </c>
      <c r="N126" s="28">
        <f>WO2025Jan7men11915171923252931333539414345474955575963656769717375777913171921[[#This Row],[CV]]*4</f>
        <v>3.8646135265700478E-3</v>
      </c>
      <c r="O126" s="25">
        <f>WO2025Jan7men11915171923252931333539414345474955575963656769717375777913171921[[#This Row],[Thresh]]</f>
        <v>1.0100694444444443E-3</v>
      </c>
      <c r="P126" s="25">
        <f>WO2025Jan7men11915171923252931333539414345474955575963656769717375777913171921[[#This Row],[Thresh]]*3</f>
        <v>3.0302083333333327E-3</v>
      </c>
      <c r="Q126" s="25"/>
      <c r="R126" s="28"/>
      <c r="S126" s="25"/>
      <c r="T126" s="25"/>
      <c r="U126" s="28"/>
      <c r="V126" s="28"/>
      <c r="W126" s="27" t="s">
        <v>300</v>
      </c>
      <c r="X126" s="50"/>
    </row>
    <row r="127" spans="1:24" ht="20.45" customHeight="1">
      <c r="A127" s="10" t="s">
        <v>102</v>
      </c>
      <c r="B127" s="11">
        <v>1.1458333333333333E-2</v>
      </c>
      <c r="C127" s="11">
        <v>3.0671296296296297E-3</v>
      </c>
      <c r="D127" s="11">
        <f>B127*E127</f>
        <v>6.6664583333333324E-3</v>
      </c>
      <c r="E127" s="12">
        <v>0.58179999999999998</v>
      </c>
      <c r="F127" s="11">
        <f>C127/4</f>
        <v>7.6678240740740743E-4</v>
      </c>
      <c r="G127" s="11">
        <f>D127/7.5</f>
        <v>8.8886111111111099E-4</v>
      </c>
      <c r="H127" s="11">
        <f>B127/12.5</f>
        <v>9.1666666666666665E-4</v>
      </c>
      <c r="I127" s="11">
        <f>G127/0.93</f>
        <v>9.5576463560334514E-4</v>
      </c>
      <c r="J127" s="11">
        <f>G127/0.92</f>
        <v>9.6615338164251195E-4</v>
      </c>
      <c r="K127" s="11">
        <f>G127/0.88</f>
        <v>1.0100694444444443E-3</v>
      </c>
      <c r="L127" s="11">
        <f>G127/0.84</f>
        <v>1.0581679894179892E-3</v>
      </c>
      <c r="M127" s="25">
        <f>WO2025Jan7men11915171923252931333539414345474955575963656769717375777913171921[[#This Row],[CV]]</f>
        <v>9.6615338164251195E-4</v>
      </c>
      <c r="N127" s="28">
        <f>WO2025Jan7men11915171923252931333539414345474955575963656769717375777913171921[[#This Row],[CV]]*4</f>
        <v>3.8646135265700478E-3</v>
      </c>
      <c r="O127" s="25">
        <f>WO2025Jan7men11915171923252931333539414345474955575963656769717375777913171921[[#This Row],[Thresh]]</f>
        <v>1.0100694444444443E-3</v>
      </c>
      <c r="P127" s="25">
        <f>WO2025Jan7men11915171923252931333539414345474955575963656769717375777913171921[[#This Row],[Thresh]]*3</f>
        <v>3.0302083333333327E-3</v>
      </c>
      <c r="Q127" s="25"/>
      <c r="R127" s="28"/>
      <c r="S127" s="25"/>
      <c r="T127" s="25"/>
      <c r="U127" s="28"/>
      <c r="V127" s="28"/>
      <c r="W127" s="27" t="s">
        <v>300</v>
      </c>
      <c r="X127" s="50"/>
    </row>
    <row r="128" spans="1:24" ht="20.45" customHeight="1">
      <c r="A128" s="10" t="s">
        <v>134</v>
      </c>
      <c r="B128" s="11">
        <v>1.1631944444444445E-2</v>
      </c>
      <c r="C128" s="11"/>
      <c r="D128" s="11">
        <f>B128*E128</f>
        <v>6.7674652777777776E-3</v>
      </c>
      <c r="E128" s="12">
        <v>0.58179999999999998</v>
      </c>
      <c r="F128" s="11">
        <f>C128/4</f>
        <v>0</v>
      </c>
      <c r="G128" s="11">
        <f>D128/7.5</f>
        <v>9.0232870370370369E-4</v>
      </c>
      <c r="H128" s="11">
        <f>B128/12.5</f>
        <v>9.3055555555555556E-4</v>
      </c>
      <c r="I128" s="11">
        <f>G128/0.93</f>
        <v>9.7024591796097167E-4</v>
      </c>
      <c r="J128" s="11">
        <f>G128/0.92</f>
        <v>9.8079206924315621E-4</v>
      </c>
      <c r="K128" s="11">
        <f>G128/0.88</f>
        <v>1.0253735269360269E-3</v>
      </c>
      <c r="L128" s="11">
        <f>G128/0.84</f>
        <v>1.0742008377425045E-3</v>
      </c>
      <c r="M128" s="25">
        <f>WO2025Jan7men11915171923252931333539414345474955575963656769717375777913171921[[#This Row],[CV]]</f>
        <v>9.8079206924315621E-4</v>
      </c>
      <c r="N128" s="28">
        <f>WO2025Jan7men11915171923252931333539414345474955575963656769717375777913171921[[#This Row],[CV]]*4</f>
        <v>3.9231682769726248E-3</v>
      </c>
      <c r="O128" s="25">
        <f>WO2025Jan7men11915171923252931333539414345474955575963656769717375777913171921[[#This Row],[Thresh]]</f>
        <v>1.0253735269360269E-3</v>
      </c>
      <c r="P128" s="25">
        <f>WO2025Jan7men11915171923252931333539414345474955575963656769717375777913171921[[#This Row],[Thresh]]*3</f>
        <v>3.0761205808080808E-3</v>
      </c>
      <c r="Q128" s="25"/>
      <c r="R128" s="28"/>
      <c r="S128" s="25"/>
      <c r="T128" s="25"/>
      <c r="U128" s="28"/>
      <c r="V128" s="28"/>
      <c r="W128" s="27" t="s">
        <v>300</v>
      </c>
      <c r="X128" s="50"/>
    </row>
    <row r="129" spans="1:24" ht="20.45" customHeight="1">
      <c r="A129" s="10"/>
      <c r="B129" s="11"/>
      <c r="C129" s="11"/>
      <c r="D129" s="11"/>
      <c r="E129" s="12"/>
      <c r="F129" s="11"/>
      <c r="G129" s="11"/>
      <c r="H129" s="11"/>
      <c r="I129" s="11"/>
      <c r="J129" s="11"/>
      <c r="K129" s="11"/>
      <c r="L129" s="11"/>
      <c r="M129" s="25"/>
      <c r="N129" s="28"/>
      <c r="O129" s="25"/>
      <c r="P129" s="25"/>
      <c r="Q129" s="25"/>
      <c r="R129" s="25"/>
      <c r="S129" s="25"/>
      <c r="T129" s="25"/>
      <c r="U129" s="28"/>
      <c r="V129" s="25"/>
      <c r="W129" s="15"/>
      <c r="X129" s="50"/>
    </row>
    <row r="130" spans="1:24" ht="20.45" customHeight="1">
      <c r="A130" s="10"/>
      <c r="B130" s="11"/>
      <c r="C130" s="11"/>
      <c r="D130" s="11"/>
      <c r="E130" s="12"/>
      <c r="F130" s="11"/>
      <c r="G130" s="11"/>
      <c r="H130" s="11"/>
      <c r="I130" s="11"/>
      <c r="J130" s="11"/>
      <c r="K130" s="11"/>
      <c r="L130" s="11"/>
      <c r="M130" s="25"/>
      <c r="N130" s="28"/>
      <c r="O130" s="25"/>
      <c r="P130" s="25"/>
      <c r="Q130" s="28"/>
      <c r="R130" s="28"/>
      <c r="S130" s="25"/>
      <c r="T130" s="25"/>
      <c r="U130" s="28"/>
      <c r="V130" s="25"/>
      <c r="W130" s="15"/>
      <c r="X130" s="50"/>
    </row>
    <row r="131" spans="1:24" ht="20.45" customHeight="1">
      <c r="A131" s="10"/>
      <c r="B131" s="11"/>
      <c r="C131" s="11"/>
      <c r="D131" s="11"/>
      <c r="E131" s="12"/>
      <c r="F131" s="11"/>
      <c r="G131" s="11"/>
      <c r="H131" s="11"/>
      <c r="I131" s="11"/>
      <c r="J131" s="11"/>
      <c r="K131" s="11"/>
      <c r="L131" s="11"/>
      <c r="M131" s="25"/>
      <c r="N131" s="28"/>
      <c r="O131" s="25"/>
      <c r="P131" s="25"/>
      <c r="Q131" s="25"/>
      <c r="R131" s="25"/>
      <c r="S131" s="25"/>
      <c r="T131" s="25"/>
      <c r="U131" s="28"/>
      <c r="V131" s="25"/>
      <c r="W131" s="15"/>
      <c r="X131" s="50"/>
    </row>
    <row r="132" spans="1:24" ht="20.45" customHeight="1">
      <c r="A132" s="10"/>
      <c r="B132" s="11"/>
      <c r="C132" s="11"/>
      <c r="D132" s="11"/>
      <c r="E132" s="12"/>
      <c r="F132" s="11"/>
      <c r="G132" s="11"/>
      <c r="H132" s="11"/>
      <c r="I132" s="11"/>
      <c r="J132" s="11"/>
      <c r="K132" s="11"/>
      <c r="L132" s="17"/>
      <c r="M132" s="25"/>
      <c r="N132" s="28"/>
      <c r="O132" s="25"/>
      <c r="P132" s="25"/>
      <c r="Q132" s="25"/>
      <c r="R132" s="25"/>
      <c r="S132" s="25"/>
      <c r="T132" s="25"/>
      <c r="U132" s="28"/>
      <c r="V132" s="25"/>
      <c r="W132" s="15"/>
      <c r="X132" s="50"/>
    </row>
    <row r="133" spans="1:24" ht="20.45" customHeight="1">
      <c r="A133" s="10"/>
      <c r="B133" s="11"/>
      <c r="C133" s="11"/>
      <c r="D133" s="11"/>
      <c r="E133" s="12"/>
      <c r="F133" s="11"/>
      <c r="G133" s="11"/>
      <c r="H133" s="11"/>
      <c r="I133" s="11"/>
      <c r="J133" s="11"/>
      <c r="K133" s="11"/>
      <c r="L133" s="11"/>
      <c r="M133" s="25"/>
      <c r="N133" s="28"/>
      <c r="O133" s="25"/>
      <c r="P133" s="25"/>
      <c r="Q133" s="25"/>
      <c r="R133" s="28"/>
      <c r="S133" s="25"/>
      <c r="T133" s="25"/>
      <c r="U133" s="28"/>
      <c r="V133" s="25"/>
      <c r="W133" s="15"/>
      <c r="X133" s="50"/>
    </row>
    <row r="134" spans="1:24" ht="20.45" customHeight="1">
      <c r="A134" s="10"/>
      <c r="B134" s="11"/>
      <c r="C134" s="11"/>
      <c r="D134" s="11"/>
      <c r="E134" s="12"/>
      <c r="F134" s="11"/>
      <c r="G134" s="11"/>
      <c r="H134" s="11"/>
      <c r="I134" s="11"/>
      <c r="J134" s="11"/>
      <c r="K134" s="11"/>
      <c r="L134" s="17"/>
      <c r="M134" s="25"/>
      <c r="N134" s="28"/>
      <c r="O134" s="25"/>
      <c r="P134" s="25"/>
      <c r="Q134" s="25"/>
      <c r="R134" s="25"/>
      <c r="S134" s="25"/>
      <c r="T134" s="25"/>
      <c r="U134" s="28"/>
      <c r="V134" s="25"/>
      <c r="W134" s="15"/>
      <c r="X134" s="50"/>
    </row>
    <row r="135" spans="1:24" ht="20.45" customHeight="1">
      <c r="A135" s="10"/>
      <c r="B135" s="11"/>
      <c r="C135" s="11"/>
      <c r="D135" s="11"/>
      <c r="E135" s="12"/>
      <c r="F135" s="11"/>
      <c r="G135" s="11"/>
      <c r="H135" s="11"/>
      <c r="I135" s="11"/>
      <c r="J135" s="11"/>
      <c r="K135" s="11"/>
      <c r="L135" s="11"/>
      <c r="M135" s="25"/>
      <c r="N135" s="28"/>
      <c r="O135" s="25"/>
      <c r="P135" s="25"/>
      <c r="Q135" s="25"/>
      <c r="R135" s="28"/>
      <c r="S135" s="25"/>
      <c r="T135" s="25"/>
      <c r="U135" s="28"/>
      <c r="V135" s="25"/>
      <c r="W135" s="15"/>
      <c r="X135" s="50"/>
    </row>
    <row r="136" spans="1:24" ht="20.45" customHeight="1">
      <c r="A136" s="10"/>
      <c r="B136" s="11"/>
      <c r="C136" s="11"/>
      <c r="D136" s="11"/>
      <c r="E136" s="12"/>
      <c r="F136" s="11"/>
      <c r="G136" s="11"/>
      <c r="H136" s="11"/>
      <c r="I136" s="11"/>
      <c r="J136" s="11"/>
      <c r="K136" s="11"/>
      <c r="L136" s="17"/>
      <c r="M136" s="25"/>
      <c r="N136" s="28"/>
      <c r="O136" s="25"/>
      <c r="P136" s="25"/>
      <c r="Q136" s="25"/>
      <c r="R136" s="28"/>
      <c r="S136" s="25"/>
      <c r="T136" s="25"/>
      <c r="U136" s="28"/>
      <c r="V136" s="25"/>
      <c r="W136" s="15"/>
      <c r="X136" s="50"/>
    </row>
    <row r="137" spans="1:24" ht="20.45" customHeight="1">
      <c r="A137" s="10"/>
      <c r="B137" s="11"/>
      <c r="C137" s="11"/>
      <c r="D137" s="11"/>
      <c r="E137" s="12"/>
      <c r="F137" s="11"/>
      <c r="G137" s="11"/>
      <c r="H137" s="11"/>
      <c r="I137" s="11"/>
      <c r="J137" s="11"/>
      <c r="K137" s="11"/>
      <c r="L137" s="11"/>
      <c r="M137" s="25"/>
      <c r="N137" s="28"/>
      <c r="O137" s="25"/>
      <c r="P137" s="25"/>
      <c r="Q137" s="28"/>
      <c r="R137" s="28"/>
      <c r="S137" s="25"/>
      <c r="T137" s="25"/>
      <c r="U137" s="28"/>
      <c r="V137" s="25"/>
      <c r="W137" s="15"/>
      <c r="X137" s="50"/>
    </row>
    <row r="138" spans="1:24" ht="20.45" customHeight="1">
      <c r="A138" s="10"/>
      <c r="B138" s="11"/>
      <c r="C138" s="11"/>
      <c r="D138" s="11"/>
      <c r="E138" s="12"/>
      <c r="F138" s="11"/>
      <c r="G138" s="11"/>
      <c r="H138" s="11"/>
      <c r="I138" s="11"/>
      <c r="J138" s="11"/>
      <c r="K138" s="11"/>
      <c r="L138" s="11"/>
      <c r="M138" s="25"/>
      <c r="N138" s="28"/>
      <c r="O138" s="25"/>
      <c r="P138" s="28"/>
      <c r="Q138" s="25"/>
      <c r="R138" s="28"/>
      <c r="S138" s="25"/>
      <c r="T138" s="28"/>
      <c r="U138" s="28"/>
      <c r="V138" s="25"/>
      <c r="W138" s="15"/>
      <c r="X138" s="51"/>
    </row>
    <row r="139" spans="1:24" ht="20.45" customHeight="1">
      <c r="A139" s="10"/>
      <c r="B139" s="11"/>
      <c r="C139" s="11"/>
      <c r="D139" s="11"/>
      <c r="E139" s="12"/>
      <c r="F139" s="11"/>
      <c r="G139" s="11"/>
      <c r="H139" s="11"/>
      <c r="I139" s="11"/>
      <c r="J139" s="11"/>
      <c r="K139" s="11"/>
      <c r="L139" s="11"/>
      <c r="M139" s="25"/>
      <c r="N139" s="28"/>
      <c r="O139" s="25"/>
      <c r="P139" s="25"/>
      <c r="Q139" s="25"/>
      <c r="R139" s="25"/>
      <c r="S139" s="25"/>
      <c r="T139" s="25"/>
      <c r="U139" s="28"/>
      <c r="V139" s="25"/>
      <c r="W139" s="15"/>
      <c r="X139" s="51"/>
    </row>
    <row r="140" spans="1:24" ht="20.45" customHeight="1">
      <c r="A140" s="10"/>
      <c r="B140" s="11"/>
      <c r="C140" s="11"/>
      <c r="D140" s="11"/>
      <c r="E140" s="12"/>
      <c r="F140" s="11"/>
      <c r="G140" s="11"/>
      <c r="H140" s="11"/>
      <c r="I140" s="11"/>
      <c r="J140" s="11"/>
      <c r="K140" s="11"/>
      <c r="L140" s="17"/>
      <c r="M140" s="25"/>
      <c r="N140" s="28"/>
      <c r="O140" s="25"/>
      <c r="P140" s="28"/>
      <c r="Q140" s="25"/>
      <c r="R140" s="28"/>
      <c r="S140" s="25"/>
      <c r="T140" s="25"/>
      <c r="U140" s="28"/>
      <c r="V140" s="28"/>
      <c r="W140" s="27"/>
      <c r="X140" s="51"/>
    </row>
    <row r="141" spans="1:24" ht="20.45" customHeight="1">
      <c r="A141" s="10"/>
      <c r="B141" s="11"/>
      <c r="C141" s="11"/>
      <c r="D141" s="11"/>
      <c r="E141" s="12"/>
      <c r="F141" s="11"/>
      <c r="G141" s="11"/>
      <c r="H141" s="11"/>
      <c r="I141" s="11"/>
      <c r="J141" s="11"/>
      <c r="K141" s="11"/>
      <c r="L141" s="11"/>
      <c r="M141" s="11"/>
      <c r="N141" s="26"/>
      <c r="P141" s="26"/>
      <c r="Q141" s="26"/>
      <c r="R141" s="26"/>
      <c r="S141" s="14"/>
      <c r="T141" s="14"/>
      <c r="U141" s="26"/>
      <c r="V141" s="28"/>
      <c r="W141" s="27"/>
      <c r="X141" s="51"/>
    </row>
    <row r="142" spans="1:24" ht="20.100000000000001" customHeight="1">
      <c r="A142" s="10"/>
      <c r="B142" s="11"/>
      <c r="C142" s="11"/>
      <c r="D142" s="11">
        <f>B142*E142</f>
        <v>0</v>
      </c>
      <c r="E142" s="12"/>
      <c r="F142" s="11">
        <f>C142/4</f>
        <v>0</v>
      </c>
      <c r="G142" s="11">
        <f>D142/7.5</f>
        <v>0</v>
      </c>
      <c r="H142" s="11">
        <f>B142/12.5</f>
        <v>0</v>
      </c>
      <c r="I142" s="11">
        <f>G142/0.93</f>
        <v>0</v>
      </c>
      <c r="J142" s="11">
        <f>G142/0.92</f>
        <v>0</v>
      </c>
      <c r="K142" s="11">
        <f>G142/0.88</f>
        <v>0</v>
      </c>
      <c r="L142" s="17">
        <f>G142/0.84</f>
        <v>0</v>
      </c>
      <c r="M142" s="11"/>
      <c r="N142" s="26"/>
      <c r="P142" s="26"/>
      <c r="Q142" s="26"/>
      <c r="R142" s="26"/>
      <c r="S142" s="14"/>
      <c r="T142" s="14"/>
      <c r="U142" s="26"/>
      <c r="V142" s="38"/>
      <c r="W142" s="31"/>
      <c r="X142" s="51"/>
    </row>
    <row r="143" spans="1:24" ht="20.100000000000001" customHeight="1">
      <c r="A143" s="10"/>
      <c r="B143" s="11"/>
      <c r="C143" s="11"/>
      <c r="D143" s="11">
        <f>B143*E143</f>
        <v>0</v>
      </c>
      <c r="E143" s="12"/>
      <c r="F143" s="11">
        <f>C143/4</f>
        <v>0</v>
      </c>
      <c r="G143" s="11">
        <f>D143/7.5</f>
        <v>0</v>
      </c>
      <c r="H143" s="11">
        <f>B143/12.5</f>
        <v>0</v>
      </c>
      <c r="I143" s="11">
        <f>G143/0.93</f>
        <v>0</v>
      </c>
      <c r="J143" s="11">
        <f>G143/0.92</f>
        <v>0</v>
      </c>
      <c r="K143" s="11">
        <f>G143/0.88</f>
        <v>0</v>
      </c>
      <c r="L143" s="17">
        <f>G143/0.84</f>
        <v>0</v>
      </c>
      <c r="M143" s="11"/>
      <c r="N143" s="26"/>
      <c r="P143" s="26"/>
      <c r="Q143" s="26"/>
      <c r="R143" s="26"/>
      <c r="S143" s="14"/>
      <c r="T143" s="14"/>
      <c r="U143" s="26"/>
      <c r="V143" s="38"/>
      <c r="W143" s="31"/>
      <c r="X143" s="51"/>
    </row>
    <row r="144" spans="1:24" ht="20.100000000000001" customHeight="1">
      <c r="A144" s="10"/>
      <c r="B144" s="11"/>
      <c r="C144" s="11"/>
      <c r="D144" s="11">
        <f>B144*E144</f>
        <v>0</v>
      </c>
      <c r="E144" s="12"/>
      <c r="F144" s="11">
        <f>C144/4</f>
        <v>0</v>
      </c>
      <c r="G144" s="11">
        <f>D144/7.5</f>
        <v>0</v>
      </c>
      <c r="H144" s="11">
        <f>B144/12.5</f>
        <v>0</v>
      </c>
      <c r="I144" s="11">
        <f>G144/0.93</f>
        <v>0</v>
      </c>
      <c r="J144" s="11">
        <f>G144/0.92</f>
        <v>0</v>
      </c>
      <c r="K144" s="11">
        <f>G144/0.88</f>
        <v>0</v>
      </c>
      <c r="L144" s="17">
        <f>G144/0.84</f>
        <v>0</v>
      </c>
      <c r="M144" s="11"/>
      <c r="N144" s="26"/>
      <c r="P144" s="26"/>
      <c r="Q144" s="26"/>
      <c r="R144" s="26"/>
      <c r="S144" s="14"/>
      <c r="T144" s="14"/>
      <c r="U144" s="26"/>
      <c r="V144" s="38"/>
      <c r="W144" s="31"/>
      <c r="X144" s="51"/>
    </row>
  </sheetData>
  <mergeCells count="15">
    <mergeCell ref="X51:X57"/>
    <mergeCell ref="X1:X10"/>
    <mergeCell ref="X11:X20"/>
    <mergeCell ref="X21:X30"/>
    <mergeCell ref="X31:X40"/>
    <mergeCell ref="X41:X50"/>
    <mergeCell ref="X118:X127"/>
    <mergeCell ref="X128:X137"/>
    <mergeCell ref="X138:X144"/>
    <mergeCell ref="X58:X67"/>
    <mergeCell ref="X68:X77"/>
    <mergeCell ref="X78:X87"/>
    <mergeCell ref="X88:X97"/>
    <mergeCell ref="X98:X107"/>
    <mergeCell ref="X108:X117"/>
  </mergeCells>
  <pageMargins left="0.25" right="0.25" top="0.25" bottom="0.25" header="0" footer="0"/>
  <pageSetup scale="95" fitToHeight="0" orientation="landscape" r:id="rId1"/>
  <tableParts count="2">
    <tablePart r:id="rId2"/>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AFF70-B97D-4789-962A-1B74D5D03185}">
  <sheetPr>
    <pageSetUpPr fitToPage="1"/>
  </sheetPr>
  <dimension ref="A1:Z144"/>
  <sheetViews>
    <sheetView zoomScale="85" zoomScaleNormal="85" workbookViewId="0">
      <selection activeCell="N6" sqref="N6"/>
    </sheetView>
  </sheetViews>
  <sheetFormatPr defaultColWidth="8.7109375" defaultRowHeight="14.45"/>
  <cols>
    <col min="1" max="1" width="19.5703125" customWidth="1"/>
    <col min="2" max="2" width="8.7109375" style="29" hidden="1" customWidth="1"/>
    <col min="3" max="3" width="10.140625" hidden="1" customWidth="1"/>
    <col min="4" max="4" width="8.7109375" style="29" hidden="1" customWidth="1"/>
    <col min="5" max="5" width="9.28515625" hidden="1" customWidth="1"/>
    <col min="6" max="6" width="8.7109375" hidden="1" customWidth="1"/>
    <col min="7" max="7" width="9.28515625" hidden="1" customWidth="1"/>
    <col min="8" max="9" width="8.7109375" hidden="1" customWidth="1"/>
    <col min="10" max="10" width="10.7109375" hidden="1" customWidth="1"/>
    <col min="11" max="11" width="11.42578125" hidden="1" customWidth="1"/>
    <col min="12" max="12" width="6.140625" hidden="1" customWidth="1"/>
    <col min="13" max="13" width="8.7109375" customWidth="1"/>
    <col min="14" max="19" width="10.140625" customWidth="1"/>
    <col min="20" max="22" width="8.7109375" customWidth="1"/>
    <col min="23" max="23" width="3.42578125" customWidth="1"/>
    <col min="24" max="24" width="20.42578125" customWidth="1"/>
    <col min="25" max="25" width="12.28515625" bestFit="1" customWidth="1"/>
    <col min="26" max="27" width="12.85546875" bestFit="1" customWidth="1"/>
  </cols>
  <sheetData>
    <row r="1" spans="1:26" ht="14.45" customHeight="1">
      <c r="A1" s="1" t="s">
        <v>301</v>
      </c>
      <c r="B1" s="2" t="s">
        <v>1</v>
      </c>
      <c r="C1" s="2" t="s">
        <v>2</v>
      </c>
      <c r="D1" s="2" t="s">
        <v>3</v>
      </c>
      <c r="E1" s="3" t="s">
        <v>4</v>
      </c>
      <c r="F1" s="2" t="s">
        <v>5</v>
      </c>
      <c r="G1" s="2" t="s">
        <v>6</v>
      </c>
      <c r="H1" s="2" t="s">
        <v>7</v>
      </c>
      <c r="I1" s="4" t="s">
        <v>8</v>
      </c>
      <c r="J1" s="2" t="s">
        <v>9</v>
      </c>
      <c r="K1" s="2" t="s">
        <v>10</v>
      </c>
      <c r="L1" s="2" t="s">
        <v>11</v>
      </c>
      <c r="M1" s="6" t="s">
        <v>12</v>
      </c>
      <c r="N1" s="6" t="s">
        <v>145</v>
      </c>
      <c r="O1" s="7" t="s">
        <v>158</v>
      </c>
      <c r="P1" s="8" t="s">
        <v>153</v>
      </c>
      <c r="Q1" s="8" t="s">
        <v>147</v>
      </c>
      <c r="R1" s="7" t="s">
        <v>148</v>
      </c>
      <c r="S1" s="7" t="s">
        <v>149</v>
      </c>
      <c r="T1" s="7" t="s">
        <v>77</v>
      </c>
      <c r="U1" s="8" t="s">
        <v>20</v>
      </c>
      <c r="V1" s="7" t="s">
        <v>21</v>
      </c>
      <c r="W1" s="9" t="s">
        <v>22</v>
      </c>
      <c r="X1" s="52" t="s">
        <v>302</v>
      </c>
    </row>
    <row r="2" spans="1:26" ht="21" customHeight="1">
      <c r="A2" s="10" t="s">
        <v>34</v>
      </c>
      <c r="B2" s="11">
        <v>1.1979166666666667E-2</v>
      </c>
      <c r="C2" s="11">
        <v>3.472222222222222E-3</v>
      </c>
      <c r="D2" s="11">
        <f>B2*E2</f>
        <v>6.9694791666666672E-3</v>
      </c>
      <c r="E2" s="12">
        <v>0.58179999999999998</v>
      </c>
      <c r="F2" s="11">
        <f>C2/4</f>
        <v>8.6805555555555551E-4</v>
      </c>
      <c r="G2" s="11">
        <f>D2/7.5</f>
        <v>9.2926388888888898E-4</v>
      </c>
      <c r="H2" s="11">
        <f>B2/12.5</f>
        <v>9.5833333333333339E-4</v>
      </c>
      <c r="I2" s="11">
        <f>G2/0.93</f>
        <v>9.9920848267622464E-4</v>
      </c>
      <c r="J2" s="11">
        <f>G2/0.92</f>
        <v>1.0100694444444445E-3</v>
      </c>
      <c r="K2" s="11">
        <f>G2/0.88</f>
        <v>1.055981691919192E-3</v>
      </c>
      <c r="L2" s="11">
        <f>G2/0.84</f>
        <v>1.1062665343915346E-3</v>
      </c>
      <c r="M2" s="25">
        <f>WO2025Jan7108141618222428303234384042444648545658626466687072747668121618[[#This Row],[Thresh]]</f>
        <v>1.055981691919192E-3</v>
      </c>
      <c r="N2" s="28">
        <f>WO2025Jan7108141618222428303234384042444648545658626466687072747668121618[[#This Row],[Thresh]]*1.5</f>
        <v>1.5839725378787878E-3</v>
      </c>
      <c r="O2" s="25">
        <f>WO2025Jan7108141618222428303234384042444648545658626466687072747668121618[[#This Row],[VO2]]</f>
        <v>9.2926388888888898E-4</v>
      </c>
      <c r="P2" s="28">
        <f>WO2025Jan7108141618222428303234384042444648545658626466687072747668121618[[#This Row],[R]]/2</f>
        <v>4.3402777777777775E-4</v>
      </c>
      <c r="Q2" s="25"/>
      <c r="R2" s="25"/>
      <c r="S2" s="25"/>
      <c r="T2" s="28"/>
      <c r="U2" s="11"/>
      <c r="V2" s="36"/>
      <c r="W2" s="15" t="s">
        <v>26</v>
      </c>
      <c r="X2" s="52"/>
    </row>
    <row r="3" spans="1:26" ht="21" customHeight="1">
      <c r="A3" s="10" t="s">
        <v>38</v>
      </c>
      <c r="B3" s="11">
        <v>1.238425925925926E-2</v>
      </c>
      <c r="C3" s="11">
        <v>3.5300925925925925E-3</v>
      </c>
      <c r="D3" s="11">
        <f>B3*E3</f>
        <v>7.2051620370370368E-3</v>
      </c>
      <c r="E3" s="12">
        <v>0.58179999999999998</v>
      </c>
      <c r="F3" s="11">
        <f>C3/4</f>
        <v>8.8252314814814812E-4</v>
      </c>
      <c r="G3" s="11">
        <f>D3/7.5</f>
        <v>9.6068827160493821E-4</v>
      </c>
      <c r="H3" s="11">
        <f>B3/12.5</f>
        <v>9.9074074074074082E-4</v>
      </c>
      <c r="I3" s="11">
        <f>G3/0.93</f>
        <v>1.0329981415106862E-3</v>
      </c>
      <c r="J3" s="11">
        <f>G3/0.92</f>
        <v>1.0442263821792807E-3</v>
      </c>
      <c r="K3" s="11">
        <f>G3/0.88</f>
        <v>1.0916912177328843E-3</v>
      </c>
      <c r="L3" s="11">
        <f>G3/0.84</f>
        <v>1.1436765138154027E-3</v>
      </c>
      <c r="M3" s="25">
        <f>WO2025Jan7108141618222428303234384042444648545658626466687072747668121618[[#This Row],[Thresh]]</f>
        <v>1.0916912177328843E-3</v>
      </c>
      <c r="N3" s="28">
        <f>WO2025Jan7108141618222428303234384042444648545658626466687072747668121618[[#This Row],[Thresh]]*1.5</f>
        <v>1.6375368265993265E-3</v>
      </c>
      <c r="O3" s="25">
        <f>WO2025Jan7108141618222428303234384042444648545658626466687072747668121618[[#This Row],[VO2]]</f>
        <v>9.6068827160493821E-4</v>
      </c>
      <c r="P3" s="28">
        <f>WO2025Jan7108141618222428303234384042444648545658626466687072747668121618[[#This Row],[R]]/2</f>
        <v>4.4126157407407406E-4</v>
      </c>
      <c r="Q3" s="25"/>
      <c r="R3" s="25"/>
      <c r="S3" s="28"/>
      <c r="T3" s="28"/>
      <c r="U3" s="28"/>
      <c r="V3" s="28"/>
      <c r="W3" s="15" t="s">
        <v>26</v>
      </c>
      <c r="X3" s="52"/>
      <c r="Z3" s="16"/>
    </row>
    <row r="4" spans="1:26" ht="21" customHeight="1">
      <c r="A4" s="10" t="s">
        <v>24</v>
      </c>
      <c r="B4" s="11">
        <v>1.238425925925926E-2</v>
      </c>
      <c r="C4" s="11">
        <v>3.5300925925925925E-3</v>
      </c>
      <c r="D4" s="11">
        <f>B4*E4</f>
        <v>7.2051620370370368E-3</v>
      </c>
      <c r="E4" s="12">
        <v>0.58179999999999998</v>
      </c>
      <c r="F4" s="11">
        <f>C4/4</f>
        <v>8.8252314814814812E-4</v>
      </c>
      <c r="G4" s="11">
        <f>D4/7.5</f>
        <v>9.6068827160493821E-4</v>
      </c>
      <c r="H4" s="11">
        <f>B4/12.5</f>
        <v>9.9074074074074082E-4</v>
      </c>
      <c r="I4" s="11">
        <f>G4/0.93</f>
        <v>1.0329981415106862E-3</v>
      </c>
      <c r="J4" s="11">
        <f>G4/0.92</f>
        <v>1.0442263821792807E-3</v>
      </c>
      <c r="K4" s="11">
        <f>G4/0.88</f>
        <v>1.0916912177328843E-3</v>
      </c>
      <c r="L4" s="11">
        <f>G4/0.84</f>
        <v>1.1436765138154027E-3</v>
      </c>
      <c r="M4" s="25">
        <f>WO2025Jan7108141618222428303234384042444648545658626466687072747668121618[[#This Row],[Thresh]]</f>
        <v>1.0916912177328843E-3</v>
      </c>
      <c r="N4" s="28">
        <f>WO2025Jan7108141618222428303234384042444648545658626466687072747668121618[[#This Row],[Thresh]]*1.5</f>
        <v>1.6375368265993265E-3</v>
      </c>
      <c r="O4" s="25">
        <f>WO2025Jan7108141618222428303234384042444648545658626466687072747668121618[[#This Row],[VO2]]</f>
        <v>9.6068827160493821E-4</v>
      </c>
      <c r="P4" s="28">
        <f>WO2025Jan7108141618222428303234384042444648545658626466687072747668121618[[#This Row],[R]]/2</f>
        <v>4.4126157407407406E-4</v>
      </c>
      <c r="Q4" s="25"/>
      <c r="R4" s="25"/>
      <c r="S4" s="28"/>
      <c r="T4" s="28"/>
      <c r="U4" s="28"/>
      <c r="V4" s="28"/>
      <c r="W4" s="15" t="s">
        <v>26</v>
      </c>
      <c r="X4" s="52"/>
    </row>
    <row r="5" spans="1:26" ht="21" customHeight="1">
      <c r="A5" s="10" t="s">
        <v>60</v>
      </c>
      <c r="B5" s="11">
        <v>1.238425925925926E-2</v>
      </c>
      <c r="C5" s="11">
        <v>3.6458333333333334E-3</v>
      </c>
      <c r="D5" s="11">
        <f>B5*E5</f>
        <v>7.2051620370370368E-3</v>
      </c>
      <c r="E5" s="12">
        <v>0.58179999999999998</v>
      </c>
      <c r="F5" s="11">
        <f>C5/4</f>
        <v>9.1145833333333335E-4</v>
      </c>
      <c r="G5" s="11">
        <f>D5/7.5</f>
        <v>9.6068827160493821E-4</v>
      </c>
      <c r="H5" s="11">
        <f>B5/12.5</f>
        <v>9.9074074074074082E-4</v>
      </c>
      <c r="I5" s="11">
        <f>G5/0.93</f>
        <v>1.0329981415106862E-3</v>
      </c>
      <c r="J5" s="11">
        <f>G5/0.92</f>
        <v>1.0442263821792807E-3</v>
      </c>
      <c r="K5" s="11">
        <f>G5/0.88</f>
        <v>1.0916912177328843E-3</v>
      </c>
      <c r="L5" s="11">
        <f>G5/0.84</f>
        <v>1.1436765138154027E-3</v>
      </c>
      <c r="M5" s="25">
        <f>WO2025Jan7108141618222428303234384042444648545658626466687072747668121618[[#This Row],[Thresh]]</f>
        <v>1.0916912177328843E-3</v>
      </c>
      <c r="N5" s="28">
        <f>WO2025Jan7108141618222428303234384042444648545658626466687072747668121618[[#This Row],[Thresh]]*1.5</f>
        <v>1.6375368265993265E-3</v>
      </c>
      <c r="O5" s="25">
        <f>WO2025Jan7108141618222428303234384042444648545658626466687072747668121618[[#This Row],[VO2]]</f>
        <v>9.6068827160493821E-4</v>
      </c>
      <c r="P5" s="28">
        <f>WO2025Jan7108141618222428303234384042444648545658626466687072747668121618[[#This Row],[R]]/2</f>
        <v>4.5572916666666667E-4</v>
      </c>
      <c r="Q5" s="25"/>
      <c r="R5" s="28"/>
      <c r="S5" s="11"/>
      <c r="T5" s="28"/>
      <c r="U5" s="28"/>
      <c r="V5" s="28"/>
      <c r="W5" s="15" t="s">
        <v>26</v>
      </c>
      <c r="X5" s="52"/>
    </row>
    <row r="6" spans="1:26" ht="21" customHeight="1">
      <c r="A6" s="10" t="s">
        <v>59</v>
      </c>
      <c r="B6" s="11">
        <v>1.2500000000000001E-2</v>
      </c>
      <c r="C6" s="11">
        <v>3.7037037037037038E-3</v>
      </c>
      <c r="D6" s="11">
        <f t="shared" ref="D6:D29" si="0">B6*E6</f>
        <v>7.2725000000000003E-3</v>
      </c>
      <c r="E6" s="12">
        <v>0.58179999999999998</v>
      </c>
      <c r="F6" s="11">
        <f t="shared" ref="F6:F29" si="1">C6/4</f>
        <v>9.2592592592592596E-4</v>
      </c>
      <c r="G6" s="11">
        <f t="shared" ref="G6:G29" si="2">D6/7.5</f>
        <v>9.6966666666666675E-4</v>
      </c>
      <c r="H6" s="11">
        <f t="shared" ref="H6:H29" si="3">B6/12.5</f>
        <v>1E-3</v>
      </c>
      <c r="I6" s="11">
        <f t="shared" ref="I6:I29" si="4">G6/0.93</f>
        <v>1.0426523297491039E-3</v>
      </c>
      <c r="J6" s="11">
        <f t="shared" ref="J6:J29" si="5">G6/0.92</f>
        <v>1.0539855072463768E-3</v>
      </c>
      <c r="K6" s="11">
        <f t="shared" ref="K6:K29" si="6">G6/0.88</f>
        <v>1.1018939393939394E-3</v>
      </c>
      <c r="L6" s="17">
        <f t="shared" ref="L6:L29" si="7">G6/0.84</f>
        <v>1.1543650793650795E-3</v>
      </c>
      <c r="M6" s="25">
        <f>WO2025Jan7108141618222428303234384042444648545658626466687072747668121618[[#This Row],[Thresh]]</f>
        <v>1.1018939393939394E-3</v>
      </c>
      <c r="N6" s="28">
        <f>WO2025Jan7108141618222428303234384042444648545658626466687072747668121618[[#This Row],[Thresh]]*1.5</f>
        <v>1.6528409090909091E-3</v>
      </c>
      <c r="O6" s="25">
        <f>WO2025Jan7108141618222428303234384042444648545658626466687072747668121618[[#This Row],[VO2]]</f>
        <v>9.6966666666666675E-4</v>
      </c>
      <c r="P6" s="28">
        <f>WO2025Jan7108141618222428303234384042444648545658626466687072747668121618[[#This Row],[R]]/2</f>
        <v>4.6296296296296298E-4</v>
      </c>
      <c r="Q6" s="25"/>
      <c r="R6" s="28"/>
      <c r="S6" s="11"/>
      <c r="T6" s="28"/>
      <c r="U6" s="28"/>
      <c r="V6" s="38"/>
      <c r="W6" s="15" t="s">
        <v>26</v>
      </c>
      <c r="X6" s="52"/>
    </row>
    <row r="7" spans="1:26" ht="21" customHeight="1">
      <c r="A7" s="10" t="s">
        <v>28</v>
      </c>
      <c r="B7" s="11">
        <v>1.2500000000000001E-2</v>
      </c>
      <c r="C7" s="11">
        <v>3.7037037037037038E-3</v>
      </c>
      <c r="D7" s="11">
        <f t="shared" si="0"/>
        <v>7.2725000000000003E-3</v>
      </c>
      <c r="E7" s="12">
        <v>0.58179999999999998</v>
      </c>
      <c r="F7" s="11">
        <f t="shared" si="1"/>
        <v>9.2592592592592596E-4</v>
      </c>
      <c r="G7" s="11">
        <f t="shared" si="2"/>
        <v>9.6966666666666675E-4</v>
      </c>
      <c r="H7" s="11">
        <f t="shared" si="3"/>
        <v>1E-3</v>
      </c>
      <c r="I7" s="11">
        <f t="shared" si="4"/>
        <v>1.0426523297491039E-3</v>
      </c>
      <c r="J7" s="11">
        <f t="shared" si="5"/>
        <v>1.0539855072463768E-3</v>
      </c>
      <c r="K7" s="11">
        <f t="shared" si="6"/>
        <v>1.1018939393939394E-3</v>
      </c>
      <c r="L7" s="11">
        <f t="shared" si="7"/>
        <v>1.1543650793650795E-3</v>
      </c>
      <c r="M7" s="25">
        <f>WO2025Jan7108141618222428303234384042444648545658626466687072747668121618[[#This Row],[Thresh]]</f>
        <v>1.1018939393939394E-3</v>
      </c>
      <c r="N7" s="28">
        <f>WO2025Jan7108141618222428303234384042444648545658626466687072747668121618[[#This Row],[Thresh]]*1.5</f>
        <v>1.6528409090909091E-3</v>
      </c>
      <c r="O7" s="25">
        <f>WO2025Jan7108141618222428303234384042444648545658626466687072747668121618[[#This Row],[VO2]]</f>
        <v>9.6966666666666675E-4</v>
      </c>
      <c r="P7" s="28">
        <f>WO2025Jan7108141618222428303234384042444648545658626466687072747668121618[[#This Row],[R]]/2</f>
        <v>4.6296296296296298E-4</v>
      </c>
      <c r="Q7" s="25"/>
      <c r="R7" s="28"/>
      <c r="S7" s="11"/>
      <c r="T7" s="28"/>
      <c r="U7" s="28"/>
      <c r="V7" s="28"/>
      <c r="W7" s="15" t="s">
        <v>26</v>
      </c>
      <c r="X7" s="52"/>
    </row>
    <row r="8" spans="1:26" ht="21" customHeight="1">
      <c r="A8" s="10" t="s">
        <v>27</v>
      </c>
      <c r="B8" s="11">
        <v>1.2500000000000001E-2</v>
      </c>
      <c r="C8" s="11">
        <v>3.6458333333333334E-3</v>
      </c>
      <c r="D8" s="11">
        <f t="shared" si="0"/>
        <v>7.2725000000000003E-3</v>
      </c>
      <c r="E8" s="12">
        <v>0.58179999999999998</v>
      </c>
      <c r="F8" s="11">
        <f t="shared" si="1"/>
        <v>9.1145833333333335E-4</v>
      </c>
      <c r="G8" s="11">
        <f t="shared" si="2"/>
        <v>9.6966666666666675E-4</v>
      </c>
      <c r="H8" s="11">
        <f t="shared" si="3"/>
        <v>1E-3</v>
      </c>
      <c r="I8" s="11">
        <f t="shared" si="4"/>
        <v>1.0426523297491039E-3</v>
      </c>
      <c r="J8" s="11">
        <f t="shared" si="5"/>
        <v>1.0539855072463768E-3</v>
      </c>
      <c r="K8" s="11">
        <f t="shared" si="6"/>
        <v>1.1018939393939394E-3</v>
      </c>
      <c r="L8" s="11">
        <f t="shared" si="7"/>
        <v>1.1543650793650795E-3</v>
      </c>
      <c r="M8" s="25">
        <f>WO2025Jan7108141618222428303234384042444648545658626466687072747668121618[[#This Row],[Thresh]]</f>
        <v>1.1018939393939394E-3</v>
      </c>
      <c r="N8" s="28">
        <f>WO2025Jan7108141618222428303234384042444648545658626466687072747668121618[[#This Row],[Thresh]]*1.5</f>
        <v>1.6528409090909091E-3</v>
      </c>
      <c r="O8" s="25">
        <f>WO2025Jan7108141618222428303234384042444648545658626466687072747668121618[[#This Row],[VO2]]</f>
        <v>9.6966666666666675E-4</v>
      </c>
      <c r="P8" s="28">
        <f>WO2025Jan7108141618222428303234384042444648545658626466687072747668121618[[#This Row],[R]]/2</f>
        <v>4.5572916666666667E-4</v>
      </c>
      <c r="Q8" s="25"/>
      <c r="R8" s="28"/>
      <c r="S8" s="11"/>
      <c r="T8" s="28"/>
      <c r="U8" s="28"/>
      <c r="V8" s="28"/>
      <c r="W8" s="15" t="s">
        <v>26</v>
      </c>
      <c r="X8" s="52"/>
    </row>
    <row r="9" spans="1:26" ht="21" customHeight="1">
      <c r="A9" s="10" t="s">
        <v>63</v>
      </c>
      <c r="B9" s="11">
        <v>1.2500000000000001E-2</v>
      </c>
      <c r="C9" s="11">
        <v>3.7037037037037038E-3</v>
      </c>
      <c r="D9" s="11">
        <f t="shared" si="0"/>
        <v>7.2725000000000003E-3</v>
      </c>
      <c r="E9" s="12">
        <v>0.58179999999999998</v>
      </c>
      <c r="F9" s="11">
        <f t="shared" si="1"/>
        <v>9.2592592592592596E-4</v>
      </c>
      <c r="G9" s="11">
        <f t="shared" si="2"/>
        <v>9.6966666666666675E-4</v>
      </c>
      <c r="H9" s="11">
        <f t="shared" si="3"/>
        <v>1E-3</v>
      </c>
      <c r="I9" s="11">
        <f t="shared" si="4"/>
        <v>1.0426523297491039E-3</v>
      </c>
      <c r="J9" s="11">
        <f t="shared" si="5"/>
        <v>1.0539855072463768E-3</v>
      </c>
      <c r="K9" s="11">
        <f t="shared" si="6"/>
        <v>1.1018939393939394E-3</v>
      </c>
      <c r="L9" s="11">
        <f t="shared" si="7"/>
        <v>1.1543650793650795E-3</v>
      </c>
      <c r="M9" s="25">
        <f>WO2025Jan7108141618222428303234384042444648545658626466687072747668121618[[#This Row],[Thresh]]</f>
        <v>1.1018939393939394E-3</v>
      </c>
      <c r="N9" s="28">
        <f>WO2025Jan7108141618222428303234384042444648545658626466687072747668121618[[#This Row],[Thresh]]*1.5</f>
        <v>1.6528409090909091E-3</v>
      </c>
      <c r="O9" s="25">
        <f>WO2025Jan7108141618222428303234384042444648545658626466687072747668121618[[#This Row],[VO2]]</f>
        <v>9.6966666666666675E-4</v>
      </c>
      <c r="P9" s="28">
        <f>WO2025Jan7108141618222428303234384042444648545658626466687072747668121618[[#This Row],[R]]/2</f>
        <v>4.6296296296296298E-4</v>
      </c>
      <c r="Q9" s="25"/>
      <c r="R9" s="25"/>
      <c r="S9" s="25"/>
      <c r="T9" s="28"/>
      <c r="U9" s="11"/>
      <c r="V9" s="36"/>
      <c r="W9" s="15" t="s">
        <v>26</v>
      </c>
      <c r="X9" s="52"/>
    </row>
    <row r="10" spans="1:26" ht="21" customHeight="1">
      <c r="A10" s="10" t="s">
        <v>29</v>
      </c>
      <c r="B10" s="11">
        <v>1.2500000000000001E-2</v>
      </c>
      <c r="C10" s="11">
        <v>3.8194444444444443E-3</v>
      </c>
      <c r="D10" s="11">
        <f t="shared" si="0"/>
        <v>7.2725000000000003E-3</v>
      </c>
      <c r="E10" s="12">
        <v>0.58179999999999998</v>
      </c>
      <c r="F10" s="11">
        <f t="shared" si="1"/>
        <v>9.5486111111111108E-4</v>
      </c>
      <c r="G10" s="11">
        <f t="shared" si="2"/>
        <v>9.6966666666666675E-4</v>
      </c>
      <c r="H10" s="11">
        <f t="shared" si="3"/>
        <v>1E-3</v>
      </c>
      <c r="I10" s="11">
        <f t="shared" si="4"/>
        <v>1.0426523297491039E-3</v>
      </c>
      <c r="J10" s="11">
        <f t="shared" si="5"/>
        <v>1.0539855072463768E-3</v>
      </c>
      <c r="K10" s="11">
        <f t="shared" si="6"/>
        <v>1.1018939393939394E-3</v>
      </c>
      <c r="L10" s="11">
        <f t="shared" si="7"/>
        <v>1.1543650793650795E-3</v>
      </c>
      <c r="M10" s="25">
        <f>WO2025Jan7108141618222428303234384042444648545658626466687072747668121618[[#This Row],[Thresh]]</f>
        <v>1.1018939393939394E-3</v>
      </c>
      <c r="N10" s="28">
        <f>WO2025Jan7108141618222428303234384042444648545658626466687072747668121618[[#This Row],[Thresh]]*1.5</f>
        <v>1.6528409090909091E-3</v>
      </c>
      <c r="O10" s="25">
        <f>WO2025Jan7108141618222428303234384042444648545658626466687072747668121618[[#This Row],[VO2]]</f>
        <v>9.6966666666666675E-4</v>
      </c>
      <c r="P10" s="28">
        <f>WO2025Jan7108141618222428303234384042444648545658626466687072747668121618[[#This Row],[R]]/2</f>
        <v>4.7743055555555554E-4</v>
      </c>
      <c r="Q10" s="25"/>
      <c r="R10" s="25"/>
      <c r="S10" s="28"/>
      <c r="T10" s="28"/>
      <c r="U10" s="28"/>
      <c r="V10" s="38"/>
      <c r="W10" s="18" t="s">
        <v>26</v>
      </c>
      <c r="X10" s="52"/>
    </row>
    <row r="11" spans="1:26" ht="21" customHeight="1">
      <c r="A11" s="10" t="s">
        <v>30</v>
      </c>
      <c r="B11" s="11">
        <v>1.2500000000000001E-2</v>
      </c>
      <c r="C11" s="11">
        <v>3.6458333333333334E-3</v>
      </c>
      <c r="D11" s="11">
        <f t="shared" si="0"/>
        <v>7.2725000000000003E-3</v>
      </c>
      <c r="E11" s="12">
        <v>0.58179999999999998</v>
      </c>
      <c r="F11" s="11">
        <f t="shared" si="1"/>
        <v>9.1145833333333335E-4</v>
      </c>
      <c r="G11" s="11">
        <f t="shared" si="2"/>
        <v>9.6966666666666675E-4</v>
      </c>
      <c r="H11" s="11">
        <f t="shared" si="3"/>
        <v>1E-3</v>
      </c>
      <c r="I11" s="11">
        <f t="shared" si="4"/>
        <v>1.0426523297491039E-3</v>
      </c>
      <c r="J11" s="11">
        <f t="shared" si="5"/>
        <v>1.0539855072463768E-3</v>
      </c>
      <c r="K11" s="11">
        <f t="shared" si="6"/>
        <v>1.1018939393939394E-3</v>
      </c>
      <c r="L11" s="11">
        <f t="shared" si="7"/>
        <v>1.1543650793650795E-3</v>
      </c>
      <c r="M11" s="25">
        <f>WO2025Jan7108141618222428303234384042444648545658626466687072747668121618[[#This Row],[Thresh]]</f>
        <v>1.1018939393939394E-3</v>
      </c>
      <c r="N11" s="28">
        <f>WO2025Jan7108141618222428303234384042444648545658626466687072747668121618[[#This Row],[Thresh]]*1.5</f>
        <v>1.6528409090909091E-3</v>
      </c>
      <c r="O11" s="25">
        <f>WO2025Jan7108141618222428303234384042444648545658626466687072747668121618[[#This Row],[VO2]]</f>
        <v>9.6966666666666675E-4</v>
      </c>
      <c r="P11" s="28">
        <f>WO2025Jan7108141618222428303234384042444648545658626466687072747668121618[[#This Row],[R]]/2</f>
        <v>4.5572916666666667E-4</v>
      </c>
      <c r="Q11" s="25"/>
      <c r="R11" s="25"/>
      <c r="S11" s="11"/>
      <c r="T11" s="28"/>
      <c r="U11" s="28"/>
      <c r="V11" s="28"/>
      <c r="W11" s="15" t="s">
        <v>26</v>
      </c>
      <c r="X11" s="52" t="s">
        <v>303</v>
      </c>
    </row>
    <row r="12" spans="1:26" ht="21" customHeight="1">
      <c r="A12" s="10" t="s">
        <v>55</v>
      </c>
      <c r="B12" s="11">
        <v>1.2500000000000001E-2</v>
      </c>
      <c r="C12" s="11">
        <v>3.5879629629629629E-3</v>
      </c>
      <c r="D12" s="11">
        <f t="shared" si="0"/>
        <v>7.2725000000000003E-3</v>
      </c>
      <c r="E12" s="12">
        <v>0.58179999999999998</v>
      </c>
      <c r="F12" s="11">
        <f t="shared" si="1"/>
        <v>8.9699074074074073E-4</v>
      </c>
      <c r="G12" s="11">
        <f t="shared" si="2"/>
        <v>9.6966666666666675E-4</v>
      </c>
      <c r="H12" s="11">
        <f t="shared" si="3"/>
        <v>1E-3</v>
      </c>
      <c r="I12" s="11">
        <f t="shared" si="4"/>
        <v>1.0426523297491039E-3</v>
      </c>
      <c r="J12" s="11">
        <f t="shared" si="5"/>
        <v>1.0539855072463768E-3</v>
      </c>
      <c r="K12" s="11">
        <f t="shared" si="6"/>
        <v>1.1018939393939394E-3</v>
      </c>
      <c r="L12" s="11">
        <f t="shared" si="7"/>
        <v>1.1543650793650795E-3</v>
      </c>
      <c r="M12" s="25">
        <f>WO2025Jan7108141618222428303234384042444648545658626466687072747668121618[[#This Row],[Thresh]]</f>
        <v>1.1018939393939394E-3</v>
      </c>
      <c r="N12" s="28">
        <f>WO2025Jan7108141618222428303234384042444648545658626466687072747668121618[[#This Row],[Thresh]]*1.5</f>
        <v>1.6528409090909091E-3</v>
      </c>
      <c r="O12" s="25">
        <f>WO2025Jan7108141618222428303234384042444648545658626466687072747668121618[[#This Row],[VO2]]</f>
        <v>9.6966666666666675E-4</v>
      </c>
      <c r="P12" s="28">
        <f>WO2025Jan7108141618222428303234384042444648545658626466687072747668121618[[#This Row],[R]]/2</f>
        <v>4.4849537037037037E-4</v>
      </c>
      <c r="Q12" s="25"/>
      <c r="R12" s="11"/>
      <c r="S12" s="14"/>
      <c r="T12" s="14"/>
      <c r="U12" s="14"/>
      <c r="V12" s="17"/>
      <c r="W12" s="18" t="s">
        <v>26</v>
      </c>
      <c r="X12" s="52"/>
    </row>
    <row r="13" spans="1:26" ht="21" customHeight="1">
      <c r="A13" s="10" t="s">
        <v>31</v>
      </c>
      <c r="B13" s="11">
        <v>1.2500000000000001E-2</v>
      </c>
      <c r="C13" s="11">
        <v>3.7037037037037038E-3</v>
      </c>
      <c r="D13" s="11">
        <f t="shared" si="0"/>
        <v>7.2725000000000003E-3</v>
      </c>
      <c r="E13" s="12">
        <v>0.58179999999999998</v>
      </c>
      <c r="F13" s="11">
        <f t="shared" si="1"/>
        <v>9.2592592592592596E-4</v>
      </c>
      <c r="G13" s="11">
        <f t="shared" si="2"/>
        <v>9.6966666666666675E-4</v>
      </c>
      <c r="H13" s="11">
        <f t="shared" si="3"/>
        <v>1E-3</v>
      </c>
      <c r="I13" s="11">
        <f t="shared" si="4"/>
        <v>1.0426523297491039E-3</v>
      </c>
      <c r="J13" s="11">
        <f t="shared" si="5"/>
        <v>1.0539855072463768E-3</v>
      </c>
      <c r="K13" s="11">
        <f t="shared" si="6"/>
        <v>1.1018939393939394E-3</v>
      </c>
      <c r="L13" s="11">
        <f t="shared" si="7"/>
        <v>1.1543650793650795E-3</v>
      </c>
      <c r="M13" s="25">
        <f>WO2025Jan7108141618222428303234384042444648545658626466687072747668121618[[#This Row],[Thresh]]</f>
        <v>1.1018939393939394E-3</v>
      </c>
      <c r="N13" s="28">
        <f>WO2025Jan7108141618222428303234384042444648545658626466687072747668121618[[#This Row],[Thresh]]*1.5</f>
        <v>1.6528409090909091E-3</v>
      </c>
      <c r="O13" s="25">
        <f>WO2025Jan7108141618222428303234384042444648545658626466687072747668121618[[#This Row],[VO2]]</f>
        <v>9.6966666666666675E-4</v>
      </c>
      <c r="P13" s="28">
        <f>WO2025Jan7108141618222428303234384042444648545658626466687072747668121618[[#This Row],[R]]/2</f>
        <v>4.6296296296296298E-4</v>
      </c>
      <c r="Q13" s="25"/>
      <c r="R13" s="28"/>
      <c r="S13" s="11"/>
      <c r="T13" s="11"/>
      <c r="U13" s="28"/>
      <c r="V13" s="28"/>
      <c r="W13" s="15" t="s">
        <v>26</v>
      </c>
      <c r="X13" s="52"/>
    </row>
    <row r="14" spans="1:26" ht="21" customHeight="1">
      <c r="A14" s="10" t="s">
        <v>62</v>
      </c>
      <c r="B14" s="11">
        <v>1.2500000000000001E-2</v>
      </c>
      <c r="C14" s="11">
        <v>3.6458333333333334E-3</v>
      </c>
      <c r="D14" s="11">
        <f>B14*E14</f>
        <v>7.2725000000000003E-3</v>
      </c>
      <c r="E14" s="12">
        <v>0.58179999999999998</v>
      </c>
      <c r="F14" s="11">
        <f>C14/4</f>
        <v>9.1145833333333335E-4</v>
      </c>
      <c r="G14" s="11">
        <f>D14/7.5</f>
        <v>9.6966666666666675E-4</v>
      </c>
      <c r="H14" s="11">
        <f>B14/12.5</f>
        <v>1E-3</v>
      </c>
      <c r="I14" s="11">
        <f>G14/0.93</f>
        <v>1.0426523297491039E-3</v>
      </c>
      <c r="J14" s="11">
        <f>G14/0.92</f>
        <v>1.0539855072463768E-3</v>
      </c>
      <c r="K14" s="11">
        <f>G14/0.88</f>
        <v>1.1018939393939394E-3</v>
      </c>
      <c r="L14" s="11">
        <f>G14/0.84</f>
        <v>1.1543650793650795E-3</v>
      </c>
      <c r="M14" s="25">
        <f>WO2025Jan7108141618222428303234384042444648545658626466687072747668121618[[#This Row],[Thresh]]</f>
        <v>1.1018939393939394E-3</v>
      </c>
      <c r="N14" s="28">
        <f>WO2025Jan7108141618222428303234384042444648545658626466687072747668121618[[#This Row],[Thresh]]*1.5</f>
        <v>1.6528409090909091E-3</v>
      </c>
      <c r="O14" s="25">
        <f>WO2025Jan7108141618222428303234384042444648545658626466687072747668121618[[#This Row],[VO2]]</f>
        <v>9.6966666666666675E-4</v>
      </c>
      <c r="P14" s="28">
        <f>WO2025Jan7108141618222428303234384042444648545658626466687072747668121618[[#This Row],[R]]/2</f>
        <v>4.5572916666666667E-4</v>
      </c>
      <c r="Q14" s="25"/>
      <c r="R14" s="28"/>
      <c r="S14" s="25"/>
      <c r="T14" s="28"/>
      <c r="U14" s="36"/>
      <c r="V14" s="17"/>
      <c r="W14" s="18" t="s">
        <v>26</v>
      </c>
      <c r="X14" s="52"/>
    </row>
    <row r="15" spans="1:26" ht="21" customHeight="1">
      <c r="A15" s="10" t="s">
        <v>51</v>
      </c>
      <c r="B15" s="11">
        <v>1.2731481481481481E-2</v>
      </c>
      <c r="C15" s="11">
        <v>3.5879629629629629E-3</v>
      </c>
      <c r="D15" s="11">
        <f t="shared" si="0"/>
        <v>7.4071759259259256E-3</v>
      </c>
      <c r="E15" s="12">
        <v>0.58179999999999998</v>
      </c>
      <c r="F15" s="11">
        <f t="shared" si="1"/>
        <v>8.9699074074074073E-4</v>
      </c>
      <c r="G15" s="11">
        <f t="shared" si="2"/>
        <v>9.8762345679012349E-4</v>
      </c>
      <c r="H15" s="11">
        <f t="shared" si="3"/>
        <v>1.0185185185185184E-3</v>
      </c>
      <c r="I15" s="11">
        <f t="shared" si="4"/>
        <v>1.0619607062259391E-3</v>
      </c>
      <c r="J15" s="11">
        <f t="shared" si="5"/>
        <v>1.073503757380569E-3</v>
      </c>
      <c r="K15" s="11">
        <f t="shared" si="6"/>
        <v>1.1222993827160494E-3</v>
      </c>
      <c r="L15" s="11">
        <f t="shared" si="7"/>
        <v>1.1757422104644328E-3</v>
      </c>
      <c r="M15" s="25">
        <f>WO2025Jan7108141618222428303234384042444648545658626466687072747668121618[[#This Row],[Thresh]]</f>
        <v>1.1222993827160494E-3</v>
      </c>
      <c r="N15" s="28">
        <f>WO2025Jan7108141618222428303234384042444648545658626466687072747668121618[[#This Row],[Thresh]]*1.5</f>
        <v>1.6834490740740742E-3</v>
      </c>
      <c r="O15" s="25">
        <f>WO2025Jan7108141618222428303234384042444648545658626466687072747668121618[[#This Row],[VO2]]</f>
        <v>9.8762345679012349E-4</v>
      </c>
      <c r="P15" s="28">
        <f>WO2025Jan7108141618222428303234384042444648545658626466687072747668121618[[#This Row],[R]]/2</f>
        <v>4.4849537037037037E-4</v>
      </c>
      <c r="Q15" s="25"/>
      <c r="R15" s="28"/>
      <c r="S15" s="11"/>
      <c r="T15" s="11"/>
      <c r="U15" s="11"/>
      <c r="V15" s="36"/>
      <c r="W15" s="15" t="s">
        <v>26</v>
      </c>
      <c r="X15" s="52"/>
    </row>
    <row r="16" spans="1:26" ht="21" customHeight="1">
      <c r="A16" s="10" t="s">
        <v>49</v>
      </c>
      <c r="B16" s="11">
        <v>1.2731481481481481E-2</v>
      </c>
      <c r="C16" s="11">
        <v>3.5879629629629629E-3</v>
      </c>
      <c r="D16" s="11">
        <f t="shared" si="0"/>
        <v>7.4071759259259256E-3</v>
      </c>
      <c r="E16" s="12">
        <v>0.58179999999999998</v>
      </c>
      <c r="F16" s="11">
        <f t="shared" si="1"/>
        <v>8.9699074074074073E-4</v>
      </c>
      <c r="G16" s="11">
        <f t="shared" si="2"/>
        <v>9.8762345679012349E-4</v>
      </c>
      <c r="H16" s="11">
        <f t="shared" si="3"/>
        <v>1.0185185185185184E-3</v>
      </c>
      <c r="I16" s="11">
        <f t="shared" si="4"/>
        <v>1.0619607062259391E-3</v>
      </c>
      <c r="J16" s="11">
        <f t="shared" si="5"/>
        <v>1.073503757380569E-3</v>
      </c>
      <c r="K16" s="11">
        <f t="shared" si="6"/>
        <v>1.1222993827160494E-3</v>
      </c>
      <c r="L16" s="11">
        <f t="shared" si="7"/>
        <v>1.1757422104644328E-3</v>
      </c>
      <c r="M16" s="25">
        <f>WO2025Jan7108141618222428303234384042444648545658626466687072747668121618[[#This Row],[Thresh]]</f>
        <v>1.1222993827160494E-3</v>
      </c>
      <c r="N16" s="28">
        <f>WO2025Jan7108141618222428303234384042444648545658626466687072747668121618[[#This Row],[Thresh]]*1.5</f>
        <v>1.6834490740740742E-3</v>
      </c>
      <c r="O16" s="25">
        <f>WO2025Jan7108141618222428303234384042444648545658626466687072747668121618[[#This Row],[VO2]]</f>
        <v>9.8762345679012349E-4</v>
      </c>
      <c r="P16" s="28">
        <f>WO2025Jan7108141618222428303234384042444648545658626466687072747668121618[[#This Row],[R]]/2</f>
        <v>4.4849537037037037E-4</v>
      </c>
      <c r="Q16" s="25"/>
      <c r="R16" s="11"/>
      <c r="S16" s="14"/>
      <c r="T16" s="14"/>
      <c r="U16" s="14"/>
      <c r="V16" s="11"/>
      <c r="W16" s="15" t="s">
        <v>26</v>
      </c>
      <c r="X16" s="52"/>
    </row>
    <row r="17" spans="1:24" ht="21" customHeight="1">
      <c r="A17" s="10" t="s">
        <v>65</v>
      </c>
      <c r="B17" s="11">
        <v>1.2731481481481481E-2</v>
      </c>
      <c r="C17" s="11">
        <v>3.8194444444444443E-3</v>
      </c>
      <c r="D17" s="11">
        <f t="shared" si="0"/>
        <v>7.4071759259259256E-3</v>
      </c>
      <c r="E17" s="12">
        <v>0.58179999999999998</v>
      </c>
      <c r="F17" s="11">
        <f t="shared" si="1"/>
        <v>9.5486111111111108E-4</v>
      </c>
      <c r="G17" s="11">
        <f t="shared" si="2"/>
        <v>9.8762345679012349E-4</v>
      </c>
      <c r="H17" s="11">
        <f t="shared" si="3"/>
        <v>1.0185185185185184E-3</v>
      </c>
      <c r="I17" s="11">
        <f t="shared" si="4"/>
        <v>1.0619607062259391E-3</v>
      </c>
      <c r="J17" s="11">
        <f t="shared" si="5"/>
        <v>1.073503757380569E-3</v>
      </c>
      <c r="K17" s="11">
        <f t="shared" si="6"/>
        <v>1.1222993827160494E-3</v>
      </c>
      <c r="L17" s="11">
        <f t="shared" si="7"/>
        <v>1.1757422104644328E-3</v>
      </c>
      <c r="M17" s="25">
        <f>WO2025Jan7108141618222428303234384042444648545658626466687072747668121618[[#This Row],[Thresh]]</f>
        <v>1.1222993827160494E-3</v>
      </c>
      <c r="N17" s="28">
        <f>WO2025Jan7108141618222428303234384042444648545658626466687072747668121618[[#This Row],[Thresh]]*1.5</f>
        <v>1.6834490740740742E-3</v>
      </c>
      <c r="O17" s="25">
        <f>WO2025Jan7108141618222428303234384042444648545658626466687072747668121618[[#This Row],[VO2]]</f>
        <v>9.8762345679012349E-4</v>
      </c>
      <c r="P17" s="28">
        <f>WO2025Jan7108141618222428303234384042444648545658626466687072747668121618[[#This Row],[R]]/2</f>
        <v>4.7743055555555554E-4</v>
      </c>
      <c r="Q17" s="25"/>
      <c r="R17" s="28"/>
      <c r="S17" s="11"/>
      <c r="T17" s="28"/>
      <c r="U17" s="28"/>
      <c r="V17" s="28"/>
      <c r="W17" s="15" t="s">
        <v>26</v>
      </c>
      <c r="X17" s="52"/>
    </row>
    <row r="18" spans="1:24" ht="21" customHeight="1">
      <c r="A18" s="10" t="s">
        <v>64</v>
      </c>
      <c r="B18" s="11">
        <v>1.2731481481481481E-2</v>
      </c>
      <c r="C18" s="11">
        <v>3.5879629629629629E-3</v>
      </c>
      <c r="D18" s="11">
        <f t="shared" si="0"/>
        <v>7.4071759259259256E-3</v>
      </c>
      <c r="E18" s="12">
        <v>0.58179999999999998</v>
      </c>
      <c r="F18" s="11">
        <f t="shared" si="1"/>
        <v>8.9699074074074073E-4</v>
      </c>
      <c r="G18" s="11">
        <f t="shared" si="2"/>
        <v>9.8762345679012349E-4</v>
      </c>
      <c r="H18" s="11">
        <f t="shared" si="3"/>
        <v>1.0185185185185184E-3</v>
      </c>
      <c r="I18" s="11">
        <f t="shared" si="4"/>
        <v>1.0619607062259391E-3</v>
      </c>
      <c r="J18" s="11">
        <f t="shared" si="5"/>
        <v>1.073503757380569E-3</v>
      </c>
      <c r="K18" s="11">
        <f t="shared" si="6"/>
        <v>1.1222993827160494E-3</v>
      </c>
      <c r="L18" s="11">
        <f t="shared" si="7"/>
        <v>1.1757422104644328E-3</v>
      </c>
      <c r="M18" s="25">
        <f>WO2025Jan7108141618222428303234384042444648545658626466687072747668121618[[#This Row],[Thresh]]</f>
        <v>1.1222993827160494E-3</v>
      </c>
      <c r="N18" s="28">
        <f>WO2025Jan7108141618222428303234384042444648545658626466687072747668121618[[#This Row],[Thresh]]*1.5</f>
        <v>1.6834490740740742E-3</v>
      </c>
      <c r="O18" s="25">
        <f>WO2025Jan7108141618222428303234384042444648545658626466687072747668121618[[#This Row],[VO2]]</f>
        <v>9.8762345679012349E-4</v>
      </c>
      <c r="P18" s="28">
        <f>WO2025Jan7108141618222428303234384042444648545658626466687072747668121618[[#This Row],[R]]/2</f>
        <v>4.4849537037037037E-4</v>
      </c>
      <c r="Q18" s="25"/>
      <c r="R18" s="25"/>
      <c r="S18" s="28"/>
      <c r="T18" s="28"/>
      <c r="U18" s="28"/>
      <c r="V18" s="48"/>
      <c r="W18" s="15" t="s">
        <v>26</v>
      </c>
      <c r="X18" s="52"/>
    </row>
    <row r="19" spans="1:24" ht="21" customHeight="1">
      <c r="A19" s="10" t="s">
        <v>67</v>
      </c>
      <c r="B19" s="11">
        <v>1.3020833333333334E-2</v>
      </c>
      <c r="C19" s="11">
        <v>3.8194444444444443E-3</v>
      </c>
      <c r="D19" s="11">
        <f>B19*E19</f>
        <v>7.5755208333333334E-3</v>
      </c>
      <c r="E19" s="12">
        <v>0.58179999999999998</v>
      </c>
      <c r="F19" s="11">
        <f>C19/4</f>
        <v>9.5486111111111108E-4</v>
      </c>
      <c r="G19" s="11">
        <f>D19/7.5</f>
        <v>1.0100694444444445E-3</v>
      </c>
      <c r="H19" s="11">
        <f>B19/12.5</f>
        <v>1.0416666666666667E-3</v>
      </c>
      <c r="I19" s="11">
        <f>G19/0.93</f>
        <v>1.0860961768219832E-3</v>
      </c>
      <c r="J19" s="11">
        <f>G19/0.92</f>
        <v>1.0979015700483092E-3</v>
      </c>
      <c r="K19" s="11">
        <f>G19/0.88</f>
        <v>1.1478061868686869E-3</v>
      </c>
      <c r="L19" s="11">
        <f>G19/0.84</f>
        <v>1.2024636243386244E-3</v>
      </c>
      <c r="M19" s="25">
        <f>WO2025Jan7108141618222428303234384042444648545658626466687072747668121618[[#This Row],[Thresh]]</f>
        <v>1.1478061868686869E-3</v>
      </c>
      <c r="N19" s="28">
        <f>WO2025Jan7108141618222428303234384042444648545658626466687072747668121618[[#This Row],[Thresh]]*1.5</f>
        <v>1.7217092803030304E-3</v>
      </c>
      <c r="O19" s="25">
        <f>WO2025Jan7108141618222428303234384042444648545658626466687072747668121618[[#This Row],[VO2]]</f>
        <v>1.0100694444444445E-3</v>
      </c>
      <c r="P19" s="28">
        <f>WO2025Jan7108141618222428303234384042444648545658626466687072747668121618[[#This Row],[R]]/2</f>
        <v>4.7743055555555554E-4</v>
      </c>
      <c r="Q19" s="25"/>
      <c r="R19" s="25"/>
      <c r="S19" s="28"/>
      <c r="T19" s="28"/>
      <c r="U19" s="28"/>
      <c r="V19" s="28"/>
      <c r="W19" s="18" t="s">
        <v>26</v>
      </c>
      <c r="X19" s="52"/>
    </row>
    <row r="20" spans="1:24" ht="21" customHeight="1">
      <c r="A20" s="10" t="s">
        <v>66</v>
      </c>
      <c r="B20" s="11">
        <v>1.3020833333333334E-2</v>
      </c>
      <c r="C20" s="11">
        <v>3.7037037037037038E-3</v>
      </c>
      <c r="D20" s="11">
        <f>B20*E20</f>
        <v>7.5755208333333334E-3</v>
      </c>
      <c r="E20" s="12">
        <v>0.58179999999999998</v>
      </c>
      <c r="F20" s="11">
        <f>C20/4</f>
        <v>9.2592592592592596E-4</v>
      </c>
      <c r="G20" s="11">
        <f>D20/7.5</f>
        <v>1.0100694444444445E-3</v>
      </c>
      <c r="H20" s="11">
        <f>B20/12.5</f>
        <v>1.0416666666666667E-3</v>
      </c>
      <c r="I20" s="11">
        <f>G20/0.93</f>
        <v>1.0860961768219832E-3</v>
      </c>
      <c r="J20" s="11">
        <f>G20/0.92</f>
        <v>1.0979015700483092E-3</v>
      </c>
      <c r="K20" s="11">
        <f>G20/0.88</f>
        <v>1.1478061868686869E-3</v>
      </c>
      <c r="L20" s="17">
        <f>G20/0.84</f>
        <v>1.2024636243386244E-3</v>
      </c>
      <c r="M20" s="25">
        <f>WO2025Jan7108141618222428303234384042444648545658626466687072747668121618[[#This Row],[Thresh]]</f>
        <v>1.1478061868686869E-3</v>
      </c>
      <c r="N20" s="28">
        <f>WO2025Jan7108141618222428303234384042444648545658626466687072747668121618[[#This Row],[Thresh]]*1.5</f>
        <v>1.7217092803030304E-3</v>
      </c>
      <c r="O20" s="25">
        <f>WO2025Jan7108141618222428303234384042444648545658626466687072747668121618[[#This Row],[VO2]]</f>
        <v>1.0100694444444445E-3</v>
      </c>
      <c r="P20" s="28">
        <f>WO2025Jan7108141618222428303234384042444648545658626466687072747668121618[[#This Row],[R]]/2</f>
        <v>4.6296296296296298E-4</v>
      </c>
      <c r="Q20" s="25"/>
      <c r="R20" s="25"/>
      <c r="S20" s="25"/>
      <c r="T20" s="28"/>
      <c r="U20" s="11"/>
      <c r="V20" s="36"/>
      <c r="W20" s="15" t="s">
        <v>26</v>
      </c>
      <c r="X20" s="52"/>
    </row>
    <row r="21" spans="1:24" ht="21" customHeight="1">
      <c r="A21" s="10" t="s">
        <v>58</v>
      </c>
      <c r="B21" s="11">
        <v>1.3368055555555555E-2</v>
      </c>
      <c r="C21" s="11">
        <v>4.1087962962962962E-3</v>
      </c>
      <c r="D21" s="11">
        <f>B21*E21</f>
        <v>7.7775347222222213E-3</v>
      </c>
      <c r="E21" s="12">
        <v>0.58179999999999998</v>
      </c>
      <c r="F21" s="11">
        <f>C21/4</f>
        <v>1.027199074074074E-3</v>
      </c>
      <c r="G21" s="11">
        <f>D21/7.5</f>
        <v>1.0370046296296295E-3</v>
      </c>
      <c r="H21" s="11">
        <f>B21/12.5</f>
        <v>1.0694444444444445E-3</v>
      </c>
      <c r="I21" s="11">
        <f>G21/0.93</f>
        <v>1.1150587415372358E-3</v>
      </c>
      <c r="J21" s="11">
        <f>G21/0.92</f>
        <v>1.1271789452495973E-3</v>
      </c>
      <c r="K21" s="11">
        <f>G21/0.88</f>
        <v>1.1784143518518517E-3</v>
      </c>
      <c r="L21" s="11">
        <f>G21/0.84</f>
        <v>1.2345293209876543E-3</v>
      </c>
      <c r="M21" s="25">
        <v>1.1478061868686869E-3</v>
      </c>
      <c r="N21" s="28">
        <v>1.7217092803030304E-3</v>
      </c>
      <c r="O21" s="25">
        <v>1.0100694444444445E-3</v>
      </c>
      <c r="P21" s="28">
        <v>4.6296296296296298E-4</v>
      </c>
      <c r="Q21" s="25"/>
      <c r="R21" s="25"/>
      <c r="S21" s="28"/>
      <c r="T21" s="28"/>
      <c r="U21" s="28"/>
      <c r="V21" s="38"/>
      <c r="W21" s="15" t="s">
        <v>26</v>
      </c>
      <c r="X21" s="52" t="s">
        <v>304</v>
      </c>
    </row>
    <row r="22" spans="1:24" ht="21" customHeight="1">
      <c r="A22" s="10" t="s">
        <v>71</v>
      </c>
      <c r="B22" s="11">
        <v>1.3368055555555555E-2</v>
      </c>
      <c r="C22" s="11">
        <v>4.0509259259259257E-3</v>
      </c>
      <c r="D22" s="11">
        <f t="shared" si="0"/>
        <v>7.7775347222222213E-3</v>
      </c>
      <c r="E22" s="12">
        <v>0.58179999999999998</v>
      </c>
      <c r="F22" s="11">
        <f t="shared" si="1"/>
        <v>1.0127314814814814E-3</v>
      </c>
      <c r="G22" s="11">
        <f t="shared" si="2"/>
        <v>1.0370046296296295E-3</v>
      </c>
      <c r="H22" s="11">
        <f t="shared" si="3"/>
        <v>1.0694444444444445E-3</v>
      </c>
      <c r="I22" s="11">
        <f t="shared" si="4"/>
        <v>1.1150587415372358E-3</v>
      </c>
      <c r="J22" s="11">
        <f t="shared" si="5"/>
        <v>1.1271789452495973E-3</v>
      </c>
      <c r="K22" s="11">
        <f t="shared" si="6"/>
        <v>1.1784143518518517E-3</v>
      </c>
      <c r="L22" s="11">
        <f t="shared" si="7"/>
        <v>1.2345293209876543E-3</v>
      </c>
      <c r="M22" s="25">
        <f>WO2025Jan7108141618222428303234384042444648545658626466687072747668121618[[#This Row],[Thresh]]</f>
        <v>1.1784143518518517E-3</v>
      </c>
      <c r="N22" s="28">
        <f>WO2025Jan7108141618222428303234384042444648545658626466687072747668121618[[#This Row],[Thresh]]*1.5</f>
        <v>1.7676215277777777E-3</v>
      </c>
      <c r="O22" s="25">
        <f>WO2025Jan7108141618222428303234384042444648545658626466687072747668121618[[#This Row],[VO2]]</f>
        <v>1.0370046296296295E-3</v>
      </c>
      <c r="P22" s="28"/>
      <c r="Q22" s="25"/>
      <c r="R22" s="28"/>
      <c r="S22" s="11"/>
      <c r="T22" s="28"/>
      <c r="U22" s="28"/>
      <c r="V22" s="38"/>
      <c r="W22" s="18" t="s">
        <v>35</v>
      </c>
      <c r="X22" s="52"/>
    </row>
    <row r="23" spans="1:24" ht="21" customHeight="1">
      <c r="A23" s="10" t="s">
        <v>69</v>
      </c>
      <c r="B23" s="11">
        <v>1.3368055555555555E-2</v>
      </c>
      <c r="C23" s="11"/>
      <c r="D23" s="11">
        <f t="shared" si="0"/>
        <v>7.7775347222222213E-3</v>
      </c>
      <c r="E23" s="12">
        <v>0.58179999999999998</v>
      </c>
      <c r="F23" s="11">
        <f t="shared" si="1"/>
        <v>0</v>
      </c>
      <c r="G23" s="11">
        <f t="shared" si="2"/>
        <v>1.0370046296296295E-3</v>
      </c>
      <c r="H23" s="11">
        <f t="shared" si="3"/>
        <v>1.0694444444444445E-3</v>
      </c>
      <c r="I23" s="11">
        <f t="shared" si="4"/>
        <v>1.1150587415372358E-3</v>
      </c>
      <c r="J23" s="11">
        <f t="shared" si="5"/>
        <v>1.1271789452495973E-3</v>
      </c>
      <c r="K23" s="11">
        <f t="shared" si="6"/>
        <v>1.1784143518518517E-3</v>
      </c>
      <c r="L23" s="11">
        <f t="shared" si="7"/>
        <v>1.2345293209876543E-3</v>
      </c>
      <c r="M23" s="25">
        <f>WO2025Jan7108141618222428303234384042444648545658626466687072747668121618[[#This Row],[Thresh]]</f>
        <v>1.1784143518518517E-3</v>
      </c>
      <c r="N23" s="28">
        <f>WO2025Jan7108141618222428303234384042444648545658626466687072747668121618[[#This Row],[Thresh]]*1.5</f>
        <v>1.7676215277777777E-3</v>
      </c>
      <c r="O23" s="25">
        <f>WO2025Jan7108141618222428303234384042444648545658626466687072747668121618[[#This Row],[VO2]]</f>
        <v>1.0370046296296295E-3</v>
      </c>
      <c r="P23" s="28"/>
      <c r="Q23" s="25"/>
      <c r="R23" s="25"/>
      <c r="S23" s="25"/>
      <c r="T23" s="28"/>
      <c r="U23" s="11"/>
      <c r="V23" s="36"/>
      <c r="W23" s="15" t="s">
        <v>35</v>
      </c>
      <c r="X23" s="52"/>
    </row>
    <row r="24" spans="1:24" ht="21" customHeight="1">
      <c r="A24" s="10" t="s">
        <v>70</v>
      </c>
      <c r="B24" s="11">
        <v>1.3541666666666667E-2</v>
      </c>
      <c r="C24" s="11">
        <v>4.0509259259259257E-3</v>
      </c>
      <c r="D24" s="11">
        <f t="shared" si="0"/>
        <v>7.8785416666666674E-3</v>
      </c>
      <c r="E24" s="12">
        <v>0.58179999999999998</v>
      </c>
      <c r="F24" s="11">
        <f t="shared" si="1"/>
        <v>1.0127314814814814E-3</v>
      </c>
      <c r="G24" s="11">
        <f t="shared" si="2"/>
        <v>1.0504722222222224E-3</v>
      </c>
      <c r="H24" s="11">
        <f t="shared" si="3"/>
        <v>1.0833333333333333E-3</v>
      </c>
      <c r="I24" s="11">
        <f t="shared" si="4"/>
        <v>1.1295400238948627E-3</v>
      </c>
      <c r="J24" s="11">
        <f t="shared" si="5"/>
        <v>1.1418176328502417E-3</v>
      </c>
      <c r="K24" s="11">
        <f t="shared" si="6"/>
        <v>1.1937184343434346E-3</v>
      </c>
      <c r="L24" s="11">
        <f t="shared" si="7"/>
        <v>1.2505621693121695E-3</v>
      </c>
      <c r="M24" s="25">
        <f>WO2025Jan7108141618222428303234384042444648545658626466687072747668121618[[#This Row],[Thresh]]</f>
        <v>1.1937184343434346E-3</v>
      </c>
      <c r="N24" s="28">
        <f>WO2025Jan7108141618222428303234384042444648545658626466687072747668121618[[#This Row],[Thresh]]*1.5</f>
        <v>1.790577651515152E-3</v>
      </c>
      <c r="O24" s="25">
        <f>WO2025Jan7108141618222428303234384042444648545658626466687072747668121618[[#This Row],[VO2]]</f>
        <v>1.0504722222222224E-3</v>
      </c>
      <c r="P24" s="28"/>
      <c r="Q24" s="25"/>
      <c r="R24" s="25"/>
      <c r="S24" s="28"/>
      <c r="T24" s="28"/>
      <c r="U24" s="28"/>
      <c r="V24" s="38"/>
      <c r="W24" s="15" t="s">
        <v>35</v>
      </c>
      <c r="X24" s="52"/>
    </row>
    <row r="25" spans="1:24" ht="21" customHeight="1">
      <c r="A25" s="10" t="s">
        <v>75</v>
      </c>
      <c r="B25" s="11">
        <v>1.3541666666666667E-2</v>
      </c>
      <c r="C25" s="11"/>
      <c r="D25" s="11">
        <f t="shared" si="0"/>
        <v>7.8785416666666674E-3</v>
      </c>
      <c r="E25" s="12">
        <v>0.58179999999999998</v>
      </c>
      <c r="F25" s="11">
        <f t="shared" si="1"/>
        <v>0</v>
      </c>
      <c r="G25" s="11">
        <f t="shared" si="2"/>
        <v>1.0504722222222224E-3</v>
      </c>
      <c r="H25" s="11">
        <f t="shared" si="3"/>
        <v>1.0833333333333333E-3</v>
      </c>
      <c r="I25" s="11">
        <f t="shared" si="4"/>
        <v>1.1295400238948627E-3</v>
      </c>
      <c r="J25" s="11">
        <f t="shared" si="5"/>
        <v>1.1418176328502417E-3</v>
      </c>
      <c r="K25" s="11">
        <f t="shared" si="6"/>
        <v>1.1937184343434346E-3</v>
      </c>
      <c r="L25" s="11">
        <f t="shared" si="7"/>
        <v>1.2505621693121695E-3</v>
      </c>
      <c r="M25" s="25">
        <f>WO2025Jan7108141618222428303234384042444648545658626466687072747668121618[[#This Row],[Thresh]]</f>
        <v>1.1937184343434346E-3</v>
      </c>
      <c r="N25" s="28">
        <f>WO2025Jan7108141618222428303234384042444648545658626466687072747668121618[[#This Row],[Thresh]]*1.5</f>
        <v>1.790577651515152E-3</v>
      </c>
      <c r="O25" s="25">
        <f>WO2025Jan7108141618222428303234384042444648545658626466687072747668121618[[#This Row],[VO2]]</f>
        <v>1.0504722222222224E-3</v>
      </c>
      <c r="P25" s="28"/>
      <c r="Q25" s="25"/>
      <c r="R25" s="25"/>
      <c r="S25" s="25"/>
      <c r="T25" s="25"/>
      <c r="U25" s="25"/>
      <c r="V25" s="11"/>
      <c r="W25" s="15" t="s">
        <v>35</v>
      </c>
      <c r="X25" s="52"/>
    </row>
    <row r="26" spans="1:24" ht="21" customHeight="1">
      <c r="A26" s="10" t="s">
        <v>72</v>
      </c>
      <c r="B26" s="11">
        <v>1.3541666666666667E-2</v>
      </c>
      <c r="C26" s="11">
        <v>4.0509259259259257E-3</v>
      </c>
      <c r="D26" s="11">
        <f t="shared" si="0"/>
        <v>7.8785416666666674E-3</v>
      </c>
      <c r="E26" s="12">
        <v>0.58179999999999998</v>
      </c>
      <c r="F26" s="11">
        <f t="shared" si="1"/>
        <v>1.0127314814814814E-3</v>
      </c>
      <c r="G26" s="11">
        <f t="shared" si="2"/>
        <v>1.0504722222222224E-3</v>
      </c>
      <c r="H26" s="11">
        <f t="shared" si="3"/>
        <v>1.0833333333333333E-3</v>
      </c>
      <c r="I26" s="11">
        <f t="shared" si="4"/>
        <v>1.1295400238948627E-3</v>
      </c>
      <c r="J26" s="11">
        <f t="shared" si="5"/>
        <v>1.1418176328502417E-3</v>
      </c>
      <c r="K26" s="11">
        <f t="shared" si="6"/>
        <v>1.1937184343434346E-3</v>
      </c>
      <c r="L26" s="11">
        <f t="shared" si="7"/>
        <v>1.2505621693121695E-3</v>
      </c>
      <c r="M26" s="25">
        <f>WO2025Jan7108141618222428303234384042444648545658626466687072747668121618[[#This Row],[Thresh]]</f>
        <v>1.1937184343434346E-3</v>
      </c>
      <c r="N26" s="28">
        <f>WO2025Jan7108141618222428303234384042444648545658626466687072747668121618[[#This Row],[Thresh]]*1.5</f>
        <v>1.790577651515152E-3</v>
      </c>
      <c r="O26" s="25">
        <f>WO2025Jan7108141618222428303234384042444648545658626466687072747668121618[[#This Row],[VO2]]</f>
        <v>1.0504722222222224E-3</v>
      </c>
      <c r="P26" s="28"/>
      <c r="Q26" s="25"/>
      <c r="R26" s="28"/>
      <c r="S26" s="11"/>
      <c r="T26" s="28"/>
      <c r="U26" s="28"/>
      <c r="V26" s="28"/>
      <c r="W26" s="15" t="s">
        <v>35</v>
      </c>
      <c r="X26" s="52"/>
    </row>
    <row r="27" spans="1:24" ht="21" customHeight="1">
      <c r="A27" s="10" t="s">
        <v>68</v>
      </c>
      <c r="B27" s="11">
        <v>1.3541666666666667E-2</v>
      </c>
      <c r="C27" s="11"/>
      <c r="D27" s="11">
        <f t="shared" si="0"/>
        <v>7.8785416666666674E-3</v>
      </c>
      <c r="E27" s="12">
        <v>0.58179999999999998</v>
      </c>
      <c r="F27" s="11">
        <f t="shared" si="1"/>
        <v>0</v>
      </c>
      <c r="G27" s="11">
        <f t="shared" si="2"/>
        <v>1.0504722222222224E-3</v>
      </c>
      <c r="H27" s="11">
        <f t="shared" si="3"/>
        <v>1.0833333333333333E-3</v>
      </c>
      <c r="I27" s="11">
        <f t="shared" si="4"/>
        <v>1.1295400238948627E-3</v>
      </c>
      <c r="J27" s="11">
        <f t="shared" si="5"/>
        <v>1.1418176328502417E-3</v>
      </c>
      <c r="K27" s="11">
        <f t="shared" si="6"/>
        <v>1.1937184343434346E-3</v>
      </c>
      <c r="L27" s="11">
        <f t="shared" si="7"/>
        <v>1.2505621693121695E-3</v>
      </c>
      <c r="M27" s="25">
        <f>WO2025Jan7108141618222428303234384042444648545658626466687072747668121618[[#This Row],[Thresh]]</f>
        <v>1.1937184343434346E-3</v>
      </c>
      <c r="N27" s="28">
        <f>WO2025Jan7108141618222428303234384042444648545658626466687072747668121618[[#This Row],[Thresh]]*1.5</f>
        <v>1.790577651515152E-3</v>
      </c>
      <c r="O27" s="25">
        <f>WO2025Jan7108141618222428303234384042444648545658626466687072747668121618[[#This Row],[VO2]]</f>
        <v>1.0504722222222224E-3</v>
      </c>
      <c r="P27" s="28"/>
      <c r="Q27" s="25"/>
      <c r="R27" s="28"/>
      <c r="S27" s="11"/>
      <c r="T27" s="11"/>
      <c r="U27" s="11"/>
      <c r="V27" s="11"/>
      <c r="W27" s="15" t="s">
        <v>35</v>
      </c>
      <c r="X27" s="52"/>
    </row>
    <row r="28" spans="1:24" ht="21" customHeight="1">
      <c r="A28" s="10" t="s">
        <v>73</v>
      </c>
      <c r="B28" s="11">
        <v>1.4236111111111111E-2</v>
      </c>
      <c r="C28" s="11">
        <v>4.3981481481481484E-3</v>
      </c>
      <c r="D28" s="11">
        <f t="shared" si="0"/>
        <v>8.2825694444444448E-3</v>
      </c>
      <c r="E28" s="12">
        <v>0.58179999999999998</v>
      </c>
      <c r="F28" s="11">
        <f t="shared" si="1"/>
        <v>1.0995370370370371E-3</v>
      </c>
      <c r="G28" s="11">
        <f t="shared" si="2"/>
        <v>1.1043425925925927E-3</v>
      </c>
      <c r="H28" s="11">
        <f t="shared" si="3"/>
        <v>1.1388888888888889E-3</v>
      </c>
      <c r="I28" s="11">
        <f t="shared" si="4"/>
        <v>1.1874651533253684E-3</v>
      </c>
      <c r="J28" s="11">
        <f t="shared" si="5"/>
        <v>1.2003723832528181E-3</v>
      </c>
      <c r="K28" s="11">
        <f t="shared" si="6"/>
        <v>1.2549347643097644E-3</v>
      </c>
      <c r="L28" s="11">
        <f t="shared" si="7"/>
        <v>1.3146935626102295E-3</v>
      </c>
      <c r="M28" s="25">
        <f>WO2025Jan7108141618222428303234384042444648545658626466687072747668121618[[#This Row],[Thresh]]</f>
        <v>1.2549347643097644E-3</v>
      </c>
      <c r="N28" s="28">
        <f>WO2025Jan7108141618222428303234384042444648545658626466687072747668121618[[#This Row],[Thresh]]*1.5</f>
        <v>1.8824021464646467E-3</v>
      </c>
      <c r="O28" s="25">
        <f>WO2025Jan7108141618222428303234384042444648545658626466687072747668121618[[#This Row],[VO2]]</f>
        <v>1.1043425925925927E-3</v>
      </c>
      <c r="P28" s="28"/>
      <c r="Q28" s="25"/>
      <c r="R28" s="25"/>
      <c r="S28" s="28"/>
      <c r="T28" s="28"/>
      <c r="U28" s="28"/>
      <c r="V28" s="28"/>
      <c r="W28" s="15" t="s">
        <v>35</v>
      </c>
      <c r="X28" s="52"/>
    </row>
    <row r="29" spans="1:24" ht="21" customHeight="1" thickBot="1">
      <c r="A29" s="10" t="s">
        <v>76</v>
      </c>
      <c r="B29" s="11">
        <v>1.4236111111111111E-2</v>
      </c>
      <c r="C29" s="11"/>
      <c r="D29" s="11">
        <f t="shared" si="0"/>
        <v>8.2825694444444448E-3</v>
      </c>
      <c r="E29" s="12">
        <v>0.58179999999999998</v>
      </c>
      <c r="F29" s="11">
        <f t="shared" si="1"/>
        <v>0</v>
      </c>
      <c r="G29" s="11">
        <f t="shared" si="2"/>
        <v>1.1043425925925927E-3</v>
      </c>
      <c r="H29" s="11">
        <f t="shared" si="3"/>
        <v>1.1388888888888889E-3</v>
      </c>
      <c r="I29" s="11">
        <f t="shared" si="4"/>
        <v>1.1874651533253684E-3</v>
      </c>
      <c r="J29" s="11">
        <f t="shared" si="5"/>
        <v>1.2003723832528181E-3</v>
      </c>
      <c r="K29" s="11">
        <f t="shared" si="6"/>
        <v>1.2549347643097644E-3</v>
      </c>
      <c r="L29" s="11">
        <f t="shared" si="7"/>
        <v>1.3146935626102295E-3</v>
      </c>
      <c r="M29" s="25">
        <f>WO2025Jan7108141618222428303234384042444648545658626466687072747668121618[[#This Row],[Thresh]]</f>
        <v>1.2549347643097644E-3</v>
      </c>
      <c r="N29" s="28">
        <f>WO2025Jan7108141618222428303234384042444648545658626466687072747668121618[[#This Row],[Thresh]]*1.5</f>
        <v>1.8824021464646467E-3</v>
      </c>
      <c r="O29" s="25">
        <f>WO2025Jan7108141618222428303234384042444648545658626466687072747668121618[[#This Row],[VO2]]</f>
        <v>1.1043425925925927E-3</v>
      </c>
      <c r="P29" s="28"/>
      <c r="Q29" s="25"/>
      <c r="R29" s="25"/>
      <c r="S29" s="28"/>
      <c r="T29" s="28"/>
      <c r="U29" s="28"/>
      <c r="V29" s="28"/>
      <c r="W29" s="15" t="s">
        <v>35</v>
      </c>
      <c r="X29" s="52"/>
    </row>
    <row r="30" spans="1:24" ht="21" customHeight="1">
      <c r="A30" s="1" t="s">
        <v>301</v>
      </c>
      <c r="B30" s="6"/>
      <c r="C30" s="6"/>
      <c r="D30" s="6"/>
      <c r="E30" s="20"/>
      <c r="F30" s="6"/>
      <c r="G30" s="6"/>
      <c r="H30" s="6"/>
      <c r="I30" s="6"/>
      <c r="J30" s="6"/>
      <c r="K30" s="6"/>
      <c r="L30" s="6"/>
      <c r="M30" s="6" t="s">
        <v>12</v>
      </c>
      <c r="N30" s="6" t="s">
        <v>145</v>
      </c>
      <c r="O30" s="6" t="s">
        <v>158</v>
      </c>
      <c r="P30" s="6" t="s">
        <v>153</v>
      </c>
      <c r="Q30" s="6"/>
      <c r="R30" s="6"/>
      <c r="S30" s="6"/>
      <c r="T30" s="6"/>
      <c r="U30" s="6"/>
      <c r="V30" s="21"/>
      <c r="W30" s="35"/>
      <c r="X30" s="52"/>
    </row>
    <row r="31" spans="1:24" ht="21" customHeight="1">
      <c r="A31" s="10" t="s">
        <v>36</v>
      </c>
      <c r="B31" s="11">
        <v>1.2731481481481481E-2</v>
      </c>
      <c r="C31" s="11">
        <v>3.6458333333333334E-3</v>
      </c>
      <c r="D31" s="11">
        <f t="shared" ref="D31:D36" si="8">B31*E31</f>
        <v>7.4071759259259256E-3</v>
      </c>
      <c r="E31" s="12">
        <v>0.58179999999999998</v>
      </c>
      <c r="F31" s="11">
        <f t="shared" ref="F31:F36" si="9">C31/4</f>
        <v>9.1145833333333335E-4</v>
      </c>
      <c r="G31" s="11">
        <f t="shared" ref="G31:G36" si="10">D31/7.5</f>
        <v>9.8762345679012349E-4</v>
      </c>
      <c r="H31" s="11">
        <f t="shared" ref="H31:H36" si="11">B31/12.5</f>
        <v>1.0185185185185184E-3</v>
      </c>
      <c r="I31" s="11">
        <f t="shared" ref="I31:I36" si="12">G31/0.93</f>
        <v>1.0619607062259391E-3</v>
      </c>
      <c r="J31" s="11">
        <f t="shared" ref="J31:J36" si="13">G31/0.92</f>
        <v>1.073503757380569E-3</v>
      </c>
      <c r="K31" s="11">
        <f t="shared" ref="K31:K36" si="14">G31/0.88</f>
        <v>1.1222993827160494E-3</v>
      </c>
      <c r="L31" s="11">
        <f t="shared" ref="L31:L36" si="15">G31/0.84</f>
        <v>1.1757422104644328E-3</v>
      </c>
      <c r="M31" s="25">
        <f>WO2025Jan7108141618222428303234384042444648545658626466687072747668121618[[#This Row],[Thresh]]</f>
        <v>1.1222993827160494E-3</v>
      </c>
      <c r="N31" s="28">
        <f>WO2025Jan7108141618222428303234384042444648545658626466687072747668121618[[#This Row],[Thresh]]*1.5</f>
        <v>1.6834490740740742E-3</v>
      </c>
      <c r="O31" s="25">
        <f>WO2025Jan7108141618222428303234384042444648545658626466687072747668121618[[#This Row],[VO2]]</f>
        <v>9.8762345679012349E-4</v>
      </c>
      <c r="P31" s="28">
        <f>WO2025Jan7108141618222428303234384042444648545658626466687072747668121618[[#This Row],[R]]/2</f>
        <v>4.5572916666666667E-4</v>
      </c>
      <c r="Q31" s="25"/>
      <c r="R31" s="25"/>
      <c r="S31" s="25"/>
      <c r="T31" s="28"/>
      <c r="U31" s="11"/>
      <c r="V31" s="36"/>
      <c r="W31" s="15" t="s">
        <v>48</v>
      </c>
      <c r="X31" s="52" t="s">
        <v>239</v>
      </c>
    </row>
    <row r="32" spans="1:24" ht="21" customHeight="1">
      <c r="A32" s="10" t="s">
        <v>53</v>
      </c>
      <c r="B32" s="11">
        <v>1.3020833333333334E-2</v>
      </c>
      <c r="C32" s="11">
        <v>3.7615740740740739E-3</v>
      </c>
      <c r="D32" s="11">
        <f t="shared" si="8"/>
        <v>7.5755208333333334E-3</v>
      </c>
      <c r="E32" s="12">
        <v>0.58179999999999998</v>
      </c>
      <c r="F32" s="11">
        <f t="shared" si="9"/>
        <v>9.4039351851851847E-4</v>
      </c>
      <c r="G32" s="11">
        <f t="shared" si="10"/>
        <v>1.0100694444444445E-3</v>
      </c>
      <c r="H32" s="11">
        <f t="shared" si="11"/>
        <v>1.0416666666666667E-3</v>
      </c>
      <c r="I32" s="11">
        <f t="shared" si="12"/>
        <v>1.0860961768219832E-3</v>
      </c>
      <c r="J32" s="11">
        <f t="shared" si="13"/>
        <v>1.0979015700483092E-3</v>
      </c>
      <c r="K32" s="11">
        <f t="shared" si="14"/>
        <v>1.1478061868686869E-3</v>
      </c>
      <c r="L32" s="11">
        <f t="shared" si="15"/>
        <v>1.2024636243386244E-3</v>
      </c>
      <c r="M32" s="25">
        <f>WO2025Jan7108141618222428303234384042444648545658626466687072747668121618[[#This Row],[Thresh]]</f>
        <v>1.1478061868686869E-3</v>
      </c>
      <c r="N32" s="28">
        <f>WO2025Jan7108141618222428303234384042444648545658626466687072747668121618[[#This Row],[Thresh]]*1.5</f>
        <v>1.7217092803030304E-3</v>
      </c>
      <c r="O32" s="25">
        <f>WO2025Jan7108141618222428303234384042444648545658626466687072747668121618[[#This Row],[VO2]]</f>
        <v>1.0100694444444445E-3</v>
      </c>
      <c r="P32" s="28">
        <f>WO2025Jan7108141618222428303234384042444648545658626466687072747668121618[[#This Row],[R]]/2</f>
        <v>4.7019675925925923E-4</v>
      </c>
      <c r="Q32" s="25"/>
      <c r="R32" s="28"/>
      <c r="S32" s="28"/>
      <c r="T32" s="11"/>
      <c r="U32" s="11"/>
      <c r="V32" s="47"/>
      <c r="W32" s="18" t="s">
        <v>48</v>
      </c>
      <c r="X32" s="52"/>
    </row>
    <row r="33" spans="1:24" ht="21" customHeight="1">
      <c r="A33" s="10" t="s">
        <v>74</v>
      </c>
      <c r="B33" s="11">
        <v>1.3020833333333334E-2</v>
      </c>
      <c r="C33" s="11">
        <v>3.7037037037037038E-3</v>
      </c>
      <c r="D33" s="11">
        <f t="shared" si="8"/>
        <v>7.5755208333333334E-3</v>
      </c>
      <c r="E33" s="12">
        <v>0.58179999999999998</v>
      </c>
      <c r="F33" s="11">
        <f t="shared" si="9"/>
        <v>9.2592592592592596E-4</v>
      </c>
      <c r="G33" s="11">
        <f t="shared" si="10"/>
        <v>1.0100694444444445E-3</v>
      </c>
      <c r="H33" s="11">
        <f t="shared" si="11"/>
        <v>1.0416666666666667E-3</v>
      </c>
      <c r="I33" s="11">
        <f t="shared" si="12"/>
        <v>1.0860961768219832E-3</v>
      </c>
      <c r="J33" s="11">
        <f t="shared" si="13"/>
        <v>1.0979015700483092E-3</v>
      </c>
      <c r="K33" s="11">
        <f t="shared" si="14"/>
        <v>1.1478061868686869E-3</v>
      </c>
      <c r="L33" s="11">
        <f t="shared" si="15"/>
        <v>1.2024636243386244E-3</v>
      </c>
      <c r="M33" s="25">
        <f>WO2025Jan7108141618222428303234384042444648545658626466687072747668121618[[#This Row],[Thresh]]</f>
        <v>1.1478061868686869E-3</v>
      </c>
      <c r="N33" s="28">
        <f>WO2025Jan7108141618222428303234384042444648545658626466687072747668121618[[#This Row],[Thresh]]*1.5</f>
        <v>1.7217092803030304E-3</v>
      </c>
      <c r="O33" s="25">
        <f>WO2025Jan7108141618222428303234384042444648545658626466687072747668121618[[#This Row],[VO2]]</f>
        <v>1.0100694444444445E-3</v>
      </c>
      <c r="P33" s="28">
        <f>WO2025Jan7108141618222428303234384042444648545658626466687072747668121618[[#This Row],[R]]/2</f>
        <v>4.6296296296296298E-4</v>
      </c>
      <c r="Q33" s="25"/>
      <c r="R33" s="25"/>
      <c r="S33" s="25"/>
      <c r="T33" s="28"/>
      <c r="U33" s="11"/>
      <c r="V33" s="36"/>
      <c r="W33" s="15" t="s">
        <v>48</v>
      </c>
      <c r="X33" s="52"/>
    </row>
    <row r="34" spans="1:24" ht="21" customHeight="1">
      <c r="A34" s="10" t="s">
        <v>50</v>
      </c>
      <c r="B34" s="11">
        <v>1.3020833333333334E-2</v>
      </c>
      <c r="C34" s="11">
        <v>3.7037037037037038E-3</v>
      </c>
      <c r="D34" s="11">
        <f t="shared" si="8"/>
        <v>7.5755208333333334E-3</v>
      </c>
      <c r="E34" s="12">
        <v>0.58179999999999998</v>
      </c>
      <c r="F34" s="11">
        <f t="shared" si="9"/>
        <v>9.2592592592592596E-4</v>
      </c>
      <c r="G34" s="11">
        <f t="shared" si="10"/>
        <v>1.0100694444444445E-3</v>
      </c>
      <c r="H34" s="11">
        <f t="shared" si="11"/>
        <v>1.0416666666666667E-3</v>
      </c>
      <c r="I34" s="11">
        <f t="shared" si="12"/>
        <v>1.0860961768219832E-3</v>
      </c>
      <c r="J34" s="11">
        <f t="shared" si="13"/>
        <v>1.0979015700483092E-3</v>
      </c>
      <c r="K34" s="11">
        <f t="shared" si="14"/>
        <v>1.1478061868686869E-3</v>
      </c>
      <c r="L34" s="11">
        <f t="shared" si="15"/>
        <v>1.2024636243386244E-3</v>
      </c>
      <c r="M34" s="25">
        <f>WO2025Jan7108141618222428303234384042444648545658626466687072747668121618[[#This Row],[Thresh]]</f>
        <v>1.1478061868686869E-3</v>
      </c>
      <c r="N34" s="28">
        <f>WO2025Jan7108141618222428303234384042444648545658626466687072747668121618[[#This Row],[Thresh]]*1.5</f>
        <v>1.7217092803030304E-3</v>
      </c>
      <c r="O34" s="25">
        <f>WO2025Jan7108141618222428303234384042444648545658626466687072747668121618[[#This Row],[VO2]]</f>
        <v>1.0100694444444445E-3</v>
      </c>
      <c r="P34" s="28">
        <f>WO2025Jan7108141618222428303234384042444648545658626466687072747668121618[[#This Row],[R]]/2</f>
        <v>4.6296296296296298E-4</v>
      </c>
      <c r="Q34" s="25"/>
      <c r="R34" s="25"/>
      <c r="S34" s="25"/>
      <c r="T34" s="28"/>
      <c r="U34" s="11"/>
      <c r="V34" s="36"/>
      <c r="W34" s="15" t="s">
        <v>48</v>
      </c>
      <c r="X34" s="52"/>
    </row>
    <row r="35" spans="1:24" ht="21" customHeight="1">
      <c r="A35" s="10" t="s">
        <v>47</v>
      </c>
      <c r="B35" s="11">
        <v>1.3020833333333334E-2</v>
      </c>
      <c r="C35" s="11">
        <v>3.7037037037037038E-3</v>
      </c>
      <c r="D35" s="11">
        <f t="shared" si="8"/>
        <v>7.5755208333333334E-3</v>
      </c>
      <c r="E35" s="12">
        <v>0.58179999999999998</v>
      </c>
      <c r="F35" s="11">
        <f t="shared" si="9"/>
        <v>9.2592592592592596E-4</v>
      </c>
      <c r="G35" s="11">
        <f t="shared" si="10"/>
        <v>1.0100694444444445E-3</v>
      </c>
      <c r="H35" s="11">
        <f t="shared" si="11"/>
        <v>1.0416666666666667E-3</v>
      </c>
      <c r="I35" s="11">
        <f t="shared" si="12"/>
        <v>1.0860961768219832E-3</v>
      </c>
      <c r="J35" s="11">
        <f t="shared" si="13"/>
        <v>1.0979015700483092E-3</v>
      </c>
      <c r="K35" s="11">
        <f t="shared" si="14"/>
        <v>1.1478061868686869E-3</v>
      </c>
      <c r="L35" s="11">
        <f t="shared" si="15"/>
        <v>1.2024636243386244E-3</v>
      </c>
      <c r="M35" s="25">
        <f>WO2025Jan7108141618222428303234384042444648545658626466687072747668121618[[#This Row],[Thresh]]</f>
        <v>1.1478061868686869E-3</v>
      </c>
      <c r="N35" s="28">
        <f>WO2025Jan7108141618222428303234384042444648545658626466687072747668121618[[#This Row],[Thresh]]*1.5</f>
        <v>1.7217092803030304E-3</v>
      </c>
      <c r="O35" s="25">
        <f>WO2025Jan7108141618222428303234384042444648545658626466687072747668121618[[#This Row],[VO2]]</f>
        <v>1.0100694444444445E-3</v>
      </c>
      <c r="P35" s="28">
        <f>WO2025Jan7108141618222428303234384042444648545658626466687072747668121618[[#This Row],[R]]/2</f>
        <v>4.6296296296296298E-4</v>
      </c>
      <c r="Q35" s="25"/>
      <c r="R35" s="25"/>
      <c r="S35" s="25"/>
      <c r="T35" s="28"/>
      <c r="U35" s="11"/>
      <c r="V35" s="36"/>
      <c r="W35" s="15" t="s">
        <v>48</v>
      </c>
      <c r="X35" s="52"/>
    </row>
    <row r="36" spans="1:24" ht="21" customHeight="1">
      <c r="A36" s="10" t="s">
        <v>198</v>
      </c>
      <c r="B36" s="11">
        <v>1.4583333333333334E-2</v>
      </c>
      <c r="C36" s="11">
        <v>4.1666666666666666E-3</v>
      </c>
      <c r="D36" s="11">
        <f t="shared" si="8"/>
        <v>8.4845833333333336E-3</v>
      </c>
      <c r="E36" s="12">
        <v>0.58179999999999998</v>
      </c>
      <c r="F36" s="11">
        <f t="shared" si="9"/>
        <v>1.0416666666666667E-3</v>
      </c>
      <c r="G36" s="11">
        <f t="shared" si="10"/>
        <v>1.1312777777777777E-3</v>
      </c>
      <c r="H36" s="11">
        <f t="shared" si="11"/>
        <v>1.1666666666666668E-3</v>
      </c>
      <c r="I36" s="11">
        <f t="shared" si="12"/>
        <v>1.2164277180406211E-3</v>
      </c>
      <c r="J36" s="11">
        <f t="shared" si="13"/>
        <v>1.2296497584541061E-3</v>
      </c>
      <c r="K36" s="11">
        <f t="shared" si="14"/>
        <v>1.2855429292929293E-3</v>
      </c>
      <c r="L36" s="11">
        <f t="shared" si="15"/>
        <v>1.3467592592592591E-3</v>
      </c>
      <c r="M36" s="25">
        <f>WO2025Jan7108141618222428303234384042444648545658626466687072747668121618[[#This Row],[Thresh]]</f>
        <v>1.2855429292929293E-3</v>
      </c>
      <c r="N36" s="28">
        <f>WO2025Jan7108141618222428303234384042444648545658626466687072747668121618[[#This Row],[Thresh]]*1.5</f>
        <v>1.9283143939393939E-3</v>
      </c>
      <c r="O36" s="25">
        <f>WO2025Jan7108141618222428303234384042444648545658626466687072747668121618[[#This Row],[VO2]]</f>
        <v>1.1312777777777777E-3</v>
      </c>
      <c r="P36" s="28">
        <f>WO2025Jan7108141618222428303234384042444648545658626466687072747668121618[[#This Row],[R]]/2</f>
        <v>5.2083333333333333E-4</v>
      </c>
      <c r="Q36" s="25"/>
      <c r="R36" s="25"/>
      <c r="S36" s="25"/>
      <c r="T36" s="28"/>
      <c r="U36" s="11"/>
      <c r="V36" s="36"/>
      <c r="W36" s="15" t="s">
        <v>48</v>
      </c>
      <c r="X36" s="52"/>
    </row>
    <row r="37" spans="1:24" ht="21" customHeight="1">
      <c r="A37" s="10"/>
      <c r="B37" s="11"/>
      <c r="C37" s="11"/>
      <c r="D37" s="11"/>
      <c r="E37" s="12"/>
      <c r="F37" s="11"/>
      <c r="G37" s="11"/>
      <c r="H37" s="11"/>
      <c r="I37" s="11"/>
      <c r="J37" s="11"/>
      <c r="K37" s="11"/>
      <c r="L37" s="11"/>
      <c r="M37" s="25"/>
      <c r="N37" s="28"/>
      <c r="O37" s="25"/>
      <c r="P37" s="28"/>
      <c r="Q37" s="25"/>
      <c r="R37" s="11"/>
      <c r="S37" s="14"/>
      <c r="T37" s="11"/>
      <c r="U37" s="11"/>
      <c r="V37" s="17"/>
      <c r="W37" s="18"/>
      <c r="X37" s="52"/>
    </row>
    <row r="38" spans="1:24" ht="21" customHeight="1">
      <c r="A38" s="19"/>
      <c r="B38" s="6"/>
      <c r="C38" s="6"/>
      <c r="D38" s="6"/>
      <c r="E38" s="20"/>
      <c r="F38" s="6"/>
      <c r="G38" s="6"/>
      <c r="H38" s="6"/>
      <c r="I38" s="6"/>
      <c r="J38" s="6"/>
      <c r="K38" s="6"/>
      <c r="L38" s="6"/>
      <c r="M38" s="6"/>
      <c r="N38" s="6"/>
      <c r="O38" s="6"/>
      <c r="P38" s="6"/>
      <c r="Q38" s="6"/>
      <c r="R38" s="6"/>
      <c r="S38" s="6"/>
      <c r="T38" s="6"/>
      <c r="U38" s="6"/>
      <c r="V38" s="6"/>
      <c r="W38" s="35"/>
      <c r="X38" s="52"/>
    </row>
    <row r="39" spans="1:24" ht="21" customHeight="1">
      <c r="A39" s="10" t="s">
        <v>61</v>
      </c>
      <c r="B39" s="11">
        <v>1.4930555555555556E-2</v>
      </c>
      <c r="C39" s="11">
        <v>4.3981481481481484E-3</v>
      </c>
      <c r="D39" s="11">
        <f>B39*E39</f>
        <v>8.6865972222222223E-3</v>
      </c>
      <c r="E39" s="12">
        <v>0.58179999999999998</v>
      </c>
      <c r="F39" s="11">
        <f>C39/4</f>
        <v>1.0995370370370371E-3</v>
      </c>
      <c r="G39" s="11">
        <f>D39/7.5</f>
        <v>1.1582129629629629E-3</v>
      </c>
      <c r="H39" s="11">
        <f>B39/12.5</f>
        <v>1.1944444444444446E-3</v>
      </c>
      <c r="I39" s="11">
        <f>G39/0.93</f>
        <v>1.2453902827558739E-3</v>
      </c>
      <c r="J39" s="11">
        <f>G39/0.92</f>
        <v>1.2589271336553944E-3</v>
      </c>
      <c r="K39" s="11">
        <f>G39/0.88</f>
        <v>1.3161510942760941E-3</v>
      </c>
      <c r="L39" s="11">
        <f>G39/0.84</f>
        <v>1.3788249559082892E-3</v>
      </c>
      <c r="M39" s="25"/>
      <c r="N39" s="28"/>
      <c r="O39" s="25"/>
      <c r="P39" s="25"/>
      <c r="Q39" s="25"/>
      <c r="R39" s="25"/>
      <c r="S39" s="28"/>
      <c r="T39" s="28"/>
      <c r="U39" s="28"/>
      <c r="V39" s="28"/>
      <c r="W39" s="15" t="s">
        <v>52</v>
      </c>
      <c r="X39" s="52"/>
    </row>
    <row r="40" spans="1:24" ht="21" customHeight="1">
      <c r="A40" s="10" t="s">
        <v>57</v>
      </c>
      <c r="B40" s="11"/>
      <c r="C40" s="11"/>
      <c r="D40" s="11"/>
      <c r="E40" s="12"/>
      <c r="F40" s="11"/>
      <c r="G40" s="11"/>
      <c r="H40" s="11"/>
      <c r="I40" s="11"/>
      <c r="J40" s="11"/>
      <c r="K40" s="11"/>
      <c r="L40" s="11"/>
      <c r="M40" s="25"/>
      <c r="N40" s="28"/>
      <c r="O40" s="25"/>
      <c r="P40" s="28"/>
      <c r="Q40" s="25"/>
      <c r="R40" s="28"/>
      <c r="S40" s="28"/>
      <c r="T40" s="11"/>
      <c r="U40" s="11"/>
      <c r="V40" s="11"/>
      <c r="W40" s="15" t="s">
        <v>52</v>
      </c>
      <c r="X40" s="52"/>
    </row>
    <row r="41" spans="1:24" ht="21" customHeight="1">
      <c r="A41" s="10"/>
      <c r="B41" s="11"/>
      <c r="C41" s="11"/>
      <c r="D41" s="11"/>
      <c r="E41" s="12"/>
      <c r="F41" s="11"/>
      <c r="G41" s="11"/>
      <c r="H41" s="11"/>
      <c r="I41" s="11"/>
      <c r="J41" s="11"/>
      <c r="K41" s="11"/>
      <c r="L41" s="11"/>
      <c r="M41" s="45"/>
      <c r="N41" s="11"/>
      <c r="O41" s="11"/>
      <c r="P41" s="11"/>
      <c r="Q41" s="14"/>
      <c r="R41" s="11"/>
      <c r="S41" s="14"/>
      <c r="T41" s="11"/>
      <c r="U41" s="14"/>
      <c r="V41" s="17"/>
      <c r="W41" s="18"/>
      <c r="X41" s="52"/>
    </row>
    <row r="42" spans="1:24" ht="21" customHeight="1">
      <c r="A42" s="39"/>
      <c r="B42" s="40"/>
      <c r="C42" s="40"/>
      <c r="D42" s="40"/>
      <c r="E42" s="41"/>
      <c r="F42" s="40"/>
      <c r="G42" s="40"/>
      <c r="H42" s="40"/>
      <c r="I42" s="40"/>
      <c r="J42" s="40"/>
      <c r="K42" s="40"/>
      <c r="L42" s="40"/>
      <c r="M42" s="40" t="s">
        <v>39</v>
      </c>
      <c r="N42" s="40"/>
      <c r="O42" s="40"/>
      <c r="P42" s="40"/>
      <c r="Q42" s="40"/>
      <c r="R42" s="40"/>
      <c r="S42" s="40"/>
      <c r="T42" s="40"/>
      <c r="U42" s="40"/>
      <c r="V42" s="40"/>
      <c r="W42" s="42"/>
      <c r="X42" s="52"/>
    </row>
    <row r="43" spans="1:24" ht="21" customHeight="1">
      <c r="A43" s="10"/>
      <c r="B43" s="11"/>
      <c r="C43" s="11"/>
      <c r="D43" s="11"/>
      <c r="E43" s="12"/>
      <c r="F43" s="11"/>
      <c r="G43" s="11"/>
      <c r="H43" s="11"/>
      <c r="I43" s="11"/>
      <c r="J43" s="11"/>
      <c r="K43" s="11"/>
      <c r="L43" s="11"/>
      <c r="M43" s="13"/>
      <c r="N43" s="11"/>
      <c r="O43" s="11"/>
      <c r="P43" s="11"/>
      <c r="Q43" s="14"/>
      <c r="R43" s="11"/>
      <c r="S43" s="14"/>
      <c r="T43" s="14"/>
      <c r="U43" s="14"/>
      <c r="V43" s="17"/>
      <c r="W43" s="18"/>
      <c r="X43" s="52"/>
    </row>
    <row r="44" spans="1:24" ht="21" customHeight="1">
      <c r="A44" s="10"/>
      <c r="B44" s="11"/>
      <c r="C44" s="11"/>
      <c r="D44" s="11"/>
      <c r="E44" s="12"/>
      <c r="F44" s="11"/>
      <c r="G44" s="11"/>
      <c r="H44" s="11"/>
      <c r="I44" s="11"/>
      <c r="J44" s="11"/>
      <c r="K44" s="11"/>
      <c r="L44" s="11"/>
      <c r="M44" s="13"/>
      <c r="N44" s="11"/>
      <c r="O44" s="11"/>
      <c r="P44" s="11"/>
      <c r="Q44" s="14"/>
      <c r="R44" s="11"/>
      <c r="S44" s="14"/>
      <c r="T44" s="14"/>
      <c r="U44" s="14"/>
      <c r="V44" s="17"/>
      <c r="W44" s="18"/>
      <c r="X44" s="52"/>
    </row>
    <row r="45" spans="1:24" ht="21" customHeight="1">
      <c r="A45" s="39"/>
      <c r="B45" s="40"/>
      <c r="C45" s="40"/>
      <c r="D45" s="40"/>
      <c r="E45" s="41"/>
      <c r="F45" s="40"/>
      <c r="G45" s="40"/>
      <c r="H45" s="40"/>
      <c r="I45" s="40"/>
      <c r="J45" s="40"/>
      <c r="K45" s="40"/>
      <c r="L45" s="40"/>
      <c r="M45" s="40"/>
      <c r="N45" s="40"/>
      <c r="O45" s="40"/>
      <c r="P45" s="40"/>
      <c r="Q45" s="40"/>
      <c r="R45" s="40"/>
      <c r="S45" s="40"/>
      <c r="T45" s="40"/>
      <c r="U45" s="40"/>
      <c r="V45" s="40"/>
      <c r="W45" s="42"/>
      <c r="X45" s="52"/>
    </row>
    <row r="46" spans="1:24" ht="21" customHeight="1">
      <c r="A46" s="10"/>
      <c r="B46" s="11"/>
      <c r="C46" s="11"/>
      <c r="D46" s="11"/>
      <c r="E46" s="12"/>
      <c r="F46" s="11"/>
      <c r="G46" s="11"/>
      <c r="H46" s="11"/>
      <c r="I46" s="11"/>
      <c r="J46" s="11"/>
      <c r="K46" s="11"/>
      <c r="L46" s="11"/>
      <c r="M46" s="45"/>
      <c r="N46" s="11"/>
      <c r="O46" s="11"/>
      <c r="P46" s="11"/>
      <c r="Q46" s="14"/>
      <c r="R46" s="11"/>
      <c r="S46" s="14"/>
      <c r="T46" s="11"/>
      <c r="U46" s="14"/>
      <c r="V46" s="17"/>
      <c r="W46" s="18"/>
      <c r="X46" s="52"/>
    </row>
    <row r="47" spans="1:24" ht="21" customHeight="1">
      <c r="A47" s="10"/>
      <c r="B47" s="11"/>
      <c r="C47" s="11"/>
      <c r="D47" s="11"/>
      <c r="E47" s="12"/>
      <c r="F47" s="11"/>
      <c r="G47" s="11"/>
      <c r="H47" s="11"/>
      <c r="I47" s="11"/>
      <c r="J47" s="11"/>
      <c r="K47" s="11"/>
      <c r="L47" s="11"/>
      <c r="M47" s="45"/>
      <c r="N47" s="11"/>
      <c r="O47" s="11"/>
      <c r="P47" s="11"/>
      <c r="Q47" s="14"/>
      <c r="R47" s="11"/>
      <c r="S47" s="14"/>
      <c r="T47" s="11"/>
      <c r="U47" s="14"/>
      <c r="V47" s="17"/>
      <c r="W47" s="18"/>
      <c r="X47" s="52"/>
    </row>
    <row r="48" spans="1:24" ht="21" customHeight="1">
      <c r="A48" s="10"/>
      <c r="B48" s="11"/>
      <c r="C48" s="11"/>
      <c r="D48" s="11"/>
      <c r="E48" s="12"/>
      <c r="F48" s="11"/>
      <c r="G48" s="11"/>
      <c r="H48" s="11"/>
      <c r="I48" s="11"/>
      <c r="J48" s="11"/>
      <c r="K48" s="11"/>
      <c r="L48" s="11"/>
      <c r="M48" s="14"/>
      <c r="N48" s="11"/>
      <c r="O48" s="14"/>
      <c r="P48" s="11"/>
      <c r="Q48" s="14"/>
      <c r="R48" s="11"/>
      <c r="S48" s="14"/>
      <c r="T48" s="14"/>
      <c r="U48" s="14"/>
      <c r="V48" s="11"/>
      <c r="W48" s="15"/>
      <c r="X48" s="52"/>
    </row>
    <row r="49" spans="1:24" ht="21" customHeight="1">
      <c r="A49" s="10"/>
      <c r="B49" s="11"/>
      <c r="C49" s="11"/>
      <c r="D49" s="11"/>
      <c r="E49" s="12"/>
      <c r="F49" s="11"/>
      <c r="G49" s="11"/>
      <c r="H49" s="11"/>
      <c r="I49" s="11"/>
      <c r="J49" s="11"/>
      <c r="K49" s="11"/>
      <c r="L49" s="11"/>
      <c r="M49" s="14"/>
      <c r="O49" s="14"/>
      <c r="P49" s="11"/>
      <c r="Q49" s="14"/>
      <c r="R49" s="11"/>
      <c r="S49" s="14"/>
      <c r="T49" s="14"/>
      <c r="U49" s="14"/>
      <c r="V49" s="11"/>
      <c r="W49" s="15"/>
      <c r="X49" s="52"/>
    </row>
    <row r="50" spans="1:24" ht="21" customHeight="1">
      <c r="A50" s="10"/>
      <c r="B50" s="11"/>
      <c r="C50" s="11"/>
      <c r="D50" s="11"/>
      <c r="E50" s="12"/>
      <c r="F50" s="11"/>
      <c r="G50" s="11"/>
      <c r="H50" s="11"/>
      <c r="I50" s="11"/>
      <c r="J50" s="11"/>
      <c r="K50" s="11"/>
      <c r="L50" s="11"/>
      <c r="M50" s="13"/>
      <c r="N50" s="11"/>
      <c r="O50" s="11"/>
      <c r="P50" s="11"/>
      <c r="Q50" s="14"/>
      <c r="R50" s="11"/>
      <c r="S50" s="14"/>
      <c r="T50" s="14"/>
      <c r="U50" s="14"/>
      <c r="V50" s="17"/>
      <c r="W50" s="18"/>
      <c r="X50" s="52"/>
    </row>
    <row r="51" spans="1:24" ht="21" customHeight="1">
      <c r="A51" s="10"/>
      <c r="B51" s="11"/>
      <c r="C51" s="11"/>
      <c r="D51" s="11"/>
      <c r="E51" s="12"/>
      <c r="F51" s="11"/>
      <c r="G51" s="11"/>
      <c r="H51" s="11"/>
      <c r="I51" s="11"/>
      <c r="J51" s="11"/>
      <c r="K51" s="11"/>
      <c r="L51" s="11"/>
      <c r="M51" s="13"/>
      <c r="N51" s="11"/>
      <c r="O51" s="11"/>
      <c r="P51" s="11"/>
      <c r="Q51" s="14"/>
      <c r="R51" s="11"/>
      <c r="S51" s="14"/>
      <c r="T51" s="14"/>
      <c r="U51" s="14"/>
      <c r="V51" s="17"/>
      <c r="W51" s="18"/>
      <c r="X51" s="52"/>
    </row>
    <row r="52" spans="1:24" ht="21" customHeight="1">
      <c r="A52" s="10"/>
      <c r="B52" s="11"/>
      <c r="C52" s="11"/>
      <c r="D52" s="11"/>
      <c r="E52" s="12"/>
      <c r="F52" s="11"/>
      <c r="G52" s="11"/>
      <c r="H52" s="11"/>
      <c r="I52" s="11"/>
      <c r="J52" s="11"/>
      <c r="K52" s="11"/>
      <c r="L52" s="11"/>
      <c r="M52" s="14"/>
      <c r="N52" s="11"/>
      <c r="O52" s="14"/>
      <c r="P52" s="11"/>
      <c r="Q52" s="14"/>
      <c r="R52" s="11"/>
      <c r="S52" s="14"/>
      <c r="T52" s="14"/>
      <c r="U52" s="14"/>
      <c r="V52" s="11"/>
      <c r="W52" s="15"/>
      <c r="X52" s="52"/>
    </row>
    <row r="53" spans="1:24" ht="21" customHeight="1">
      <c r="A53" s="10"/>
      <c r="B53" s="11"/>
      <c r="C53" s="11"/>
      <c r="D53" s="11"/>
      <c r="E53" s="12"/>
      <c r="F53" s="11"/>
      <c r="G53" s="11"/>
      <c r="H53" s="11"/>
      <c r="I53" s="11"/>
      <c r="J53" s="11"/>
      <c r="K53" s="11"/>
      <c r="L53" s="17"/>
      <c r="M53" s="14"/>
      <c r="N53" s="11"/>
      <c r="O53" s="11"/>
      <c r="P53" s="11"/>
      <c r="Q53" s="14"/>
      <c r="R53" s="11"/>
      <c r="S53" s="14"/>
      <c r="T53" s="11"/>
      <c r="U53" s="11"/>
      <c r="V53" s="11"/>
      <c r="W53" s="15"/>
      <c r="X53" s="52"/>
    </row>
    <row r="54" spans="1:24" ht="21" customHeight="1">
      <c r="A54" s="10"/>
      <c r="B54" s="11"/>
      <c r="C54" s="11"/>
      <c r="D54" s="11"/>
      <c r="E54" s="12"/>
      <c r="F54" s="11"/>
      <c r="G54" s="11"/>
      <c r="H54" s="11"/>
      <c r="I54" s="11"/>
      <c r="J54" s="11"/>
      <c r="K54" s="11"/>
      <c r="L54" s="11"/>
      <c r="M54" s="13"/>
      <c r="N54" s="11"/>
      <c r="O54" s="11"/>
      <c r="P54" s="11"/>
      <c r="Q54" s="14"/>
      <c r="R54" s="11"/>
      <c r="S54" s="14"/>
      <c r="T54" s="14"/>
      <c r="U54" s="14"/>
      <c r="V54" s="17"/>
      <c r="W54" s="18"/>
      <c r="X54" s="52"/>
    </row>
    <row r="55" spans="1:24" ht="21" customHeight="1">
      <c r="A55" s="10"/>
      <c r="B55" s="11"/>
      <c r="C55" s="11"/>
      <c r="D55" s="11"/>
      <c r="E55" s="12"/>
      <c r="F55" s="11"/>
      <c r="G55" s="11"/>
      <c r="H55" s="11"/>
      <c r="I55" s="11"/>
      <c r="J55" s="11"/>
      <c r="K55" s="11"/>
      <c r="L55" s="11"/>
      <c r="M55" s="13"/>
      <c r="N55" s="11"/>
      <c r="O55" s="14"/>
      <c r="P55" s="11"/>
      <c r="Q55" s="14"/>
      <c r="R55" s="11"/>
      <c r="S55" s="14"/>
      <c r="T55" s="14"/>
      <c r="U55" s="14"/>
      <c r="V55" s="11"/>
      <c r="W55" s="18"/>
      <c r="X55" s="52"/>
    </row>
    <row r="56" spans="1:24" ht="21" customHeight="1">
      <c r="A56" s="10"/>
      <c r="B56" s="11"/>
      <c r="C56" s="11"/>
      <c r="D56" s="11"/>
      <c r="E56" s="12"/>
      <c r="F56" s="11"/>
      <c r="G56" s="11"/>
      <c r="H56" s="11"/>
      <c r="I56" s="11"/>
      <c r="J56" s="11"/>
      <c r="K56" s="11"/>
      <c r="L56" s="11"/>
      <c r="M56" s="13"/>
      <c r="N56" s="11"/>
      <c r="O56" s="11"/>
      <c r="P56" s="11"/>
      <c r="Q56" s="14"/>
      <c r="R56" s="11"/>
      <c r="S56" s="14"/>
      <c r="T56" s="14"/>
      <c r="U56" s="14"/>
      <c r="V56" s="17"/>
      <c r="W56" s="18"/>
      <c r="X56" s="52"/>
    </row>
    <row r="57" spans="1:24" ht="21" customHeight="1" thickBot="1">
      <c r="A57" s="10"/>
      <c r="B57" s="11"/>
      <c r="C57" s="11"/>
      <c r="D57" s="11"/>
      <c r="E57" s="12"/>
      <c r="F57" s="11"/>
      <c r="G57" s="11"/>
      <c r="H57" s="11"/>
      <c r="I57" s="11"/>
      <c r="J57" s="11"/>
      <c r="K57" s="11"/>
      <c r="L57" s="11"/>
      <c r="M57" s="13"/>
      <c r="N57" s="11"/>
      <c r="O57" s="11"/>
      <c r="P57" s="11"/>
      <c r="Q57" s="14"/>
      <c r="R57" s="11"/>
      <c r="S57" s="14"/>
      <c r="T57" s="14"/>
      <c r="U57" s="14"/>
      <c r="V57" s="17"/>
      <c r="W57" s="18"/>
      <c r="X57" s="52"/>
    </row>
    <row r="58" spans="1:24" ht="20.45" customHeight="1">
      <c r="A58" s="1" t="s">
        <v>301</v>
      </c>
      <c r="B58" s="2" t="s">
        <v>1</v>
      </c>
      <c r="C58" s="2" t="s">
        <v>2</v>
      </c>
      <c r="D58" s="2" t="s">
        <v>3</v>
      </c>
      <c r="E58" s="3" t="s">
        <v>4</v>
      </c>
      <c r="F58" s="2" t="s">
        <v>5</v>
      </c>
      <c r="G58" s="2" t="s">
        <v>6</v>
      </c>
      <c r="H58" s="2" t="s">
        <v>7</v>
      </c>
      <c r="I58" s="4" t="s">
        <v>8</v>
      </c>
      <c r="J58" s="2" t="s">
        <v>9</v>
      </c>
      <c r="K58" s="2" t="s">
        <v>10</v>
      </c>
      <c r="L58" s="2" t="s">
        <v>11</v>
      </c>
      <c r="M58" s="5" t="s">
        <v>12</v>
      </c>
      <c r="N58" s="6" t="s">
        <v>155</v>
      </c>
      <c r="O58" s="7" t="s">
        <v>305</v>
      </c>
      <c r="P58" s="8" t="s">
        <v>158</v>
      </c>
      <c r="Q58" s="8" t="s">
        <v>147</v>
      </c>
      <c r="R58" s="7" t="s">
        <v>148</v>
      </c>
      <c r="S58" s="7" t="s">
        <v>149</v>
      </c>
      <c r="T58" s="7" t="s">
        <v>77</v>
      </c>
      <c r="U58" s="8" t="s">
        <v>20</v>
      </c>
      <c r="V58" s="8" t="s">
        <v>21</v>
      </c>
      <c r="W58" s="24" t="s">
        <v>22</v>
      </c>
      <c r="X58" s="52" t="s">
        <v>306</v>
      </c>
    </row>
    <row r="59" spans="1:24" ht="20.45" customHeight="1">
      <c r="A59" s="10" t="s">
        <v>79</v>
      </c>
      <c r="B59" s="11">
        <v>9.8379629629629633E-3</v>
      </c>
      <c r="C59" s="11">
        <v>2.9745370370370373E-3</v>
      </c>
      <c r="D59" s="11">
        <f>B59*E59</f>
        <v>5.7237268518518522E-3</v>
      </c>
      <c r="E59" s="12">
        <v>0.58179999999999998</v>
      </c>
      <c r="F59" s="11">
        <f>C59/4</f>
        <v>7.4363425925925931E-4</v>
      </c>
      <c r="G59" s="11">
        <f>D59/7.5</f>
        <v>7.6316358024691364E-4</v>
      </c>
      <c r="H59" s="11">
        <f>B59/12.5</f>
        <v>7.8703703703703705E-4</v>
      </c>
      <c r="I59" s="11">
        <f>G59/0.93</f>
        <v>8.2060600026549854E-4</v>
      </c>
      <c r="J59" s="11">
        <f>G59/0.92</f>
        <v>8.29525630703167E-4</v>
      </c>
      <c r="K59" s="11">
        <f>G59/0.88</f>
        <v>8.6723134118967459E-4</v>
      </c>
      <c r="L59" s="11">
        <f>G59/0.84</f>
        <v>9.085280717225163E-4</v>
      </c>
      <c r="M59" s="25">
        <f>WO2025Jan7men119151719232529313335394143454749555759636567697173757779131719[[#This Row],[Thresh]]</f>
        <v>8.6723134118967459E-4</v>
      </c>
      <c r="N59" s="28">
        <f>WO2025Jan7men119151719232529313335394143454749555759636567697173757779131719[[#This Row],[Thresh]]*2</f>
        <v>1.7344626823793492E-3</v>
      </c>
      <c r="O59" s="25">
        <f>WO2025Jan7men119151719232529313335394143454749555759636567697173757779131719[[#This Row],[I]]</f>
        <v>7.8703703703703705E-4</v>
      </c>
      <c r="P59" s="25">
        <f>WO2025Jan7men119151719232529313335394143454749555759636567697173757779131719[[#This Row],[VO2]]</f>
        <v>7.6316358024691364E-4</v>
      </c>
      <c r="Q59" s="25"/>
      <c r="R59" s="28"/>
      <c r="S59" s="25"/>
      <c r="T59" s="25"/>
      <c r="U59" s="28"/>
      <c r="V59" s="25"/>
      <c r="W59" s="15" t="s">
        <v>26</v>
      </c>
      <c r="X59" s="52"/>
    </row>
    <row r="60" spans="1:24" ht="20.45" customHeight="1">
      <c r="A60" s="10" t="s">
        <v>80</v>
      </c>
      <c r="B60" s="11">
        <v>9.8379629629629633E-3</v>
      </c>
      <c r="C60" s="11">
        <v>2.8587962962962963E-3</v>
      </c>
      <c r="D60" s="11">
        <f>B60*E60</f>
        <v>5.7237268518518522E-3</v>
      </c>
      <c r="E60" s="12">
        <v>0.58179999999999998</v>
      </c>
      <c r="F60" s="11">
        <f>C60/4</f>
        <v>7.1469907407407409E-4</v>
      </c>
      <c r="G60" s="11">
        <f>D60/7.5</f>
        <v>7.6316358024691364E-4</v>
      </c>
      <c r="H60" s="11">
        <f>B60/12.5</f>
        <v>7.8703703703703705E-4</v>
      </c>
      <c r="I60" s="11">
        <f>G60/0.93</f>
        <v>8.2060600026549854E-4</v>
      </c>
      <c r="J60" s="11">
        <f>G60/0.92</f>
        <v>8.29525630703167E-4</v>
      </c>
      <c r="K60" s="11">
        <f>G60/0.88</f>
        <v>8.6723134118967459E-4</v>
      </c>
      <c r="L60" s="11">
        <f>G60/0.84</f>
        <v>9.085280717225163E-4</v>
      </c>
      <c r="M60" s="25">
        <f>WO2025Jan7men119151719232529313335394143454749555759636567697173757779131719[[#This Row],[Thresh]]</f>
        <v>8.6723134118967459E-4</v>
      </c>
      <c r="N60" s="28">
        <f>WO2025Jan7men119151719232529313335394143454749555759636567697173757779131719[[#This Row],[Thresh]]*2</f>
        <v>1.7344626823793492E-3</v>
      </c>
      <c r="O60" s="25">
        <f>WO2025Jan7men119151719232529313335394143454749555759636567697173757779131719[[#This Row],[I]]</f>
        <v>7.8703703703703705E-4</v>
      </c>
      <c r="P60" s="25">
        <f>WO2025Jan7men119151719232529313335394143454749555759636567697173757779131719[[#This Row],[VO2]]</f>
        <v>7.6316358024691364E-4</v>
      </c>
      <c r="Q60" s="25"/>
      <c r="R60" s="25"/>
      <c r="S60" s="25"/>
      <c r="T60" s="25"/>
      <c r="U60" s="28"/>
      <c r="V60" s="25"/>
      <c r="W60" s="15" t="s">
        <v>26</v>
      </c>
      <c r="X60" s="52"/>
    </row>
    <row r="61" spans="1:24" ht="20.45" customHeight="1">
      <c r="A61" s="10" t="s">
        <v>109</v>
      </c>
      <c r="B61" s="11">
        <v>9.8379629629629633E-3</v>
      </c>
      <c r="C61" s="11">
        <v>2.9745370370370373E-3</v>
      </c>
      <c r="D61" s="11">
        <f>B61*E61</f>
        <v>5.7237268518518522E-3</v>
      </c>
      <c r="E61" s="12">
        <v>0.58179999999999998</v>
      </c>
      <c r="F61" s="11">
        <f>C61/4</f>
        <v>7.4363425925925931E-4</v>
      </c>
      <c r="G61" s="11">
        <f>D61/7.5</f>
        <v>7.6316358024691364E-4</v>
      </c>
      <c r="H61" s="11">
        <f>B61/12.5</f>
        <v>7.8703703703703705E-4</v>
      </c>
      <c r="I61" s="11">
        <f>G61/0.93</f>
        <v>8.2060600026549854E-4</v>
      </c>
      <c r="J61" s="11">
        <f>G61/0.92</f>
        <v>8.29525630703167E-4</v>
      </c>
      <c r="K61" s="11">
        <f>G61/0.88</f>
        <v>8.6723134118967459E-4</v>
      </c>
      <c r="L61" s="11">
        <f>G61/0.84</f>
        <v>9.085280717225163E-4</v>
      </c>
      <c r="M61" s="25">
        <f>WO2025Jan7men119151719232529313335394143454749555759636567697173757779131719[[#This Row],[Thresh]]</f>
        <v>8.6723134118967459E-4</v>
      </c>
      <c r="N61" s="28">
        <f>WO2025Jan7men119151719232529313335394143454749555759636567697173757779131719[[#This Row],[Thresh]]*2</f>
        <v>1.7344626823793492E-3</v>
      </c>
      <c r="O61" s="25">
        <f>WO2025Jan7men119151719232529313335394143454749555759636567697173757779131719[[#This Row],[I]]</f>
        <v>7.8703703703703705E-4</v>
      </c>
      <c r="P61" s="25">
        <f>WO2025Jan7men119151719232529313335394143454749555759636567697173757779131719[[#This Row],[VO2]]</f>
        <v>7.6316358024691364E-4</v>
      </c>
      <c r="Q61" s="25"/>
      <c r="R61" s="28"/>
      <c r="S61" s="25"/>
      <c r="T61" s="25"/>
      <c r="U61" s="28"/>
      <c r="V61" s="25"/>
      <c r="W61" s="15" t="s">
        <v>26</v>
      </c>
      <c r="X61" s="52"/>
    </row>
    <row r="62" spans="1:24" ht="20.45" customHeight="1">
      <c r="A62" s="10" t="s">
        <v>81</v>
      </c>
      <c r="B62" s="11">
        <v>9.9537037037037042E-3</v>
      </c>
      <c r="C62" s="11">
        <v>2.9745370370370373E-3</v>
      </c>
      <c r="D62" s="11">
        <f>B62*E62</f>
        <v>5.7910648148148149E-3</v>
      </c>
      <c r="E62" s="12">
        <v>0.58179999999999998</v>
      </c>
      <c r="F62" s="11">
        <f>C62/4</f>
        <v>7.4363425925925931E-4</v>
      </c>
      <c r="G62" s="11">
        <f>D62/7.5</f>
        <v>7.7214197530864196E-4</v>
      </c>
      <c r="H62" s="11">
        <f>B62/12.5</f>
        <v>7.9629629629629636E-4</v>
      </c>
      <c r="I62" s="11">
        <f>G62/0.93</f>
        <v>8.3026018850391602E-4</v>
      </c>
      <c r="J62" s="11">
        <f>G62/0.92</f>
        <v>8.3928475577026292E-4</v>
      </c>
      <c r="K62" s="11">
        <f>G62/0.88</f>
        <v>8.7743406285072947E-4</v>
      </c>
      <c r="L62" s="11">
        <f>G62/0.84</f>
        <v>9.1921663727219285E-4</v>
      </c>
      <c r="M62" s="25">
        <f>WO2025Jan7men119151719232529313335394143454749555759636567697173757779131719[[#This Row],[Thresh]]</f>
        <v>8.7743406285072947E-4</v>
      </c>
      <c r="N62" s="28">
        <f>WO2025Jan7men119151719232529313335394143454749555759636567697173757779131719[[#This Row],[Thresh]]*2</f>
        <v>1.7548681257014589E-3</v>
      </c>
      <c r="O62" s="25">
        <f>WO2025Jan7men119151719232529313335394143454749555759636567697173757779131719[[#This Row],[I]]</f>
        <v>7.9629629629629636E-4</v>
      </c>
      <c r="P62" s="25">
        <f>WO2025Jan7men119151719232529313335394143454749555759636567697173757779131719[[#This Row],[VO2]]</f>
        <v>7.7214197530864196E-4</v>
      </c>
      <c r="Q62" s="25"/>
      <c r="R62" s="28"/>
      <c r="S62" s="25"/>
      <c r="T62" s="25"/>
      <c r="U62" s="28"/>
      <c r="V62" s="25"/>
      <c r="W62" s="15" t="s">
        <v>26</v>
      </c>
      <c r="X62" s="52"/>
    </row>
    <row r="63" spans="1:24" ht="20.45" customHeight="1">
      <c r="A63" s="10" t="s">
        <v>82</v>
      </c>
      <c r="B63" s="11">
        <v>9.9537037037037042E-3</v>
      </c>
      <c r="C63" s="11">
        <v>2.8935185185185188E-3</v>
      </c>
      <c r="D63" s="11">
        <f>B63*E63</f>
        <v>5.7910648148148149E-3</v>
      </c>
      <c r="E63" s="12">
        <v>0.58179999999999998</v>
      </c>
      <c r="F63" s="11">
        <f>C63/4</f>
        <v>7.233796296296297E-4</v>
      </c>
      <c r="G63" s="11">
        <f>D63/7.5</f>
        <v>7.7214197530864196E-4</v>
      </c>
      <c r="H63" s="11">
        <f>B63/12.5</f>
        <v>7.9629629629629636E-4</v>
      </c>
      <c r="I63" s="11">
        <f>G63/0.93</f>
        <v>8.3026018850391602E-4</v>
      </c>
      <c r="J63" s="11">
        <f>G63/0.92</f>
        <v>8.3928475577026292E-4</v>
      </c>
      <c r="K63" s="11">
        <f>G63/0.88</f>
        <v>8.7743406285072947E-4</v>
      </c>
      <c r="L63" s="11">
        <f>G63/0.84</f>
        <v>9.1921663727219285E-4</v>
      </c>
      <c r="M63" s="25">
        <f>WO2025Jan7men119151719232529313335394143454749555759636567697173757779131719[[#This Row],[Thresh]]</f>
        <v>8.7743406285072947E-4</v>
      </c>
      <c r="N63" s="28">
        <f>WO2025Jan7men119151719232529313335394143454749555759636567697173757779131719[[#This Row],[Thresh]]*2</f>
        <v>1.7548681257014589E-3</v>
      </c>
      <c r="O63" s="25">
        <f>WO2025Jan7men119151719232529313335394143454749555759636567697173757779131719[[#This Row],[I]]</f>
        <v>7.9629629629629636E-4</v>
      </c>
      <c r="P63" s="25">
        <f>WO2025Jan7men119151719232529313335394143454749555759636567697173757779131719[[#This Row],[VO2]]</f>
        <v>7.7214197530864196E-4</v>
      </c>
      <c r="Q63" s="25"/>
      <c r="R63" s="25"/>
      <c r="S63" s="25"/>
      <c r="T63" s="25"/>
      <c r="U63" s="28"/>
      <c r="V63" s="25"/>
      <c r="W63" s="15" t="s">
        <v>26</v>
      </c>
      <c r="X63" s="52"/>
    </row>
    <row r="64" spans="1:24" ht="20.45" customHeight="1">
      <c r="A64" s="10" t="s">
        <v>84</v>
      </c>
      <c r="B64" s="11">
        <v>1.0069444444444445E-2</v>
      </c>
      <c r="C64" s="11">
        <v>3.0092592592592593E-3</v>
      </c>
      <c r="D64" s="11">
        <f t="shared" ref="D64:D93" si="16">B64*E64</f>
        <v>5.8584027777777783E-3</v>
      </c>
      <c r="E64" s="12">
        <v>0.58179999999999998</v>
      </c>
      <c r="F64" s="11">
        <f t="shared" ref="F64:F93" si="17">C64/4</f>
        <v>7.5231481481481482E-4</v>
      </c>
      <c r="G64" s="11">
        <f t="shared" ref="G64:G93" si="18">D64/7.5</f>
        <v>7.811203703703705E-4</v>
      </c>
      <c r="H64" s="11">
        <f t="shared" ref="H64:H93" si="19">B64/12.5</f>
        <v>8.0555555555555556E-4</v>
      </c>
      <c r="I64" s="11">
        <f t="shared" ref="I64:I93" si="20">G64/0.93</f>
        <v>8.3991437674233382E-4</v>
      </c>
      <c r="J64" s="11">
        <f t="shared" ref="J64:J93" si="21">G64/0.92</f>
        <v>8.4904388083735917E-4</v>
      </c>
      <c r="K64" s="11">
        <f t="shared" ref="K64:K93" si="22">G64/0.88</f>
        <v>8.8763678451178466E-4</v>
      </c>
      <c r="L64" s="11">
        <f t="shared" ref="L64:L93" si="23">G64/0.84</f>
        <v>9.2990520282186973E-4</v>
      </c>
      <c r="M64" s="25">
        <f>WO2025Jan7men119151719232529313335394143454749555759636567697173757779131719[[#This Row],[Thresh]]</f>
        <v>8.8763678451178466E-4</v>
      </c>
      <c r="N64" s="28">
        <f>WO2025Jan7men119151719232529313335394143454749555759636567697173757779131719[[#This Row],[Thresh]]*2</f>
        <v>1.7752735690235693E-3</v>
      </c>
      <c r="O64" s="25">
        <f>WO2025Jan7men119151719232529313335394143454749555759636567697173757779131719[[#This Row],[I]]</f>
        <v>8.0555555555555556E-4</v>
      </c>
      <c r="P64" s="25">
        <f>WO2025Jan7men119151719232529313335394143454749555759636567697173757779131719[[#This Row],[VO2]]</f>
        <v>7.811203703703705E-4</v>
      </c>
      <c r="Q64" s="25"/>
      <c r="R64" s="25"/>
      <c r="S64" s="25"/>
      <c r="T64" s="25"/>
      <c r="U64" s="28"/>
      <c r="V64" s="25"/>
      <c r="W64" s="15" t="s">
        <v>26</v>
      </c>
      <c r="X64" s="52"/>
    </row>
    <row r="65" spans="1:24" ht="20.45" customHeight="1">
      <c r="A65" s="10" t="s">
        <v>110</v>
      </c>
      <c r="B65" s="11">
        <v>1.0069444444444445E-2</v>
      </c>
      <c r="C65" s="11">
        <v>2.8935185185185184E-3</v>
      </c>
      <c r="D65" s="11">
        <f>B65*E65</f>
        <v>5.8584027777777783E-3</v>
      </c>
      <c r="E65" s="12">
        <v>0.58179999999999998</v>
      </c>
      <c r="F65" s="11">
        <f>C65/4</f>
        <v>7.2337962962962959E-4</v>
      </c>
      <c r="G65" s="11">
        <f>D65/7.5</f>
        <v>7.811203703703705E-4</v>
      </c>
      <c r="H65" s="11">
        <f>B65/12.5</f>
        <v>8.0555555555555556E-4</v>
      </c>
      <c r="I65" s="11">
        <f>G65/0.93</f>
        <v>8.3991437674233382E-4</v>
      </c>
      <c r="J65" s="11">
        <f>G65/0.92</f>
        <v>8.4904388083735917E-4</v>
      </c>
      <c r="K65" s="11">
        <f>G65/0.88</f>
        <v>8.8763678451178466E-4</v>
      </c>
      <c r="L65" s="11">
        <f>G65/0.84</f>
        <v>9.2990520282186973E-4</v>
      </c>
      <c r="M65" s="25">
        <f>WO2025Jan7men119151719232529313335394143454749555759636567697173757779131719[[#This Row],[Thresh]]</f>
        <v>8.8763678451178466E-4</v>
      </c>
      <c r="N65" s="28">
        <f>WO2025Jan7men119151719232529313335394143454749555759636567697173757779131719[[#This Row],[Thresh]]*2</f>
        <v>1.7752735690235693E-3</v>
      </c>
      <c r="O65" s="25">
        <f>WO2025Jan7men119151719232529313335394143454749555759636567697173757779131719[[#This Row],[I]]</f>
        <v>8.0555555555555556E-4</v>
      </c>
      <c r="P65" s="25">
        <f>WO2025Jan7men119151719232529313335394143454749555759636567697173757779131719[[#This Row],[VO2]]</f>
        <v>7.811203703703705E-4</v>
      </c>
      <c r="Q65" s="25"/>
      <c r="R65" s="25"/>
      <c r="S65" s="25"/>
      <c r="T65" s="25"/>
      <c r="U65" s="28"/>
      <c r="V65" s="25"/>
      <c r="W65" s="15" t="s">
        <v>26</v>
      </c>
      <c r="X65" s="52"/>
    </row>
    <row r="66" spans="1:24" ht="20.45" customHeight="1">
      <c r="A66" s="10" t="s">
        <v>83</v>
      </c>
      <c r="B66" s="11">
        <v>1.0069444444444445E-2</v>
      </c>
      <c r="C66" s="11">
        <v>3.0671296296296297E-3</v>
      </c>
      <c r="D66" s="11">
        <f>B66*E66</f>
        <v>5.8584027777777783E-3</v>
      </c>
      <c r="E66" s="12">
        <v>0.58179999999999998</v>
      </c>
      <c r="F66" s="11">
        <f>C66/4</f>
        <v>7.6678240740740743E-4</v>
      </c>
      <c r="G66" s="11">
        <f>D66/7.5</f>
        <v>7.811203703703705E-4</v>
      </c>
      <c r="H66" s="11">
        <f>B66/12.5</f>
        <v>8.0555555555555556E-4</v>
      </c>
      <c r="I66" s="11">
        <f>G66/0.93</f>
        <v>8.3991437674233382E-4</v>
      </c>
      <c r="J66" s="11">
        <f>G66/0.92</f>
        <v>8.4904388083735917E-4</v>
      </c>
      <c r="K66" s="11">
        <f>G66/0.88</f>
        <v>8.8763678451178466E-4</v>
      </c>
      <c r="L66" s="11">
        <f>G66/0.84</f>
        <v>9.2990520282186973E-4</v>
      </c>
      <c r="M66" s="25">
        <f>WO2025Jan7men119151719232529313335394143454749555759636567697173757779131719[[#This Row],[Thresh]]</f>
        <v>8.8763678451178466E-4</v>
      </c>
      <c r="N66" s="28">
        <f>WO2025Jan7men119151719232529313335394143454749555759636567697173757779131719[[#This Row],[Thresh]]*2</f>
        <v>1.7752735690235693E-3</v>
      </c>
      <c r="O66" s="25">
        <f>WO2025Jan7men119151719232529313335394143454749555759636567697173757779131719[[#This Row],[I]]</f>
        <v>8.0555555555555556E-4</v>
      </c>
      <c r="P66" s="25">
        <f>WO2025Jan7men119151719232529313335394143454749555759636567697173757779131719[[#This Row],[VO2]]</f>
        <v>7.811203703703705E-4</v>
      </c>
      <c r="Q66" s="25"/>
      <c r="R66" s="28"/>
      <c r="S66" s="25"/>
      <c r="T66" s="25"/>
      <c r="U66" s="28"/>
      <c r="V66" s="28"/>
      <c r="W66" s="15" t="s">
        <v>26</v>
      </c>
      <c r="X66" s="52"/>
    </row>
    <row r="67" spans="1:24" ht="20.45" customHeight="1">
      <c r="A67" s="10" t="s">
        <v>112</v>
      </c>
      <c r="B67" s="11">
        <v>1.0243055555555556E-2</v>
      </c>
      <c r="C67" s="11">
        <v>2.8587962962962963E-3</v>
      </c>
      <c r="D67" s="11">
        <f t="shared" si="16"/>
        <v>5.9594097222222218E-3</v>
      </c>
      <c r="E67" s="12">
        <v>0.58179999999999998</v>
      </c>
      <c r="F67" s="11">
        <f t="shared" si="17"/>
        <v>7.1469907407407409E-4</v>
      </c>
      <c r="G67" s="11">
        <f t="shared" si="18"/>
        <v>7.9458796296296287E-4</v>
      </c>
      <c r="H67" s="11">
        <f t="shared" si="19"/>
        <v>8.1944444444444447E-4</v>
      </c>
      <c r="I67" s="11">
        <f t="shared" si="20"/>
        <v>8.5439565909996003E-4</v>
      </c>
      <c r="J67" s="11">
        <f t="shared" si="21"/>
        <v>8.636825684380031E-4</v>
      </c>
      <c r="K67" s="11">
        <f t="shared" si="22"/>
        <v>9.0294086700336686E-4</v>
      </c>
      <c r="L67" s="11">
        <f t="shared" si="23"/>
        <v>9.4593805114638445E-4</v>
      </c>
      <c r="M67" s="25">
        <f>WO2025Jan7men119151719232529313335394143454749555759636567697173757779131719[[#This Row],[Thresh]]</f>
        <v>9.0294086700336686E-4</v>
      </c>
      <c r="N67" s="28">
        <f>WO2025Jan7men119151719232529313335394143454749555759636567697173757779131719[[#This Row],[Thresh]]*2</f>
        <v>1.8058817340067337E-3</v>
      </c>
      <c r="O67" s="25">
        <f>WO2025Jan7men119151719232529313335394143454749555759636567697173757779131719[[#This Row],[I]]</f>
        <v>8.1944444444444447E-4</v>
      </c>
      <c r="P67" s="25">
        <f>WO2025Jan7men119151719232529313335394143454749555759636567697173757779131719[[#This Row],[VO2]]</f>
        <v>7.9458796296296287E-4</v>
      </c>
      <c r="Q67" s="25"/>
      <c r="R67" s="25"/>
      <c r="S67" s="25"/>
      <c r="T67" s="25"/>
      <c r="U67" s="28"/>
      <c r="V67" s="25"/>
      <c r="W67" s="15" t="s">
        <v>26</v>
      </c>
      <c r="X67" s="52"/>
    </row>
    <row r="68" spans="1:24" ht="20.45" customHeight="1">
      <c r="A68" s="10" t="s">
        <v>93</v>
      </c>
      <c r="B68" s="11">
        <v>1.0243055555555556E-2</v>
      </c>
      <c r="C68" s="11"/>
      <c r="D68" s="11">
        <f t="shared" si="16"/>
        <v>5.9594097222222218E-3</v>
      </c>
      <c r="E68" s="12">
        <v>0.58179999999999998</v>
      </c>
      <c r="F68" s="11">
        <f t="shared" si="17"/>
        <v>0</v>
      </c>
      <c r="G68" s="11">
        <f t="shared" si="18"/>
        <v>7.9458796296296287E-4</v>
      </c>
      <c r="H68" s="11">
        <f t="shared" si="19"/>
        <v>8.1944444444444447E-4</v>
      </c>
      <c r="I68" s="11">
        <f t="shared" si="20"/>
        <v>8.5439565909996003E-4</v>
      </c>
      <c r="J68" s="11">
        <f t="shared" si="21"/>
        <v>8.636825684380031E-4</v>
      </c>
      <c r="K68" s="11">
        <f t="shared" si="22"/>
        <v>9.0294086700336686E-4</v>
      </c>
      <c r="L68" s="11">
        <f t="shared" si="23"/>
        <v>9.4593805114638445E-4</v>
      </c>
      <c r="M68" s="25">
        <f>WO2025Jan7men119151719232529313335394143454749555759636567697173757779131719[[#This Row],[Thresh]]</f>
        <v>9.0294086700336686E-4</v>
      </c>
      <c r="N68" s="28">
        <f>WO2025Jan7men119151719232529313335394143454749555759636567697173757779131719[[#This Row],[Thresh]]*2</f>
        <v>1.8058817340067337E-3</v>
      </c>
      <c r="O68" s="25">
        <f>WO2025Jan7men119151719232529313335394143454749555759636567697173757779131719[[#This Row],[I]]</f>
        <v>8.1944444444444447E-4</v>
      </c>
      <c r="P68" s="25">
        <f>WO2025Jan7men119151719232529313335394143454749555759636567697173757779131719[[#This Row],[VO2]]</f>
        <v>7.9458796296296287E-4</v>
      </c>
      <c r="Q68" s="25"/>
      <c r="R68" s="28"/>
      <c r="S68" s="25"/>
      <c r="T68" s="25"/>
      <c r="U68" s="28"/>
      <c r="V68" s="28"/>
      <c r="W68" s="27" t="s">
        <v>26</v>
      </c>
      <c r="X68" s="52" t="s">
        <v>307</v>
      </c>
    </row>
    <row r="69" spans="1:24" ht="20.45" customHeight="1">
      <c r="A69" s="10" t="s">
        <v>116</v>
      </c>
      <c r="B69" s="11">
        <v>1.0243055555555556E-2</v>
      </c>
      <c r="C69" s="11">
        <v>2.9513888888888888E-3</v>
      </c>
      <c r="D69" s="11">
        <f>B69*E69</f>
        <v>5.9594097222222218E-3</v>
      </c>
      <c r="E69" s="12">
        <v>0.58179999999999998</v>
      </c>
      <c r="F69" s="11">
        <f>C69/4</f>
        <v>7.378472222222222E-4</v>
      </c>
      <c r="G69" s="11">
        <f>D69/7.5</f>
        <v>7.9458796296296287E-4</v>
      </c>
      <c r="H69" s="11">
        <f>B69/12.5</f>
        <v>8.1944444444444447E-4</v>
      </c>
      <c r="I69" s="11">
        <f>G69/0.93</f>
        <v>8.5439565909996003E-4</v>
      </c>
      <c r="J69" s="11">
        <f>G69/0.92</f>
        <v>8.636825684380031E-4</v>
      </c>
      <c r="K69" s="11">
        <f>G69/0.88</f>
        <v>9.0294086700336686E-4</v>
      </c>
      <c r="L69" s="17">
        <f>G69/0.84</f>
        <v>9.4593805114638445E-4</v>
      </c>
      <c r="M69" s="25">
        <f>WO2025Jan7men119151719232529313335394143454749555759636567697173757779131719[[#This Row],[Thresh]]</f>
        <v>9.0294086700336686E-4</v>
      </c>
      <c r="N69" s="28">
        <f>WO2025Jan7men119151719232529313335394143454749555759636567697173757779131719[[#This Row],[Thresh]]*2</f>
        <v>1.8058817340067337E-3</v>
      </c>
      <c r="O69" s="25">
        <f>WO2025Jan7men119151719232529313335394143454749555759636567697173757779131719[[#This Row],[I]]</f>
        <v>8.1944444444444447E-4</v>
      </c>
      <c r="P69" s="25">
        <f>WO2025Jan7men119151719232529313335394143454749555759636567697173757779131719[[#This Row],[VO2]]</f>
        <v>7.9458796296296287E-4</v>
      </c>
      <c r="Q69" s="25"/>
      <c r="R69" s="25"/>
      <c r="S69" s="25"/>
      <c r="T69" s="25"/>
      <c r="U69" s="28"/>
      <c r="V69" s="25"/>
      <c r="W69" s="15" t="s">
        <v>26</v>
      </c>
      <c r="X69" s="52"/>
    </row>
    <row r="70" spans="1:24" ht="20.45" customHeight="1">
      <c r="A70" s="10" t="s">
        <v>111</v>
      </c>
      <c r="B70" s="11">
        <v>1.0243055555555556E-2</v>
      </c>
      <c r="C70" s="11">
        <v>3.0092592592592588E-3</v>
      </c>
      <c r="D70" s="11">
        <f>B70*E70</f>
        <v>5.9594097222222218E-3</v>
      </c>
      <c r="E70" s="12">
        <v>0.58179999999999998</v>
      </c>
      <c r="F70" s="11">
        <f>C70/4</f>
        <v>7.5231481481481471E-4</v>
      </c>
      <c r="G70" s="11">
        <f>D70/7.5</f>
        <v>7.9458796296296287E-4</v>
      </c>
      <c r="H70" s="11">
        <f>B70/12.5</f>
        <v>8.1944444444444447E-4</v>
      </c>
      <c r="I70" s="11">
        <f>G70/0.93</f>
        <v>8.5439565909996003E-4</v>
      </c>
      <c r="J70" s="11">
        <f>G70/0.92</f>
        <v>8.636825684380031E-4</v>
      </c>
      <c r="K70" s="11">
        <f>G70/0.88</f>
        <v>9.0294086700336686E-4</v>
      </c>
      <c r="L70" s="11">
        <f>G70/0.84</f>
        <v>9.4593805114638445E-4</v>
      </c>
      <c r="M70" s="25">
        <f>WO2025Jan7men119151719232529313335394143454749555759636567697173757779131719[[#This Row],[Thresh]]</f>
        <v>9.0294086700336686E-4</v>
      </c>
      <c r="N70" s="28">
        <f>WO2025Jan7men119151719232529313335394143454749555759636567697173757779131719[[#This Row],[Thresh]]*2</f>
        <v>1.8058817340067337E-3</v>
      </c>
      <c r="O70" s="25">
        <f>WO2025Jan7men119151719232529313335394143454749555759636567697173757779131719[[#This Row],[I]]</f>
        <v>8.1944444444444447E-4</v>
      </c>
      <c r="P70" s="25">
        <f>WO2025Jan7men119151719232529313335394143454749555759636567697173757779131719[[#This Row],[VO2]]</f>
        <v>7.9458796296296287E-4</v>
      </c>
      <c r="Q70" s="25"/>
      <c r="R70" s="25"/>
      <c r="S70" s="25"/>
      <c r="T70" s="25"/>
      <c r="U70" s="28"/>
      <c r="V70" s="25"/>
      <c r="W70" s="15" t="s">
        <v>26</v>
      </c>
      <c r="X70" s="52"/>
    </row>
    <row r="71" spans="1:24" ht="20.45" customHeight="1">
      <c r="A71" s="10" t="s">
        <v>92</v>
      </c>
      <c r="B71" s="11">
        <v>1.0300925925925925E-2</v>
      </c>
      <c r="C71" s="11">
        <v>2.9745370370370373E-3</v>
      </c>
      <c r="D71" s="11">
        <f>B71*E71</f>
        <v>5.9930787037037027E-3</v>
      </c>
      <c r="E71" s="12">
        <v>0.58179999999999998</v>
      </c>
      <c r="F71" s="11">
        <f>C71/4</f>
        <v>7.4363425925925931E-4</v>
      </c>
      <c r="G71" s="11">
        <f>D71/7.5</f>
        <v>7.9907716049382703E-4</v>
      </c>
      <c r="H71" s="11">
        <f>B71/12.5</f>
        <v>8.2407407407407397E-4</v>
      </c>
      <c r="I71" s="11">
        <f>G71/0.93</f>
        <v>8.5922275321916877E-4</v>
      </c>
      <c r="J71" s="11">
        <f>G71/0.92</f>
        <v>8.6856213097155112E-4</v>
      </c>
      <c r="K71" s="11">
        <f>G71/0.88</f>
        <v>9.080422278338944E-4</v>
      </c>
      <c r="L71" s="11">
        <f>G71/0.84</f>
        <v>9.5128233392122272E-4</v>
      </c>
      <c r="M71" s="25">
        <f>WO2025Jan7men119151719232529313335394143454749555759636567697173757779131719[[#This Row],[Thresh]]</f>
        <v>9.080422278338944E-4</v>
      </c>
      <c r="N71" s="28">
        <f>WO2025Jan7men119151719232529313335394143454749555759636567697173757779131719[[#This Row],[Thresh]]*2</f>
        <v>1.8160844556677888E-3</v>
      </c>
      <c r="O71" s="25">
        <f>WO2025Jan7men119151719232529313335394143454749555759636567697173757779131719[[#This Row],[I]]</f>
        <v>8.2407407407407397E-4</v>
      </c>
      <c r="P71" s="25">
        <f>WO2025Jan7men119151719232529313335394143454749555759636567697173757779131719[[#This Row],[VO2]]</f>
        <v>7.9907716049382703E-4</v>
      </c>
      <c r="Q71" s="25"/>
      <c r="R71" s="25"/>
      <c r="S71" s="25"/>
      <c r="T71" s="25"/>
      <c r="U71" s="28" t="s">
        <v>308</v>
      </c>
      <c r="V71" s="25"/>
      <c r="W71" s="15" t="s">
        <v>26</v>
      </c>
      <c r="X71" s="52"/>
    </row>
    <row r="72" spans="1:24" ht="20.45" customHeight="1">
      <c r="A72" s="10" t="s">
        <v>86</v>
      </c>
      <c r="B72" s="11">
        <v>1.0300925925925925E-2</v>
      </c>
      <c r="C72" s="11">
        <v>3.0671296296296297E-3</v>
      </c>
      <c r="D72" s="11">
        <f t="shared" si="16"/>
        <v>5.9930787037037027E-3</v>
      </c>
      <c r="E72" s="12">
        <v>0.58179999999999998</v>
      </c>
      <c r="F72" s="11">
        <f t="shared" si="17"/>
        <v>7.6678240740740743E-4</v>
      </c>
      <c r="G72" s="11">
        <f t="shared" si="18"/>
        <v>7.9907716049382703E-4</v>
      </c>
      <c r="H72" s="11">
        <f t="shared" si="19"/>
        <v>8.2407407407407397E-4</v>
      </c>
      <c r="I72" s="11">
        <f t="shared" si="20"/>
        <v>8.5922275321916877E-4</v>
      </c>
      <c r="J72" s="11">
        <f t="shared" si="21"/>
        <v>8.6856213097155112E-4</v>
      </c>
      <c r="K72" s="11">
        <f t="shared" si="22"/>
        <v>9.080422278338944E-4</v>
      </c>
      <c r="L72" s="11">
        <f t="shared" si="23"/>
        <v>9.5128233392122272E-4</v>
      </c>
      <c r="M72" s="25">
        <f>WO2025Jan7men119151719232529313335394143454749555759636567697173757779131719[[#This Row],[Thresh]]</f>
        <v>9.080422278338944E-4</v>
      </c>
      <c r="N72" s="28">
        <f>WO2025Jan7men119151719232529313335394143454749555759636567697173757779131719[[#This Row],[Thresh]]*2</f>
        <v>1.8160844556677888E-3</v>
      </c>
      <c r="O72" s="25">
        <f>WO2025Jan7men119151719232529313335394143454749555759636567697173757779131719[[#This Row],[I]]</f>
        <v>8.2407407407407397E-4</v>
      </c>
      <c r="P72" s="25">
        <f>WO2025Jan7men119151719232529313335394143454749555759636567697173757779131719[[#This Row],[VO2]]</f>
        <v>7.9907716049382703E-4</v>
      </c>
      <c r="Q72" s="25"/>
      <c r="R72" s="25"/>
      <c r="S72" s="25"/>
      <c r="T72" s="25"/>
      <c r="U72" s="28"/>
      <c r="V72" s="25"/>
      <c r="W72" s="15" t="s">
        <v>26</v>
      </c>
      <c r="X72" s="52"/>
    </row>
    <row r="73" spans="1:24" ht="20.45" customHeight="1">
      <c r="A73" s="10" t="s">
        <v>85</v>
      </c>
      <c r="B73" s="11">
        <v>1.0300925925925925E-2</v>
      </c>
      <c r="C73" s="11">
        <v>3.0671296296296297E-3</v>
      </c>
      <c r="D73" s="11">
        <f t="shared" si="16"/>
        <v>5.9930787037037027E-3</v>
      </c>
      <c r="E73" s="12">
        <v>0.58179999999999998</v>
      </c>
      <c r="F73" s="11">
        <f t="shared" si="17"/>
        <v>7.6678240740740743E-4</v>
      </c>
      <c r="G73" s="11">
        <f t="shared" si="18"/>
        <v>7.9907716049382703E-4</v>
      </c>
      <c r="H73" s="11">
        <f t="shared" si="19"/>
        <v>8.2407407407407397E-4</v>
      </c>
      <c r="I73" s="11">
        <f t="shared" si="20"/>
        <v>8.5922275321916877E-4</v>
      </c>
      <c r="J73" s="11">
        <f t="shared" si="21"/>
        <v>8.6856213097155112E-4</v>
      </c>
      <c r="K73" s="11">
        <f t="shared" si="22"/>
        <v>9.080422278338944E-4</v>
      </c>
      <c r="L73" s="17">
        <f t="shared" si="23"/>
        <v>9.5128233392122272E-4</v>
      </c>
      <c r="M73" s="25">
        <f>WO2025Jan7men119151719232529313335394143454749555759636567697173757779131719[[#This Row],[Thresh]]</f>
        <v>9.080422278338944E-4</v>
      </c>
      <c r="N73" s="28">
        <f>WO2025Jan7men119151719232529313335394143454749555759636567697173757779131719[[#This Row],[Thresh]]*2</f>
        <v>1.8160844556677888E-3</v>
      </c>
      <c r="O73" s="25">
        <f>WO2025Jan7men119151719232529313335394143454749555759636567697173757779131719[[#This Row],[I]]</f>
        <v>8.2407407407407397E-4</v>
      </c>
      <c r="P73" s="25">
        <f>WO2025Jan7men119151719232529313335394143454749555759636567697173757779131719[[#This Row],[VO2]]</f>
        <v>7.9907716049382703E-4</v>
      </c>
      <c r="Q73" s="25"/>
      <c r="R73" s="25"/>
      <c r="S73" s="25"/>
      <c r="T73" s="25"/>
      <c r="U73" s="28"/>
      <c r="V73" s="25"/>
      <c r="W73" s="15" t="s">
        <v>26</v>
      </c>
      <c r="X73" s="52"/>
    </row>
    <row r="74" spans="1:24" ht="20.45" customHeight="1">
      <c r="A74" s="10" t="s">
        <v>117</v>
      </c>
      <c r="B74" s="11">
        <v>1.0300925925925925E-2</v>
      </c>
      <c r="C74" s="11">
        <v>3.0671296296296297E-3</v>
      </c>
      <c r="D74" s="11">
        <f t="shared" si="16"/>
        <v>5.9930787037037027E-3</v>
      </c>
      <c r="E74" s="12">
        <v>0.58179999999999998</v>
      </c>
      <c r="F74" s="11">
        <f t="shared" si="17"/>
        <v>7.6678240740740743E-4</v>
      </c>
      <c r="G74" s="11">
        <f t="shared" si="18"/>
        <v>7.9907716049382703E-4</v>
      </c>
      <c r="H74" s="11">
        <f t="shared" si="19"/>
        <v>8.2407407407407397E-4</v>
      </c>
      <c r="I74" s="11">
        <f t="shared" si="20"/>
        <v>8.5922275321916877E-4</v>
      </c>
      <c r="J74" s="11">
        <f t="shared" si="21"/>
        <v>8.6856213097155112E-4</v>
      </c>
      <c r="K74" s="11">
        <f t="shared" si="22"/>
        <v>9.080422278338944E-4</v>
      </c>
      <c r="L74" s="11">
        <f t="shared" si="23"/>
        <v>9.5128233392122272E-4</v>
      </c>
      <c r="M74" s="25">
        <f>WO2025Jan7men119151719232529313335394143454749555759636567697173757779131719[[#This Row],[Thresh]]</f>
        <v>9.080422278338944E-4</v>
      </c>
      <c r="N74" s="28">
        <f>WO2025Jan7men119151719232529313335394143454749555759636567697173757779131719[[#This Row],[Thresh]]*2</f>
        <v>1.8160844556677888E-3</v>
      </c>
      <c r="O74" s="25">
        <f>WO2025Jan7men119151719232529313335394143454749555759636567697173757779131719[[#This Row],[I]]</f>
        <v>8.2407407407407397E-4</v>
      </c>
      <c r="P74" s="25">
        <f>WO2025Jan7men119151719232529313335394143454749555759636567697173757779131719[[#This Row],[VO2]]</f>
        <v>7.9907716049382703E-4</v>
      </c>
      <c r="Q74" s="25"/>
      <c r="R74" s="28"/>
      <c r="S74" s="25"/>
      <c r="T74" s="25"/>
      <c r="U74" s="28"/>
      <c r="V74" s="25"/>
      <c r="W74" s="15" t="s">
        <v>26</v>
      </c>
      <c r="X74" s="52"/>
    </row>
    <row r="75" spans="1:24" ht="20.45" customHeight="1">
      <c r="A75" s="10" t="s">
        <v>118</v>
      </c>
      <c r="B75" s="11">
        <v>1.0300925925925925E-2</v>
      </c>
      <c r="C75" s="11">
        <v>3.0671296296296297E-3</v>
      </c>
      <c r="D75" s="11">
        <f>B75*E75</f>
        <v>5.9930787037037027E-3</v>
      </c>
      <c r="E75" s="12">
        <v>0.58179999999999998</v>
      </c>
      <c r="F75" s="11">
        <f>C75/4</f>
        <v>7.6678240740740743E-4</v>
      </c>
      <c r="G75" s="11">
        <f>D75/7.5</f>
        <v>7.9907716049382703E-4</v>
      </c>
      <c r="H75" s="11">
        <f>B75/12.5</f>
        <v>8.2407407407407397E-4</v>
      </c>
      <c r="I75" s="11">
        <f>G75/0.93</f>
        <v>8.5922275321916877E-4</v>
      </c>
      <c r="J75" s="11">
        <f>G75/0.92</f>
        <v>8.6856213097155112E-4</v>
      </c>
      <c r="K75" s="11">
        <f>G75/0.88</f>
        <v>9.080422278338944E-4</v>
      </c>
      <c r="L75" s="11">
        <f>G75/0.84</f>
        <v>9.5128233392122272E-4</v>
      </c>
      <c r="M75" s="25">
        <f>WO2025Jan7men119151719232529313335394143454749555759636567697173757779131719[[#This Row],[Thresh]]</f>
        <v>9.080422278338944E-4</v>
      </c>
      <c r="N75" s="28">
        <f>WO2025Jan7men119151719232529313335394143454749555759636567697173757779131719[[#This Row],[Thresh]]*2</f>
        <v>1.8160844556677888E-3</v>
      </c>
      <c r="O75" s="25">
        <f>WO2025Jan7men119151719232529313335394143454749555759636567697173757779131719[[#This Row],[I]]</f>
        <v>8.2407407407407397E-4</v>
      </c>
      <c r="P75" s="25">
        <f>WO2025Jan7men119151719232529313335394143454749555759636567697173757779131719[[#This Row],[VO2]]</f>
        <v>7.9907716049382703E-4</v>
      </c>
      <c r="Q75" s="25"/>
      <c r="R75" s="28"/>
      <c r="S75" s="25"/>
      <c r="T75" s="25"/>
      <c r="U75" s="28"/>
      <c r="V75" s="25"/>
      <c r="W75" s="15" t="s">
        <v>26</v>
      </c>
      <c r="X75" s="52"/>
    </row>
    <row r="76" spans="1:24" ht="20.45" customHeight="1">
      <c r="A76" s="10" t="s">
        <v>115</v>
      </c>
      <c r="B76" s="11">
        <v>1.0416666666666666E-2</v>
      </c>
      <c r="C76" s="11"/>
      <c r="D76" s="11">
        <f t="shared" si="16"/>
        <v>6.0604166666666662E-3</v>
      </c>
      <c r="E76" s="12">
        <v>0.58179999999999998</v>
      </c>
      <c r="F76" s="11">
        <f t="shared" si="17"/>
        <v>0</v>
      </c>
      <c r="G76" s="11">
        <f t="shared" si="18"/>
        <v>8.0805555555555546E-4</v>
      </c>
      <c r="H76" s="11">
        <f t="shared" si="19"/>
        <v>8.3333333333333328E-4</v>
      </c>
      <c r="I76" s="11">
        <f t="shared" si="20"/>
        <v>8.6887694145758646E-4</v>
      </c>
      <c r="J76" s="11">
        <f t="shared" si="21"/>
        <v>8.7832125603864715E-4</v>
      </c>
      <c r="K76" s="11">
        <f t="shared" si="22"/>
        <v>9.1824494949494938E-4</v>
      </c>
      <c r="L76" s="11">
        <f t="shared" si="23"/>
        <v>9.6197089947089938E-4</v>
      </c>
      <c r="M76" s="25">
        <f>WO2025Jan7men119151719232529313335394143454749555759636567697173757779131719[[#This Row],[Thresh]]</f>
        <v>9.1824494949494938E-4</v>
      </c>
      <c r="N76" s="28">
        <f>WO2025Jan7men119151719232529313335394143454749555759636567697173757779131719[[#This Row],[Thresh]]*2</f>
        <v>1.8364898989898988E-3</v>
      </c>
      <c r="O76" s="25">
        <f>WO2025Jan7men119151719232529313335394143454749555759636567697173757779131719[[#This Row],[I]]</f>
        <v>8.3333333333333328E-4</v>
      </c>
      <c r="P76" s="25">
        <f>WO2025Jan7men119151719232529313335394143454749555759636567697173757779131719[[#This Row],[VO2]]</f>
        <v>8.0805555555555546E-4</v>
      </c>
      <c r="Q76" s="25"/>
      <c r="R76" s="28"/>
      <c r="S76" s="25"/>
      <c r="T76" s="25"/>
      <c r="U76" s="28"/>
      <c r="V76" s="28"/>
      <c r="W76" s="27" t="s">
        <v>26</v>
      </c>
      <c r="X76" s="52"/>
    </row>
    <row r="77" spans="1:24" ht="20.45" customHeight="1">
      <c r="A77" s="10" t="s">
        <v>94</v>
      </c>
      <c r="B77" s="11">
        <v>1.0416666666666666E-2</v>
      </c>
      <c r="C77" s="11">
        <v>2.8935185185185188E-3</v>
      </c>
      <c r="D77" s="11">
        <f t="shared" si="16"/>
        <v>6.0604166666666662E-3</v>
      </c>
      <c r="E77" s="12">
        <v>0.58179999999999998</v>
      </c>
      <c r="F77" s="11">
        <f t="shared" si="17"/>
        <v>7.233796296296297E-4</v>
      </c>
      <c r="G77" s="11">
        <f t="shared" si="18"/>
        <v>8.0805555555555546E-4</v>
      </c>
      <c r="H77" s="11">
        <f t="shared" si="19"/>
        <v>8.3333333333333328E-4</v>
      </c>
      <c r="I77" s="11">
        <f t="shared" si="20"/>
        <v>8.6887694145758646E-4</v>
      </c>
      <c r="J77" s="11">
        <f t="shared" si="21"/>
        <v>8.7832125603864715E-4</v>
      </c>
      <c r="K77" s="11">
        <f t="shared" si="22"/>
        <v>9.1824494949494938E-4</v>
      </c>
      <c r="L77" s="17">
        <f t="shared" si="23"/>
        <v>9.6197089947089938E-4</v>
      </c>
      <c r="M77" s="25">
        <f>WO2025Jan7men119151719232529313335394143454749555759636567697173757779131719[[#This Row],[Thresh]]</f>
        <v>9.1824494949494938E-4</v>
      </c>
      <c r="N77" s="28">
        <f>WO2025Jan7men119151719232529313335394143454749555759636567697173757779131719[[#This Row],[Thresh]]*2</f>
        <v>1.8364898989898988E-3</v>
      </c>
      <c r="O77" s="25">
        <f>WO2025Jan7men119151719232529313335394143454749555759636567697173757779131719[[#This Row],[I]]</f>
        <v>8.3333333333333328E-4</v>
      </c>
      <c r="P77" s="25">
        <f>WO2025Jan7men119151719232529313335394143454749555759636567697173757779131719[[#This Row],[VO2]]</f>
        <v>8.0805555555555546E-4</v>
      </c>
      <c r="Q77" s="25"/>
      <c r="R77" s="25"/>
      <c r="S77" s="25"/>
      <c r="T77" s="25"/>
      <c r="U77" s="28"/>
      <c r="V77" s="25"/>
      <c r="W77" s="15" t="s">
        <v>26</v>
      </c>
      <c r="X77" s="52"/>
    </row>
    <row r="78" spans="1:24" ht="20.45" customHeight="1">
      <c r="A78" s="10" t="s">
        <v>119</v>
      </c>
      <c r="B78" s="11">
        <v>1.0416666666666666E-2</v>
      </c>
      <c r="C78" s="11"/>
      <c r="D78" s="11">
        <f t="shared" si="16"/>
        <v>6.0604166666666662E-3</v>
      </c>
      <c r="E78" s="12">
        <v>0.58179999999999998</v>
      </c>
      <c r="F78" s="11">
        <f t="shared" si="17"/>
        <v>0</v>
      </c>
      <c r="G78" s="11">
        <f t="shared" si="18"/>
        <v>8.0805555555555546E-4</v>
      </c>
      <c r="H78" s="11">
        <f t="shared" si="19"/>
        <v>8.3333333333333328E-4</v>
      </c>
      <c r="I78" s="11">
        <f t="shared" si="20"/>
        <v>8.6887694145758646E-4</v>
      </c>
      <c r="J78" s="11">
        <f t="shared" si="21"/>
        <v>8.7832125603864715E-4</v>
      </c>
      <c r="K78" s="11">
        <f t="shared" si="22"/>
        <v>9.1824494949494938E-4</v>
      </c>
      <c r="L78" s="11">
        <f t="shared" si="23"/>
        <v>9.6197089947089938E-4</v>
      </c>
      <c r="M78" s="25">
        <f>WO2025Jan7men119151719232529313335394143454749555759636567697173757779131719[[#This Row],[Thresh]]</f>
        <v>9.1824494949494938E-4</v>
      </c>
      <c r="N78" s="28">
        <f>WO2025Jan7men119151719232529313335394143454749555759636567697173757779131719[[#This Row],[Thresh]]*2</f>
        <v>1.8364898989898988E-3</v>
      </c>
      <c r="O78" s="25">
        <f>WO2025Jan7men119151719232529313335394143454749555759636567697173757779131719[[#This Row],[I]]</f>
        <v>8.3333333333333328E-4</v>
      </c>
      <c r="P78" s="25">
        <f>WO2025Jan7men119151719232529313335394143454749555759636567697173757779131719[[#This Row],[VO2]]</f>
        <v>8.0805555555555546E-4</v>
      </c>
      <c r="Q78" s="25"/>
      <c r="R78" s="26"/>
      <c r="S78" s="14"/>
      <c r="T78" s="14"/>
      <c r="U78" s="26"/>
      <c r="V78" s="28"/>
      <c r="W78" s="27" t="s">
        <v>26</v>
      </c>
      <c r="X78" s="52" t="s">
        <v>239</v>
      </c>
    </row>
    <row r="79" spans="1:24" ht="20.45" customHeight="1">
      <c r="A79" s="10" t="s">
        <v>120</v>
      </c>
      <c r="B79" s="11">
        <v>1.0416666666666666E-2</v>
      </c>
      <c r="C79" s="11">
        <v>3.1250000000000002E-3</v>
      </c>
      <c r="D79" s="11">
        <f t="shared" si="16"/>
        <v>6.0604166666666662E-3</v>
      </c>
      <c r="E79" s="12">
        <v>0.58179999999999998</v>
      </c>
      <c r="F79" s="11">
        <f t="shared" si="17"/>
        <v>7.8125000000000004E-4</v>
      </c>
      <c r="G79" s="11">
        <f t="shared" si="18"/>
        <v>8.0805555555555546E-4</v>
      </c>
      <c r="H79" s="11">
        <f t="shared" si="19"/>
        <v>8.3333333333333328E-4</v>
      </c>
      <c r="I79" s="11">
        <f t="shared" si="20"/>
        <v>8.6887694145758646E-4</v>
      </c>
      <c r="J79" s="11">
        <f t="shared" si="21"/>
        <v>8.7832125603864715E-4</v>
      </c>
      <c r="K79" s="11">
        <f t="shared" si="22"/>
        <v>9.1824494949494938E-4</v>
      </c>
      <c r="L79" s="11">
        <f t="shared" si="23"/>
        <v>9.6197089947089938E-4</v>
      </c>
      <c r="M79" s="25">
        <f>WO2025Jan7men119151719232529313335394143454749555759636567697173757779131719[[#This Row],[Thresh]]</f>
        <v>9.1824494949494938E-4</v>
      </c>
      <c r="N79" s="28">
        <f>WO2025Jan7men119151719232529313335394143454749555759636567697173757779131719[[#This Row],[Thresh]]*2</f>
        <v>1.8364898989898988E-3</v>
      </c>
      <c r="O79" s="25">
        <f>WO2025Jan7men119151719232529313335394143454749555759636567697173757779131719[[#This Row],[I]]</f>
        <v>8.3333333333333328E-4</v>
      </c>
      <c r="P79" s="25">
        <f>WO2025Jan7men119151719232529313335394143454749555759636567697173757779131719[[#This Row],[VO2]]</f>
        <v>8.0805555555555546E-4</v>
      </c>
      <c r="Q79" s="25"/>
      <c r="R79" s="28"/>
      <c r="S79" s="25"/>
      <c r="T79" s="25"/>
      <c r="U79" s="28"/>
      <c r="V79" s="25"/>
      <c r="W79" s="15" t="s">
        <v>26</v>
      </c>
      <c r="X79" s="52"/>
    </row>
    <row r="80" spans="1:24" ht="20.45" customHeight="1">
      <c r="A80" s="10" t="s">
        <v>87</v>
      </c>
      <c r="B80" s="11">
        <v>1.0532407407407407E-2</v>
      </c>
      <c r="C80" s="11">
        <v>2.9745370370370373E-3</v>
      </c>
      <c r="D80" s="11">
        <f t="shared" si="16"/>
        <v>6.1277546296296288E-3</v>
      </c>
      <c r="E80" s="12">
        <v>0.58179999999999998</v>
      </c>
      <c r="F80" s="11">
        <f t="shared" si="17"/>
        <v>7.4363425925925931E-4</v>
      </c>
      <c r="G80" s="11">
        <f t="shared" si="18"/>
        <v>8.1703395061728389E-4</v>
      </c>
      <c r="H80" s="11">
        <f t="shared" si="19"/>
        <v>8.4259259259259259E-4</v>
      </c>
      <c r="I80" s="11">
        <f t="shared" si="20"/>
        <v>8.7853112969600415E-4</v>
      </c>
      <c r="J80" s="11">
        <f t="shared" si="21"/>
        <v>8.8808038110574329E-4</v>
      </c>
      <c r="K80" s="11">
        <f t="shared" si="22"/>
        <v>9.2844767115600447E-4</v>
      </c>
      <c r="L80" s="11">
        <f t="shared" si="23"/>
        <v>9.7265946502057604E-4</v>
      </c>
      <c r="M80" s="25">
        <f>WO2025Jan7men119151719232529313335394143454749555759636567697173757779131719[[#This Row],[Thresh]]</f>
        <v>9.2844767115600447E-4</v>
      </c>
      <c r="N80" s="28">
        <f>WO2025Jan7men119151719232529313335394143454749555759636567697173757779131719[[#This Row],[Thresh]]*2</f>
        <v>1.8568953423120089E-3</v>
      </c>
      <c r="O80" s="25">
        <f>WO2025Jan7men119151719232529313335394143454749555759636567697173757779131719[[#This Row],[I]]</f>
        <v>8.4259259259259259E-4</v>
      </c>
      <c r="P80" s="25">
        <f>WO2025Jan7men119151719232529313335394143454749555759636567697173757779131719[[#This Row],[VO2]]</f>
        <v>8.1703395061728389E-4</v>
      </c>
      <c r="Q80" s="25"/>
      <c r="R80" s="25"/>
      <c r="S80" s="25"/>
      <c r="T80" s="25"/>
      <c r="U80" s="28"/>
      <c r="V80" s="25"/>
      <c r="W80" s="15" t="s">
        <v>26</v>
      </c>
      <c r="X80" s="52"/>
    </row>
    <row r="81" spans="1:24" ht="20.45" customHeight="1">
      <c r="A81" s="10" t="s">
        <v>88</v>
      </c>
      <c r="B81" s="11">
        <v>1.0532407407407407E-2</v>
      </c>
      <c r="C81" s="11">
        <v>3.0671296296296297E-3</v>
      </c>
      <c r="D81" s="11">
        <f>B81*E81</f>
        <v>6.1277546296296288E-3</v>
      </c>
      <c r="E81" s="12">
        <v>0.58179999999999998</v>
      </c>
      <c r="F81" s="11">
        <f>C81/4</f>
        <v>7.6678240740740743E-4</v>
      </c>
      <c r="G81" s="11">
        <f>D81/7.5</f>
        <v>8.1703395061728389E-4</v>
      </c>
      <c r="H81" s="11">
        <f>B81/12.5</f>
        <v>8.4259259259259259E-4</v>
      </c>
      <c r="I81" s="11">
        <f>G81/0.93</f>
        <v>8.7853112969600415E-4</v>
      </c>
      <c r="J81" s="11">
        <f>G81/0.92</f>
        <v>8.8808038110574329E-4</v>
      </c>
      <c r="K81" s="11">
        <f>G81/0.88</f>
        <v>9.2844767115600447E-4</v>
      </c>
      <c r="L81" s="11">
        <f>G81/0.84</f>
        <v>9.7265946502057604E-4</v>
      </c>
      <c r="M81" s="25">
        <f>WO2025Jan7men119151719232529313335394143454749555759636567697173757779131719[[#This Row],[Thresh]]</f>
        <v>9.2844767115600447E-4</v>
      </c>
      <c r="N81" s="28">
        <f>WO2025Jan7men119151719232529313335394143454749555759636567697173757779131719[[#This Row],[Thresh]]*2</f>
        <v>1.8568953423120089E-3</v>
      </c>
      <c r="O81" s="25">
        <f>WO2025Jan7men119151719232529313335394143454749555759636567697173757779131719[[#This Row],[I]]</f>
        <v>8.4259259259259259E-4</v>
      </c>
      <c r="P81" s="25">
        <f>WO2025Jan7men119151719232529313335394143454749555759636567697173757779131719[[#This Row],[VO2]]</f>
        <v>8.1703395061728389E-4</v>
      </c>
      <c r="Q81" s="25"/>
      <c r="R81" s="28"/>
      <c r="S81" s="25"/>
      <c r="T81" s="25"/>
      <c r="U81" s="28"/>
      <c r="V81" s="44"/>
      <c r="W81" s="28" t="s">
        <v>26</v>
      </c>
      <c r="X81" s="52"/>
    </row>
    <row r="82" spans="1:24" ht="20.45" customHeight="1">
      <c r="A82" s="10" t="s">
        <v>121</v>
      </c>
      <c r="B82" s="11">
        <v>1.0532407407407407E-2</v>
      </c>
      <c r="C82" s="11"/>
      <c r="D82" s="11">
        <f>B82*E82</f>
        <v>6.1277546296296288E-3</v>
      </c>
      <c r="E82" s="12">
        <v>0.58179999999999998</v>
      </c>
      <c r="F82" s="11">
        <f>C82/4</f>
        <v>0</v>
      </c>
      <c r="G82" s="11">
        <f>D82/7.5</f>
        <v>8.1703395061728389E-4</v>
      </c>
      <c r="H82" s="11">
        <f>B82/12.5</f>
        <v>8.4259259259259259E-4</v>
      </c>
      <c r="I82" s="11">
        <f>G82/0.93</f>
        <v>8.7853112969600415E-4</v>
      </c>
      <c r="J82" s="11">
        <f>G82/0.92</f>
        <v>8.8808038110574329E-4</v>
      </c>
      <c r="K82" s="11">
        <f>G82/0.88</f>
        <v>9.2844767115600447E-4</v>
      </c>
      <c r="L82" s="11">
        <f>G82/0.84</f>
        <v>9.7265946502057604E-4</v>
      </c>
      <c r="M82" s="25">
        <f>WO2025Jan7men119151719232529313335394143454749555759636567697173757779131719[[#This Row],[Thresh]]</f>
        <v>9.2844767115600447E-4</v>
      </c>
      <c r="N82" s="28">
        <f>WO2025Jan7men119151719232529313335394143454749555759636567697173757779131719[[#This Row],[Thresh]]*2</f>
        <v>1.8568953423120089E-3</v>
      </c>
      <c r="O82" s="25">
        <f>WO2025Jan7men119151719232529313335394143454749555759636567697173757779131719[[#This Row],[I]]</f>
        <v>8.4259259259259259E-4</v>
      </c>
      <c r="P82" s="25">
        <f>WO2025Jan7men119151719232529313335394143454749555759636567697173757779131719[[#This Row],[VO2]]</f>
        <v>8.1703395061728389E-4</v>
      </c>
      <c r="Q82" s="25"/>
      <c r="R82" s="26"/>
      <c r="S82" s="14"/>
      <c r="T82" s="14"/>
      <c r="U82" s="26"/>
      <c r="V82" s="28"/>
      <c r="W82" s="27" t="s">
        <v>26</v>
      </c>
      <c r="X82" s="52"/>
    </row>
    <row r="83" spans="1:24" ht="20.45" customHeight="1">
      <c r="A83" s="10" t="s">
        <v>123</v>
      </c>
      <c r="B83" s="11">
        <v>1.0590277777777778E-2</v>
      </c>
      <c r="C83" s="11">
        <v>3.1828703703703702E-3</v>
      </c>
      <c r="D83" s="11">
        <f>B83*E83</f>
        <v>6.1614236111111114E-3</v>
      </c>
      <c r="E83" s="12">
        <v>0.58179999999999998</v>
      </c>
      <c r="F83" s="11">
        <f>C83/4</f>
        <v>7.9571759259259255E-4</v>
      </c>
      <c r="G83" s="11">
        <f>D83/7.5</f>
        <v>8.2152314814814816E-4</v>
      </c>
      <c r="H83" s="11">
        <f>B83/12.5</f>
        <v>8.472222222222223E-4</v>
      </c>
      <c r="I83" s="11">
        <f>G83/0.93</f>
        <v>8.8335822381521299E-4</v>
      </c>
      <c r="J83" s="11">
        <f>G83/0.92</f>
        <v>8.9295994363929141E-4</v>
      </c>
      <c r="K83" s="11">
        <f>G83/0.88</f>
        <v>9.3354903198653201E-4</v>
      </c>
      <c r="L83" s="11">
        <f>G83/0.84</f>
        <v>9.7800374779541442E-4</v>
      </c>
      <c r="M83" s="25">
        <v>9.2844767115600447E-4</v>
      </c>
      <c r="N83" s="28">
        <v>1.8568953423120089E-3</v>
      </c>
      <c r="O83" s="25">
        <v>8.4259259259259259E-4</v>
      </c>
      <c r="P83" s="25">
        <v>8.1703395061728389E-4</v>
      </c>
      <c r="Q83" s="25"/>
      <c r="R83" s="25"/>
      <c r="S83" s="25"/>
      <c r="T83" s="25"/>
      <c r="U83" s="28"/>
      <c r="V83" s="28"/>
      <c r="W83" s="15" t="s">
        <v>26</v>
      </c>
      <c r="X83" s="52"/>
    </row>
    <row r="84" spans="1:24" ht="20.45" customHeight="1">
      <c r="A84" s="10" t="s">
        <v>91</v>
      </c>
      <c r="B84" s="11">
        <v>1.0590277777777778E-2</v>
      </c>
      <c r="C84" s="11">
        <v>3.1249999999999997E-3</v>
      </c>
      <c r="D84" s="11">
        <f t="shared" si="16"/>
        <v>6.1614236111111114E-3</v>
      </c>
      <c r="E84" s="12">
        <v>0.58179999999999998</v>
      </c>
      <c r="F84" s="11">
        <f t="shared" si="17"/>
        <v>7.8124999999999993E-4</v>
      </c>
      <c r="G84" s="11">
        <f t="shared" si="18"/>
        <v>8.2152314814814816E-4</v>
      </c>
      <c r="H84" s="11">
        <f t="shared" si="19"/>
        <v>8.472222222222223E-4</v>
      </c>
      <c r="I84" s="11">
        <f t="shared" si="20"/>
        <v>8.8335822381521299E-4</v>
      </c>
      <c r="J84" s="11">
        <f t="shared" si="21"/>
        <v>8.9295994363929141E-4</v>
      </c>
      <c r="K84" s="11">
        <f t="shared" si="22"/>
        <v>9.3354903198653201E-4</v>
      </c>
      <c r="L84" s="11">
        <f t="shared" si="23"/>
        <v>9.7800374779541442E-4</v>
      </c>
      <c r="M84" s="25">
        <v>9.2844767115600447E-4</v>
      </c>
      <c r="N84" s="28">
        <v>1.8568953423120089E-3</v>
      </c>
      <c r="O84" s="25">
        <v>8.4259259259259259E-4</v>
      </c>
      <c r="P84" s="25">
        <v>8.1703395061728389E-4</v>
      </c>
      <c r="Q84" s="25"/>
      <c r="R84" s="28"/>
      <c r="S84" s="25"/>
      <c r="T84" s="25"/>
      <c r="U84" s="28"/>
      <c r="V84" s="25"/>
      <c r="W84" s="15" t="s">
        <v>26</v>
      </c>
      <c r="X84" s="52"/>
    </row>
    <row r="85" spans="1:24" ht="20.45" customHeight="1">
      <c r="A85" s="10" t="s">
        <v>129</v>
      </c>
      <c r="B85" s="11">
        <v>1.0648148148148148E-2</v>
      </c>
      <c r="C85" s="11">
        <v>3.0092592592592593E-3</v>
      </c>
      <c r="D85" s="11">
        <f t="shared" si="16"/>
        <v>6.1950925925925923E-3</v>
      </c>
      <c r="E85" s="12">
        <v>0.58179999999999998</v>
      </c>
      <c r="F85" s="11">
        <f t="shared" si="17"/>
        <v>7.5231481481481482E-4</v>
      </c>
      <c r="G85" s="11">
        <f t="shared" si="18"/>
        <v>8.2601234567901232E-4</v>
      </c>
      <c r="H85" s="11">
        <f t="shared" si="19"/>
        <v>8.5185185185185179E-4</v>
      </c>
      <c r="I85" s="11">
        <f t="shared" si="20"/>
        <v>8.8818531793442184E-4</v>
      </c>
      <c r="J85" s="11">
        <f t="shared" si="21"/>
        <v>8.9783950617283942E-4</v>
      </c>
      <c r="K85" s="11">
        <f t="shared" si="22"/>
        <v>9.3865039281705945E-4</v>
      </c>
      <c r="L85" s="11">
        <f t="shared" si="23"/>
        <v>9.833480305702527E-4</v>
      </c>
      <c r="M85" s="25">
        <f>WO2025Jan7men119151719232529313335394143454749555759636567697173757779131719[[#This Row],[Thresh]]</f>
        <v>9.3865039281705945E-4</v>
      </c>
      <c r="N85" s="28">
        <f>WO2025Jan7men119151719232529313335394143454749555759636567697173757779131719[[#This Row],[Thresh]]*2</f>
        <v>1.8773007856341189E-3</v>
      </c>
      <c r="O85" s="25">
        <f>WO2025Jan7men119151719232529313335394143454749555759636567697173757779131719[[#This Row],[I]]</f>
        <v>8.5185185185185179E-4</v>
      </c>
      <c r="P85" s="25">
        <f>WO2025Jan7men119151719232529313335394143454749555759636567697173757779131719[[#This Row],[VO2]]</f>
        <v>8.2601234567901232E-4</v>
      </c>
      <c r="Q85" s="25"/>
      <c r="R85" s="25"/>
      <c r="S85" s="25"/>
      <c r="T85" s="25"/>
      <c r="U85" s="28"/>
      <c r="V85" s="25"/>
      <c r="W85" s="15" t="s">
        <v>26</v>
      </c>
      <c r="X85" s="52"/>
    </row>
    <row r="86" spans="1:24" ht="20.45" customHeight="1" thickBot="1">
      <c r="A86" s="10" t="s">
        <v>90</v>
      </c>
      <c r="B86" s="11">
        <v>1.0648148148148148E-2</v>
      </c>
      <c r="C86" s="11">
        <v>3.0671296296296297E-3</v>
      </c>
      <c r="D86" s="11">
        <f>B86*E86</f>
        <v>6.1950925925925923E-3</v>
      </c>
      <c r="E86" s="12">
        <v>0.58179999999999998</v>
      </c>
      <c r="F86" s="11">
        <f>C86/4</f>
        <v>7.6678240740740743E-4</v>
      </c>
      <c r="G86" s="11">
        <f>D86/7.5</f>
        <v>8.2601234567901232E-4</v>
      </c>
      <c r="H86" s="11">
        <f>B86/12.5</f>
        <v>8.5185185185185179E-4</v>
      </c>
      <c r="I86" s="11">
        <f>G86/0.93</f>
        <v>8.8818531793442184E-4</v>
      </c>
      <c r="J86" s="11">
        <f>G86/0.92</f>
        <v>8.9783950617283942E-4</v>
      </c>
      <c r="K86" s="11">
        <f>G86/0.88</f>
        <v>9.3865039281705945E-4</v>
      </c>
      <c r="L86" s="17">
        <f>G86/0.84</f>
        <v>9.833480305702527E-4</v>
      </c>
      <c r="M86" s="25">
        <f>WO2025Jan7men119151719232529313335394143454749555759636567697173757779131719[[#This Row],[Thresh]]</f>
        <v>9.3865039281705945E-4</v>
      </c>
      <c r="N86" s="28">
        <f>WO2025Jan7men119151719232529313335394143454749555759636567697173757779131719[[#This Row],[Thresh]]*2</f>
        <v>1.8773007856341189E-3</v>
      </c>
      <c r="O86" s="25">
        <f>WO2025Jan7men119151719232529313335394143454749555759636567697173757779131719[[#This Row],[I]]</f>
        <v>8.5185185185185179E-4</v>
      </c>
      <c r="P86" s="25">
        <f>WO2025Jan7men119151719232529313335394143454749555759636567697173757779131719[[#This Row],[VO2]]</f>
        <v>8.2601234567901232E-4</v>
      </c>
      <c r="Q86" s="25"/>
      <c r="R86" s="25"/>
      <c r="S86" s="25"/>
      <c r="T86" s="25"/>
      <c r="U86" s="28"/>
      <c r="V86" s="25"/>
      <c r="W86" s="15" t="s">
        <v>26</v>
      </c>
      <c r="X86" s="52"/>
    </row>
    <row r="87" spans="1:24" ht="20.45" customHeight="1">
      <c r="A87" s="1" t="s">
        <v>301</v>
      </c>
      <c r="B87" s="6"/>
      <c r="C87" s="6"/>
      <c r="D87" s="6"/>
      <c r="E87" s="20"/>
      <c r="F87" s="6"/>
      <c r="G87" s="6"/>
      <c r="H87" s="6"/>
      <c r="I87" s="6"/>
      <c r="J87" s="6"/>
      <c r="K87" s="6"/>
      <c r="L87" s="6"/>
      <c r="M87" s="6" t="s">
        <v>12</v>
      </c>
      <c r="N87" s="6" t="s">
        <v>155</v>
      </c>
      <c r="O87" s="6" t="s">
        <v>305</v>
      </c>
      <c r="P87" s="6" t="s">
        <v>158</v>
      </c>
      <c r="Q87" s="22"/>
      <c r="R87" s="6"/>
      <c r="S87" s="6"/>
      <c r="T87" s="6"/>
      <c r="U87" s="6"/>
      <c r="V87" s="23"/>
      <c r="W87" s="35"/>
      <c r="X87" s="52"/>
    </row>
    <row r="88" spans="1:24" ht="20.45" customHeight="1">
      <c r="A88" s="10" t="s">
        <v>125</v>
      </c>
      <c r="B88" s="11">
        <v>1.0648148148148148E-2</v>
      </c>
      <c r="C88" s="11"/>
      <c r="D88" s="11">
        <f t="shared" si="16"/>
        <v>6.1950925925925923E-3</v>
      </c>
      <c r="E88" s="12">
        <v>0.58179999999999998</v>
      </c>
      <c r="F88" s="11">
        <f t="shared" si="17"/>
        <v>0</v>
      </c>
      <c r="G88" s="11">
        <f t="shared" si="18"/>
        <v>8.2601234567901232E-4</v>
      </c>
      <c r="H88" s="11">
        <f t="shared" si="19"/>
        <v>8.5185185185185179E-4</v>
      </c>
      <c r="I88" s="11">
        <f t="shared" si="20"/>
        <v>8.8818531793442184E-4</v>
      </c>
      <c r="J88" s="11">
        <f t="shared" si="21"/>
        <v>8.9783950617283942E-4</v>
      </c>
      <c r="K88" s="11">
        <f t="shared" si="22"/>
        <v>9.3865039281705945E-4</v>
      </c>
      <c r="L88" s="11">
        <f t="shared" si="23"/>
        <v>9.833480305702527E-4</v>
      </c>
      <c r="M88" s="25">
        <f>WO2025Jan7men119151719232529313335394143454749555759636567697173757779131719[[#This Row],[Thresh]]</f>
        <v>9.3865039281705945E-4</v>
      </c>
      <c r="N88" s="28">
        <f>WO2025Jan7men119151719232529313335394143454749555759636567697173757779131719[[#This Row],[Thresh]]*2</f>
        <v>1.8773007856341189E-3</v>
      </c>
      <c r="O88" s="25">
        <f>WO2025Jan7men119151719232529313335394143454749555759636567697173757779131719[[#This Row],[I]]</f>
        <v>8.5185185185185179E-4</v>
      </c>
      <c r="P88" s="25">
        <f>WO2025Jan7men119151719232529313335394143454749555759636567697173757779131719[[#This Row],[VO2]]</f>
        <v>8.2601234567901232E-4</v>
      </c>
      <c r="Q88" s="25"/>
      <c r="R88" s="28"/>
      <c r="S88" s="25"/>
      <c r="T88" s="25"/>
      <c r="U88" s="28"/>
      <c r="V88" s="28"/>
      <c r="W88" s="15" t="s">
        <v>26</v>
      </c>
      <c r="X88" s="52"/>
    </row>
    <row r="89" spans="1:24" ht="20.45" customHeight="1">
      <c r="A89" s="10" t="s">
        <v>264</v>
      </c>
      <c r="B89" s="11">
        <v>1.0648148148148148E-2</v>
      </c>
      <c r="C89" s="11"/>
      <c r="D89" s="11">
        <f t="shared" si="16"/>
        <v>6.1950925925925923E-3</v>
      </c>
      <c r="E89" s="12">
        <v>0.58179999999999998</v>
      </c>
      <c r="F89" s="11">
        <f t="shared" si="17"/>
        <v>0</v>
      </c>
      <c r="G89" s="11">
        <f t="shared" si="18"/>
        <v>8.2601234567901232E-4</v>
      </c>
      <c r="H89" s="11">
        <f t="shared" si="19"/>
        <v>8.5185185185185179E-4</v>
      </c>
      <c r="I89" s="11">
        <f t="shared" si="20"/>
        <v>8.8818531793442184E-4</v>
      </c>
      <c r="J89" s="11">
        <f t="shared" si="21"/>
        <v>8.9783950617283942E-4</v>
      </c>
      <c r="K89" s="11">
        <f t="shared" si="22"/>
        <v>9.3865039281705945E-4</v>
      </c>
      <c r="L89" s="11">
        <f t="shared" si="23"/>
        <v>9.833480305702527E-4</v>
      </c>
      <c r="M89" s="25">
        <f>WO2025Jan7men119151719232529313335394143454749555759636567697173757779131719[[#This Row],[Thresh]]</f>
        <v>9.3865039281705945E-4</v>
      </c>
      <c r="N89" s="28">
        <f>WO2025Jan7men119151719232529313335394143454749555759636567697173757779131719[[#This Row],[Thresh]]*2</f>
        <v>1.8773007856341189E-3</v>
      </c>
      <c r="O89" s="25">
        <f>WO2025Jan7men119151719232529313335394143454749555759636567697173757779131719[[#This Row],[I]]</f>
        <v>8.5185185185185179E-4</v>
      </c>
      <c r="P89" s="25">
        <f>WO2025Jan7men119151719232529313335394143454749555759636567697173757779131719[[#This Row],[VO2]]</f>
        <v>8.2601234567901232E-4</v>
      </c>
      <c r="Q89" s="25"/>
      <c r="R89" s="26"/>
      <c r="S89" s="14"/>
      <c r="T89" s="14"/>
      <c r="U89" s="26"/>
      <c r="V89" s="28"/>
      <c r="W89" s="27" t="s">
        <v>26</v>
      </c>
      <c r="X89" s="52"/>
    </row>
    <row r="90" spans="1:24" ht="20.45" customHeight="1">
      <c r="A90" s="10" t="s">
        <v>126</v>
      </c>
      <c r="B90" s="11">
        <v>1.0648148148148148E-2</v>
      </c>
      <c r="C90" s="11"/>
      <c r="D90" s="11">
        <f t="shared" si="16"/>
        <v>6.1950925925925923E-3</v>
      </c>
      <c r="E90" s="12">
        <v>0.58179999999999998</v>
      </c>
      <c r="F90" s="11">
        <f t="shared" si="17"/>
        <v>0</v>
      </c>
      <c r="G90" s="11">
        <f t="shared" si="18"/>
        <v>8.2601234567901232E-4</v>
      </c>
      <c r="H90" s="11">
        <f t="shared" si="19"/>
        <v>8.5185185185185179E-4</v>
      </c>
      <c r="I90" s="11">
        <f t="shared" si="20"/>
        <v>8.8818531793442184E-4</v>
      </c>
      <c r="J90" s="11">
        <f t="shared" si="21"/>
        <v>8.9783950617283942E-4</v>
      </c>
      <c r="K90" s="11">
        <f t="shared" si="22"/>
        <v>9.3865039281705945E-4</v>
      </c>
      <c r="L90" s="11">
        <f t="shared" si="23"/>
        <v>9.833480305702527E-4</v>
      </c>
      <c r="M90" s="25">
        <f>WO2025Jan7men119151719232529313335394143454749555759636567697173757779131719[[#This Row],[Thresh]]</f>
        <v>9.3865039281705945E-4</v>
      </c>
      <c r="N90" s="28">
        <f>WO2025Jan7men119151719232529313335394143454749555759636567697173757779131719[[#This Row],[Thresh]]*2</f>
        <v>1.8773007856341189E-3</v>
      </c>
      <c r="O90" s="25">
        <f>WO2025Jan7men119151719232529313335394143454749555759636567697173757779131719[[#This Row],[I]]</f>
        <v>8.5185185185185179E-4</v>
      </c>
      <c r="P90" s="25">
        <f>WO2025Jan7men119151719232529313335394143454749555759636567697173757779131719[[#This Row],[VO2]]</f>
        <v>8.2601234567901232E-4</v>
      </c>
      <c r="Q90" s="25"/>
      <c r="R90" s="28"/>
      <c r="S90" s="25"/>
      <c r="T90" s="25"/>
      <c r="U90" s="28"/>
      <c r="V90" s="28"/>
      <c r="W90" s="27" t="s">
        <v>26</v>
      </c>
      <c r="X90" s="52"/>
    </row>
    <row r="91" spans="1:24" ht="20.45" customHeight="1">
      <c r="A91" s="10" t="s">
        <v>124</v>
      </c>
      <c r="B91" s="11">
        <v>1.0648148148148148E-2</v>
      </c>
      <c r="C91" s="11"/>
      <c r="D91" s="11">
        <f t="shared" si="16"/>
        <v>6.1950925925925923E-3</v>
      </c>
      <c r="E91" s="12">
        <v>0.58179999999999998</v>
      </c>
      <c r="F91" s="11">
        <f t="shared" si="17"/>
        <v>0</v>
      </c>
      <c r="G91" s="11">
        <f t="shared" si="18"/>
        <v>8.2601234567901232E-4</v>
      </c>
      <c r="H91" s="11">
        <f t="shared" si="19"/>
        <v>8.5185185185185179E-4</v>
      </c>
      <c r="I91" s="11">
        <f t="shared" si="20"/>
        <v>8.8818531793442184E-4</v>
      </c>
      <c r="J91" s="11">
        <f t="shared" si="21"/>
        <v>8.9783950617283942E-4</v>
      </c>
      <c r="K91" s="11">
        <f t="shared" si="22"/>
        <v>9.3865039281705945E-4</v>
      </c>
      <c r="L91" s="11">
        <f t="shared" si="23"/>
        <v>9.833480305702527E-4</v>
      </c>
      <c r="M91" s="25">
        <f>WO2025Jan7men119151719232529313335394143454749555759636567697173757779131719[[#This Row],[Thresh]]</f>
        <v>9.3865039281705945E-4</v>
      </c>
      <c r="N91" s="28">
        <f>WO2025Jan7men119151719232529313335394143454749555759636567697173757779131719[[#This Row],[Thresh]]*2</f>
        <v>1.8773007856341189E-3</v>
      </c>
      <c r="O91" s="25">
        <f>WO2025Jan7men119151719232529313335394143454749555759636567697173757779131719[[#This Row],[I]]</f>
        <v>8.5185185185185179E-4</v>
      </c>
      <c r="P91" s="25">
        <f>WO2025Jan7men119151719232529313335394143454749555759636567697173757779131719[[#This Row],[VO2]]</f>
        <v>8.2601234567901232E-4</v>
      </c>
      <c r="Q91" s="25"/>
      <c r="R91" s="26"/>
      <c r="S91" s="14"/>
      <c r="T91" s="14"/>
      <c r="U91" s="26"/>
      <c r="V91" s="28"/>
      <c r="W91" s="27" t="s">
        <v>26</v>
      </c>
      <c r="X91" s="52"/>
    </row>
    <row r="92" spans="1:24" ht="20.45" customHeight="1">
      <c r="A92" s="10" t="s">
        <v>127</v>
      </c>
      <c r="B92" s="11">
        <v>1.0648148148148148E-2</v>
      </c>
      <c r="C92" s="11"/>
      <c r="D92" s="11">
        <f t="shared" si="16"/>
        <v>6.1950925925925923E-3</v>
      </c>
      <c r="E92" s="12">
        <v>0.58179999999999998</v>
      </c>
      <c r="F92" s="11">
        <f t="shared" si="17"/>
        <v>0</v>
      </c>
      <c r="G92" s="11">
        <f t="shared" si="18"/>
        <v>8.2601234567901232E-4</v>
      </c>
      <c r="H92" s="11">
        <f t="shared" si="19"/>
        <v>8.5185185185185179E-4</v>
      </c>
      <c r="I92" s="11">
        <f t="shared" si="20"/>
        <v>8.8818531793442184E-4</v>
      </c>
      <c r="J92" s="11">
        <f t="shared" si="21"/>
        <v>8.9783950617283942E-4</v>
      </c>
      <c r="K92" s="11">
        <f t="shared" si="22"/>
        <v>9.3865039281705945E-4</v>
      </c>
      <c r="L92" s="11">
        <f t="shared" si="23"/>
        <v>9.833480305702527E-4</v>
      </c>
      <c r="M92" s="25">
        <f>WO2025Jan7men119151719232529313335394143454749555759636567697173757779131719[[#This Row],[Thresh]]</f>
        <v>9.3865039281705945E-4</v>
      </c>
      <c r="N92" s="28">
        <f>WO2025Jan7men119151719232529313335394143454749555759636567697173757779131719[[#This Row],[Thresh]]*2</f>
        <v>1.8773007856341189E-3</v>
      </c>
      <c r="O92" s="25">
        <f>WO2025Jan7men119151719232529313335394143454749555759636567697173757779131719[[#This Row],[I]]</f>
        <v>8.5185185185185179E-4</v>
      </c>
      <c r="P92" s="25">
        <f>WO2025Jan7men119151719232529313335394143454749555759636567697173757779131719[[#This Row],[VO2]]</f>
        <v>8.2601234567901232E-4</v>
      </c>
      <c r="Q92" s="25"/>
      <c r="R92" s="28"/>
      <c r="S92" s="25"/>
      <c r="T92" s="25"/>
      <c r="U92" s="28" t="s">
        <v>308</v>
      </c>
      <c r="V92" s="48"/>
      <c r="W92" s="15" t="s">
        <v>26</v>
      </c>
      <c r="X92" s="52"/>
    </row>
    <row r="93" spans="1:24" ht="20.45" customHeight="1">
      <c r="A93" s="10" t="s">
        <v>131</v>
      </c>
      <c r="B93" s="11">
        <v>1.0763888888888891E-2</v>
      </c>
      <c r="C93" s="11">
        <v>3.1828703703703702E-3</v>
      </c>
      <c r="D93" s="11">
        <f t="shared" si="16"/>
        <v>6.2624305555555567E-3</v>
      </c>
      <c r="E93" s="12">
        <v>0.58179999999999998</v>
      </c>
      <c r="F93" s="11">
        <f t="shared" si="17"/>
        <v>7.9571759259259255E-4</v>
      </c>
      <c r="G93" s="11">
        <f t="shared" si="18"/>
        <v>8.3499074074074085E-4</v>
      </c>
      <c r="H93" s="11">
        <f t="shared" si="19"/>
        <v>8.6111111111111121E-4</v>
      </c>
      <c r="I93" s="11">
        <f t="shared" si="20"/>
        <v>8.9783950617283953E-4</v>
      </c>
      <c r="J93" s="11">
        <f t="shared" si="21"/>
        <v>9.0759863123993567E-4</v>
      </c>
      <c r="K93" s="11">
        <f t="shared" si="22"/>
        <v>9.4885311447811464E-4</v>
      </c>
      <c r="L93" s="11">
        <f t="shared" si="23"/>
        <v>9.9403659611992969E-4</v>
      </c>
      <c r="M93" s="25">
        <f>WO2025Jan7men119151719232529313335394143454749555759636567697173757779131719[[#This Row],[Thresh]]</f>
        <v>9.4885311447811464E-4</v>
      </c>
      <c r="N93" s="28">
        <f>WO2025Jan7men119151719232529313335394143454749555759636567697173757779131719[[#This Row],[Thresh]]*2</f>
        <v>1.8977062289562293E-3</v>
      </c>
      <c r="O93" s="25">
        <f>WO2025Jan7men119151719232529313335394143454749555759636567697173757779131719[[#This Row],[I]]</f>
        <v>8.6111111111111121E-4</v>
      </c>
      <c r="P93" s="25">
        <f>WO2025Jan7men119151719232529313335394143454749555759636567697173757779131719[[#This Row],[VO2]]</f>
        <v>8.3499074074074085E-4</v>
      </c>
      <c r="Q93" s="25"/>
      <c r="R93" s="28"/>
      <c r="S93" s="25"/>
      <c r="T93" s="25"/>
      <c r="U93" s="28"/>
      <c r="V93" s="28"/>
      <c r="W93" s="15" t="s">
        <v>26</v>
      </c>
      <c r="X93" s="52"/>
    </row>
    <row r="94" spans="1:24" ht="20.45" customHeight="1">
      <c r="A94" s="10" t="s">
        <v>130</v>
      </c>
      <c r="B94" s="11">
        <v>1.0763888888888891E-2</v>
      </c>
      <c r="C94" s="11">
        <v>3.1828703703703702E-3</v>
      </c>
      <c r="D94" s="11">
        <f t="shared" ref="D94:D99" si="24">B94*E94</f>
        <v>6.2624305555555567E-3</v>
      </c>
      <c r="E94" s="12">
        <v>0.58179999999999998</v>
      </c>
      <c r="F94" s="11">
        <f t="shared" ref="F94:F99" si="25">C94/4</f>
        <v>7.9571759259259255E-4</v>
      </c>
      <c r="G94" s="11">
        <f t="shared" ref="G94:G99" si="26">D94/7.5</f>
        <v>8.3499074074074085E-4</v>
      </c>
      <c r="H94" s="11">
        <f t="shared" ref="H94:H99" si="27">B94/12.5</f>
        <v>8.6111111111111121E-4</v>
      </c>
      <c r="I94" s="11">
        <f t="shared" ref="I94:I99" si="28">G94/0.93</f>
        <v>8.9783950617283953E-4</v>
      </c>
      <c r="J94" s="11">
        <f t="shared" ref="J94:J99" si="29">G94/0.92</f>
        <v>9.0759863123993567E-4</v>
      </c>
      <c r="K94" s="11">
        <f t="shared" ref="K94:K99" si="30">G94/0.88</f>
        <v>9.4885311447811464E-4</v>
      </c>
      <c r="L94" s="11">
        <f t="shared" ref="L94:L99" si="31">G94/0.84</f>
        <v>9.9403659611992969E-4</v>
      </c>
      <c r="M94" s="25">
        <f>WO2025Jan7men119151719232529313335394143454749555759636567697173757779131719[[#This Row],[Thresh]]</f>
        <v>9.4885311447811464E-4</v>
      </c>
      <c r="N94" s="28">
        <f>WO2025Jan7men119151719232529313335394143454749555759636567697173757779131719[[#This Row],[Thresh]]*2</f>
        <v>1.8977062289562293E-3</v>
      </c>
      <c r="O94" s="25">
        <f>WO2025Jan7men119151719232529313335394143454749555759636567697173757779131719[[#This Row],[I]]</f>
        <v>8.6111111111111121E-4</v>
      </c>
      <c r="P94" s="25">
        <f>WO2025Jan7men119151719232529313335394143454749555759636567697173757779131719[[#This Row],[VO2]]</f>
        <v>8.3499074074074085E-4</v>
      </c>
      <c r="Q94" s="25"/>
      <c r="R94" s="28"/>
      <c r="S94" s="25"/>
      <c r="T94" s="25"/>
      <c r="U94" s="28"/>
      <c r="V94" s="48"/>
      <c r="W94" s="27" t="s">
        <v>26</v>
      </c>
      <c r="X94" s="52"/>
    </row>
    <row r="95" spans="1:24" ht="20.45" customHeight="1">
      <c r="A95" s="10" t="s">
        <v>137</v>
      </c>
      <c r="B95" s="11">
        <v>1.0763888888888891E-2</v>
      </c>
      <c r="C95" s="11"/>
      <c r="D95" s="11">
        <f t="shared" si="24"/>
        <v>6.2624305555555567E-3</v>
      </c>
      <c r="E95" s="12">
        <v>0.58179999999999998</v>
      </c>
      <c r="F95" s="11">
        <f t="shared" si="25"/>
        <v>0</v>
      </c>
      <c r="G95" s="11">
        <f t="shared" si="26"/>
        <v>8.3499074074074085E-4</v>
      </c>
      <c r="H95" s="11">
        <f t="shared" si="27"/>
        <v>8.6111111111111121E-4</v>
      </c>
      <c r="I95" s="11">
        <f t="shared" si="28"/>
        <v>8.9783950617283953E-4</v>
      </c>
      <c r="J95" s="11">
        <f t="shared" si="29"/>
        <v>9.0759863123993567E-4</v>
      </c>
      <c r="K95" s="11">
        <f t="shared" si="30"/>
        <v>9.4885311447811464E-4</v>
      </c>
      <c r="L95" s="11">
        <f t="shared" si="31"/>
        <v>9.9403659611992969E-4</v>
      </c>
      <c r="M95" s="25">
        <f>WO2025Jan7men119151719232529313335394143454749555759636567697173757779131719[[#This Row],[Thresh]]</f>
        <v>9.4885311447811464E-4</v>
      </c>
      <c r="N95" s="28">
        <f>WO2025Jan7men119151719232529313335394143454749555759636567697173757779131719[[#This Row],[Thresh]]*2</f>
        <v>1.8977062289562293E-3</v>
      </c>
      <c r="O95" s="25">
        <f>WO2025Jan7men119151719232529313335394143454749555759636567697173757779131719[[#This Row],[I]]</f>
        <v>8.6111111111111121E-4</v>
      </c>
      <c r="P95" s="25">
        <f>WO2025Jan7men119151719232529313335394143454749555759636567697173757779131719[[#This Row],[VO2]]</f>
        <v>8.3499074074074085E-4</v>
      </c>
      <c r="Q95" s="25"/>
      <c r="R95" s="28"/>
      <c r="S95" s="25"/>
      <c r="T95" s="25"/>
      <c r="U95" s="28"/>
      <c r="V95" s="28"/>
      <c r="W95" s="15" t="s">
        <v>26</v>
      </c>
      <c r="X95" s="52"/>
    </row>
    <row r="96" spans="1:24" ht="20.45" customHeight="1">
      <c r="A96" s="10" t="s">
        <v>100</v>
      </c>
      <c r="B96" s="11">
        <v>1.0763888888888889E-2</v>
      </c>
      <c r="C96" s="11">
        <v>3.0671296296296297E-3</v>
      </c>
      <c r="D96" s="11">
        <f t="shared" si="24"/>
        <v>6.2624305555555549E-3</v>
      </c>
      <c r="E96" s="12">
        <v>0.58179999999999998</v>
      </c>
      <c r="F96" s="11">
        <f t="shared" si="25"/>
        <v>7.6678240740740743E-4</v>
      </c>
      <c r="G96" s="11">
        <f t="shared" si="26"/>
        <v>8.3499074074074064E-4</v>
      </c>
      <c r="H96" s="11">
        <f t="shared" si="27"/>
        <v>8.611111111111111E-4</v>
      </c>
      <c r="I96" s="11">
        <f t="shared" si="28"/>
        <v>8.9783950617283931E-4</v>
      </c>
      <c r="J96" s="11">
        <f t="shared" si="29"/>
        <v>9.0759863123993545E-4</v>
      </c>
      <c r="K96" s="11">
        <f t="shared" si="30"/>
        <v>9.4885311447811432E-4</v>
      </c>
      <c r="L96" s="17">
        <f t="shared" si="31"/>
        <v>9.9403659611992947E-4</v>
      </c>
      <c r="M96" s="25">
        <f>WO2025Jan7men119151719232529313335394143454749555759636567697173757779131719[[#This Row],[Thresh]]</f>
        <v>9.4885311447811432E-4</v>
      </c>
      <c r="N96" s="28">
        <f>WO2025Jan7men119151719232529313335394143454749555759636567697173757779131719[[#This Row],[Thresh]]*2</f>
        <v>1.8977062289562286E-3</v>
      </c>
      <c r="O96" s="25">
        <f>WO2025Jan7men119151719232529313335394143454749555759636567697173757779131719[[#This Row],[I]]</f>
        <v>8.611111111111111E-4</v>
      </c>
      <c r="P96" s="25">
        <f>WO2025Jan7men119151719232529313335394143454749555759636567697173757779131719[[#This Row],[VO2]]</f>
        <v>8.3499074074074064E-4</v>
      </c>
      <c r="Q96" s="25"/>
      <c r="R96" s="28"/>
      <c r="S96" s="25"/>
      <c r="T96" s="28"/>
      <c r="U96" s="28"/>
      <c r="V96" s="25"/>
      <c r="W96" s="15" t="s">
        <v>26</v>
      </c>
      <c r="X96" s="52"/>
    </row>
    <row r="97" spans="1:24" ht="20.45" customHeight="1">
      <c r="A97" s="10" t="s">
        <v>114</v>
      </c>
      <c r="B97" s="11">
        <v>1.087962962962963E-2</v>
      </c>
      <c r="C97" s="11"/>
      <c r="D97" s="11">
        <f t="shared" si="24"/>
        <v>6.3297685185185184E-3</v>
      </c>
      <c r="E97" s="12">
        <v>0.58179999999999998</v>
      </c>
      <c r="F97" s="11">
        <f t="shared" si="25"/>
        <v>0</v>
      </c>
      <c r="G97" s="11">
        <f t="shared" si="26"/>
        <v>8.4396913580246917E-4</v>
      </c>
      <c r="H97" s="11">
        <f t="shared" si="27"/>
        <v>8.7037037037037042E-4</v>
      </c>
      <c r="I97" s="11">
        <f t="shared" si="28"/>
        <v>9.0749369441125711E-4</v>
      </c>
      <c r="J97" s="11">
        <f t="shared" si="29"/>
        <v>9.173577563070317E-4</v>
      </c>
      <c r="K97" s="11">
        <f t="shared" si="30"/>
        <v>9.5905583613916951E-4</v>
      </c>
      <c r="L97" s="11">
        <f t="shared" si="31"/>
        <v>1.0047251616696062E-3</v>
      </c>
      <c r="M97" s="25">
        <f>WO2025Jan7men119151719232529313335394143454749555759636567697173757779131719[[#This Row],[Thresh]]</f>
        <v>9.5905583613916951E-4</v>
      </c>
      <c r="N97" s="28">
        <f>WO2025Jan7men119151719232529313335394143454749555759636567697173757779131719[[#This Row],[Thresh]]*2</f>
        <v>1.918111672278339E-3</v>
      </c>
      <c r="O97" s="25">
        <f>WO2025Jan7men119151719232529313335394143454749555759636567697173757779131719[[#This Row],[I]]</f>
        <v>8.7037037037037042E-4</v>
      </c>
      <c r="P97" s="25">
        <f>WO2025Jan7men119151719232529313335394143454749555759636567697173757779131719[[#This Row],[VO2]]</f>
        <v>8.4396913580246917E-4</v>
      </c>
      <c r="Q97" s="25"/>
      <c r="R97" s="28"/>
      <c r="S97" s="25"/>
      <c r="T97" s="25"/>
      <c r="U97" s="28"/>
      <c r="V97" s="28"/>
      <c r="W97" s="15" t="s">
        <v>26</v>
      </c>
      <c r="X97" s="52"/>
    </row>
    <row r="98" spans="1:24" ht="20.45" customHeight="1">
      <c r="A98" s="10" t="s">
        <v>132</v>
      </c>
      <c r="B98" s="11">
        <v>1.087962962962963E-2</v>
      </c>
      <c r="C98" s="11"/>
      <c r="D98" s="11">
        <f t="shared" si="24"/>
        <v>6.3297685185185184E-3</v>
      </c>
      <c r="E98" s="12">
        <v>0.58179999999999998</v>
      </c>
      <c r="F98" s="11">
        <f t="shared" si="25"/>
        <v>0</v>
      </c>
      <c r="G98" s="11">
        <f t="shared" si="26"/>
        <v>8.4396913580246917E-4</v>
      </c>
      <c r="H98" s="11">
        <f t="shared" si="27"/>
        <v>8.7037037037037042E-4</v>
      </c>
      <c r="I98" s="11">
        <f t="shared" si="28"/>
        <v>9.0749369441125711E-4</v>
      </c>
      <c r="J98" s="11">
        <f t="shared" si="29"/>
        <v>9.173577563070317E-4</v>
      </c>
      <c r="K98" s="11">
        <f t="shared" si="30"/>
        <v>9.5905583613916951E-4</v>
      </c>
      <c r="L98" s="11">
        <f t="shared" si="31"/>
        <v>1.0047251616696062E-3</v>
      </c>
      <c r="M98" s="25">
        <f>WO2025Jan7men119151719232529313335394143454749555759636567697173757779131719[[#This Row],[Thresh]]</f>
        <v>9.5905583613916951E-4</v>
      </c>
      <c r="N98" s="28">
        <f>WO2025Jan7men119151719232529313335394143454749555759636567697173757779131719[[#This Row],[Thresh]]*2</f>
        <v>1.918111672278339E-3</v>
      </c>
      <c r="O98" s="25">
        <f>WO2025Jan7men119151719232529313335394143454749555759636567697173757779131719[[#This Row],[I]]</f>
        <v>8.7037037037037042E-4</v>
      </c>
      <c r="P98" s="25">
        <f>WO2025Jan7men119151719232529313335394143454749555759636567697173757779131719[[#This Row],[VO2]]</f>
        <v>8.4396913580246917E-4</v>
      </c>
      <c r="Q98" s="25"/>
      <c r="R98" s="26"/>
      <c r="S98" s="14"/>
      <c r="T98" s="14"/>
      <c r="U98" s="26"/>
      <c r="V98" s="28"/>
      <c r="W98" s="27" t="s">
        <v>26</v>
      </c>
      <c r="X98" s="50"/>
    </row>
    <row r="99" spans="1:24" ht="20.45" customHeight="1">
      <c r="A99" s="10" t="s">
        <v>133</v>
      </c>
      <c r="B99" s="11">
        <v>1.087962962962963E-2</v>
      </c>
      <c r="C99" s="11">
        <v>3.1250000000000002E-3</v>
      </c>
      <c r="D99" s="11">
        <f t="shared" si="24"/>
        <v>6.3297685185185184E-3</v>
      </c>
      <c r="E99" s="12">
        <v>0.58179999999999998</v>
      </c>
      <c r="F99" s="11">
        <f t="shared" si="25"/>
        <v>7.8125000000000004E-4</v>
      </c>
      <c r="G99" s="11">
        <f t="shared" si="26"/>
        <v>8.4396913580246917E-4</v>
      </c>
      <c r="H99" s="11">
        <f t="shared" si="27"/>
        <v>8.7037037037037042E-4</v>
      </c>
      <c r="I99" s="11">
        <f t="shared" si="28"/>
        <v>9.0749369441125711E-4</v>
      </c>
      <c r="J99" s="11">
        <f t="shared" si="29"/>
        <v>9.173577563070317E-4</v>
      </c>
      <c r="K99" s="11">
        <f t="shared" si="30"/>
        <v>9.5905583613916951E-4</v>
      </c>
      <c r="L99" s="11">
        <f t="shared" si="31"/>
        <v>1.0047251616696062E-3</v>
      </c>
      <c r="M99" s="25">
        <f>WO2025Jan7men119151719232529313335394143454749555759636567697173757779131719[[#This Row],[Thresh]]</f>
        <v>9.5905583613916951E-4</v>
      </c>
      <c r="N99" s="28">
        <f>WO2025Jan7men119151719232529313335394143454749555759636567697173757779131719[[#This Row],[Thresh]]*2</f>
        <v>1.918111672278339E-3</v>
      </c>
      <c r="O99" s="25">
        <f>WO2025Jan7men119151719232529313335394143454749555759636567697173757779131719[[#This Row],[I]]</f>
        <v>8.7037037037037042E-4</v>
      </c>
      <c r="P99" s="25">
        <f>WO2025Jan7men119151719232529313335394143454749555759636567697173757779131719[[#This Row],[VO2]]</f>
        <v>8.4396913580246917E-4</v>
      </c>
      <c r="Q99" s="25"/>
      <c r="R99" s="25"/>
      <c r="S99" s="25"/>
      <c r="T99" s="25"/>
      <c r="U99" s="28"/>
      <c r="V99" s="25"/>
      <c r="W99" s="15" t="s">
        <v>26</v>
      </c>
      <c r="X99" s="50"/>
    </row>
    <row r="100" spans="1:24" ht="20.45" customHeight="1">
      <c r="A100" s="10" t="s">
        <v>113</v>
      </c>
      <c r="B100" s="11">
        <v>1.087962962962963E-2</v>
      </c>
      <c r="C100" s="11">
        <v>3.2986111111111111E-3</v>
      </c>
      <c r="D100" s="11">
        <f t="shared" ref="D100" si="32">B100*E100</f>
        <v>6.3297685185185184E-3</v>
      </c>
      <c r="E100" s="12">
        <v>0.58179999999999998</v>
      </c>
      <c r="F100" s="11">
        <f t="shared" ref="F100" si="33">C100/4</f>
        <v>8.2465277777777778E-4</v>
      </c>
      <c r="G100" s="11">
        <f t="shared" ref="G100" si="34">D100/7.5</f>
        <v>8.4396913580246917E-4</v>
      </c>
      <c r="H100" s="11">
        <f t="shared" ref="H100" si="35">B100/12.5</f>
        <v>8.7037037037037042E-4</v>
      </c>
      <c r="I100" s="11">
        <f t="shared" ref="I100" si="36">G100/0.93</f>
        <v>9.0749369441125711E-4</v>
      </c>
      <c r="J100" s="11">
        <f t="shared" ref="J100" si="37">G100/0.92</f>
        <v>9.173577563070317E-4</v>
      </c>
      <c r="K100" s="11">
        <f t="shared" ref="K100" si="38">G100/0.88</f>
        <v>9.5905583613916951E-4</v>
      </c>
      <c r="L100" s="11">
        <f t="shared" ref="L100" si="39">G100/0.84</f>
        <v>1.0047251616696062E-3</v>
      </c>
      <c r="M100" s="25">
        <f>WO2025Jan7men119151719232529313335394143454749555759636567697173757779131719[[#This Row],[Thresh]]</f>
        <v>9.5905583613916951E-4</v>
      </c>
      <c r="N100" s="28">
        <f>WO2025Jan7men119151719232529313335394143454749555759636567697173757779131719[[#This Row],[Thresh]]*2</f>
        <v>1.918111672278339E-3</v>
      </c>
      <c r="O100" s="25">
        <f>WO2025Jan7men119151719232529313335394143454749555759636567697173757779131719[[#This Row],[I]]</f>
        <v>8.7037037037037042E-4</v>
      </c>
      <c r="P100" s="25">
        <f>WO2025Jan7men119151719232529313335394143454749555759636567697173757779131719[[#This Row],[VO2]]</f>
        <v>8.4396913580246917E-4</v>
      </c>
      <c r="Q100" s="25"/>
      <c r="R100" s="28"/>
      <c r="S100" s="25"/>
      <c r="T100" s="25"/>
      <c r="U100" s="28"/>
      <c r="V100" s="25"/>
      <c r="W100" s="15" t="s">
        <v>26</v>
      </c>
      <c r="X100" s="50"/>
    </row>
    <row r="101" spans="1:24" ht="20.45" customHeight="1">
      <c r="A101" s="10" t="s">
        <v>128</v>
      </c>
      <c r="B101" s="11">
        <v>1.087962962962963E-2</v>
      </c>
      <c r="C101" s="11"/>
      <c r="D101" s="11">
        <f>B101*E101</f>
        <v>6.3297685185185184E-3</v>
      </c>
      <c r="E101" s="12">
        <v>0.58179999999999998</v>
      </c>
      <c r="F101" s="11">
        <f>C101/4</f>
        <v>0</v>
      </c>
      <c r="G101" s="11">
        <f>D101/7.5</f>
        <v>8.4396913580246917E-4</v>
      </c>
      <c r="H101" s="11">
        <f>B101/12.5</f>
        <v>8.7037037037037042E-4</v>
      </c>
      <c r="I101" s="11">
        <f>G101/0.93</f>
        <v>9.0749369441125711E-4</v>
      </c>
      <c r="J101" s="11">
        <f>G101/0.92</f>
        <v>9.173577563070317E-4</v>
      </c>
      <c r="K101" s="11">
        <f>G101/0.88</f>
        <v>9.5905583613916951E-4</v>
      </c>
      <c r="L101" s="11">
        <f>G101/0.84</f>
        <v>1.0047251616696062E-3</v>
      </c>
      <c r="M101" s="25">
        <f>WO2025Jan7men119151719232529313335394143454749555759636567697173757779131719[[#This Row],[Thresh]]</f>
        <v>9.5905583613916951E-4</v>
      </c>
      <c r="N101" s="28">
        <f>WO2025Jan7men119151719232529313335394143454749555759636567697173757779131719[[#This Row],[Thresh]]*2</f>
        <v>1.918111672278339E-3</v>
      </c>
      <c r="O101" s="25">
        <f>WO2025Jan7men119151719232529313335394143454749555759636567697173757779131719[[#This Row],[I]]</f>
        <v>8.7037037037037042E-4</v>
      </c>
      <c r="P101" s="25">
        <f>WO2025Jan7men119151719232529313335394143454749555759636567697173757779131719[[#This Row],[VO2]]</f>
        <v>8.4396913580246917E-4</v>
      </c>
      <c r="Q101" s="25"/>
      <c r="R101" s="26"/>
      <c r="S101" s="14"/>
      <c r="T101" s="14"/>
      <c r="U101" s="26"/>
      <c r="V101" s="28"/>
      <c r="W101" s="27" t="s">
        <v>26</v>
      </c>
      <c r="X101" s="50"/>
    </row>
    <row r="102" spans="1:24" ht="20.45" customHeight="1">
      <c r="A102" s="10" t="s">
        <v>136</v>
      </c>
      <c r="B102" s="11">
        <v>1.1111111111111112E-2</v>
      </c>
      <c r="C102" s="11">
        <v>3.1828703703703702E-3</v>
      </c>
      <c r="D102" s="11">
        <f>B102*E102</f>
        <v>6.4644444444444445E-3</v>
      </c>
      <c r="E102" s="12">
        <v>0.58179999999999998</v>
      </c>
      <c r="F102" s="11">
        <f>C102/4</f>
        <v>7.9571759259259255E-4</v>
      </c>
      <c r="G102" s="11">
        <f>D102/7.5</f>
        <v>8.6192592592592592E-4</v>
      </c>
      <c r="H102" s="11">
        <f>B102/12.5</f>
        <v>8.8888888888888893E-4</v>
      </c>
      <c r="I102" s="11">
        <f>G102/0.93</f>
        <v>9.2680207088809239E-4</v>
      </c>
      <c r="J102" s="11">
        <f>G102/0.92</f>
        <v>9.3687600644122375E-4</v>
      </c>
      <c r="K102" s="11">
        <f>G102/0.88</f>
        <v>9.7946127946127947E-4</v>
      </c>
      <c r="L102" s="11">
        <f>G102/0.84</f>
        <v>1.0261022927689596E-3</v>
      </c>
      <c r="M102" s="25">
        <v>9.5905583613916951E-4</v>
      </c>
      <c r="N102" s="28">
        <v>1.918111672278339E-3</v>
      </c>
      <c r="O102" s="25">
        <v>8.7037037037037042E-4</v>
      </c>
      <c r="P102" s="25">
        <v>8.4396913580246917E-4</v>
      </c>
      <c r="Q102" s="25"/>
      <c r="R102" s="25"/>
      <c r="S102" s="25"/>
      <c r="T102" s="25"/>
      <c r="U102" s="28"/>
      <c r="V102" s="25"/>
      <c r="W102" s="15" t="s">
        <v>26</v>
      </c>
      <c r="X102" s="50"/>
    </row>
    <row r="103" spans="1:24" ht="20.45" customHeight="1">
      <c r="A103" s="10" t="s">
        <v>134</v>
      </c>
      <c r="B103" s="11">
        <v>1.1631944444444445E-2</v>
      </c>
      <c r="C103" s="11"/>
      <c r="D103" s="11">
        <f>B103*E103</f>
        <v>6.7674652777777776E-3</v>
      </c>
      <c r="E103" s="12">
        <v>0.58179999999999998</v>
      </c>
      <c r="F103" s="11">
        <f>C103/4</f>
        <v>0</v>
      </c>
      <c r="G103" s="11">
        <f>D103/7.5</f>
        <v>9.0232870370370369E-4</v>
      </c>
      <c r="H103" s="11">
        <f>B103/12.5</f>
        <v>9.3055555555555556E-4</v>
      </c>
      <c r="I103" s="11">
        <f>G103/0.93</f>
        <v>9.7024591796097167E-4</v>
      </c>
      <c r="J103" s="11">
        <f>G103/0.92</f>
        <v>9.8079206924315621E-4</v>
      </c>
      <c r="K103" s="11">
        <f>G103/0.88</f>
        <v>1.0253735269360269E-3</v>
      </c>
      <c r="L103" s="11">
        <f>G103/0.84</f>
        <v>1.0742008377425045E-3</v>
      </c>
      <c r="M103" s="25">
        <f>WO2025Jan7men119151719232529313335394143454749555759636567697173757779131719[[#This Row],[Thresh]]</f>
        <v>1.0253735269360269E-3</v>
      </c>
      <c r="N103" s="28">
        <f>WO2025Jan7men119151719232529313335394143454749555759636567697173757779131719[[#This Row],[Thresh]]*2</f>
        <v>2.0507470538720539E-3</v>
      </c>
      <c r="O103" s="25">
        <f>WO2025Jan7men119151719232529313335394143454749555759636567697173757779131719[[#This Row],[I]]</f>
        <v>9.3055555555555556E-4</v>
      </c>
      <c r="P103" s="25">
        <f>WO2025Jan7men119151719232529313335394143454749555759636567697173757779131719[[#This Row],[VO2]]</f>
        <v>9.0232870370370369E-4</v>
      </c>
      <c r="Q103" s="25"/>
      <c r="R103" s="26"/>
      <c r="S103" s="14"/>
      <c r="T103" s="14"/>
      <c r="U103" s="26"/>
      <c r="V103" s="28"/>
      <c r="W103" s="27" t="s">
        <v>26</v>
      </c>
      <c r="X103" s="50"/>
    </row>
    <row r="104" spans="1:24" ht="20.45" customHeight="1">
      <c r="A104" s="10" t="s">
        <v>135</v>
      </c>
      <c r="B104" s="11">
        <v>1.1631944444444445E-2</v>
      </c>
      <c r="C104" s="11">
        <v>3.414351851851852E-3</v>
      </c>
      <c r="D104" s="11">
        <f>B104*E104</f>
        <v>6.7674652777777776E-3</v>
      </c>
      <c r="E104" s="12">
        <v>0.58179999999999998</v>
      </c>
      <c r="F104" s="11">
        <f>C104/4</f>
        <v>8.53587962962963E-4</v>
      </c>
      <c r="G104" s="11">
        <f>D104/7.5</f>
        <v>9.0232870370370369E-4</v>
      </c>
      <c r="H104" s="11">
        <f>B104/12.5</f>
        <v>9.3055555555555556E-4</v>
      </c>
      <c r="I104" s="11">
        <f>G104/0.93</f>
        <v>9.7024591796097167E-4</v>
      </c>
      <c r="J104" s="11">
        <f>G104/0.92</f>
        <v>9.8079206924315621E-4</v>
      </c>
      <c r="K104" s="11">
        <f>G104/0.88</f>
        <v>1.0253735269360269E-3</v>
      </c>
      <c r="L104" s="17">
        <f>G104/0.84</f>
        <v>1.0742008377425045E-3</v>
      </c>
      <c r="M104" s="25">
        <f>WO2025Jan7men119151719232529313335394143454749555759636567697173757779131719[[#This Row],[Thresh]]</f>
        <v>1.0253735269360269E-3</v>
      </c>
      <c r="N104" s="28">
        <f>WO2025Jan7men119151719232529313335394143454749555759636567697173757779131719[[#This Row],[Thresh]]*2</f>
        <v>2.0507470538720539E-3</v>
      </c>
      <c r="O104" s="25">
        <f>WO2025Jan7men119151719232529313335394143454749555759636567697173757779131719[[#This Row],[I]]</f>
        <v>9.3055555555555556E-4</v>
      </c>
      <c r="P104" s="25">
        <f>WO2025Jan7men119151719232529313335394143454749555759636567697173757779131719[[#This Row],[VO2]]</f>
        <v>9.0232870370370369E-4</v>
      </c>
      <c r="Q104" s="25"/>
      <c r="R104" s="28"/>
      <c r="S104" s="25"/>
      <c r="T104" s="25"/>
      <c r="U104" s="28"/>
      <c r="V104" s="44"/>
      <c r="W104" s="28" t="s">
        <v>26</v>
      </c>
      <c r="X104" s="50"/>
    </row>
    <row r="105" spans="1:24" ht="20.45" customHeight="1">
      <c r="A105" s="10"/>
      <c r="B105" s="11"/>
      <c r="C105" s="11"/>
      <c r="D105" s="11"/>
      <c r="E105" s="12"/>
      <c r="F105" s="11"/>
      <c r="G105" s="11"/>
      <c r="H105" s="11"/>
      <c r="I105" s="11"/>
      <c r="J105" s="11"/>
      <c r="K105" s="11"/>
      <c r="L105" s="11"/>
      <c r="M105" s="25"/>
      <c r="N105" s="28"/>
      <c r="O105" s="25"/>
      <c r="P105" s="28"/>
      <c r="Q105" s="25"/>
      <c r="R105" s="28"/>
      <c r="S105" s="25"/>
      <c r="T105" s="28"/>
      <c r="U105" s="28"/>
      <c r="V105" s="25"/>
      <c r="W105" s="15"/>
      <c r="X105" s="50"/>
    </row>
    <row r="106" spans="1:24" ht="20.45" customHeight="1">
      <c r="A106" s="19"/>
      <c r="B106" s="6"/>
      <c r="C106" s="6"/>
      <c r="D106" s="6"/>
      <c r="E106" s="20"/>
      <c r="F106" s="6"/>
      <c r="G106" s="6"/>
      <c r="H106" s="6"/>
      <c r="I106" s="6"/>
      <c r="J106" s="6"/>
      <c r="K106" s="6"/>
      <c r="L106" s="6"/>
      <c r="M106" s="6"/>
      <c r="N106" s="6"/>
      <c r="O106" s="6"/>
      <c r="P106" s="6"/>
      <c r="Q106" s="6"/>
      <c r="R106" s="6"/>
      <c r="S106" s="6"/>
      <c r="T106" s="6"/>
      <c r="U106" s="6"/>
      <c r="V106" s="23"/>
      <c r="W106" s="35"/>
      <c r="X106" s="50"/>
    </row>
    <row r="107" spans="1:24" ht="20.45" customHeight="1">
      <c r="A107" s="10" t="s">
        <v>107</v>
      </c>
      <c r="B107" s="11">
        <v>1.1111111111111112E-2</v>
      </c>
      <c r="C107" s="11">
        <v>3.2407407407407406E-3</v>
      </c>
      <c r="D107" s="11">
        <f t="shared" ref="D107:D112" si="40">B107*E107</f>
        <v>6.4644444444444445E-3</v>
      </c>
      <c r="E107" s="12">
        <v>0.58179999999999998</v>
      </c>
      <c r="F107" s="11">
        <f t="shared" ref="F107:F112" si="41">C107/4</f>
        <v>8.1018518518518516E-4</v>
      </c>
      <c r="G107" s="11">
        <f t="shared" ref="G107:G112" si="42">D107/7.5</f>
        <v>8.6192592592592592E-4</v>
      </c>
      <c r="H107" s="11">
        <f t="shared" ref="H107:H112" si="43">B107/12.5</f>
        <v>8.8888888888888893E-4</v>
      </c>
      <c r="I107" s="11">
        <f t="shared" ref="I107:I112" si="44">G107/0.93</f>
        <v>9.2680207088809239E-4</v>
      </c>
      <c r="J107" s="11">
        <f t="shared" ref="J107:J112" si="45">G107/0.92</f>
        <v>9.3687600644122375E-4</v>
      </c>
      <c r="K107" s="11">
        <f t="shared" ref="K107:K112" si="46">G107/0.88</f>
        <v>9.7946127946127947E-4</v>
      </c>
      <c r="L107" s="11">
        <f t="shared" ref="L107:L112" si="47">G107/0.84</f>
        <v>1.0261022927689596E-3</v>
      </c>
      <c r="M107" s="25"/>
      <c r="N107" s="28"/>
      <c r="O107" s="25"/>
      <c r="P107" s="25"/>
      <c r="Q107" s="25"/>
      <c r="R107" s="28"/>
      <c r="S107" s="25"/>
      <c r="T107" s="25"/>
      <c r="U107" s="28"/>
      <c r="V107" s="28"/>
      <c r="W107" s="15" t="s">
        <v>52</v>
      </c>
      <c r="X107" s="50"/>
    </row>
    <row r="108" spans="1:24" ht="20.45" customHeight="1">
      <c r="A108" s="10" t="s">
        <v>106</v>
      </c>
      <c r="B108" s="11">
        <v>1.0532407407407407E-2</v>
      </c>
      <c r="C108" s="11">
        <v>2.9745370370370373E-3</v>
      </c>
      <c r="D108" s="11">
        <f t="shared" si="40"/>
        <v>6.1277546296296288E-3</v>
      </c>
      <c r="E108" s="12">
        <v>0.58179999999999998</v>
      </c>
      <c r="F108" s="11">
        <f t="shared" si="41"/>
        <v>7.4363425925925931E-4</v>
      </c>
      <c r="G108" s="11">
        <f t="shared" si="42"/>
        <v>8.1703395061728389E-4</v>
      </c>
      <c r="H108" s="11">
        <f t="shared" si="43"/>
        <v>8.4259259259259259E-4</v>
      </c>
      <c r="I108" s="11">
        <f t="shared" si="44"/>
        <v>8.7853112969600415E-4</v>
      </c>
      <c r="J108" s="11">
        <f t="shared" si="45"/>
        <v>8.8808038110574329E-4</v>
      </c>
      <c r="K108" s="11">
        <f t="shared" si="46"/>
        <v>9.2844767115600447E-4</v>
      </c>
      <c r="L108" s="11">
        <f t="shared" si="47"/>
        <v>9.7265946502057604E-4</v>
      </c>
      <c r="M108" s="25"/>
      <c r="N108" s="28"/>
      <c r="O108" s="25"/>
      <c r="P108" s="25"/>
      <c r="Q108" s="25"/>
      <c r="R108" s="25"/>
      <c r="S108" s="25"/>
      <c r="T108" s="25"/>
      <c r="U108" s="28"/>
      <c r="V108" s="25"/>
      <c r="W108" s="15" t="s">
        <v>52</v>
      </c>
      <c r="X108" s="52"/>
    </row>
    <row r="109" spans="1:24" ht="20.45" customHeight="1">
      <c r="A109" s="10" t="s">
        <v>122</v>
      </c>
      <c r="B109" s="11">
        <v>1.0532407407407407E-2</v>
      </c>
      <c r="C109" s="11">
        <v>3.0671296296296297E-3</v>
      </c>
      <c r="D109" s="11">
        <f t="shared" si="40"/>
        <v>6.1277546296296288E-3</v>
      </c>
      <c r="E109" s="12">
        <v>0.58179999999999998</v>
      </c>
      <c r="F109" s="11">
        <f t="shared" si="41"/>
        <v>7.6678240740740743E-4</v>
      </c>
      <c r="G109" s="11">
        <f t="shared" si="42"/>
        <v>8.1703395061728389E-4</v>
      </c>
      <c r="H109" s="11">
        <f t="shared" si="43"/>
        <v>8.4259259259259259E-4</v>
      </c>
      <c r="I109" s="11">
        <f t="shared" si="44"/>
        <v>8.7853112969600415E-4</v>
      </c>
      <c r="J109" s="11">
        <f t="shared" si="45"/>
        <v>8.8808038110574329E-4</v>
      </c>
      <c r="K109" s="11">
        <f t="shared" si="46"/>
        <v>9.2844767115600447E-4</v>
      </c>
      <c r="L109" s="11">
        <f t="shared" si="47"/>
        <v>9.7265946502057604E-4</v>
      </c>
      <c r="M109" s="25"/>
      <c r="N109" s="28"/>
      <c r="O109" s="25"/>
      <c r="P109" s="25"/>
      <c r="Q109" s="25"/>
      <c r="R109" s="28"/>
      <c r="S109" s="25"/>
      <c r="T109" s="25"/>
      <c r="U109" s="28"/>
      <c r="V109" s="25"/>
      <c r="W109" s="15" t="s">
        <v>52</v>
      </c>
      <c r="X109" s="52"/>
    </row>
    <row r="110" spans="1:24" ht="20.45" customHeight="1">
      <c r="A110" s="10" t="s">
        <v>164</v>
      </c>
      <c r="B110" s="11">
        <v>1.1342592592592593E-2</v>
      </c>
      <c r="C110" s="11">
        <v>3.2407407407407406E-3</v>
      </c>
      <c r="D110" s="11">
        <f t="shared" si="40"/>
        <v>6.5991203703703706E-3</v>
      </c>
      <c r="E110" s="12">
        <v>0.58179999999999998</v>
      </c>
      <c r="F110" s="11">
        <f t="shared" si="41"/>
        <v>8.1018518518518516E-4</v>
      </c>
      <c r="G110" s="11">
        <f t="shared" si="42"/>
        <v>8.7988271604938278E-4</v>
      </c>
      <c r="H110" s="11">
        <f t="shared" si="43"/>
        <v>9.0740740740740745E-4</v>
      </c>
      <c r="I110" s="11">
        <f t="shared" si="44"/>
        <v>9.4611044736492766E-4</v>
      </c>
      <c r="J110" s="11">
        <f t="shared" si="45"/>
        <v>9.5639425657541603E-4</v>
      </c>
      <c r="K110" s="11">
        <f t="shared" si="46"/>
        <v>9.9986672278338943E-4</v>
      </c>
      <c r="L110" s="11">
        <f t="shared" si="47"/>
        <v>1.0474794238683129E-3</v>
      </c>
      <c r="M110" s="25"/>
      <c r="N110" s="28"/>
      <c r="O110" s="25"/>
      <c r="P110" s="28"/>
      <c r="Q110" s="28"/>
      <c r="R110" s="11"/>
      <c r="S110" s="14"/>
      <c r="T110" s="14"/>
      <c r="U110" s="26"/>
      <c r="V110" s="28"/>
      <c r="W110" s="27" t="s">
        <v>52</v>
      </c>
      <c r="X110" s="52"/>
    </row>
    <row r="111" spans="1:24" ht="20.45" customHeight="1">
      <c r="A111" s="10" t="s">
        <v>108</v>
      </c>
      <c r="B111" s="11">
        <v>1.0763888888888891E-2</v>
      </c>
      <c r="C111" s="11">
        <v>3.0671296296296297E-3</v>
      </c>
      <c r="D111" s="11">
        <f t="shared" si="40"/>
        <v>6.2624305555555567E-3</v>
      </c>
      <c r="E111" s="12">
        <v>0.58179999999999998</v>
      </c>
      <c r="F111" s="11">
        <f t="shared" si="41"/>
        <v>7.6678240740740743E-4</v>
      </c>
      <c r="G111" s="11">
        <f t="shared" si="42"/>
        <v>8.3499074074074085E-4</v>
      </c>
      <c r="H111" s="11">
        <f t="shared" si="43"/>
        <v>8.6111111111111121E-4</v>
      </c>
      <c r="I111" s="11">
        <f t="shared" si="44"/>
        <v>8.9783950617283953E-4</v>
      </c>
      <c r="J111" s="11">
        <f t="shared" si="45"/>
        <v>9.0759863123993567E-4</v>
      </c>
      <c r="K111" s="11">
        <f t="shared" si="46"/>
        <v>9.4885311447811464E-4</v>
      </c>
      <c r="L111" s="11">
        <f t="shared" si="47"/>
        <v>9.9403659611992969E-4</v>
      </c>
      <c r="M111" s="25"/>
      <c r="N111" s="28"/>
      <c r="O111" s="25"/>
      <c r="P111" s="28"/>
      <c r="Q111" s="25"/>
      <c r="R111" s="28"/>
      <c r="S111" s="25"/>
      <c r="T111" s="25"/>
      <c r="U111" s="28"/>
      <c r="V111" s="28"/>
      <c r="W111" s="15" t="s">
        <v>52</v>
      </c>
      <c r="X111" s="52"/>
    </row>
    <row r="112" spans="1:24" ht="20.45" customHeight="1">
      <c r="A112" s="10" t="s">
        <v>105</v>
      </c>
      <c r="B112" s="11">
        <v>1.0648148148148148E-2</v>
      </c>
      <c r="C112" s="11">
        <v>2.9745370370370373E-3</v>
      </c>
      <c r="D112" s="11">
        <f t="shared" si="40"/>
        <v>6.1950925925925923E-3</v>
      </c>
      <c r="E112" s="12">
        <v>0.58179999999999998</v>
      </c>
      <c r="F112" s="11">
        <f t="shared" si="41"/>
        <v>7.4363425925925931E-4</v>
      </c>
      <c r="G112" s="11">
        <f t="shared" si="42"/>
        <v>8.2601234567901232E-4</v>
      </c>
      <c r="H112" s="11">
        <f t="shared" si="43"/>
        <v>8.5185185185185179E-4</v>
      </c>
      <c r="I112" s="11">
        <f t="shared" si="44"/>
        <v>8.8818531793442184E-4</v>
      </c>
      <c r="J112" s="11">
        <f t="shared" si="45"/>
        <v>8.9783950617283942E-4</v>
      </c>
      <c r="K112" s="11">
        <f t="shared" si="46"/>
        <v>9.3865039281705945E-4</v>
      </c>
      <c r="L112" s="11">
        <f t="shared" si="47"/>
        <v>9.833480305702527E-4</v>
      </c>
      <c r="M112" s="37"/>
      <c r="N112" s="28"/>
      <c r="O112" s="25"/>
      <c r="P112" s="25"/>
      <c r="Q112" s="25"/>
      <c r="R112" s="25"/>
      <c r="S112" s="25"/>
      <c r="T112" s="25"/>
      <c r="U112" s="28"/>
      <c r="V112" s="25"/>
      <c r="W112" s="15" t="s">
        <v>52</v>
      </c>
      <c r="X112" s="52"/>
    </row>
    <row r="113" spans="1:24" ht="20.45" customHeight="1">
      <c r="A113" s="10"/>
      <c r="B113" s="11"/>
      <c r="C113" s="11"/>
      <c r="D113" s="11"/>
      <c r="E113" s="12"/>
      <c r="F113" s="11"/>
      <c r="G113" s="11"/>
      <c r="H113" s="11"/>
      <c r="I113" s="11"/>
      <c r="J113" s="11"/>
      <c r="K113" s="11"/>
      <c r="L113" s="11"/>
      <c r="M113" s="25"/>
      <c r="N113" s="28"/>
      <c r="O113" s="25"/>
      <c r="P113" s="25"/>
      <c r="Q113" s="25"/>
      <c r="R113" s="28"/>
      <c r="S113" s="25"/>
      <c r="T113" s="25"/>
      <c r="U113" s="28"/>
      <c r="V113" s="25"/>
      <c r="W113" s="15"/>
      <c r="X113" s="52"/>
    </row>
    <row r="114" spans="1:24" ht="20.45" customHeight="1">
      <c r="A114" s="10"/>
      <c r="B114" s="11"/>
      <c r="C114" s="11"/>
      <c r="D114" s="11"/>
      <c r="E114" s="12"/>
      <c r="F114" s="11"/>
      <c r="G114" s="11"/>
      <c r="H114" s="11"/>
      <c r="I114" s="11"/>
      <c r="J114" s="11"/>
      <c r="K114" s="11"/>
      <c r="L114" s="11"/>
      <c r="M114" s="25"/>
      <c r="N114" s="28"/>
      <c r="O114" s="25"/>
      <c r="P114" s="25"/>
      <c r="Q114" s="28"/>
      <c r="R114" s="28"/>
      <c r="S114" s="25"/>
      <c r="T114" s="25"/>
      <c r="U114" s="28"/>
      <c r="V114" s="28"/>
      <c r="W114" s="15"/>
      <c r="X114" s="52"/>
    </row>
    <row r="115" spans="1:24" ht="20.45" customHeight="1" thickBot="1">
      <c r="A115" s="10"/>
      <c r="B115" s="11"/>
      <c r="C115" s="11"/>
      <c r="D115" s="11"/>
      <c r="E115" s="12"/>
      <c r="F115" s="11"/>
      <c r="G115" s="11"/>
      <c r="H115" s="11"/>
      <c r="I115" s="11"/>
      <c r="J115" s="11"/>
      <c r="K115" s="11"/>
      <c r="L115" s="11"/>
      <c r="M115" s="25"/>
      <c r="N115" s="28"/>
      <c r="O115" s="25"/>
      <c r="P115" s="28"/>
      <c r="Q115" s="25"/>
      <c r="R115" s="28"/>
      <c r="S115" s="25"/>
      <c r="T115" s="25"/>
      <c r="U115" s="28"/>
      <c r="V115" s="28"/>
      <c r="W115" s="27"/>
      <c r="X115" s="52"/>
    </row>
    <row r="116" spans="1:24" ht="20.45" customHeight="1">
      <c r="A116" s="1" t="s">
        <v>301</v>
      </c>
      <c r="B116" s="6"/>
      <c r="C116" s="6"/>
      <c r="D116" s="6"/>
      <c r="E116" s="20"/>
      <c r="F116" s="6"/>
      <c r="G116" s="6"/>
      <c r="H116" s="6"/>
      <c r="I116" s="6"/>
      <c r="J116" s="6"/>
      <c r="K116" s="6"/>
      <c r="L116" s="6"/>
      <c r="M116" s="6" t="s">
        <v>12</v>
      </c>
      <c r="N116" s="6" t="s">
        <v>155</v>
      </c>
      <c r="O116" s="6" t="s">
        <v>305</v>
      </c>
      <c r="P116" s="6" t="s">
        <v>158</v>
      </c>
      <c r="Q116" s="22" t="s">
        <v>32</v>
      </c>
      <c r="R116" s="6"/>
      <c r="S116" s="6"/>
      <c r="T116" s="6"/>
      <c r="U116" s="6"/>
      <c r="V116" s="23"/>
      <c r="W116" s="35"/>
      <c r="X116" s="52"/>
    </row>
    <row r="117" spans="1:24" ht="20.45" customHeight="1">
      <c r="A117" s="10" t="s">
        <v>95</v>
      </c>
      <c r="B117" s="11">
        <v>1.0243055555555556E-2</v>
      </c>
      <c r="C117" s="11">
        <v>2.9513888888888888E-3</v>
      </c>
      <c r="D117" s="11">
        <f>B117*E117</f>
        <v>5.9594097222222218E-3</v>
      </c>
      <c r="E117" s="12">
        <v>0.58179999999999998</v>
      </c>
      <c r="F117" s="11">
        <f>C117/4</f>
        <v>7.378472222222222E-4</v>
      </c>
      <c r="G117" s="11">
        <f>D117/7.5</f>
        <v>7.9458796296296287E-4</v>
      </c>
      <c r="H117" s="11">
        <f>B117/12.5</f>
        <v>8.1944444444444447E-4</v>
      </c>
      <c r="I117" s="11">
        <f>G117/0.93</f>
        <v>8.5439565909996003E-4</v>
      </c>
      <c r="J117" s="11">
        <f>G117/0.92</f>
        <v>8.636825684380031E-4</v>
      </c>
      <c r="K117" s="11">
        <f>G117/0.88</f>
        <v>9.0294086700336686E-4</v>
      </c>
      <c r="L117" s="11">
        <f>G117/0.84</f>
        <v>9.4593805114638445E-4</v>
      </c>
      <c r="M117" s="25">
        <f>WO2025Jan7men119151719232529313335394143454749555759636567697173757779131719[[#This Row],[Thresh]]</f>
        <v>9.0294086700336686E-4</v>
      </c>
      <c r="N117" s="28">
        <f>WO2025Jan7men119151719232529313335394143454749555759636567697173757779131719[[#This Row],[Thresh]]*2</f>
        <v>1.8058817340067337E-3</v>
      </c>
      <c r="O117" s="25">
        <f>WO2025Jan7men119151719232529313335394143454749555759636567697173757779131719[[#This Row],[I]]</f>
        <v>8.1944444444444447E-4</v>
      </c>
      <c r="P117" s="28">
        <f>WO2025Jan7men119151719232529313335394143454749555759636567697173757779131719[[#This Row],[VO2]]</f>
        <v>7.9458796296296287E-4</v>
      </c>
      <c r="Q117" s="25">
        <f>WO2025Jan7men119151719232529313335394143454749555759636567697173757779131719[[#This Row],[R]]</f>
        <v>7.378472222222222E-4</v>
      </c>
      <c r="R117" s="28"/>
      <c r="S117" s="25"/>
      <c r="T117" s="28"/>
      <c r="U117" s="28"/>
      <c r="V117" s="25"/>
      <c r="W117" s="15" t="s">
        <v>48</v>
      </c>
      <c r="X117" s="52"/>
    </row>
    <row r="118" spans="1:24" ht="20.45" customHeight="1">
      <c r="A118" s="10" t="s">
        <v>96</v>
      </c>
      <c r="B118" s="11">
        <v>1.0648148148148148E-2</v>
      </c>
      <c r="C118" s="11">
        <v>2.9513888888888888E-3</v>
      </c>
      <c r="D118" s="11">
        <f t="shared" ref="D118:D123" si="48">B118*E118</f>
        <v>6.1950925925925923E-3</v>
      </c>
      <c r="E118" s="12">
        <v>0.58179999999999998</v>
      </c>
      <c r="F118" s="11">
        <f t="shared" ref="F118:F123" si="49">C118/4</f>
        <v>7.378472222222222E-4</v>
      </c>
      <c r="G118" s="11">
        <f t="shared" ref="G118:G123" si="50">D118/7.5</f>
        <v>8.2601234567901232E-4</v>
      </c>
      <c r="H118" s="11">
        <f t="shared" ref="H118:H123" si="51">B118/12.5</f>
        <v>8.5185185185185179E-4</v>
      </c>
      <c r="I118" s="11">
        <f t="shared" ref="I118:I123" si="52">G118/0.93</f>
        <v>8.8818531793442184E-4</v>
      </c>
      <c r="J118" s="11">
        <f t="shared" ref="J118:J123" si="53">G118/0.92</f>
        <v>8.9783950617283942E-4</v>
      </c>
      <c r="K118" s="11">
        <f t="shared" ref="K118:K123" si="54">G118/0.88</f>
        <v>9.3865039281705945E-4</v>
      </c>
      <c r="L118" s="17">
        <f t="shared" ref="L118:L123" si="55">G118/0.84</f>
        <v>9.833480305702527E-4</v>
      </c>
      <c r="M118" s="25">
        <f>WO2025Jan7men119151719232529313335394143454749555759636567697173757779131719[[#This Row],[Thresh]]</f>
        <v>9.3865039281705945E-4</v>
      </c>
      <c r="N118" s="28">
        <f>WO2025Jan7men119151719232529313335394143454749555759636567697173757779131719[[#This Row],[Thresh]]*2</f>
        <v>1.8773007856341189E-3</v>
      </c>
      <c r="O118" s="25">
        <f>WO2025Jan7men119151719232529313335394143454749555759636567697173757779131719[[#This Row],[I]]</f>
        <v>8.5185185185185179E-4</v>
      </c>
      <c r="P118" s="28">
        <f>WO2025Jan7men119151719232529313335394143454749555759636567697173757779131719[[#This Row],[VO2]]</f>
        <v>8.2601234567901232E-4</v>
      </c>
      <c r="Q118" s="25">
        <f>WO2025Jan7men119151719232529313335394143454749555759636567697173757779131719[[#This Row],[R]]</f>
        <v>7.378472222222222E-4</v>
      </c>
      <c r="R118" s="28"/>
      <c r="S118" s="25"/>
      <c r="T118" s="28"/>
      <c r="U118" s="28"/>
      <c r="V118" s="25"/>
      <c r="W118" s="15" t="s">
        <v>48</v>
      </c>
      <c r="X118" s="50"/>
    </row>
    <row r="119" spans="1:24" ht="20.45" customHeight="1">
      <c r="A119" s="10" t="s">
        <v>97</v>
      </c>
      <c r="B119" s="11">
        <v>1.0763888888888889E-2</v>
      </c>
      <c r="C119" s="11">
        <v>2.9513888888888888E-3</v>
      </c>
      <c r="D119" s="11">
        <f>B119*E119</f>
        <v>6.2624305555555549E-3</v>
      </c>
      <c r="E119" s="12">
        <v>0.58179999999999998</v>
      </c>
      <c r="F119" s="11">
        <f>C119/4</f>
        <v>7.378472222222222E-4</v>
      </c>
      <c r="G119" s="11">
        <f>D119/7.5</f>
        <v>8.3499074074074064E-4</v>
      </c>
      <c r="H119" s="11">
        <f>B119/12.5</f>
        <v>8.611111111111111E-4</v>
      </c>
      <c r="I119" s="11">
        <f>G119/0.93</f>
        <v>8.9783950617283931E-4</v>
      </c>
      <c r="J119" s="11">
        <f>G119/0.92</f>
        <v>9.0759863123993545E-4</v>
      </c>
      <c r="K119" s="11">
        <f>G119/0.88</f>
        <v>9.4885311447811432E-4</v>
      </c>
      <c r="L119" s="11">
        <f>G119/0.84</f>
        <v>9.9403659611992947E-4</v>
      </c>
      <c r="M119" s="25">
        <f>WO2025Jan7men119151719232529313335394143454749555759636567697173757779131719[[#This Row],[Thresh]]</f>
        <v>9.4885311447811432E-4</v>
      </c>
      <c r="N119" s="28">
        <f>WO2025Jan7men119151719232529313335394143454749555759636567697173757779131719[[#This Row],[Thresh]]*2</f>
        <v>1.8977062289562286E-3</v>
      </c>
      <c r="O119" s="25">
        <f>WO2025Jan7men119151719232529313335394143454749555759636567697173757779131719[[#This Row],[I]]</f>
        <v>8.611111111111111E-4</v>
      </c>
      <c r="P119" s="28">
        <f>WO2025Jan7men119151719232529313335394143454749555759636567697173757779131719[[#This Row],[VO2]]</f>
        <v>8.3499074074074064E-4</v>
      </c>
      <c r="Q119" s="25">
        <f>WO2025Jan7men119151719232529313335394143454749555759636567697173757779131719[[#This Row],[R]]</f>
        <v>7.378472222222222E-4</v>
      </c>
      <c r="R119" s="28"/>
      <c r="S119" s="25"/>
      <c r="T119" s="28"/>
      <c r="U119" s="28"/>
      <c r="V119" s="25"/>
      <c r="W119" s="15" t="s">
        <v>48</v>
      </c>
      <c r="X119" s="50"/>
    </row>
    <row r="120" spans="1:24" ht="20.45" customHeight="1">
      <c r="A120" s="10" t="s">
        <v>101</v>
      </c>
      <c r="B120" s="11">
        <v>1.1111111111111112E-2</v>
      </c>
      <c r="C120" s="11">
        <v>3.0671296296296297E-3</v>
      </c>
      <c r="D120" s="11">
        <f>B120*E120</f>
        <v>6.4644444444444445E-3</v>
      </c>
      <c r="E120" s="12">
        <v>0.58179999999999998</v>
      </c>
      <c r="F120" s="11">
        <f>C120/4</f>
        <v>7.6678240740740743E-4</v>
      </c>
      <c r="G120" s="11">
        <f>D120/7.5</f>
        <v>8.6192592592592592E-4</v>
      </c>
      <c r="H120" s="11">
        <f>B120/12.5</f>
        <v>8.8888888888888893E-4</v>
      </c>
      <c r="I120" s="11">
        <f>G120/0.93</f>
        <v>9.2680207088809239E-4</v>
      </c>
      <c r="J120" s="11">
        <f>G120/0.92</f>
        <v>9.3687600644122375E-4</v>
      </c>
      <c r="K120" s="11">
        <f>G120/0.88</f>
        <v>9.7946127946127947E-4</v>
      </c>
      <c r="L120" s="11">
        <f>G120/0.84</f>
        <v>1.0261022927689596E-3</v>
      </c>
      <c r="M120" s="25">
        <f>WO2025Jan7men119151719232529313335394143454749555759636567697173757779131719[[#This Row],[Thresh]]</f>
        <v>9.7946127946127947E-4</v>
      </c>
      <c r="N120" s="28">
        <f>WO2025Jan7men119151719232529313335394143454749555759636567697173757779131719[[#This Row],[Thresh]]*2</f>
        <v>1.9589225589225589E-3</v>
      </c>
      <c r="O120" s="25">
        <f>WO2025Jan7men119151719232529313335394143454749555759636567697173757779131719[[#This Row],[I]]</f>
        <v>8.8888888888888893E-4</v>
      </c>
      <c r="P120" s="28">
        <f>WO2025Jan7men119151719232529313335394143454749555759636567697173757779131719[[#This Row],[VO2]]</f>
        <v>8.6192592592592592E-4</v>
      </c>
      <c r="Q120" s="25">
        <f>WO2025Jan7men119151719232529313335394143454749555759636567697173757779131719[[#This Row],[R]]</f>
        <v>7.6678240740740743E-4</v>
      </c>
      <c r="R120" s="28"/>
      <c r="S120" s="25"/>
      <c r="T120" s="28"/>
      <c r="U120" s="28"/>
      <c r="V120" s="25"/>
      <c r="W120" s="15" t="s">
        <v>48</v>
      </c>
      <c r="X120" s="50"/>
    </row>
    <row r="121" spans="1:24" ht="20.45" customHeight="1">
      <c r="A121" s="10" t="s">
        <v>98</v>
      </c>
      <c r="B121" s="11">
        <v>1.1111111111111112E-2</v>
      </c>
      <c r="C121" s="11">
        <v>3.0671296296296297E-3</v>
      </c>
      <c r="D121" s="11">
        <f>B121*E121</f>
        <v>6.4644444444444445E-3</v>
      </c>
      <c r="E121" s="12">
        <v>0.58179999999999998</v>
      </c>
      <c r="F121" s="11">
        <f>C121/4</f>
        <v>7.6678240740740743E-4</v>
      </c>
      <c r="G121" s="11">
        <f>D121/7.5</f>
        <v>8.6192592592592592E-4</v>
      </c>
      <c r="H121" s="11">
        <f>B121/12.5</f>
        <v>8.8888888888888893E-4</v>
      </c>
      <c r="I121" s="11">
        <f>G121/0.93</f>
        <v>9.2680207088809239E-4</v>
      </c>
      <c r="J121" s="11">
        <f>G121/0.92</f>
        <v>9.3687600644122375E-4</v>
      </c>
      <c r="K121" s="11">
        <f>G121/0.88</f>
        <v>9.7946127946127947E-4</v>
      </c>
      <c r="L121" s="11">
        <f>G121/0.84</f>
        <v>1.0261022927689596E-3</v>
      </c>
      <c r="M121" s="25">
        <f>WO2025Jan7men119151719232529313335394143454749555759636567697173757779131719[[#This Row],[Thresh]]</f>
        <v>9.7946127946127947E-4</v>
      </c>
      <c r="N121" s="28">
        <f>WO2025Jan7men119151719232529313335394143454749555759636567697173757779131719[[#This Row],[Thresh]]*2</f>
        <v>1.9589225589225589E-3</v>
      </c>
      <c r="O121" s="25">
        <f>WO2025Jan7men119151719232529313335394143454749555759636567697173757779131719[[#This Row],[I]]</f>
        <v>8.8888888888888893E-4</v>
      </c>
      <c r="P121" s="28">
        <f>WO2025Jan7men119151719232529313335394143454749555759636567697173757779131719[[#This Row],[VO2]]</f>
        <v>8.6192592592592592E-4</v>
      </c>
      <c r="Q121" s="25">
        <f>WO2025Jan7men119151719232529313335394143454749555759636567697173757779131719[[#This Row],[R]]</f>
        <v>7.6678240740740743E-4</v>
      </c>
      <c r="R121" s="28"/>
      <c r="S121" s="25"/>
      <c r="T121" s="25"/>
      <c r="U121" s="28"/>
      <c r="V121" s="28"/>
      <c r="W121" s="27" t="s">
        <v>48</v>
      </c>
      <c r="X121" s="50"/>
    </row>
    <row r="122" spans="1:24" ht="20.45" customHeight="1">
      <c r="A122" s="10" t="s">
        <v>103</v>
      </c>
      <c r="B122" s="11">
        <v>1.1111111111111112E-2</v>
      </c>
      <c r="C122" s="11">
        <v>3.0671296296296297E-3</v>
      </c>
      <c r="D122" s="11">
        <f t="shared" si="48"/>
        <v>6.4644444444444445E-3</v>
      </c>
      <c r="E122" s="12">
        <v>0.58179999999999998</v>
      </c>
      <c r="F122" s="11">
        <f t="shared" si="49"/>
        <v>7.6678240740740743E-4</v>
      </c>
      <c r="G122" s="11">
        <f t="shared" si="50"/>
        <v>8.6192592592592592E-4</v>
      </c>
      <c r="H122" s="11">
        <f t="shared" si="51"/>
        <v>8.8888888888888893E-4</v>
      </c>
      <c r="I122" s="11">
        <f t="shared" si="52"/>
        <v>9.2680207088809239E-4</v>
      </c>
      <c r="J122" s="11">
        <f t="shared" si="53"/>
        <v>9.3687600644122375E-4</v>
      </c>
      <c r="K122" s="11">
        <f t="shared" si="54"/>
        <v>9.7946127946127947E-4</v>
      </c>
      <c r="L122" s="17">
        <f t="shared" si="55"/>
        <v>1.0261022927689596E-3</v>
      </c>
      <c r="M122" s="25">
        <f>WO2025Jan7men119151719232529313335394143454749555759636567697173757779131719[[#This Row],[Thresh]]</f>
        <v>9.7946127946127947E-4</v>
      </c>
      <c r="N122" s="28">
        <f>WO2025Jan7men119151719232529313335394143454749555759636567697173757779131719[[#This Row],[Thresh]]*2</f>
        <v>1.9589225589225589E-3</v>
      </c>
      <c r="O122" s="25">
        <f>WO2025Jan7men119151719232529313335394143454749555759636567697173757779131719[[#This Row],[I]]</f>
        <v>8.8888888888888893E-4</v>
      </c>
      <c r="P122" s="28">
        <f>WO2025Jan7men119151719232529313335394143454749555759636567697173757779131719[[#This Row],[VO2]]</f>
        <v>8.6192592592592592E-4</v>
      </c>
      <c r="Q122" s="25">
        <f>WO2025Jan7men119151719232529313335394143454749555759636567697173757779131719[[#This Row],[R]]</f>
        <v>7.6678240740740743E-4</v>
      </c>
      <c r="R122" s="28"/>
      <c r="S122" s="25"/>
      <c r="T122" s="28"/>
      <c r="U122" s="28"/>
      <c r="V122" s="25"/>
      <c r="W122" s="15" t="s">
        <v>48</v>
      </c>
      <c r="X122" s="50"/>
    </row>
    <row r="123" spans="1:24" ht="20.45" customHeight="1">
      <c r="A123" s="10" t="s">
        <v>104</v>
      </c>
      <c r="B123" s="11">
        <v>1.1458333333333333E-2</v>
      </c>
      <c r="C123" s="11">
        <v>3.2986111111111111E-3</v>
      </c>
      <c r="D123" s="11">
        <f t="shared" si="48"/>
        <v>6.6664583333333324E-3</v>
      </c>
      <c r="E123" s="12">
        <v>0.58179999999999998</v>
      </c>
      <c r="F123" s="11">
        <f t="shared" si="49"/>
        <v>8.2465277777777778E-4</v>
      </c>
      <c r="G123" s="11">
        <f t="shared" si="50"/>
        <v>8.8886111111111099E-4</v>
      </c>
      <c r="H123" s="11">
        <f t="shared" si="51"/>
        <v>9.1666666666666665E-4</v>
      </c>
      <c r="I123" s="11">
        <f t="shared" si="52"/>
        <v>9.5576463560334514E-4</v>
      </c>
      <c r="J123" s="11">
        <f t="shared" si="53"/>
        <v>9.6615338164251195E-4</v>
      </c>
      <c r="K123" s="11">
        <f t="shared" si="54"/>
        <v>1.0100694444444443E-3</v>
      </c>
      <c r="L123" s="11">
        <f t="shared" si="55"/>
        <v>1.0581679894179892E-3</v>
      </c>
      <c r="M123" s="25">
        <f>WO2025Jan7men119151719232529313335394143454749555759636567697173757779131719[[#This Row],[Thresh]]</f>
        <v>1.0100694444444443E-3</v>
      </c>
      <c r="N123" s="28">
        <f>WO2025Jan7men119151719232529313335394143454749555759636567697173757779131719[[#This Row],[Thresh]]*2</f>
        <v>2.0201388888888886E-3</v>
      </c>
      <c r="O123" s="25">
        <f>WO2025Jan7men119151719232529313335394143454749555759636567697173757779131719[[#This Row],[I]]</f>
        <v>9.1666666666666665E-4</v>
      </c>
      <c r="P123" s="28">
        <f>WO2025Jan7men119151719232529313335394143454749555759636567697173757779131719[[#This Row],[VO2]]</f>
        <v>8.8886111111111099E-4</v>
      </c>
      <c r="Q123" s="25">
        <f>WO2025Jan7men119151719232529313335394143454749555759636567697173757779131719[[#This Row],[R]]</f>
        <v>8.2465277777777778E-4</v>
      </c>
      <c r="R123" s="28"/>
      <c r="S123" s="25"/>
      <c r="T123" s="28"/>
      <c r="U123" s="28"/>
      <c r="V123" s="25"/>
      <c r="W123" s="15" t="s">
        <v>48</v>
      </c>
      <c r="X123" s="50"/>
    </row>
    <row r="124" spans="1:24" ht="20.45" customHeight="1">
      <c r="A124" s="10" t="s">
        <v>99</v>
      </c>
      <c r="B124" s="11">
        <v>1.1458333333333333E-2</v>
      </c>
      <c r="C124" s="11">
        <v>3.0092592592592593E-3</v>
      </c>
      <c r="D124" s="11">
        <f>B124*E124</f>
        <v>6.6664583333333324E-3</v>
      </c>
      <c r="E124" s="12">
        <v>0.58179999999999998</v>
      </c>
      <c r="F124" s="11">
        <f>C124/4</f>
        <v>7.5231481481481482E-4</v>
      </c>
      <c r="G124" s="11">
        <f>D124/7.5</f>
        <v>8.8886111111111099E-4</v>
      </c>
      <c r="H124" s="11">
        <f>B124/12.5</f>
        <v>9.1666666666666665E-4</v>
      </c>
      <c r="I124" s="11">
        <f>G124/0.93</f>
        <v>9.5576463560334514E-4</v>
      </c>
      <c r="J124" s="11">
        <f>G124/0.92</f>
        <v>9.6615338164251195E-4</v>
      </c>
      <c r="K124" s="11">
        <f>G124/0.88</f>
        <v>1.0100694444444443E-3</v>
      </c>
      <c r="L124" s="11">
        <f>G124/0.84</f>
        <v>1.0581679894179892E-3</v>
      </c>
      <c r="M124" s="25">
        <f>WO2025Jan7men119151719232529313335394143454749555759636567697173757779131719[[#This Row],[Thresh]]</f>
        <v>1.0100694444444443E-3</v>
      </c>
      <c r="N124" s="28">
        <f>WO2025Jan7men119151719232529313335394143454749555759636567697173757779131719[[#This Row],[Thresh]]*2</f>
        <v>2.0201388888888886E-3</v>
      </c>
      <c r="O124" s="25">
        <f>WO2025Jan7men119151719232529313335394143454749555759636567697173757779131719[[#This Row],[I]]</f>
        <v>9.1666666666666665E-4</v>
      </c>
      <c r="P124" s="28">
        <f>WO2025Jan7men119151719232529313335394143454749555759636567697173757779131719[[#This Row],[VO2]]</f>
        <v>8.8886111111111099E-4</v>
      </c>
      <c r="Q124" s="25">
        <f>WO2025Jan7men119151719232529313335394143454749555759636567697173757779131719[[#This Row],[R]]</f>
        <v>7.5231481481481482E-4</v>
      </c>
      <c r="R124" s="28"/>
      <c r="S124" s="25"/>
      <c r="T124" s="25"/>
      <c r="U124" s="28"/>
      <c r="V124" s="28"/>
      <c r="W124" s="27" t="s">
        <v>48</v>
      </c>
      <c r="X124" s="50"/>
    </row>
    <row r="125" spans="1:24" ht="20.45" customHeight="1">
      <c r="A125" s="10" t="s">
        <v>102</v>
      </c>
      <c r="B125" s="11">
        <v>1.1458333333333333E-2</v>
      </c>
      <c r="C125" s="11">
        <v>3.0671296296296297E-3</v>
      </c>
      <c r="D125" s="11">
        <f>B125*E125</f>
        <v>6.6664583333333324E-3</v>
      </c>
      <c r="E125" s="12">
        <v>0.58179999999999998</v>
      </c>
      <c r="F125" s="11">
        <f>C125/4</f>
        <v>7.6678240740740743E-4</v>
      </c>
      <c r="G125" s="11">
        <f>D125/7.5</f>
        <v>8.8886111111111099E-4</v>
      </c>
      <c r="H125" s="11">
        <f>B125/12.5</f>
        <v>9.1666666666666665E-4</v>
      </c>
      <c r="I125" s="11">
        <f>G125/0.93</f>
        <v>9.5576463560334514E-4</v>
      </c>
      <c r="J125" s="11">
        <f>G125/0.92</f>
        <v>9.6615338164251195E-4</v>
      </c>
      <c r="K125" s="11">
        <f>G125/0.88</f>
        <v>1.0100694444444443E-3</v>
      </c>
      <c r="L125" s="11">
        <f>G125/0.84</f>
        <v>1.0581679894179892E-3</v>
      </c>
      <c r="M125" s="25">
        <f>WO2025Jan7men119151719232529313335394143454749555759636567697173757779131719[[#This Row],[Thresh]]</f>
        <v>1.0100694444444443E-3</v>
      </c>
      <c r="N125" s="28">
        <f>WO2025Jan7men119151719232529313335394143454749555759636567697173757779131719[[#This Row],[Thresh]]*2</f>
        <v>2.0201388888888886E-3</v>
      </c>
      <c r="O125" s="25">
        <f>WO2025Jan7men119151719232529313335394143454749555759636567697173757779131719[[#This Row],[I]]</f>
        <v>9.1666666666666665E-4</v>
      </c>
      <c r="P125" s="28">
        <f>WO2025Jan7men119151719232529313335394143454749555759636567697173757779131719[[#This Row],[VO2]]</f>
        <v>8.8886111111111099E-4</v>
      </c>
      <c r="Q125" s="25">
        <f>WO2025Jan7men119151719232529313335394143454749555759636567697173757779131719[[#This Row],[R]]</f>
        <v>7.6678240740740743E-4</v>
      </c>
      <c r="R125" s="26"/>
      <c r="S125" s="14"/>
      <c r="T125" s="14"/>
      <c r="U125" s="26"/>
      <c r="V125" s="28"/>
      <c r="W125" s="27" t="s">
        <v>48</v>
      </c>
      <c r="X125" s="50"/>
    </row>
    <row r="126" spans="1:24" ht="20.45" customHeight="1">
      <c r="A126" s="10"/>
      <c r="B126" s="11"/>
      <c r="C126" s="11"/>
      <c r="D126" s="11"/>
      <c r="E126" s="12"/>
      <c r="F126" s="11"/>
      <c r="G126" s="11"/>
      <c r="H126" s="11"/>
      <c r="I126" s="11"/>
      <c r="J126" s="11"/>
      <c r="K126" s="11"/>
      <c r="L126" s="11"/>
      <c r="M126" s="25"/>
      <c r="N126" s="28"/>
      <c r="O126" s="25"/>
      <c r="P126" s="25"/>
      <c r="Q126" s="25"/>
      <c r="R126" s="25"/>
      <c r="S126" s="25"/>
      <c r="T126" s="25"/>
      <c r="U126" s="28"/>
      <c r="V126" s="25"/>
      <c r="W126" s="15"/>
      <c r="X126" s="50"/>
    </row>
    <row r="127" spans="1:24" ht="20.45" customHeight="1">
      <c r="A127" s="10"/>
      <c r="B127" s="11"/>
      <c r="C127" s="11"/>
      <c r="D127" s="11"/>
      <c r="E127" s="12"/>
      <c r="F127" s="11"/>
      <c r="G127" s="11"/>
      <c r="H127" s="11"/>
      <c r="I127" s="11"/>
      <c r="J127" s="11"/>
      <c r="K127" s="11"/>
      <c r="L127" s="11"/>
      <c r="M127" s="25"/>
      <c r="N127" s="28"/>
      <c r="O127" s="25"/>
      <c r="P127" s="25"/>
      <c r="Q127" s="25"/>
      <c r="R127" s="25"/>
      <c r="S127" s="25"/>
      <c r="T127" s="25"/>
      <c r="U127" s="28"/>
      <c r="V127" s="25"/>
      <c r="W127" s="15"/>
      <c r="X127" s="50"/>
    </row>
    <row r="128" spans="1:24" ht="20.45" customHeight="1">
      <c r="A128" s="10"/>
      <c r="B128" s="11"/>
      <c r="C128" s="11"/>
      <c r="D128" s="11"/>
      <c r="E128" s="12"/>
      <c r="F128" s="11"/>
      <c r="G128" s="11"/>
      <c r="H128" s="11"/>
      <c r="I128" s="11"/>
      <c r="J128" s="11"/>
      <c r="K128" s="11"/>
      <c r="L128" s="17"/>
      <c r="M128" s="11"/>
      <c r="N128" s="26"/>
      <c r="P128" s="26"/>
      <c r="Q128" s="26"/>
      <c r="R128" s="26"/>
      <c r="S128" s="14"/>
      <c r="T128" s="14"/>
      <c r="U128" s="26"/>
      <c r="V128" s="38"/>
      <c r="W128" s="31"/>
      <c r="X128" s="50"/>
    </row>
    <row r="129" spans="1:24" ht="20.45" customHeight="1">
      <c r="A129" s="10"/>
      <c r="B129" s="11"/>
      <c r="C129" s="11"/>
      <c r="D129" s="11"/>
      <c r="E129" s="12"/>
      <c r="F129" s="11"/>
      <c r="G129" s="11"/>
      <c r="H129" s="11"/>
      <c r="I129" s="11"/>
      <c r="J129" s="11"/>
      <c r="K129" s="11"/>
      <c r="L129" s="17"/>
      <c r="M129" s="11"/>
      <c r="N129" s="26"/>
      <c r="P129" s="26"/>
      <c r="Q129" s="26"/>
      <c r="R129" s="26"/>
      <c r="S129" s="14"/>
      <c r="T129" s="14"/>
      <c r="U129" s="26"/>
      <c r="V129" s="38"/>
      <c r="W129" s="31"/>
      <c r="X129" s="50"/>
    </row>
    <row r="130" spans="1:24" ht="20.45" customHeight="1">
      <c r="A130" s="10"/>
      <c r="B130" s="11"/>
      <c r="C130" s="11"/>
      <c r="D130" s="11"/>
      <c r="E130" s="12"/>
      <c r="F130" s="11"/>
      <c r="G130" s="11"/>
      <c r="H130" s="11"/>
      <c r="I130" s="11"/>
      <c r="J130" s="11"/>
      <c r="K130" s="11"/>
      <c r="L130" s="11"/>
      <c r="M130" s="25"/>
      <c r="N130" s="28"/>
      <c r="O130" s="25"/>
      <c r="P130" s="25"/>
      <c r="Q130" s="28"/>
      <c r="R130" s="28"/>
      <c r="S130" s="25"/>
      <c r="T130" s="25"/>
      <c r="U130" s="28"/>
      <c r="V130" s="25"/>
      <c r="W130" s="15"/>
      <c r="X130" s="50"/>
    </row>
    <row r="131" spans="1:24" ht="20.45" customHeight="1">
      <c r="A131" s="10"/>
      <c r="B131" s="11"/>
      <c r="C131" s="11"/>
      <c r="D131" s="11"/>
      <c r="E131" s="12"/>
      <c r="F131" s="11"/>
      <c r="G131" s="11"/>
      <c r="H131" s="11"/>
      <c r="I131" s="11"/>
      <c r="J131" s="11"/>
      <c r="K131" s="11"/>
      <c r="L131" s="11"/>
      <c r="M131" s="25"/>
      <c r="N131" s="28"/>
      <c r="O131" s="25"/>
      <c r="P131" s="25"/>
      <c r="Q131" s="25"/>
      <c r="R131" s="25"/>
      <c r="S131" s="25"/>
      <c r="T131" s="25"/>
      <c r="U131" s="28"/>
      <c r="V131" s="25"/>
      <c r="W131" s="15"/>
      <c r="X131" s="50"/>
    </row>
    <row r="132" spans="1:24" ht="20.45" customHeight="1">
      <c r="A132" s="10"/>
      <c r="B132" s="11"/>
      <c r="C132" s="11"/>
      <c r="D132" s="11"/>
      <c r="E132" s="12"/>
      <c r="F132" s="11"/>
      <c r="G132" s="11"/>
      <c r="H132" s="11"/>
      <c r="I132" s="11"/>
      <c r="J132" s="11"/>
      <c r="K132" s="11"/>
      <c r="L132" s="17"/>
      <c r="M132" s="25"/>
      <c r="N132" s="28"/>
      <c r="O132" s="25"/>
      <c r="P132" s="25"/>
      <c r="Q132" s="25"/>
      <c r="R132" s="25"/>
      <c r="S132" s="25"/>
      <c r="T132" s="25"/>
      <c r="U132" s="28"/>
      <c r="V132" s="25"/>
      <c r="W132" s="15"/>
      <c r="X132" s="50"/>
    </row>
    <row r="133" spans="1:24" ht="20.45" customHeight="1">
      <c r="A133" s="10"/>
      <c r="B133" s="11"/>
      <c r="C133" s="11"/>
      <c r="D133" s="11"/>
      <c r="E133" s="12"/>
      <c r="F133" s="11"/>
      <c r="G133" s="11"/>
      <c r="H133" s="11"/>
      <c r="I133" s="11"/>
      <c r="J133" s="11"/>
      <c r="K133" s="11"/>
      <c r="L133" s="11"/>
      <c r="M133" s="25"/>
      <c r="N133" s="28"/>
      <c r="O133" s="25"/>
      <c r="P133" s="25"/>
      <c r="Q133" s="25"/>
      <c r="R133" s="28"/>
      <c r="S133" s="25"/>
      <c r="T133" s="25"/>
      <c r="U133" s="28"/>
      <c r="V133" s="25"/>
      <c r="W133" s="15"/>
      <c r="X133" s="50"/>
    </row>
    <row r="134" spans="1:24" ht="20.45" customHeight="1">
      <c r="A134" s="10"/>
      <c r="B134" s="11"/>
      <c r="C134" s="11"/>
      <c r="D134" s="11"/>
      <c r="E134" s="12"/>
      <c r="F134" s="11"/>
      <c r="G134" s="11"/>
      <c r="H134" s="11"/>
      <c r="I134" s="11"/>
      <c r="J134" s="11"/>
      <c r="K134" s="11"/>
      <c r="L134" s="17"/>
      <c r="M134" s="25"/>
      <c r="N134" s="28"/>
      <c r="O134" s="25"/>
      <c r="P134" s="25"/>
      <c r="Q134" s="25"/>
      <c r="R134" s="25"/>
      <c r="S134" s="25"/>
      <c r="T134" s="25"/>
      <c r="U134" s="28"/>
      <c r="V134" s="25"/>
      <c r="W134" s="15"/>
      <c r="X134" s="50"/>
    </row>
    <row r="135" spans="1:24" ht="20.45" customHeight="1">
      <c r="A135" s="10"/>
      <c r="B135" s="11"/>
      <c r="C135" s="11"/>
      <c r="D135" s="11"/>
      <c r="E135" s="12"/>
      <c r="F135" s="11"/>
      <c r="G135" s="11"/>
      <c r="H135" s="11"/>
      <c r="I135" s="11"/>
      <c r="J135" s="11"/>
      <c r="K135" s="11"/>
      <c r="L135" s="11"/>
      <c r="M135" s="25"/>
      <c r="N135" s="28"/>
      <c r="O135" s="25"/>
      <c r="P135" s="25"/>
      <c r="Q135" s="25"/>
      <c r="R135" s="28"/>
      <c r="S135" s="25"/>
      <c r="T135" s="25"/>
      <c r="U135" s="28"/>
      <c r="V135" s="25"/>
      <c r="W135" s="15"/>
      <c r="X135" s="50"/>
    </row>
    <row r="136" spans="1:24" ht="20.45" customHeight="1">
      <c r="A136" s="10"/>
      <c r="B136" s="11"/>
      <c r="C136" s="11"/>
      <c r="D136" s="11"/>
      <c r="E136" s="12"/>
      <c r="F136" s="11"/>
      <c r="G136" s="11"/>
      <c r="H136" s="11"/>
      <c r="I136" s="11"/>
      <c r="J136" s="11"/>
      <c r="K136" s="11"/>
      <c r="L136" s="17"/>
      <c r="M136" s="25"/>
      <c r="N136" s="28"/>
      <c r="O136" s="25"/>
      <c r="P136" s="25"/>
      <c r="Q136" s="25"/>
      <c r="R136" s="28"/>
      <c r="S136" s="25"/>
      <c r="T136" s="25"/>
      <c r="U136" s="28"/>
      <c r="V136" s="25"/>
      <c r="W136" s="15"/>
      <c r="X136" s="50"/>
    </row>
    <row r="137" spans="1:24" ht="20.45" customHeight="1">
      <c r="A137" s="10"/>
      <c r="B137" s="11"/>
      <c r="C137" s="11"/>
      <c r="D137" s="11"/>
      <c r="E137" s="12"/>
      <c r="F137" s="11"/>
      <c r="G137" s="11"/>
      <c r="H137" s="11"/>
      <c r="I137" s="11"/>
      <c r="J137" s="11"/>
      <c r="K137" s="11"/>
      <c r="L137" s="11"/>
      <c r="M137" s="25"/>
      <c r="N137" s="28"/>
      <c r="O137" s="25"/>
      <c r="P137" s="25"/>
      <c r="Q137" s="28"/>
      <c r="R137" s="28"/>
      <c r="S137" s="25"/>
      <c r="T137" s="25"/>
      <c r="U137" s="28"/>
      <c r="V137" s="25"/>
      <c r="W137" s="15"/>
      <c r="X137" s="50"/>
    </row>
    <row r="138" spans="1:24" ht="20.45" customHeight="1">
      <c r="A138" s="10"/>
      <c r="B138" s="11"/>
      <c r="C138" s="11"/>
      <c r="D138" s="11"/>
      <c r="E138" s="12"/>
      <c r="F138" s="11"/>
      <c r="G138" s="11"/>
      <c r="H138" s="11"/>
      <c r="I138" s="11"/>
      <c r="J138" s="11"/>
      <c r="K138" s="11"/>
      <c r="L138" s="11"/>
      <c r="M138" s="25"/>
      <c r="N138" s="28"/>
      <c r="O138" s="25"/>
      <c r="P138" s="28"/>
      <c r="Q138" s="25"/>
      <c r="R138" s="28"/>
      <c r="S138" s="25"/>
      <c r="T138" s="28"/>
      <c r="U138" s="28"/>
      <c r="V138" s="25"/>
      <c r="W138" s="15"/>
      <c r="X138" s="51"/>
    </row>
    <row r="139" spans="1:24" ht="20.45" customHeight="1">
      <c r="A139" s="10"/>
      <c r="B139" s="11"/>
      <c r="C139" s="11"/>
      <c r="D139" s="11"/>
      <c r="E139" s="12"/>
      <c r="F139" s="11"/>
      <c r="G139" s="11"/>
      <c r="H139" s="11"/>
      <c r="I139" s="11"/>
      <c r="J139" s="11"/>
      <c r="K139" s="11"/>
      <c r="L139" s="11"/>
      <c r="M139" s="25"/>
      <c r="N139" s="28"/>
      <c r="O139" s="25"/>
      <c r="P139" s="25"/>
      <c r="Q139" s="25"/>
      <c r="R139" s="25"/>
      <c r="S139" s="25"/>
      <c r="T139" s="25"/>
      <c r="U139" s="28"/>
      <c r="V139" s="25"/>
      <c r="W139" s="15"/>
      <c r="X139" s="51"/>
    </row>
    <row r="140" spans="1:24" ht="20.45" customHeight="1">
      <c r="A140" s="10"/>
      <c r="B140" s="11"/>
      <c r="C140" s="11"/>
      <c r="D140" s="11"/>
      <c r="E140" s="12"/>
      <c r="F140" s="11"/>
      <c r="G140" s="11"/>
      <c r="H140" s="11"/>
      <c r="I140" s="11"/>
      <c r="J140" s="11"/>
      <c r="K140" s="11"/>
      <c r="L140" s="17"/>
      <c r="M140" s="25"/>
      <c r="N140" s="28"/>
      <c r="O140" s="25"/>
      <c r="P140" s="28"/>
      <c r="Q140" s="25"/>
      <c r="R140" s="28"/>
      <c r="S140" s="25"/>
      <c r="T140" s="25"/>
      <c r="U140" s="28"/>
      <c r="V140" s="28"/>
      <c r="W140" s="27"/>
      <c r="X140" s="51"/>
    </row>
    <row r="141" spans="1:24" ht="20.45" customHeight="1">
      <c r="A141" s="10"/>
      <c r="B141" s="11"/>
      <c r="C141" s="11"/>
      <c r="D141" s="11"/>
      <c r="E141" s="12"/>
      <c r="F141" s="11"/>
      <c r="G141" s="11"/>
      <c r="H141" s="11"/>
      <c r="I141" s="11"/>
      <c r="J141" s="11"/>
      <c r="K141" s="11"/>
      <c r="L141" s="11"/>
      <c r="M141" s="11"/>
      <c r="N141" s="26"/>
      <c r="P141" s="26"/>
      <c r="Q141" s="26"/>
      <c r="R141" s="26"/>
      <c r="S141" s="14"/>
      <c r="T141" s="14"/>
      <c r="U141" s="26"/>
      <c r="V141" s="28"/>
      <c r="W141" s="27"/>
      <c r="X141" s="51"/>
    </row>
    <row r="142" spans="1:24" ht="20.100000000000001" customHeight="1">
      <c r="A142" s="10"/>
      <c r="B142" s="11"/>
      <c r="C142" s="11"/>
      <c r="D142" s="11">
        <f>B142*E142</f>
        <v>0</v>
      </c>
      <c r="E142" s="12"/>
      <c r="F142" s="11">
        <f>C142/4</f>
        <v>0</v>
      </c>
      <c r="G142" s="11">
        <f>D142/7.5</f>
        <v>0</v>
      </c>
      <c r="H142" s="11">
        <f>B142/12.5</f>
        <v>0</v>
      </c>
      <c r="I142" s="11">
        <f>G142/0.93</f>
        <v>0</v>
      </c>
      <c r="J142" s="11">
        <f>G142/0.92</f>
        <v>0</v>
      </c>
      <c r="K142" s="11">
        <f>G142/0.88</f>
        <v>0</v>
      </c>
      <c r="L142" s="17">
        <f>G142/0.84</f>
        <v>0</v>
      </c>
      <c r="M142" s="11"/>
      <c r="N142" s="26"/>
      <c r="P142" s="26"/>
      <c r="Q142" s="26"/>
      <c r="R142" s="26"/>
      <c r="S142" s="14"/>
      <c r="T142" s="14"/>
      <c r="U142" s="26"/>
      <c r="V142" s="38"/>
      <c r="W142" s="31"/>
      <c r="X142" s="51"/>
    </row>
    <row r="143" spans="1:24" ht="20.100000000000001" customHeight="1">
      <c r="A143" s="10"/>
      <c r="B143" s="11"/>
      <c r="C143" s="11"/>
      <c r="D143" s="11">
        <f>B143*E143</f>
        <v>0</v>
      </c>
      <c r="E143" s="12"/>
      <c r="F143" s="11">
        <f>C143/4</f>
        <v>0</v>
      </c>
      <c r="G143" s="11">
        <f>D143/7.5</f>
        <v>0</v>
      </c>
      <c r="H143" s="11">
        <f>B143/12.5</f>
        <v>0</v>
      </c>
      <c r="I143" s="11">
        <f>G143/0.93</f>
        <v>0</v>
      </c>
      <c r="J143" s="11">
        <f>G143/0.92</f>
        <v>0</v>
      </c>
      <c r="K143" s="11">
        <f>G143/0.88</f>
        <v>0</v>
      </c>
      <c r="L143" s="17">
        <f>G143/0.84</f>
        <v>0</v>
      </c>
      <c r="M143" s="11"/>
      <c r="N143" s="26"/>
      <c r="P143" s="26"/>
      <c r="Q143" s="26"/>
      <c r="R143" s="26"/>
      <c r="S143" s="14"/>
      <c r="T143" s="14"/>
      <c r="U143" s="26"/>
      <c r="V143" s="38"/>
      <c r="W143" s="31"/>
      <c r="X143" s="51"/>
    </row>
    <row r="144" spans="1:24" ht="20.100000000000001" customHeight="1">
      <c r="A144" s="10"/>
      <c r="B144" s="11"/>
      <c r="C144" s="11"/>
      <c r="D144" s="11">
        <f>B144*E144</f>
        <v>0</v>
      </c>
      <c r="E144" s="12"/>
      <c r="F144" s="11">
        <f>C144/4</f>
        <v>0</v>
      </c>
      <c r="G144" s="11">
        <f>D144/7.5</f>
        <v>0</v>
      </c>
      <c r="H144" s="11">
        <f>B144/12.5</f>
        <v>0</v>
      </c>
      <c r="I144" s="11">
        <f>G144/0.93</f>
        <v>0</v>
      </c>
      <c r="J144" s="11">
        <f>G144/0.92</f>
        <v>0</v>
      </c>
      <c r="K144" s="11">
        <f>G144/0.88</f>
        <v>0</v>
      </c>
      <c r="L144" s="17">
        <f>G144/0.84</f>
        <v>0</v>
      </c>
      <c r="M144" s="11"/>
      <c r="N144" s="26"/>
      <c r="P144" s="26"/>
      <c r="Q144" s="26"/>
      <c r="R144" s="26"/>
      <c r="S144" s="14"/>
      <c r="T144" s="14"/>
      <c r="U144" s="26"/>
      <c r="V144" s="38"/>
      <c r="W144" s="31"/>
      <c r="X144" s="51"/>
    </row>
  </sheetData>
  <mergeCells count="15">
    <mergeCell ref="X118:X127"/>
    <mergeCell ref="X128:X137"/>
    <mergeCell ref="X138:X144"/>
    <mergeCell ref="X58:X67"/>
    <mergeCell ref="X68:X77"/>
    <mergeCell ref="X78:X87"/>
    <mergeCell ref="X88:X97"/>
    <mergeCell ref="X98:X107"/>
    <mergeCell ref="X108:X117"/>
    <mergeCell ref="X51:X57"/>
    <mergeCell ref="X1:X10"/>
    <mergeCell ref="X11:X20"/>
    <mergeCell ref="X21:X30"/>
    <mergeCell ref="X31:X40"/>
    <mergeCell ref="X41:X50"/>
  </mergeCells>
  <pageMargins left="0.25" right="0.25" top="0.25" bottom="0.25" header="0" footer="0"/>
  <pageSetup scale="95" fitToHeight="0" orientation="landscape" r:id="rId1"/>
  <tableParts count="2">
    <tablePart r:id="rId2"/>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87EF8-3571-4209-B398-3D1C34622D2D}">
  <sheetPr>
    <pageSetUpPr fitToPage="1"/>
  </sheetPr>
  <dimension ref="A1:Z144"/>
  <sheetViews>
    <sheetView zoomScale="85" zoomScaleNormal="85" workbookViewId="0">
      <selection activeCell="O33" sqref="O33"/>
    </sheetView>
  </sheetViews>
  <sheetFormatPr defaultColWidth="8.7109375" defaultRowHeight="14.45"/>
  <cols>
    <col min="1" max="1" width="19.5703125" customWidth="1"/>
    <col min="2" max="2" width="8.7109375" style="29" hidden="1" customWidth="1"/>
    <col min="3" max="3" width="10.140625" hidden="1" customWidth="1"/>
    <col min="4" max="4" width="8.7109375" style="29" hidden="1" customWidth="1"/>
    <col min="5" max="5" width="9.28515625" hidden="1" customWidth="1"/>
    <col min="6" max="6" width="8.7109375" hidden="1" customWidth="1"/>
    <col min="7" max="7" width="9.28515625" hidden="1" customWidth="1"/>
    <col min="8" max="9" width="8.7109375" hidden="1" customWidth="1"/>
    <col min="10" max="10" width="10.7109375" hidden="1" customWidth="1"/>
    <col min="11" max="11" width="11.42578125" hidden="1" customWidth="1"/>
    <col min="12" max="12" width="6.140625" hidden="1" customWidth="1"/>
    <col min="13" max="13" width="8.7109375" customWidth="1"/>
    <col min="14" max="19" width="10.140625" customWidth="1"/>
    <col min="20" max="22" width="8.7109375" customWidth="1"/>
    <col min="23" max="23" width="3.42578125" customWidth="1"/>
    <col min="24" max="24" width="20.42578125" customWidth="1"/>
    <col min="25" max="25" width="12.28515625" bestFit="1" customWidth="1"/>
    <col min="26" max="27" width="12.85546875" bestFit="1" customWidth="1"/>
  </cols>
  <sheetData>
    <row r="1" spans="1:26" ht="14.45" customHeight="1">
      <c r="A1" s="1" t="s">
        <v>309</v>
      </c>
      <c r="B1" s="2" t="s">
        <v>1</v>
      </c>
      <c r="C1" s="2" t="s">
        <v>2</v>
      </c>
      <c r="D1" s="2" t="s">
        <v>3</v>
      </c>
      <c r="E1" s="3" t="s">
        <v>4</v>
      </c>
      <c r="F1" s="2" t="s">
        <v>5</v>
      </c>
      <c r="G1" s="2" t="s">
        <v>6</v>
      </c>
      <c r="H1" s="2" t="s">
        <v>7</v>
      </c>
      <c r="I1" s="4" t="s">
        <v>8</v>
      </c>
      <c r="J1" s="2" t="s">
        <v>9</v>
      </c>
      <c r="K1" s="2" t="s">
        <v>10</v>
      </c>
      <c r="L1" s="2" t="s">
        <v>11</v>
      </c>
      <c r="M1" s="6" t="s">
        <v>12</v>
      </c>
      <c r="N1" s="6" t="s">
        <v>13</v>
      </c>
      <c r="O1" s="7" t="s">
        <v>14</v>
      </c>
      <c r="P1" s="8" t="s">
        <v>161</v>
      </c>
      <c r="Q1" s="8" t="s">
        <v>158</v>
      </c>
      <c r="R1" s="7" t="s">
        <v>148</v>
      </c>
      <c r="S1" s="7" t="s">
        <v>149</v>
      </c>
      <c r="T1" s="7" t="s">
        <v>77</v>
      </c>
      <c r="U1" s="8" t="s">
        <v>20</v>
      </c>
      <c r="V1" s="7" t="s">
        <v>21</v>
      </c>
      <c r="W1" s="9" t="s">
        <v>22</v>
      </c>
      <c r="X1" s="52" t="s">
        <v>310</v>
      </c>
    </row>
    <row r="2" spans="1:26" ht="21" customHeight="1">
      <c r="A2" s="10" t="s">
        <v>34</v>
      </c>
      <c r="B2" s="11">
        <v>1.1979166666666667E-2</v>
      </c>
      <c r="C2" s="11">
        <v>3.472222222222222E-3</v>
      </c>
      <c r="D2" s="11">
        <f>B2*E2</f>
        <v>6.9694791666666672E-3</v>
      </c>
      <c r="E2" s="12">
        <v>0.58179999999999998</v>
      </c>
      <c r="F2" s="11">
        <f>C2/4</f>
        <v>8.6805555555555551E-4</v>
      </c>
      <c r="G2" s="11">
        <f>D2/7.5</f>
        <v>9.2926388888888898E-4</v>
      </c>
      <c r="H2" s="11">
        <f>B2/12.5</f>
        <v>9.5833333333333339E-4</v>
      </c>
      <c r="I2" s="11">
        <f>G2/0.93</f>
        <v>9.9920848267622464E-4</v>
      </c>
      <c r="J2" s="11">
        <f>G2/0.92</f>
        <v>1.0100694444444445E-3</v>
      </c>
      <c r="K2" s="11">
        <f>G2/0.88</f>
        <v>1.055981691919192E-3</v>
      </c>
      <c r="L2" s="11">
        <f>G2/0.84</f>
        <v>1.1062665343915346E-3</v>
      </c>
      <c r="M2" s="25">
        <f>WO2025Jan71081416182224283032343840424446485456586264666870727476681216[[#This Row],[Thresh]]</f>
        <v>1.055981691919192E-3</v>
      </c>
      <c r="N2" s="28">
        <f>WO2025Jan71081416182224283032343840424446485456586264666870727476681216[[#This Row],[Thresh]]*2.5</f>
        <v>2.63995422979798E-3</v>
      </c>
      <c r="O2" s="25">
        <f>WO2025Jan71081416182224283032343840424446485456586264666870727476681216[[#This Row],[CV]]</f>
        <v>1.0100694444444445E-3</v>
      </c>
      <c r="P2" s="28">
        <f>WO2025Jan71081416182224283032343840424446485456586264666870727476681216[[#This Row],[CV]]*2.5</f>
        <v>2.5251736111111113E-3</v>
      </c>
      <c r="Q2" s="25">
        <f>WO2025Jan71081416182224283032343840424446485456586264666870727476681216[[#This Row],[VO2]]</f>
        <v>9.2926388888888898E-4</v>
      </c>
      <c r="R2" s="25"/>
      <c r="S2" s="25"/>
      <c r="T2" s="28"/>
      <c r="U2" s="11"/>
      <c r="V2" s="36"/>
      <c r="W2" s="15" t="s">
        <v>26</v>
      </c>
      <c r="X2" s="52"/>
    </row>
    <row r="3" spans="1:26" ht="21" customHeight="1">
      <c r="A3" s="10" t="s">
        <v>38</v>
      </c>
      <c r="B3" s="11">
        <v>1.238425925925926E-2</v>
      </c>
      <c r="C3" s="11">
        <v>3.5300925925925925E-3</v>
      </c>
      <c r="D3" s="11">
        <f>B3*E3</f>
        <v>7.2051620370370368E-3</v>
      </c>
      <c r="E3" s="12">
        <v>0.58179999999999998</v>
      </c>
      <c r="F3" s="11">
        <f>C3/4</f>
        <v>8.8252314814814812E-4</v>
      </c>
      <c r="G3" s="11">
        <f>D3/7.5</f>
        <v>9.6068827160493821E-4</v>
      </c>
      <c r="H3" s="11">
        <f>B3/12.5</f>
        <v>9.9074074074074082E-4</v>
      </c>
      <c r="I3" s="11">
        <f>G3/0.93</f>
        <v>1.0329981415106862E-3</v>
      </c>
      <c r="J3" s="11">
        <f>G3/0.92</f>
        <v>1.0442263821792807E-3</v>
      </c>
      <c r="K3" s="11">
        <f>G3/0.88</f>
        <v>1.0916912177328843E-3</v>
      </c>
      <c r="L3" s="11">
        <f>G3/0.84</f>
        <v>1.1436765138154027E-3</v>
      </c>
      <c r="M3" s="25">
        <f>WO2025Jan71081416182224283032343840424446485456586264666870727476681216[[#This Row],[Thresh]]</f>
        <v>1.0916912177328843E-3</v>
      </c>
      <c r="N3" s="28">
        <f>WO2025Jan71081416182224283032343840424446485456586264666870727476681216[[#This Row],[Thresh]]*2.5</f>
        <v>2.7292280443322109E-3</v>
      </c>
      <c r="O3" s="25">
        <f>WO2025Jan71081416182224283032343840424446485456586264666870727476681216[[#This Row],[CV]]</f>
        <v>1.0442263821792807E-3</v>
      </c>
      <c r="P3" s="28">
        <f>WO2025Jan71081416182224283032343840424446485456586264666870727476681216[[#This Row],[CV]]*2.5</f>
        <v>2.6105659554482019E-3</v>
      </c>
      <c r="Q3" s="25">
        <f>WO2025Jan71081416182224283032343840424446485456586264666870727476681216[[#This Row],[VO2]]</f>
        <v>9.6068827160493821E-4</v>
      </c>
      <c r="R3" s="25"/>
      <c r="S3" s="28"/>
      <c r="T3" s="28"/>
      <c r="U3" s="28"/>
      <c r="V3" s="28"/>
      <c r="W3" s="15" t="s">
        <v>35</v>
      </c>
      <c r="X3" s="52"/>
      <c r="Z3" s="16"/>
    </row>
    <row r="4" spans="1:26" ht="21" customHeight="1">
      <c r="A4" s="10" t="s">
        <v>24</v>
      </c>
      <c r="B4" s="11">
        <v>1.238425925925926E-2</v>
      </c>
      <c r="C4" s="11">
        <v>3.5300925925925925E-3</v>
      </c>
      <c r="D4" s="11">
        <f>B4*E4</f>
        <v>7.2051620370370368E-3</v>
      </c>
      <c r="E4" s="12">
        <v>0.58179999999999998</v>
      </c>
      <c r="F4" s="11">
        <f>C4/4</f>
        <v>8.8252314814814812E-4</v>
      </c>
      <c r="G4" s="11">
        <f>D4/7.5</f>
        <v>9.6068827160493821E-4</v>
      </c>
      <c r="H4" s="11">
        <f>B4/12.5</f>
        <v>9.9074074074074082E-4</v>
      </c>
      <c r="I4" s="11">
        <f>G4/0.93</f>
        <v>1.0329981415106862E-3</v>
      </c>
      <c r="J4" s="11">
        <f>G4/0.92</f>
        <v>1.0442263821792807E-3</v>
      </c>
      <c r="K4" s="11">
        <f>G4/0.88</f>
        <v>1.0916912177328843E-3</v>
      </c>
      <c r="L4" s="11">
        <f>G4/0.84</f>
        <v>1.1436765138154027E-3</v>
      </c>
      <c r="M4" s="25">
        <f>WO2025Jan71081416182224283032343840424446485456586264666870727476681216[[#This Row],[Thresh]]</f>
        <v>1.0916912177328843E-3</v>
      </c>
      <c r="N4" s="28">
        <f>WO2025Jan71081416182224283032343840424446485456586264666870727476681216[[#This Row],[Thresh]]*2.5</f>
        <v>2.7292280443322109E-3</v>
      </c>
      <c r="O4" s="25">
        <f>WO2025Jan71081416182224283032343840424446485456586264666870727476681216[[#This Row],[CV]]</f>
        <v>1.0442263821792807E-3</v>
      </c>
      <c r="P4" s="28">
        <f>WO2025Jan71081416182224283032343840424446485456586264666870727476681216[[#This Row],[CV]]*2.5</f>
        <v>2.6105659554482019E-3</v>
      </c>
      <c r="Q4" s="25">
        <f>WO2025Jan71081416182224283032343840424446485456586264666870727476681216[[#This Row],[VO2]]</f>
        <v>9.6068827160493821E-4</v>
      </c>
      <c r="R4" s="25"/>
      <c r="S4" s="28"/>
      <c r="T4" s="28"/>
      <c r="U4" s="28"/>
      <c r="V4" s="28"/>
      <c r="W4" s="15" t="s">
        <v>26</v>
      </c>
      <c r="X4" s="52"/>
    </row>
    <row r="5" spans="1:26" ht="21" customHeight="1">
      <c r="A5" s="10" t="s">
        <v>59</v>
      </c>
      <c r="B5" s="11">
        <v>1.2500000000000001E-2</v>
      </c>
      <c r="C5" s="11">
        <v>3.7037037037037038E-3</v>
      </c>
      <c r="D5" s="11">
        <f t="shared" ref="D5:D22" si="0">B5*E5</f>
        <v>7.2725000000000003E-3</v>
      </c>
      <c r="E5" s="12">
        <v>0.58179999999999998</v>
      </c>
      <c r="F5" s="11">
        <f t="shared" ref="F5:F22" si="1">C5/4</f>
        <v>9.2592592592592596E-4</v>
      </c>
      <c r="G5" s="11">
        <f t="shared" ref="G5:G22" si="2">D5/7.5</f>
        <v>9.6966666666666675E-4</v>
      </c>
      <c r="H5" s="11">
        <f t="shared" ref="H5:H22" si="3">B5/12.5</f>
        <v>1E-3</v>
      </c>
      <c r="I5" s="11">
        <f t="shared" ref="I5:I22" si="4">G5/0.93</f>
        <v>1.0426523297491039E-3</v>
      </c>
      <c r="J5" s="11">
        <f t="shared" ref="J5:J22" si="5">G5/0.92</f>
        <v>1.0539855072463768E-3</v>
      </c>
      <c r="K5" s="11">
        <f t="shared" ref="K5:K22" si="6">G5/0.88</f>
        <v>1.1018939393939394E-3</v>
      </c>
      <c r="L5" s="17">
        <f t="shared" ref="L5:L22" si="7">G5/0.84</f>
        <v>1.1543650793650795E-3</v>
      </c>
      <c r="M5" s="25">
        <f>WO2025Jan71081416182224283032343840424446485456586264666870727476681216[[#This Row],[Thresh]]</f>
        <v>1.1018939393939394E-3</v>
      </c>
      <c r="N5" s="28">
        <f>WO2025Jan71081416182224283032343840424446485456586264666870727476681216[[#This Row],[Thresh]]*2.5</f>
        <v>2.7547348484848484E-3</v>
      </c>
      <c r="O5" s="25">
        <f>WO2025Jan71081416182224283032343840424446485456586264666870727476681216[[#This Row],[CV]]</f>
        <v>1.0539855072463768E-3</v>
      </c>
      <c r="P5" s="28">
        <f>WO2025Jan71081416182224283032343840424446485456586264666870727476681216[[#This Row],[CV]]*2.5</f>
        <v>2.6349637681159421E-3</v>
      </c>
      <c r="Q5" s="25">
        <f>WO2025Jan71081416182224283032343840424446485456586264666870727476681216[[#This Row],[VO2]]</f>
        <v>9.6966666666666675E-4</v>
      </c>
      <c r="R5" s="28"/>
      <c r="S5" s="11"/>
      <c r="T5" s="28"/>
      <c r="U5" s="28"/>
      <c r="V5" s="38"/>
      <c r="W5" s="15" t="s">
        <v>35</v>
      </c>
      <c r="X5" s="52"/>
    </row>
    <row r="6" spans="1:26" ht="21" customHeight="1">
      <c r="A6" s="10" t="s">
        <v>28</v>
      </c>
      <c r="B6" s="11">
        <v>1.2500000000000001E-2</v>
      </c>
      <c r="C6" s="11">
        <v>3.9351851851851857E-3</v>
      </c>
      <c r="D6" s="11">
        <f t="shared" si="0"/>
        <v>7.2725000000000003E-3</v>
      </c>
      <c r="E6" s="12">
        <v>0.58179999999999998</v>
      </c>
      <c r="F6" s="11">
        <f t="shared" si="1"/>
        <v>9.8379629629629642E-4</v>
      </c>
      <c r="G6" s="11">
        <f t="shared" si="2"/>
        <v>9.6966666666666675E-4</v>
      </c>
      <c r="H6" s="11">
        <f t="shared" si="3"/>
        <v>1E-3</v>
      </c>
      <c r="I6" s="11">
        <f t="shared" si="4"/>
        <v>1.0426523297491039E-3</v>
      </c>
      <c r="J6" s="11">
        <f t="shared" si="5"/>
        <v>1.0539855072463768E-3</v>
      </c>
      <c r="K6" s="11">
        <f t="shared" si="6"/>
        <v>1.1018939393939394E-3</v>
      </c>
      <c r="L6" s="11">
        <f t="shared" si="7"/>
        <v>1.1543650793650795E-3</v>
      </c>
      <c r="M6" s="25">
        <f>WO2025Jan71081416182224283032343840424446485456586264666870727476681216[[#This Row],[Thresh]]</f>
        <v>1.1018939393939394E-3</v>
      </c>
      <c r="N6" s="28">
        <f>WO2025Jan71081416182224283032343840424446485456586264666870727476681216[[#This Row],[Thresh]]*2.5</f>
        <v>2.7547348484848484E-3</v>
      </c>
      <c r="O6" s="25">
        <f>WO2025Jan71081416182224283032343840424446485456586264666870727476681216[[#This Row],[CV]]</f>
        <v>1.0539855072463768E-3</v>
      </c>
      <c r="P6" s="28">
        <f>WO2025Jan71081416182224283032343840424446485456586264666870727476681216[[#This Row],[CV]]*2.5</f>
        <v>2.6349637681159421E-3</v>
      </c>
      <c r="Q6" s="25">
        <f>WO2025Jan71081416182224283032343840424446485456586264666870727476681216[[#This Row],[VO2]]</f>
        <v>9.6966666666666675E-4</v>
      </c>
      <c r="R6" s="28"/>
      <c r="S6" s="11"/>
      <c r="T6" s="28"/>
      <c r="U6" s="28"/>
      <c r="V6" s="28"/>
      <c r="W6" s="15" t="s">
        <v>26</v>
      </c>
      <c r="X6" s="52"/>
    </row>
    <row r="7" spans="1:26" ht="21" customHeight="1">
      <c r="A7" s="10" t="s">
        <v>27</v>
      </c>
      <c r="B7" s="11">
        <v>1.2500000000000001E-2</v>
      </c>
      <c r="C7" s="11">
        <v>3.6458333333333334E-3</v>
      </c>
      <c r="D7" s="11">
        <f t="shared" si="0"/>
        <v>7.2725000000000003E-3</v>
      </c>
      <c r="E7" s="12">
        <v>0.58179999999999998</v>
      </c>
      <c r="F7" s="11">
        <f t="shared" si="1"/>
        <v>9.1145833333333335E-4</v>
      </c>
      <c r="G7" s="11">
        <f t="shared" si="2"/>
        <v>9.6966666666666675E-4</v>
      </c>
      <c r="H7" s="11">
        <f t="shared" si="3"/>
        <v>1E-3</v>
      </c>
      <c r="I7" s="11">
        <f t="shared" si="4"/>
        <v>1.0426523297491039E-3</v>
      </c>
      <c r="J7" s="11">
        <f t="shared" si="5"/>
        <v>1.0539855072463768E-3</v>
      </c>
      <c r="K7" s="11">
        <f t="shared" si="6"/>
        <v>1.1018939393939394E-3</v>
      </c>
      <c r="L7" s="11">
        <f t="shared" si="7"/>
        <v>1.1543650793650795E-3</v>
      </c>
      <c r="M7" s="25">
        <f>WO2025Jan71081416182224283032343840424446485456586264666870727476681216[[#This Row],[Thresh]]</f>
        <v>1.1018939393939394E-3</v>
      </c>
      <c r="N7" s="28">
        <f>WO2025Jan71081416182224283032343840424446485456586264666870727476681216[[#This Row],[Thresh]]*2.5</f>
        <v>2.7547348484848484E-3</v>
      </c>
      <c r="O7" s="25">
        <f>WO2025Jan71081416182224283032343840424446485456586264666870727476681216[[#This Row],[CV]]</f>
        <v>1.0539855072463768E-3</v>
      </c>
      <c r="P7" s="28">
        <f>WO2025Jan71081416182224283032343840424446485456586264666870727476681216[[#This Row],[CV]]*2.5</f>
        <v>2.6349637681159421E-3</v>
      </c>
      <c r="Q7" s="25">
        <f>WO2025Jan71081416182224283032343840424446485456586264666870727476681216[[#This Row],[VO2]]</f>
        <v>9.6966666666666675E-4</v>
      </c>
      <c r="R7" s="28"/>
      <c r="S7" s="11"/>
      <c r="T7" s="28"/>
      <c r="U7" s="28"/>
      <c r="V7" s="28"/>
      <c r="W7" s="15" t="s">
        <v>26</v>
      </c>
      <c r="X7" s="52"/>
    </row>
    <row r="8" spans="1:26" ht="21" customHeight="1">
      <c r="A8" s="10" t="s">
        <v>60</v>
      </c>
      <c r="B8" s="11">
        <v>1.2500000000000001E-2</v>
      </c>
      <c r="C8" s="11">
        <v>3.6458333333333334E-3</v>
      </c>
      <c r="D8" s="11">
        <f t="shared" si="0"/>
        <v>7.2725000000000003E-3</v>
      </c>
      <c r="E8" s="12">
        <v>0.58179999999999998</v>
      </c>
      <c r="F8" s="11">
        <f t="shared" si="1"/>
        <v>9.1145833333333335E-4</v>
      </c>
      <c r="G8" s="11">
        <f t="shared" si="2"/>
        <v>9.6966666666666675E-4</v>
      </c>
      <c r="H8" s="11">
        <f t="shared" si="3"/>
        <v>1E-3</v>
      </c>
      <c r="I8" s="11">
        <f t="shared" si="4"/>
        <v>1.0426523297491039E-3</v>
      </c>
      <c r="J8" s="11">
        <f t="shared" si="5"/>
        <v>1.0539855072463768E-3</v>
      </c>
      <c r="K8" s="11">
        <f t="shared" si="6"/>
        <v>1.1018939393939394E-3</v>
      </c>
      <c r="L8" s="11">
        <f t="shared" si="7"/>
        <v>1.1543650793650795E-3</v>
      </c>
      <c r="M8" s="25">
        <f>WO2025Jan71081416182224283032343840424446485456586264666870727476681216[[#This Row],[Thresh]]</f>
        <v>1.1018939393939394E-3</v>
      </c>
      <c r="N8" s="28">
        <f>WO2025Jan71081416182224283032343840424446485456586264666870727476681216[[#This Row],[Thresh]]*2.5</f>
        <v>2.7547348484848484E-3</v>
      </c>
      <c r="O8" s="25">
        <f>WO2025Jan71081416182224283032343840424446485456586264666870727476681216[[#This Row],[CV]]</f>
        <v>1.0539855072463768E-3</v>
      </c>
      <c r="P8" s="28">
        <f>WO2025Jan71081416182224283032343840424446485456586264666870727476681216[[#This Row],[CV]]*2.5</f>
        <v>2.6349637681159421E-3</v>
      </c>
      <c r="Q8" s="25">
        <f>WO2025Jan71081416182224283032343840424446485456586264666870727476681216[[#This Row],[VO2]]</f>
        <v>9.6966666666666675E-4</v>
      </c>
      <c r="R8" s="28"/>
      <c r="S8" s="11"/>
      <c r="T8" s="28"/>
      <c r="U8" s="28"/>
      <c r="V8" s="28"/>
      <c r="W8" s="15" t="s">
        <v>26</v>
      </c>
      <c r="X8" s="52"/>
    </row>
    <row r="9" spans="1:26" ht="21" customHeight="1">
      <c r="A9" s="10" t="s">
        <v>63</v>
      </c>
      <c r="B9" s="11">
        <v>1.2500000000000001E-2</v>
      </c>
      <c r="C9" s="11"/>
      <c r="D9" s="11">
        <f t="shared" si="0"/>
        <v>7.2725000000000003E-3</v>
      </c>
      <c r="E9" s="12">
        <v>0.58179999999999998</v>
      </c>
      <c r="F9" s="11">
        <f t="shared" si="1"/>
        <v>0</v>
      </c>
      <c r="G9" s="11">
        <f t="shared" si="2"/>
        <v>9.6966666666666675E-4</v>
      </c>
      <c r="H9" s="11">
        <f t="shared" si="3"/>
        <v>1E-3</v>
      </c>
      <c r="I9" s="11">
        <f t="shared" si="4"/>
        <v>1.0426523297491039E-3</v>
      </c>
      <c r="J9" s="11">
        <f t="shared" si="5"/>
        <v>1.0539855072463768E-3</v>
      </c>
      <c r="K9" s="11">
        <f t="shared" si="6"/>
        <v>1.1018939393939394E-3</v>
      </c>
      <c r="L9" s="11">
        <f t="shared" si="7"/>
        <v>1.1543650793650795E-3</v>
      </c>
      <c r="M9" s="25">
        <f>WO2025Jan71081416182224283032343840424446485456586264666870727476681216[[#This Row],[Thresh]]</f>
        <v>1.1018939393939394E-3</v>
      </c>
      <c r="N9" s="28">
        <f>WO2025Jan71081416182224283032343840424446485456586264666870727476681216[[#This Row],[Thresh]]*2.5</f>
        <v>2.7547348484848484E-3</v>
      </c>
      <c r="O9" s="25">
        <f>WO2025Jan71081416182224283032343840424446485456586264666870727476681216[[#This Row],[CV]]</f>
        <v>1.0539855072463768E-3</v>
      </c>
      <c r="P9" s="28">
        <f>WO2025Jan71081416182224283032343840424446485456586264666870727476681216[[#This Row],[CV]]*2.5</f>
        <v>2.6349637681159421E-3</v>
      </c>
      <c r="Q9" s="25">
        <f>WO2025Jan71081416182224283032343840424446485456586264666870727476681216[[#This Row],[VO2]]</f>
        <v>9.6966666666666675E-4</v>
      </c>
      <c r="R9" s="25"/>
      <c r="S9" s="25"/>
      <c r="T9" s="28"/>
      <c r="U9" s="11"/>
      <c r="V9" s="36"/>
      <c r="W9" s="15" t="s">
        <v>203</v>
      </c>
      <c r="X9" s="52"/>
    </row>
    <row r="10" spans="1:26" ht="21" customHeight="1">
      <c r="A10" s="10" t="s">
        <v>29</v>
      </c>
      <c r="B10" s="11">
        <v>1.2500000000000001E-2</v>
      </c>
      <c r="C10" s="11">
        <v>3.8194444444444443E-3</v>
      </c>
      <c r="D10" s="11">
        <f t="shared" si="0"/>
        <v>7.2725000000000003E-3</v>
      </c>
      <c r="E10" s="12">
        <v>0.58179999999999998</v>
      </c>
      <c r="F10" s="11">
        <f t="shared" si="1"/>
        <v>9.5486111111111108E-4</v>
      </c>
      <c r="G10" s="11">
        <f t="shared" si="2"/>
        <v>9.6966666666666675E-4</v>
      </c>
      <c r="H10" s="11">
        <f t="shared" si="3"/>
        <v>1E-3</v>
      </c>
      <c r="I10" s="11">
        <f t="shared" si="4"/>
        <v>1.0426523297491039E-3</v>
      </c>
      <c r="J10" s="11">
        <f t="shared" si="5"/>
        <v>1.0539855072463768E-3</v>
      </c>
      <c r="K10" s="11">
        <f t="shared" si="6"/>
        <v>1.1018939393939394E-3</v>
      </c>
      <c r="L10" s="11">
        <f t="shared" si="7"/>
        <v>1.1543650793650795E-3</v>
      </c>
      <c r="M10" s="25">
        <f>WO2025Jan71081416182224283032343840424446485456586264666870727476681216[[#This Row],[Thresh]]</f>
        <v>1.1018939393939394E-3</v>
      </c>
      <c r="N10" s="28">
        <f>WO2025Jan71081416182224283032343840424446485456586264666870727476681216[[#This Row],[Thresh]]*2.5</f>
        <v>2.7547348484848484E-3</v>
      </c>
      <c r="O10" s="25">
        <f>WO2025Jan71081416182224283032343840424446485456586264666870727476681216[[#This Row],[CV]]</f>
        <v>1.0539855072463768E-3</v>
      </c>
      <c r="P10" s="28">
        <f>WO2025Jan71081416182224283032343840424446485456586264666870727476681216[[#This Row],[CV]]*2.5</f>
        <v>2.6349637681159421E-3</v>
      </c>
      <c r="Q10" s="25">
        <f>WO2025Jan71081416182224283032343840424446485456586264666870727476681216[[#This Row],[VO2]]</f>
        <v>9.6966666666666675E-4</v>
      </c>
      <c r="R10" s="25"/>
      <c r="S10" s="28"/>
      <c r="T10" s="28"/>
      <c r="U10" s="28"/>
      <c r="V10" s="38"/>
      <c r="W10" s="18" t="s">
        <v>26</v>
      </c>
      <c r="X10" s="52"/>
    </row>
    <row r="11" spans="1:26" ht="21" customHeight="1">
      <c r="A11" s="10" t="s">
        <v>30</v>
      </c>
      <c r="B11" s="11">
        <v>1.2500000000000001E-2</v>
      </c>
      <c r="C11" s="11">
        <v>3.6458333333333334E-3</v>
      </c>
      <c r="D11" s="11">
        <f t="shared" si="0"/>
        <v>7.2725000000000003E-3</v>
      </c>
      <c r="E11" s="12">
        <v>0.58179999999999998</v>
      </c>
      <c r="F11" s="11">
        <f t="shared" si="1"/>
        <v>9.1145833333333335E-4</v>
      </c>
      <c r="G11" s="11">
        <f t="shared" si="2"/>
        <v>9.6966666666666675E-4</v>
      </c>
      <c r="H11" s="11">
        <f t="shared" si="3"/>
        <v>1E-3</v>
      </c>
      <c r="I11" s="11">
        <f t="shared" si="4"/>
        <v>1.0426523297491039E-3</v>
      </c>
      <c r="J11" s="11">
        <f t="shared" si="5"/>
        <v>1.0539855072463768E-3</v>
      </c>
      <c r="K11" s="11">
        <f t="shared" si="6"/>
        <v>1.1018939393939394E-3</v>
      </c>
      <c r="L11" s="11">
        <f t="shared" si="7"/>
        <v>1.1543650793650795E-3</v>
      </c>
      <c r="M11" s="25">
        <f>WO2025Jan71081416182224283032343840424446485456586264666870727476681216[[#This Row],[Thresh]]</f>
        <v>1.1018939393939394E-3</v>
      </c>
      <c r="N11" s="28">
        <f>WO2025Jan71081416182224283032343840424446485456586264666870727476681216[[#This Row],[Thresh]]*2.5</f>
        <v>2.7547348484848484E-3</v>
      </c>
      <c r="O11" s="25">
        <f>WO2025Jan71081416182224283032343840424446485456586264666870727476681216[[#This Row],[CV]]</f>
        <v>1.0539855072463768E-3</v>
      </c>
      <c r="P11" s="28">
        <f>WO2025Jan71081416182224283032343840424446485456586264666870727476681216[[#This Row],[CV]]*2.5</f>
        <v>2.6349637681159421E-3</v>
      </c>
      <c r="Q11" s="25">
        <f>WO2025Jan71081416182224283032343840424446485456586264666870727476681216[[#This Row],[VO2]]</f>
        <v>9.6966666666666675E-4</v>
      </c>
      <c r="R11" s="25"/>
      <c r="S11" s="11"/>
      <c r="T11" s="28"/>
      <c r="U11" s="28"/>
      <c r="V11" s="28"/>
      <c r="W11" s="15" t="s">
        <v>35</v>
      </c>
      <c r="X11" s="52" t="s">
        <v>311</v>
      </c>
    </row>
    <row r="12" spans="1:26" ht="21" customHeight="1">
      <c r="A12" s="10" t="s">
        <v>55</v>
      </c>
      <c r="B12" s="11">
        <v>1.2500000000000001E-2</v>
      </c>
      <c r="C12" s="11"/>
      <c r="D12" s="11">
        <f t="shared" si="0"/>
        <v>7.2725000000000003E-3</v>
      </c>
      <c r="E12" s="12">
        <v>0.58179999999999998</v>
      </c>
      <c r="F12" s="11">
        <f t="shared" si="1"/>
        <v>0</v>
      </c>
      <c r="G12" s="11">
        <f t="shared" si="2"/>
        <v>9.6966666666666675E-4</v>
      </c>
      <c r="H12" s="11">
        <f t="shared" si="3"/>
        <v>1E-3</v>
      </c>
      <c r="I12" s="11">
        <f t="shared" si="4"/>
        <v>1.0426523297491039E-3</v>
      </c>
      <c r="J12" s="11">
        <f t="shared" si="5"/>
        <v>1.0539855072463768E-3</v>
      </c>
      <c r="K12" s="11">
        <f t="shared" si="6"/>
        <v>1.1018939393939394E-3</v>
      </c>
      <c r="L12" s="11">
        <f t="shared" si="7"/>
        <v>1.1543650793650795E-3</v>
      </c>
      <c r="M12" s="25">
        <f>WO2025Jan71081416182224283032343840424446485456586264666870727476681216[[#This Row],[Thresh]]</f>
        <v>1.1018939393939394E-3</v>
      </c>
      <c r="N12" s="28">
        <f>WO2025Jan71081416182224283032343840424446485456586264666870727476681216[[#This Row],[Thresh]]*2.5</f>
        <v>2.7547348484848484E-3</v>
      </c>
      <c r="O12" s="25">
        <f>WO2025Jan71081416182224283032343840424446485456586264666870727476681216[[#This Row],[CV]]</f>
        <v>1.0539855072463768E-3</v>
      </c>
      <c r="P12" s="28">
        <f>WO2025Jan71081416182224283032343840424446485456586264666870727476681216[[#This Row],[CV]]*2.5</f>
        <v>2.6349637681159421E-3</v>
      </c>
      <c r="Q12" s="25">
        <f>WO2025Jan71081416182224283032343840424446485456586264666870727476681216[[#This Row],[VO2]]</f>
        <v>9.6966666666666675E-4</v>
      </c>
      <c r="R12" s="11"/>
      <c r="S12" s="14"/>
      <c r="T12" s="14"/>
      <c r="U12" s="14"/>
      <c r="V12" s="17"/>
      <c r="W12" s="18" t="s">
        <v>26</v>
      </c>
      <c r="X12" s="52"/>
    </row>
    <row r="13" spans="1:26" ht="21" customHeight="1">
      <c r="A13" s="10" t="s">
        <v>31</v>
      </c>
      <c r="B13" s="11">
        <v>1.2500000000000001E-2</v>
      </c>
      <c r="C13" s="11"/>
      <c r="D13" s="11">
        <f t="shared" si="0"/>
        <v>7.2725000000000003E-3</v>
      </c>
      <c r="E13" s="12">
        <v>0.58179999999999998</v>
      </c>
      <c r="F13" s="11">
        <f t="shared" si="1"/>
        <v>0</v>
      </c>
      <c r="G13" s="11">
        <f t="shared" si="2"/>
        <v>9.6966666666666675E-4</v>
      </c>
      <c r="H13" s="11">
        <f t="shared" si="3"/>
        <v>1E-3</v>
      </c>
      <c r="I13" s="11">
        <f t="shared" si="4"/>
        <v>1.0426523297491039E-3</v>
      </c>
      <c r="J13" s="11">
        <f t="shared" si="5"/>
        <v>1.0539855072463768E-3</v>
      </c>
      <c r="K13" s="11">
        <f t="shared" si="6"/>
        <v>1.1018939393939394E-3</v>
      </c>
      <c r="L13" s="11">
        <f t="shared" si="7"/>
        <v>1.1543650793650795E-3</v>
      </c>
      <c r="M13" s="25">
        <f>WO2025Jan71081416182224283032343840424446485456586264666870727476681216[[#This Row],[Thresh]]</f>
        <v>1.1018939393939394E-3</v>
      </c>
      <c r="N13" s="28">
        <f>WO2025Jan71081416182224283032343840424446485456586264666870727476681216[[#This Row],[Thresh]]*2.5</f>
        <v>2.7547348484848484E-3</v>
      </c>
      <c r="O13" s="25">
        <f>WO2025Jan71081416182224283032343840424446485456586264666870727476681216[[#This Row],[CV]]</f>
        <v>1.0539855072463768E-3</v>
      </c>
      <c r="P13" s="28">
        <f>WO2025Jan71081416182224283032343840424446485456586264666870727476681216[[#This Row],[CV]]*2.5</f>
        <v>2.6349637681159421E-3</v>
      </c>
      <c r="Q13" s="25">
        <f>WO2025Jan71081416182224283032343840424446485456586264666870727476681216[[#This Row],[VO2]]</f>
        <v>9.6966666666666675E-4</v>
      </c>
      <c r="R13" s="28"/>
      <c r="S13" s="11"/>
      <c r="T13" s="11"/>
      <c r="U13" s="28"/>
      <c r="V13" s="28"/>
      <c r="W13" s="15" t="s">
        <v>35</v>
      </c>
      <c r="X13" s="52"/>
    </row>
    <row r="14" spans="1:26" ht="21" customHeight="1">
      <c r="A14" s="10" t="s">
        <v>51</v>
      </c>
      <c r="B14" s="11">
        <v>1.2731481481481481E-2</v>
      </c>
      <c r="C14" s="11">
        <v>3.5879629629629629E-3</v>
      </c>
      <c r="D14" s="11">
        <f t="shared" si="0"/>
        <v>7.4071759259259256E-3</v>
      </c>
      <c r="E14" s="12">
        <v>0.58179999999999998</v>
      </c>
      <c r="F14" s="11">
        <f t="shared" si="1"/>
        <v>8.9699074074074073E-4</v>
      </c>
      <c r="G14" s="11">
        <f t="shared" si="2"/>
        <v>9.8762345679012349E-4</v>
      </c>
      <c r="H14" s="11">
        <f t="shared" si="3"/>
        <v>1.0185185185185184E-3</v>
      </c>
      <c r="I14" s="11">
        <f t="shared" si="4"/>
        <v>1.0619607062259391E-3</v>
      </c>
      <c r="J14" s="11">
        <f t="shared" si="5"/>
        <v>1.073503757380569E-3</v>
      </c>
      <c r="K14" s="11">
        <f t="shared" si="6"/>
        <v>1.1222993827160494E-3</v>
      </c>
      <c r="L14" s="11">
        <f t="shared" si="7"/>
        <v>1.1757422104644328E-3</v>
      </c>
      <c r="M14" s="25">
        <f>WO2025Jan71081416182224283032343840424446485456586264666870727476681216[[#This Row],[Thresh]]</f>
        <v>1.1222993827160494E-3</v>
      </c>
      <c r="N14" s="28">
        <f>WO2025Jan71081416182224283032343840424446485456586264666870727476681216[[#This Row],[Thresh]]*2.5</f>
        <v>2.8057484567901234E-3</v>
      </c>
      <c r="O14" s="25">
        <f>WO2025Jan71081416182224283032343840424446485456586264666870727476681216[[#This Row],[CV]]</f>
        <v>1.073503757380569E-3</v>
      </c>
      <c r="P14" s="28">
        <f>WO2025Jan71081416182224283032343840424446485456586264666870727476681216[[#This Row],[CV]]*2.5</f>
        <v>2.6837593934514225E-3</v>
      </c>
      <c r="Q14" s="25">
        <f>WO2025Jan71081416182224283032343840424446485456586264666870727476681216[[#This Row],[VO2]]</f>
        <v>9.8762345679012349E-4</v>
      </c>
      <c r="R14" s="28"/>
      <c r="S14" s="11"/>
      <c r="T14" s="11"/>
      <c r="U14" s="11"/>
      <c r="V14" s="36"/>
      <c r="W14" s="15" t="s">
        <v>35</v>
      </c>
      <c r="X14" s="52"/>
    </row>
    <row r="15" spans="1:26" ht="21" customHeight="1">
      <c r="A15" s="10" t="s">
        <v>49</v>
      </c>
      <c r="B15" s="11">
        <v>1.2731481481481481E-2</v>
      </c>
      <c r="C15" s="11"/>
      <c r="D15" s="11">
        <f t="shared" si="0"/>
        <v>7.4071759259259256E-3</v>
      </c>
      <c r="E15" s="12">
        <v>0.58179999999999998</v>
      </c>
      <c r="F15" s="11">
        <f t="shared" si="1"/>
        <v>0</v>
      </c>
      <c r="G15" s="11">
        <f t="shared" si="2"/>
        <v>9.8762345679012349E-4</v>
      </c>
      <c r="H15" s="11">
        <f t="shared" si="3"/>
        <v>1.0185185185185184E-3</v>
      </c>
      <c r="I15" s="11">
        <f t="shared" si="4"/>
        <v>1.0619607062259391E-3</v>
      </c>
      <c r="J15" s="11">
        <f t="shared" si="5"/>
        <v>1.073503757380569E-3</v>
      </c>
      <c r="K15" s="11">
        <f t="shared" si="6"/>
        <v>1.1222993827160494E-3</v>
      </c>
      <c r="L15" s="11">
        <f t="shared" si="7"/>
        <v>1.1757422104644328E-3</v>
      </c>
      <c r="M15" s="25">
        <f>WO2025Jan71081416182224283032343840424446485456586264666870727476681216[[#This Row],[Thresh]]</f>
        <v>1.1222993827160494E-3</v>
      </c>
      <c r="N15" s="28">
        <f>WO2025Jan71081416182224283032343840424446485456586264666870727476681216[[#This Row],[Thresh]]*2.5</f>
        <v>2.8057484567901234E-3</v>
      </c>
      <c r="O15" s="25">
        <f>WO2025Jan71081416182224283032343840424446485456586264666870727476681216[[#This Row],[CV]]</f>
        <v>1.073503757380569E-3</v>
      </c>
      <c r="P15" s="28">
        <f>WO2025Jan71081416182224283032343840424446485456586264666870727476681216[[#This Row],[CV]]*2.5</f>
        <v>2.6837593934514225E-3</v>
      </c>
      <c r="Q15" s="25">
        <f>WO2025Jan71081416182224283032343840424446485456586264666870727476681216[[#This Row],[VO2]]</f>
        <v>9.8762345679012349E-4</v>
      </c>
      <c r="R15" s="11"/>
      <c r="S15" s="14"/>
      <c r="T15" s="14"/>
      <c r="U15" s="14"/>
      <c r="V15" s="11"/>
      <c r="W15" s="15" t="s">
        <v>35</v>
      </c>
      <c r="X15" s="52"/>
    </row>
    <row r="16" spans="1:26" ht="21" customHeight="1">
      <c r="A16" s="10" t="s">
        <v>65</v>
      </c>
      <c r="B16" s="11">
        <v>1.2731481481481481E-2</v>
      </c>
      <c r="C16" s="11">
        <v>3.8194444444444443E-3</v>
      </c>
      <c r="D16" s="11">
        <f t="shared" si="0"/>
        <v>7.4071759259259256E-3</v>
      </c>
      <c r="E16" s="12">
        <v>0.58179999999999998</v>
      </c>
      <c r="F16" s="11">
        <f t="shared" si="1"/>
        <v>9.5486111111111108E-4</v>
      </c>
      <c r="G16" s="11">
        <f t="shared" si="2"/>
        <v>9.8762345679012349E-4</v>
      </c>
      <c r="H16" s="11">
        <f t="shared" si="3"/>
        <v>1.0185185185185184E-3</v>
      </c>
      <c r="I16" s="11">
        <f t="shared" si="4"/>
        <v>1.0619607062259391E-3</v>
      </c>
      <c r="J16" s="11">
        <f t="shared" si="5"/>
        <v>1.073503757380569E-3</v>
      </c>
      <c r="K16" s="11">
        <f t="shared" si="6"/>
        <v>1.1222993827160494E-3</v>
      </c>
      <c r="L16" s="11">
        <f t="shared" si="7"/>
        <v>1.1757422104644328E-3</v>
      </c>
      <c r="M16" s="25">
        <f>WO2025Jan71081416182224283032343840424446485456586264666870727476681216[[#This Row],[Thresh]]</f>
        <v>1.1222993827160494E-3</v>
      </c>
      <c r="N16" s="28">
        <f>WO2025Jan71081416182224283032343840424446485456586264666870727476681216[[#This Row],[Thresh]]*2.5</f>
        <v>2.8057484567901234E-3</v>
      </c>
      <c r="O16" s="25">
        <f>WO2025Jan71081416182224283032343840424446485456586264666870727476681216[[#This Row],[CV]]</f>
        <v>1.073503757380569E-3</v>
      </c>
      <c r="P16" s="28">
        <f>WO2025Jan71081416182224283032343840424446485456586264666870727476681216[[#This Row],[CV]]*2.5</f>
        <v>2.6837593934514225E-3</v>
      </c>
      <c r="Q16" s="25">
        <f>WO2025Jan71081416182224283032343840424446485456586264666870727476681216[[#This Row],[VO2]]</f>
        <v>9.8762345679012349E-4</v>
      </c>
      <c r="R16" s="28"/>
      <c r="S16" s="11"/>
      <c r="T16" s="28"/>
      <c r="U16" s="28"/>
      <c r="V16" s="28"/>
      <c r="W16" s="15" t="s">
        <v>35</v>
      </c>
      <c r="X16" s="52"/>
    </row>
    <row r="17" spans="1:24" ht="21" customHeight="1">
      <c r="A17" s="10" t="s">
        <v>64</v>
      </c>
      <c r="B17" s="11">
        <v>1.2731481481481481E-2</v>
      </c>
      <c r="C17" s="11">
        <v>3.5879629629629629E-3</v>
      </c>
      <c r="D17" s="11">
        <f t="shared" si="0"/>
        <v>7.4071759259259256E-3</v>
      </c>
      <c r="E17" s="12">
        <v>0.58179999999999998</v>
      </c>
      <c r="F17" s="11">
        <f t="shared" si="1"/>
        <v>8.9699074074074073E-4</v>
      </c>
      <c r="G17" s="11">
        <f t="shared" si="2"/>
        <v>9.8762345679012349E-4</v>
      </c>
      <c r="H17" s="11">
        <f t="shared" si="3"/>
        <v>1.0185185185185184E-3</v>
      </c>
      <c r="I17" s="11">
        <f t="shared" si="4"/>
        <v>1.0619607062259391E-3</v>
      </c>
      <c r="J17" s="11">
        <f t="shared" si="5"/>
        <v>1.073503757380569E-3</v>
      </c>
      <c r="K17" s="11">
        <f t="shared" si="6"/>
        <v>1.1222993827160494E-3</v>
      </c>
      <c r="L17" s="11">
        <f t="shared" si="7"/>
        <v>1.1757422104644328E-3</v>
      </c>
      <c r="M17" s="25">
        <f>WO2025Jan71081416182224283032343840424446485456586264666870727476681216[[#This Row],[Thresh]]</f>
        <v>1.1222993827160494E-3</v>
      </c>
      <c r="N17" s="28">
        <f>WO2025Jan71081416182224283032343840424446485456586264666870727476681216[[#This Row],[Thresh]]*2.5</f>
        <v>2.8057484567901234E-3</v>
      </c>
      <c r="O17" s="25">
        <f>WO2025Jan71081416182224283032343840424446485456586264666870727476681216[[#This Row],[CV]]</f>
        <v>1.073503757380569E-3</v>
      </c>
      <c r="P17" s="28">
        <f>WO2025Jan71081416182224283032343840424446485456586264666870727476681216[[#This Row],[CV]]*2.5</f>
        <v>2.6837593934514225E-3</v>
      </c>
      <c r="Q17" s="25">
        <f>WO2025Jan71081416182224283032343840424446485456586264666870727476681216[[#This Row],[VO2]]</f>
        <v>9.8762345679012349E-4</v>
      </c>
      <c r="R17" s="25"/>
      <c r="S17" s="28"/>
      <c r="T17" s="28"/>
      <c r="U17" s="28"/>
      <c r="V17" s="48" t="s">
        <v>312</v>
      </c>
      <c r="W17" s="15" t="s">
        <v>35</v>
      </c>
      <c r="X17" s="52"/>
    </row>
    <row r="18" spans="1:24" ht="21" customHeight="1">
      <c r="A18" s="10" t="s">
        <v>62</v>
      </c>
      <c r="B18" s="11">
        <v>1.2731481481481481E-2</v>
      </c>
      <c r="C18" s="11"/>
      <c r="D18" s="11">
        <f t="shared" si="0"/>
        <v>7.4071759259259256E-3</v>
      </c>
      <c r="E18" s="12">
        <v>0.58179999999999998</v>
      </c>
      <c r="F18" s="11">
        <f t="shared" si="1"/>
        <v>0</v>
      </c>
      <c r="G18" s="11">
        <f t="shared" si="2"/>
        <v>9.8762345679012349E-4</v>
      </c>
      <c r="H18" s="11">
        <f t="shared" si="3"/>
        <v>1.0185185185185184E-3</v>
      </c>
      <c r="I18" s="11">
        <f t="shared" si="4"/>
        <v>1.0619607062259391E-3</v>
      </c>
      <c r="J18" s="11">
        <f t="shared" si="5"/>
        <v>1.073503757380569E-3</v>
      </c>
      <c r="K18" s="11">
        <f t="shared" si="6"/>
        <v>1.1222993827160494E-3</v>
      </c>
      <c r="L18" s="11">
        <f t="shared" si="7"/>
        <v>1.1757422104644328E-3</v>
      </c>
      <c r="M18" s="25">
        <f>WO2025Jan71081416182224283032343840424446485456586264666870727476681216[[#This Row],[Thresh]]</f>
        <v>1.1222993827160494E-3</v>
      </c>
      <c r="N18" s="28">
        <f>WO2025Jan71081416182224283032343840424446485456586264666870727476681216[[#This Row],[Thresh]]*2.5</f>
        <v>2.8057484567901234E-3</v>
      </c>
      <c r="O18" s="25">
        <f>WO2025Jan71081416182224283032343840424446485456586264666870727476681216[[#This Row],[CV]]</f>
        <v>1.073503757380569E-3</v>
      </c>
      <c r="P18" s="28">
        <f>WO2025Jan71081416182224283032343840424446485456586264666870727476681216[[#This Row],[CV]]*2.5</f>
        <v>2.6837593934514225E-3</v>
      </c>
      <c r="Q18" s="25">
        <f>WO2025Jan71081416182224283032343840424446485456586264666870727476681216[[#This Row],[VO2]]</f>
        <v>9.8762345679012349E-4</v>
      </c>
      <c r="R18" s="28"/>
      <c r="S18" s="25"/>
      <c r="T18" s="28"/>
      <c r="U18" s="36"/>
      <c r="V18" s="17"/>
      <c r="W18" s="18" t="s">
        <v>26</v>
      </c>
      <c r="X18" s="52"/>
    </row>
    <row r="19" spans="1:24" ht="21" customHeight="1">
      <c r="A19" s="10" t="s">
        <v>67</v>
      </c>
      <c r="B19" s="11">
        <v>1.3020833333333334E-2</v>
      </c>
      <c r="C19" s="11">
        <v>3.8194444444444443E-3</v>
      </c>
      <c r="D19" s="11">
        <f>B19*E19</f>
        <v>7.5755208333333334E-3</v>
      </c>
      <c r="E19" s="12">
        <v>0.58179999999999998</v>
      </c>
      <c r="F19" s="11">
        <f>C19/4</f>
        <v>9.5486111111111108E-4</v>
      </c>
      <c r="G19" s="11">
        <f>D19/7.5</f>
        <v>1.0100694444444445E-3</v>
      </c>
      <c r="H19" s="11">
        <f>B19/12.5</f>
        <v>1.0416666666666667E-3</v>
      </c>
      <c r="I19" s="11">
        <f>G19/0.93</f>
        <v>1.0860961768219832E-3</v>
      </c>
      <c r="J19" s="11">
        <f>G19/0.92</f>
        <v>1.0979015700483092E-3</v>
      </c>
      <c r="K19" s="11">
        <f>G19/0.88</f>
        <v>1.1478061868686869E-3</v>
      </c>
      <c r="L19" s="11">
        <f>G19/0.84</f>
        <v>1.2024636243386244E-3</v>
      </c>
      <c r="M19" s="25">
        <f>WO2025Jan71081416182224283032343840424446485456586264666870727476681216[[#This Row],[Thresh]]</f>
        <v>1.1478061868686869E-3</v>
      </c>
      <c r="N19" s="28">
        <f>WO2025Jan71081416182224283032343840424446485456586264666870727476681216[[#This Row],[Thresh]]*2.5</f>
        <v>2.8695154671717171E-3</v>
      </c>
      <c r="O19" s="25">
        <f>WO2025Jan71081416182224283032343840424446485456586264666870727476681216[[#This Row],[CV]]</f>
        <v>1.0979015700483092E-3</v>
      </c>
      <c r="P19" s="28">
        <f>WO2025Jan71081416182224283032343840424446485456586264666870727476681216[[#This Row],[CV]]*2.5</f>
        <v>2.7447539251207729E-3</v>
      </c>
      <c r="Q19" s="25">
        <f>WO2025Jan71081416182224283032343840424446485456586264666870727476681216[[#This Row],[VO2]]</f>
        <v>1.0100694444444445E-3</v>
      </c>
      <c r="R19" s="25"/>
      <c r="S19" s="28"/>
      <c r="T19" s="28"/>
      <c r="U19" s="28"/>
      <c r="V19" s="28"/>
      <c r="W19" s="18" t="s">
        <v>203</v>
      </c>
      <c r="X19" s="52"/>
    </row>
    <row r="20" spans="1:24" ht="21" customHeight="1">
      <c r="A20" s="10" t="s">
        <v>66</v>
      </c>
      <c r="B20" s="11">
        <v>1.3020833333333334E-2</v>
      </c>
      <c r="C20" s="11">
        <v>3.7037037037037038E-3</v>
      </c>
      <c r="D20" s="11">
        <f>B20*E20</f>
        <v>7.5755208333333334E-3</v>
      </c>
      <c r="E20" s="12">
        <v>0.58179999999999998</v>
      </c>
      <c r="F20" s="11">
        <f>C20/4</f>
        <v>9.2592592592592596E-4</v>
      </c>
      <c r="G20" s="11">
        <f>D20/7.5</f>
        <v>1.0100694444444445E-3</v>
      </c>
      <c r="H20" s="11">
        <f>B20/12.5</f>
        <v>1.0416666666666667E-3</v>
      </c>
      <c r="I20" s="11">
        <f>G20/0.93</f>
        <v>1.0860961768219832E-3</v>
      </c>
      <c r="J20" s="11">
        <f>G20/0.92</f>
        <v>1.0979015700483092E-3</v>
      </c>
      <c r="K20" s="11">
        <f>G20/0.88</f>
        <v>1.1478061868686869E-3</v>
      </c>
      <c r="L20" s="17">
        <f>G20/0.84</f>
        <v>1.2024636243386244E-3</v>
      </c>
      <c r="M20" s="25">
        <f>WO2025Jan71081416182224283032343840424446485456586264666870727476681216[[#This Row],[Thresh]]</f>
        <v>1.1478061868686869E-3</v>
      </c>
      <c r="N20" s="28">
        <f>WO2025Jan71081416182224283032343840424446485456586264666870727476681216[[#This Row],[Thresh]]*2.5</f>
        <v>2.8695154671717171E-3</v>
      </c>
      <c r="O20" s="25">
        <f>WO2025Jan71081416182224283032343840424446485456586264666870727476681216[[#This Row],[CV]]</f>
        <v>1.0979015700483092E-3</v>
      </c>
      <c r="P20" s="28">
        <f>WO2025Jan71081416182224283032343840424446485456586264666870727476681216[[#This Row],[CV]]*2.5</f>
        <v>2.7447539251207729E-3</v>
      </c>
      <c r="Q20" s="25">
        <f>WO2025Jan71081416182224283032343840424446485456586264666870727476681216[[#This Row],[VO2]]</f>
        <v>1.0100694444444445E-3</v>
      </c>
      <c r="R20" s="25"/>
      <c r="S20" s="25"/>
      <c r="T20" s="28"/>
      <c r="U20" s="11"/>
      <c r="V20" s="36"/>
      <c r="W20" s="15" t="s">
        <v>203</v>
      </c>
      <c r="X20" s="52"/>
    </row>
    <row r="21" spans="1:24" ht="21" customHeight="1">
      <c r="A21" s="10" t="s">
        <v>74</v>
      </c>
      <c r="B21" s="11">
        <v>1.3020833333333334E-2</v>
      </c>
      <c r="C21" s="11">
        <v>3.7037037037037038E-3</v>
      </c>
      <c r="D21" s="11">
        <f>B21*E21</f>
        <v>7.5755208333333334E-3</v>
      </c>
      <c r="E21" s="12">
        <v>0.58179999999999998</v>
      </c>
      <c r="F21" s="11">
        <f>C21/4</f>
        <v>9.2592592592592596E-4</v>
      </c>
      <c r="G21" s="11">
        <f>D21/7.5</f>
        <v>1.0100694444444445E-3</v>
      </c>
      <c r="H21" s="11">
        <f>B21/12.5</f>
        <v>1.0416666666666667E-3</v>
      </c>
      <c r="I21" s="11">
        <f>G21/0.93</f>
        <v>1.0860961768219832E-3</v>
      </c>
      <c r="J21" s="11">
        <f>G21/0.92</f>
        <v>1.0979015700483092E-3</v>
      </c>
      <c r="K21" s="11">
        <f>G21/0.88</f>
        <v>1.1478061868686869E-3</v>
      </c>
      <c r="L21" s="11">
        <f>G21/0.84</f>
        <v>1.2024636243386244E-3</v>
      </c>
      <c r="M21" s="25">
        <f>WO2025Jan71081416182224283032343840424446485456586264666870727476681216[[#This Row],[Thresh]]</f>
        <v>1.1478061868686869E-3</v>
      </c>
      <c r="N21" s="28">
        <f>WO2025Jan71081416182224283032343840424446485456586264666870727476681216[[#This Row],[Thresh]]*2.5</f>
        <v>2.8695154671717171E-3</v>
      </c>
      <c r="O21" s="25">
        <f>WO2025Jan71081416182224283032343840424446485456586264666870727476681216[[#This Row],[CV]]</f>
        <v>1.0979015700483092E-3</v>
      </c>
      <c r="P21" s="28">
        <f>WO2025Jan71081416182224283032343840424446485456586264666870727476681216[[#This Row],[CV]]*2.5</f>
        <v>2.7447539251207729E-3</v>
      </c>
      <c r="Q21" s="25">
        <f>WO2025Jan71081416182224283032343840424446485456586264666870727476681216[[#This Row],[VO2]]</f>
        <v>1.0100694444444445E-3</v>
      </c>
      <c r="R21" s="25"/>
      <c r="S21" s="25"/>
      <c r="T21" s="28"/>
      <c r="U21" s="11"/>
      <c r="V21" s="36"/>
      <c r="W21" s="15" t="s">
        <v>203</v>
      </c>
      <c r="X21" s="50" t="s">
        <v>313</v>
      </c>
    </row>
    <row r="22" spans="1:24" ht="21" customHeight="1">
      <c r="A22" s="10" t="s">
        <v>71</v>
      </c>
      <c r="B22" s="11">
        <v>1.3368055555555555E-2</v>
      </c>
      <c r="C22" s="11">
        <v>4.0509259259259257E-3</v>
      </c>
      <c r="D22" s="11">
        <f t="shared" si="0"/>
        <v>7.7775347222222213E-3</v>
      </c>
      <c r="E22" s="12">
        <v>0.58179999999999998</v>
      </c>
      <c r="F22" s="11">
        <f t="shared" si="1"/>
        <v>1.0127314814814814E-3</v>
      </c>
      <c r="G22" s="11">
        <f t="shared" si="2"/>
        <v>1.0370046296296295E-3</v>
      </c>
      <c r="H22" s="11">
        <f t="shared" si="3"/>
        <v>1.0694444444444445E-3</v>
      </c>
      <c r="I22" s="11">
        <f t="shared" si="4"/>
        <v>1.1150587415372358E-3</v>
      </c>
      <c r="J22" s="11">
        <f t="shared" si="5"/>
        <v>1.1271789452495973E-3</v>
      </c>
      <c r="K22" s="11">
        <f t="shared" si="6"/>
        <v>1.1784143518518517E-3</v>
      </c>
      <c r="L22" s="11">
        <f t="shared" si="7"/>
        <v>1.2345293209876543E-3</v>
      </c>
      <c r="M22" s="25">
        <f>WO2025Jan71081416182224283032343840424446485456586264666870727476681216[[#This Row],[Thresh]]</f>
        <v>1.1784143518518517E-3</v>
      </c>
      <c r="N22" s="28">
        <f>WO2025Jan71081416182224283032343840424446485456586264666870727476681216[[#This Row],[Thresh]]*2.5</f>
        <v>2.9460358796296292E-3</v>
      </c>
      <c r="O22" s="25">
        <f>WO2025Jan71081416182224283032343840424446485456586264666870727476681216[[#This Row],[CV]]</f>
        <v>1.1271789452495973E-3</v>
      </c>
      <c r="P22" s="28">
        <f>WO2025Jan71081416182224283032343840424446485456586264666870727476681216[[#This Row],[CV]]*2.5</f>
        <v>2.817947363123993E-3</v>
      </c>
      <c r="Q22" s="25">
        <f>WO2025Jan71081416182224283032343840424446485456586264666870727476681216[[#This Row],[VO2]]</f>
        <v>1.0370046296296295E-3</v>
      </c>
      <c r="R22" s="28"/>
      <c r="S22" s="11"/>
      <c r="T22" s="28"/>
      <c r="U22" s="28"/>
      <c r="V22" s="38"/>
      <c r="W22" s="18" t="s">
        <v>203</v>
      </c>
      <c r="X22" s="50"/>
    </row>
    <row r="23" spans="1:24" ht="21" customHeight="1">
      <c r="A23" s="10" t="s">
        <v>69</v>
      </c>
      <c r="B23" s="11">
        <v>1.3368055555555555E-2</v>
      </c>
      <c r="C23" s="11"/>
      <c r="D23" s="11">
        <f t="shared" ref="D23:D29" si="8">B23*E23</f>
        <v>7.7775347222222213E-3</v>
      </c>
      <c r="E23" s="12">
        <v>0.58179999999999998</v>
      </c>
      <c r="F23" s="11">
        <f t="shared" ref="F23:F29" si="9">C23/4</f>
        <v>0</v>
      </c>
      <c r="G23" s="11">
        <f t="shared" ref="G23:G29" si="10">D23/7.5</f>
        <v>1.0370046296296295E-3</v>
      </c>
      <c r="H23" s="11">
        <f t="shared" ref="H23:H29" si="11">B23/12.5</f>
        <v>1.0694444444444445E-3</v>
      </c>
      <c r="I23" s="11">
        <f t="shared" ref="I23:I29" si="12">G23/0.93</f>
        <v>1.1150587415372358E-3</v>
      </c>
      <c r="J23" s="11">
        <f t="shared" ref="J23:J29" si="13">G23/0.92</f>
        <v>1.1271789452495973E-3</v>
      </c>
      <c r="K23" s="11">
        <f t="shared" ref="K23:K29" si="14">G23/0.88</f>
        <v>1.1784143518518517E-3</v>
      </c>
      <c r="L23" s="11">
        <f t="shared" ref="L23:L29" si="15">G23/0.84</f>
        <v>1.2345293209876543E-3</v>
      </c>
      <c r="M23" s="25">
        <f>WO2025Jan71081416182224283032343840424446485456586264666870727476681216[[#This Row],[Thresh]]</f>
        <v>1.1784143518518517E-3</v>
      </c>
      <c r="N23" s="28">
        <f>WO2025Jan71081416182224283032343840424446485456586264666870727476681216[[#This Row],[Thresh]]*2.5</f>
        <v>2.9460358796296292E-3</v>
      </c>
      <c r="O23" s="25">
        <f>WO2025Jan71081416182224283032343840424446485456586264666870727476681216[[#This Row],[CV]]</f>
        <v>1.1271789452495973E-3</v>
      </c>
      <c r="P23" s="28">
        <f>WO2025Jan71081416182224283032343840424446485456586264666870727476681216[[#This Row],[CV]]*2.5</f>
        <v>2.817947363123993E-3</v>
      </c>
      <c r="Q23" s="25">
        <f>WO2025Jan71081416182224283032343840424446485456586264666870727476681216[[#This Row],[VO2]]</f>
        <v>1.0370046296296295E-3</v>
      </c>
      <c r="R23" s="25"/>
      <c r="S23" s="25"/>
      <c r="T23" s="28"/>
      <c r="U23" s="11"/>
      <c r="V23" s="36"/>
      <c r="W23" s="15" t="s">
        <v>203</v>
      </c>
      <c r="X23" s="50"/>
    </row>
    <row r="24" spans="1:24" ht="21" customHeight="1">
      <c r="A24" s="10" t="s">
        <v>58</v>
      </c>
      <c r="B24" s="11">
        <v>1.3368055555555555E-2</v>
      </c>
      <c r="C24" s="11">
        <v>4.1087962962962962E-3</v>
      </c>
      <c r="D24" s="11">
        <f t="shared" si="8"/>
        <v>7.7775347222222213E-3</v>
      </c>
      <c r="E24" s="12">
        <v>0.58179999999999998</v>
      </c>
      <c r="F24" s="11">
        <f t="shared" si="9"/>
        <v>1.027199074074074E-3</v>
      </c>
      <c r="G24" s="11">
        <f t="shared" si="10"/>
        <v>1.0370046296296295E-3</v>
      </c>
      <c r="H24" s="11">
        <f t="shared" si="11"/>
        <v>1.0694444444444445E-3</v>
      </c>
      <c r="I24" s="11">
        <f t="shared" si="12"/>
        <v>1.1150587415372358E-3</v>
      </c>
      <c r="J24" s="11">
        <f t="shared" si="13"/>
        <v>1.1271789452495973E-3</v>
      </c>
      <c r="K24" s="11">
        <f t="shared" si="14"/>
        <v>1.1784143518518517E-3</v>
      </c>
      <c r="L24" s="11">
        <f t="shared" si="15"/>
        <v>1.2345293209876543E-3</v>
      </c>
      <c r="M24" s="25">
        <f>WO2025Jan71081416182224283032343840424446485456586264666870727476681216[[#This Row],[Thresh]]</f>
        <v>1.1784143518518517E-3</v>
      </c>
      <c r="N24" s="28">
        <f>WO2025Jan71081416182224283032343840424446485456586264666870727476681216[[#This Row],[Thresh]]*2.5</f>
        <v>2.9460358796296292E-3</v>
      </c>
      <c r="O24" s="25">
        <f>WO2025Jan71081416182224283032343840424446485456586264666870727476681216[[#This Row],[CV]]</f>
        <v>1.1271789452495973E-3</v>
      </c>
      <c r="P24" s="28">
        <f>WO2025Jan71081416182224283032343840424446485456586264666870727476681216[[#This Row],[CV]]*2.5</f>
        <v>2.817947363123993E-3</v>
      </c>
      <c r="Q24" s="25">
        <f>WO2025Jan71081416182224283032343840424446485456586264666870727476681216[[#This Row],[VO2]]</f>
        <v>1.0370046296296295E-3</v>
      </c>
      <c r="R24" s="25"/>
      <c r="S24" s="28"/>
      <c r="T24" s="28"/>
      <c r="U24" s="28"/>
      <c r="V24" s="38"/>
      <c r="W24" s="15" t="s">
        <v>203</v>
      </c>
      <c r="X24" s="50"/>
    </row>
    <row r="25" spans="1:24" ht="21" customHeight="1">
      <c r="A25" s="10" t="s">
        <v>70</v>
      </c>
      <c r="B25" s="11">
        <v>1.3541666666666667E-2</v>
      </c>
      <c r="C25" s="11">
        <v>4.0509259259259257E-3</v>
      </c>
      <c r="D25" s="11">
        <f t="shared" si="8"/>
        <v>7.8785416666666674E-3</v>
      </c>
      <c r="E25" s="12">
        <v>0.58179999999999998</v>
      </c>
      <c r="F25" s="11">
        <f t="shared" si="9"/>
        <v>1.0127314814814814E-3</v>
      </c>
      <c r="G25" s="11">
        <f t="shared" si="10"/>
        <v>1.0504722222222224E-3</v>
      </c>
      <c r="H25" s="11">
        <f t="shared" si="11"/>
        <v>1.0833333333333333E-3</v>
      </c>
      <c r="I25" s="11">
        <f t="shared" si="12"/>
        <v>1.1295400238948627E-3</v>
      </c>
      <c r="J25" s="11">
        <f t="shared" si="13"/>
        <v>1.1418176328502417E-3</v>
      </c>
      <c r="K25" s="11">
        <f t="shared" si="14"/>
        <v>1.1937184343434346E-3</v>
      </c>
      <c r="L25" s="11">
        <f t="shared" si="15"/>
        <v>1.2505621693121695E-3</v>
      </c>
      <c r="M25" s="25">
        <f>WO2025Jan71081416182224283032343840424446485456586264666870727476681216[[#This Row],[Thresh]]</f>
        <v>1.1937184343434346E-3</v>
      </c>
      <c r="N25" s="28">
        <f>WO2025Jan71081416182224283032343840424446485456586264666870727476681216[[#This Row],[Thresh]]*2.5</f>
        <v>2.9842960858585863E-3</v>
      </c>
      <c r="O25" s="25">
        <f>WO2025Jan71081416182224283032343840424446485456586264666870727476681216[[#This Row],[CV]]</f>
        <v>1.1418176328502417E-3</v>
      </c>
      <c r="P25" s="28">
        <f>WO2025Jan71081416182224283032343840424446485456586264666870727476681216[[#This Row],[CV]]*2.5</f>
        <v>2.8545440821256042E-3</v>
      </c>
      <c r="Q25" s="25">
        <f>WO2025Jan71081416182224283032343840424446485456586264666870727476681216[[#This Row],[VO2]]</f>
        <v>1.0504722222222224E-3</v>
      </c>
      <c r="R25" s="25"/>
      <c r="S25" s="28"/>
      <c r="T25" s="28"/>
      <c r="U25" s="28"/>
      <c r="V25" s="38"/>
      <c r="W25" s="15" t="s">
        <v>203</v>
      </c>
      <c r="X25" s="50"/>
    </row>
    <row r="26" spans="1:24" ht="21" customHeight="1">
      <c r="A26" s="10" t="s">
        <v>75</v>
      </c>
      <c r="B26" s="11">
        <v>1.3541666666666667E-2</v>
      </c>
      <c r="C26" s="11"/>
      <c r="D26" s="11">
        <f t="shared" si="8"/>
        <v>7.8785416666666674E-3</v>
      </c>
      <c r="E26" s="12">
        <v>0.58179999999999998</v>
      </c>
      <c r="F26" s="11">
        <f t="shared" si="9"/>
        <v>0</v>
      </c>
      <c r="G26" s="11">
        <f t="shared" si="10"/>
        <v>1.0504722222222224E-3</v>
      </c>
      <c r="H26" s="11">
        <f t="shared" si="11"/>
        <v>1.0833333333333333E-3</v>
      </c>
      <c r="I26" s="11">
        <f t="shared" si="12"/>
        <v>1.1295400238948627E-3</v>
      </c>
      <c r="J26" s="11">
        <f t="shared" si="13"/>
        <v>1.1418176328502417E-3</v>
      </c>
      <c r="K26" s="11">
        <f t="shared" si="14"/>
        <v>1.1937184343434346E-3</v>
      </c>
      <c r="L26" s="11">
        <f t="shared" si="15"/>
        <v>1.2505621693121695E-3</v>
      </c>
      <c r="M26" s="25">
        <f>WO2025Jan71081416182224283032343840424446485456586264666870727476681216[[#This Row],[Thresh]]</f>
        <v>1.1937184343434346E-3</v>
      </c>
      <c r="N26" s="28">
        <f>WO2025Jan71081416182224283032343840424446485456586264666870727476681216[[#This Row],[Thresh]]*2.5</f>
        <v>2.9842960858585863E-3</v>
      </c>
      <c r="O26" s="25">
        <f>WO2025Jan71081416182224283032343840424446485456586264666870727476681216[[#This Row],[CV]]</f>
        <v>1.1418176328502417E-3</v>
      </c>
      <c r="P26" s="28">
        <f>WO2025Jan71081416182224283032343840424446485456586264666870727476681216[[#This Row],[CV]]*2.5</f>
        <v>2.8545440821256042E-3</v>
      </c>
      <c r="Q26" s="25">
        <f>WO2025Jan71081416182224283032343840424446485456586264666870727476681216[[#This Row],[VO2]]</f>
        <v>1.0504722222222224E-3</v>
      </c>
      <c r="R26" s="25"/>
      <c r="S26" s="25"/>
      <c r="T26" s="25"/>
      <c r="U26" s="25"/>
      <c r="V26" s="11"/>
      <c r="W26" s="15" t="s">
        <v>203</v>
      </c>
      <c r="X26" s="50"/>
    </row>
    <row r="27" spans="1:24" ht="21" customHeight="1">
      <c r="A27" s="10" t="s">
        <v>72</v>
      </c>
      <c r="B27" s="11">
        <v>1.3541666666666667E-2</v>
      </c>
      <c r="C27" s="11">
        <v>4.0509259259259257E-3</v>
      </c>
      <c r="D27" s="11">
        <f t="shared" si="8"/>
        <v>7.8785416666666674E-3</v>
      </c>
      <c r="E27" s="12">
        <v>0.58179999999999998</v>
      </c>
      <c r="F27" s="11">
        <f t="shared" si="9"/>
        <v>1.0127314814814814E-3</v>
      </c>
      <c r="G27" s="11">
        <f t="shared" si="10"/>
        <v>1.0504722222222224E-3</v>
      </c>
      <c r="H27" s="11">
        <f t="shared" si="11"/>
        <v>1.0833333333333333E-3</v>
      </c>
      <c r="I27" s="11">
        <f t="shared" si="12"/>
        <v>1.1295400238948627E-3</v>
      </c>
      <c r="J27" s="11">
        <f t="shared" si="13"/>
        <v>1.1418176328502417E-3</v>
      </c>
      <c r="K27" s="11">
        <f t="shared" si="14"/>
        <v>1.1937184343434346E-3</v>
      </c>
      <c r="L27" s="11">
        <f t="shared" si="15"/>
        <v>1.2505621693121695E-3</v>
      </c>
      <c r="M27" s="25">
        <f>WO2025Jan71081416182224283032343840424446485456586264666870727476681216[[#This Row],[Thresh]]</f>
        <v>1.1937184343434346E-3</v>
      </c>
      <c r="N27" s="28">
        <f>WO2025Jan71081416182224283032343840424446485456586264666870727476681216[[#This Row],[Thresh]]*2.5</f>
        <v>2.9842960858585863E-3</v>
      </c>
      <c r="O27" s="25">
        <f>WO2025Jan71081416182224283032343840424446485456586264666870727476681216[[#This Row],[CV]]</f>
        <v>1.1418176328502417E-3</v>
      </c>
      <c r="P27" s="28">
        <f>WO2025Jan71081416182224283032343840424446485456586264666870727476681216[[#This Row],[CV]]*2.5</f>
        <v>2.8545440821256042E-3</v>
      </c>
      <c r="Q27" s="25">
        <f>WO2025Jan71081416182224283032343840424446485456586264666870727476681216[[#This Row],[VO2]]</f>
        <v>1.0504722222222224E-3</v>
      </c>
      <c r="R27" s="28"/>
      <c r="S27" s="11"/>
      <c r="T27" s="28"/>
      <c r="U27" s="28"/>
      <c r="V27" s="28"/>
      <c r="W27" s="15" t="s">
        <v>203</v>
      </c>
      <c r="X27" s="50"/>
    </row>
    <row r="28" spans="1:24" ht="21" customHeight="1">
      <c r="A28" s="10" t="s">
        <v>68</v>
      </c>
      <c r="B28" s="11">
        <v>1.4236111111111111E-2</v>
      </c>
      <c r="C28" s="11"/>
      <c r="D28" s="11">
        <f t="shared" si="8"/>
        <v>8.2825694444444448E-3</v>
      </c>
      <c r="E28" s="12">
        <v>0.58179999999999998</v>
      </c>
      <c r="F28" s="11">
        <f t="shared" si="9"/>
        <v>0</v>
      </c>
      <c r="G28" s="11">
        <f t="shared" si="10"/>
        <v>1.1043425925925927E-3</v>
      </c>
      <c r="H28" s="11">
        <f t="shared" si="11"/>
        <v>1.1388888888888889E-3</v>
      </c>
      <c r="I28" s="11">
        <f t="shared" si="12"/>
        <v>1.1874651533253684E-3</v>
      </c>
      <c r="J28" s="11">
        <f t="shared" si="13"/>
        <v>1.2003723832528181E-3</v>
      </c>
      <c r="K28" s="11">
        <f t="shared" si="14"/>
        <v>1.2549347643097644E-3</v>
      </c>
      <c r="L28" s="11">
        <f t="shared" si="15"/>
        <v>1.3146935626102295E-3</v>
      </c>
      <c r="M28" s="25">
        <f>WO2025Jan71081416182224283032343840424446485456586264666870727476681216[[#This Row],[Thresh]]</f>
        <v>1.2549347643097644E-3</v>
      </c>
      <c r="N28" s="28">
        <f>WO2025Jan71081416182224283032343840424446485456586264666870727476681216[[#This Row],[Thresh]]*2.5</f>
        <v>3.1373369107744109E-3</v>
      </c>
      <c r="O28" s="25">
        <f>WO2025Jan71081416182224283032343840424446485456586264666870727476681216[[#This Row],[CV]]</f>
        <v>1.2003723832528181E-3</v>
      </c>
      <c r="P28" s="28">
        <f>WO2025Jan71081416182224283032343840424446485456586264666870727476681216[[#This Row],[CV]]*2.5</f>
        <v>3.0009309581320452E-3</v>
      </c>
      <c r="Q28" s="25">
        <f>WO2025Jan71081416182224283032343840424446485456586264666870727476681216[[#This Row],[VO2]]</f>
        <v>1.1043425925925927E-3</v>
      </c>
      <c r="R28" s="28"/>
      <c r="S28" s="11"/>
      <c r="T28" s="11"/>
      <c r="U28" s="11"/>
      <c r="V28" s="11"/>
      <c r="W28" s="15" t="s">
        <v>203</v>
      </c>
      <c r="X28" s="50"/>
    </row>
    <row r="29" spans="1:24" ht="21" customHeight="1">
      <c r="A29" s="10" t="s">
        <v>73</v>
      </c>
      <c r="B29" s="11">
        <v>1.4236111111111111E-2</v>
      </c>
      <c r="C29" s="11">
        <v>4.3981481481481484E-3</v>
      </c>
      <c r="D29" s="11">
        <f t="shared" si="8"/>
        <v>8.2825694444444448E-3</v>
      </c>
      <c r="E29" s="12">
        <v>0.58179999999999998</v>
      </c>
      <c r="F29" s="11">
        <f t="shared" si="9"/>
        <v>1.0995370370370371E-3</v>
      </c>
      <c r="G29" s="11">
        <f t="shared" si="10"/>
        <v>1.1043425925925927E-3</v>
      </c>
      <c r="H29" s="11">
        <f t="shared" si="11"/>
        <v>1.1388888888888889E-3</v>
      </c>
      <c r="I29" s="11">
        <f t="shared" si="12"/>
        <v>1.1874651533253684E-3</v>
      </c>
      <c r="J29" s="11">
        <f t="shared" si="13"/>
        <v>1.2003723832528181E-3</v>
      </c>
      <c r="K29" s="11">
        <f t="shared" si="14"/>
        <v>1.2549347643097644E-3</v>
      </c>
      <c r="L29" s="11">
        <f t="shared" si="15"/>
        <v>1.3146935626102295E-3</v>
      </c>
      <c r="M29" s="25">
        <f>WO2025Jan71081416182224283032343840424446485456586264666870727476681216[[#This Row],[Thresh]]</f>
        <v>1.2549347643097644E-3</v>
      </c>
      <c r="N29" s="28">
        <f>WO2025Jan71081416182224283032343840424446485456586264666870727476681216[[#This Row],[Thresh]]*2.5</f>
        <v>3.1373369107744109E-3</v>
      </c>
      <c r="O29" s="25">
        <f>WO2025Jan71081416182224283032343840424446485456586264666870727476681216[[#This Row],[CV]]</f>
        <v>1.2003723832528181E-3</v>
      </c>
      <c r="P29" s="28">
        <f>WO2025Jan71081416182224283032343840424446485456586264666870727476681216[[#This Row],[CV]]*2.5</f>
        <v>3.0009309581320452E-3</v>
      </c>
      <c r="Q29" s="25">
        <f>WO2025Jan71081416182224283032343840424446485456586264666870727476681216[[#This Row],[VO2]]</f>
        <v>1.1043425925925927E-3</v>
      </c>
      <c r="R29" s="25"/>
      <c r="S29" s="28"/>
      <c r="T29" s="28"/>
      <c r="U29" s="28"/>
      <c r="V29" s="28"/>
      <c r="W29" s="15" t="s">
        <v>203</v>
      </c>
      <c r="X29" s="50"/>
    </row>
    <row r="30" spans="1:24" ht="21" customHeight="1" thickBot="1">
      <c r="A30" s="10" t="s">
        <v>76</v>
      </c>
      <c r="B30" s="11">
        <v>1.4236111111111111E-2</v>
      </c>
      <c r="C30" s="11"/>
      <c r="D30" s="11">
        <f t="shared" ref="D30" si="16">B30*E30</f>
        <v>8.2825694444444448E-3</v>
      </c>
      <c r="E30" s="12">
        <v>0.58179999999999998</v>
      </c>
      <c r="F30" s="11">
        <f t="shared" ref="F30" si="17">C30/4</f>
        <v>0</v>
      </c>
      <c r="G30" s="11">
        <f t="shared" ref="G30" si="18">D30/7.5</f>
        <v>1.1043425925925927E-3</v>
      </c>
      <c r="H30" s="11">
        <f t="shared" ref="H30" si="19">B30/12.5</f>
        <v>1.1388888888888889E-3</v>
      </c>
      <c r="I30" s="11">
        <f t="shared" ref="I30" si="20">G30/0.93</f>
        <v>1.1874651533253684E-3</v>
      </c>
      <c r="J30" s="11">
        <f t="shared" ref="J30" si="21">G30/0.92</f>
        <v>1.2003723832528181E-3</v>
      </c>
      <c r="K30" s="11">
        <f t="shared" ref="K30" si="22">G30/0.88</f>
        <v>1.2549347643097644E-3</v>
      </c>
      <c r="L30" s="11">
        <f t="shared" ref="L30" si="23">G30/0.84</f>
        <v>1.3146935626102295E-3</v>
      </c>
      <c r="M30" s="25">
        <f>WO2025Jan71081416182224283032343840424446485456586264666870727476681216[[#This Row],[Thresh]]</f>
        <v>1.2549347643097644E-3</v>
      </c>
      <c r="N30" s="28">
        <f>WO2025Jan71081416182224283032343840424446485456586264666870727476681216[[#This Row],[Thresh]]*2.5</f>
        <v>3.1373369107744109E-3</v>
      </c>
      <c r="O30" s="25">
        <f>WO2025Jan71081416182224283032343840424446485456586264666870727476681216[[#This Row],[CV]]</f>
        <v>1.2003723832528181E-3</v>
      </c>
      <c r="P30" s="28">
        <f>WO2025Jan71081416182224283032343840424446485456586264666870727476681216[[#This Row],[CV]]*2.5</f>
        <v>3.0009309581320452E-3</v>
      </c>
      <c r="Q30" s="25">
        <f>WO2025Jan71081416182224283032343840424446485456586264666870727476681216[[#This Row],[VO2]]</f>
        <v>1.1043425925925927E-3</v>
      </c>
      <c r="R30" s="25"/>
      <c r="S30" s="28"/>
      <c r="T30" s="28"/>
      <c r="U30" s="28"/>
      <c r="V30" s="28"/>
      <c r="W30" s="15" t="s">
        <v>203</v>
      </c>
      <c r="X30" s="50"/>
    </row>
    <row r="31" spans="1:24" ht="21" customHeight="1">
      <c r="A31" s="1" t="s">
        <v>309</v>
      </c>
      <c r="B31" s="6"/>
      <c r="C31" s="6"/>
      <c r="D31" s="6"/>
      <c r="E31" s="20"/>
      <c r="F31" s="6"/>
      <c r="G31" s="6"/>
      <c r="H31" s="6"/>
      <c r="I31" s="6"/>
      <c r="J31" s="6"/>
      <c r="K31" s="6"/>
      <c r="L31" s="6"/>
      <c r="M31" s="6" t="s">
        <v>12</v>
      </c>
      <c r="N31" s="6" t="s">
        <v>13</v>
      </c>
      <c r="O31" s="6" t="s">
        <v>158</v>
      </c>
      <c r="P31" s="6" t="s">
        <v>153</v>
      </c>
      <c r="Q31" s="6"/>
      <c r="R31" s="6"/>
      <c r="S31" s="6"/>
      <c r="T31" s="6"/>
      <c r="U31" s="6"/>
      <c r="V31" s="21"/>
      <c r="W31" s="35"/>
      <c r="X31" s="52" t="s">
        <v>224</v>
      </c>
    </row>
    <row r="32" spans="1:24" ht="21" customHeight="1">
      <c r="A32" s="10" t="s">
        <v>36</v>
      </c>
      <c r="B32" s="11">
        <v>1.2731481481481481E-2</v>
      </c>
      <c r="C32" s="11">
        <v>3.7037037037037038E-3</v>
      </c>
      <c r="D32" s="11">
        <f>B32*E32</f>
        <v>7.4071759259259256E-3</v>
      </c>
      <c r="E32" s="12">
        <v>0.58179999999999998</v>
      </c>
      <c r="F32" s="11">
        <f>C32/4</f>
        <v>9.2592592592592596E-4</v>
      </c>
      <c r="G32" s="11">
        <f>D32/7.5</f>
        <v>9.8762345679012349E-4</v>
      </c>
      <c r="H32" s="11">
        <f>B32/12.5</f>
        <v>1.0185185185185184E-3</v>
      </c>
      <c r="I32" s="11">
        <f>G32/0.93</f>
        <v>1.0619607062259391E-3</v>
      </c>
      <c r="J32" s="11">
        <f>G32/0.92</f>
        <v>1.073503757380569E-3</v>
      </c>
      <c r="K32" s="11">
        <f>G32/0.88</f>
        <v>1.1222993827160494E-3</v>
      </c>
      <c r="L32" s="11">
        <f>G32/0.84</f>
        <v>1.1757422104644328E-3</v>
      </c>
      <c r="M32" s="25">
        <f>WO2025Jan71081416182224283032343840424446485456586264666870727476681216[[#This Row],[Thresh]]</f>
        <v>1.1222993827160494E-3</v>
      </c>
      <c r="N32" s="28">
        <f>WO2025Jan71081416182224283032343840424446485456586264666870727476681216[[#This Row],[Thresh]]*2.5</f>
        <v>2.8057484567901234E-3</v>
      </c>
      <c r="O32" s="25">
        <f>WO2025Jan71081416182224283032343840424446485456586264666870727476681216[[#This Row],[VO2]]</f>
        <v>9.8762345679012349E-4</v>
      </c>
      <c r="P32" s="28">
        <f>WO2025Jan71081416182224283032343840424446485456586264666870727476681216[[#This Row],[R]]/2</f>
        <v>4.6296296296296298E-4</v>
      </c>
      <c r="Q32" s="25"/>
      <c r="R32" s="25"/>
      <c r="S32" s="25"/>
      <c r="T32" s="28"/>
      <c r="U32" s="11"/>
      <c r="V32" s="36"/>
      <c r="W32" s="15" t="s">
        <v>48</v>
      </c>
      <c r="X32" s="52"/>
    </row>
    <row r="33" spans="1:24" ht="21" customHeight="1">
      <c r="A33" s="10" t="s">
        <v>53</v>
      </c>
      <c r="B33" s="11">
        <v>1.3020833333333334E-2</v>
      </c>
      <c r="C33" s="11">
        <v>3.7615740740740739E-3</v>
      </c>
      <c r="D33" s="11">
        <f>B33*E33</f>
        <v>7.5755208333333334E-3</v>
      </c>
      <c r="E33" s="12">
        <v>0.58179999999999998</v>
      </c>
      <c r="F33" s="11">
        <f>C33/4</f>
        <v>9.4039351851851847E-4</v>
      </c>
      <c r="G33" s="11">
        <f>D33/7.5</f>
        <v>1.0100694444444445E-3</v>
      </c>
      <c r="H33" s="11">
        <f>B33/12.5</f>
        <v>1.0416666666666667E-3</v>
      </c>
      <c r="I33" s="11">
        <f>G33/0.93</f>
        <v>1.0860961768219832E-3</v>
      </c>
      <c r="J33" s="11">
        <f>G33/0.92</f>
        <v>1.0979015700483092E-3</v>
      </c>
      <c r="K33" s="11">
        <f>G33/0.88</f>
        <v>1.1478061868686869E-3</v>
      </c>
      <c r="L33" s="11">
        <f>G33/0.84</f>
        <v>1.2024636243386244E-3</v>
      </c>
      <c r="M33" s="25">
        <f>WO2025Jan71081416182224283032343840424446485456586264666870727476681216[[#This Row],[Thresh]]</f>
        <v>1.1478061868686869E-3</v>
      </c>
      <c r="N33" s="28">
        <f>WO2025Jan71081416182224283032343840424446485456586264666870727476681216[[#This Row],[Thresh]]*2.5</f>
        <v>2.8695154671717171E-3</v>
      </c>
      <c r="O33" s="25">
        <f>WO2025Jan71081416182224283032343840424446485456586264666870727476681216[[#This Row],[VO2]]</f>
        <v>1.0100694444444445E-3</v>
      </c>
      <c r="P33" s="28">
        <f>WO2025Jan71081416182224283032343840424446485456586264666870727476681216[[#This Row],[R]]/2</f>
        <v>4.7019675925925923E-4</v>
      </c>
      <c r="Q33" s="25"/>
      <c r="R33" s="28"/>
      <c r="S33" s="28"/>
      <c r="T33" s="11"/>
      <c r="U33" s="11"/>
      <c r="V33" s="47"/>
      <c r="W33" s="18" t="s">
        <v>48</v>
      </c>
      <c r="X33" s="52"/>
    </row>
    <row r="34" spans="1:24" ht="21" customHeight="1">
      <c r="A34" s="10" t="s">
        <v>50</v>
      </c>
      <c r="B34" s="11">
        <v>1.3020833333333334E-2</v>
      </c>
      <c r="C34" s="11">
        <v>3.6458333333333334E-3</v>
      </c>
      <c r="D34" s="11">
        <f>B34*E34</f>
        <v>7.5755208333333334E-3</v>
      </c>
      <c r="E34" s="12">
        <v>0.58179999999999998</v>
      </c>
      <c r="F34" s="11">
        <f>C34/4</f>
        <v>9.1145833333333335E-4</v>
      </c>
      <c r="G34" s="11">
        <f>D34/7.5</f>
        <v>1.0100694444444445E-3</v>
      </c>
      <c r="H34" s="11">
        <f>B34/12.5</f>
        <v>1.0416666666666667E-3</v>
      </c>
      <c r="I34" s="11">
        <f>G34/0.93</f>
        <v>1.0860961768219832E-3</v>
      </c>
      <c r="J34" s="11">
        <f>G34/0.92</f>
        <v>1.0979015700483092E-3</v>
      </c>
      <c r="K34" s="11">
        <f>G34/0.88</f>
        <v>1.1478061868686869E-3</v>
      </c>
      <c r="L34" s="11">
        <f>G34/0.84</f>
        <v>1.2024636243386244E-3</v>
      </c>
      <c r="M34" s="25">
        <f>WO2025Jan71081416182224283032343840424446485456586264666870727476681216[[#This Row],[Thresh]]</f>
        <v>1.1478061868686869E-3</v>
      </c>
      <c r="N34" s="28">
        <f>WO2025Jan71081416182224283032343840424446485456586264666870727476681216[[#This Row],[Thresh]]*2.5</f>
        <v>2.8695154671717171E-3</v>
      </c>
      <c r="O34" s="25">
        <f>WO2025Jan71081416182224283032343840424446485456586264666870727476681216[[#This Row],[VO2]]</f>
        <v>1.0100694444444445E-3</v>
      </c>
      <c r="P34" s="28">
        <f>WO2025Jan71081416182224283032343840424446485456586264666870727476681216[[#This Row],[R]]/2</f>
        <v>4.5572916666666667E-4</v>
      </c>
      <c r="Q34" s="25"/>
      <c r="R34" s="25"/>
      <c r="S34" s="25"/>
      <c r="T34" s="28"/>
      <c r="U34" s="11"/>
      <c r="V34" s="36"/>
      <c r="W34" s="15" t="s">
        <v>48</v>
      </c>
      <c r="X34" s="52"/>
    </row>
    <row r="35" spans="1:24" ht="21" customHeight="1">
      <c r="A35" s="10" t="s">
        <v>47</v>
      </c>
      <c r="B35" s="11">
        <v>1.3020833333333334E-2</v>
      </c>
      <c r="C35" s="11">
        <v>3.7037037037037038E-3</v>
      </c>
      <c r="D35" s="11">
        <f>B35*E35</f>
        <v>7.5755208333333334E-3</v>
      </c>
      <c r="E35" s="12">
        <v>0.58179999999999998</v>
      </c>
      <c r="F35" s="11">
        <f>C35/4</f>
        <v>9.2592592592592596E-4</v>
      </c>
      <c r="G35" s="11">
        <f>D35/7.5</f>
        <v>1.0100694444444445E-3</v>
      </c>
      <c r="H35" s="11">
        <f>B35/12.5</f>
        <v>1.0416666666666667E-3</v>
      </c>
      <c r="I35" s="11">
        <f>G35/0.93</f>
        <v>1.0860961768219832E-3</v>
      </c>
      <c r="J35" s="11">
        <f>G35/0.92</f>
        <v>1.0979015700483092E-3</v>
      </c>
      <c r="K35" s="11">
        <f>G35/0.88</f>
        <v>1.1478061868686869E-3</v>
      </c>
      <c r="L35" s="11">
        <f>G35/0.84</f>
        <v>1.2024636243386244E-3</v>
      </c>
      <c r="M35" s="25">
        <f>WO2025Jan71081416182224283032343840424446485456586264666870727476681216[[#This Row],[Thresh]]</f>
        <v>1.1478061868686869E-3</v>
      </c>
      <c r="N35" s="28">
        <f>WO2025Jan71081416182224283032343840424446485456586264666870727476681216[[#This Row],[Thresh]]*2.5</f>
        <v>2.8695154671717171E-3</v>
      </c>
      <c r="O35" s="25">
        <f>WO2025Jan71081416182224283032343840424446485456586264666870727476681216[[#This Row],[VO2]]</f>
        <v>1.0100694444444445E-3</v>
      </c>
      <c r="P35" s="28">
        <f>WO2025Jan71081416182224283032343840424446485456586264666870727476681216[[#This Row],[R]]/2</f>
        <v>4.6296296296296298E-4</v>
      </c>
      <c r="Q35" s="25"/>
      <c r="R35" s="25"/>
      <c r="S35" s="25"/>
      <c r="T35" s="28"/>
      <c r="U35" s="11"/>
      <c r="V35" s="36"/>
      <c r="W35" s="15" t="s">
        <v>48</v>
      </c>
      <c r="X35" s="52"/>
    </row>
    <row r="36" spans="1:24" ht="21" customHeight="1">
      <c r="A36" s="10" t="s">
        <v>198</v>
      </c>
      <c r="B36" s="11">
        <v>1.4583333333333334E-2</v>
      </c>
      <c r="C36" s="11">
        <v>4.1666666666666666E-3</v>
      </c>
      <c r="D36" s="11">
        <f>B36*E36</f>
        <v>8.4845833333333336E-3</v>
      </c>
      <c r="E36" s="12">
        <v>0.58179999999999998</v>
      </c>
      <c r="F36" s="11">
        <f>C36/4</f>
        <v>1.0416666666666667E-3</v>
      </c>
      <c r="G36" s="11">
        <f>D36/7.5</f>
        <v>1.1312777777777777E-3</v>
      </c>
      <c r="H36" s="11">
        <f>B36/12.5</f>
        <v>1.1666666666666668E-3</v>
      </c>
      <c r="I36" s="11">
        <f>G36/0.93</f>
        <v>1.2164277180406211E-3</v>
      </c>
      <c r="J36" s="11">
        <f>G36/0.92</f>
        <v>1.2296497584541061E-3</v>
      </c>
      <c r="K36" s="11">
        <f>G36/0.88</f>
        <v>1.2855429292929293E-3</v>
      </c>
      <c r="L36" s="11">
        <f>G36/0.84</f>
        <v>1.3467592592592591E-3</v>
      </c>
      <c r="M36" s="25">
        <f>WO2025Jan71081416182224283032343840424446485456586264666870727476681216[[#This Row],[Thresh]]</f>
        <v>1.2855429292929293E-3</v>
      </c>
      <c r="N36" s="28">
        <f>WO2025Jan71081416182224283032343840424446485456586264666870727476681216[[#This Row],[Thresh]]*2.5</f>
        <v>3.2138573232323234E-3</v>
      </c>
      <c r="O36" s="25">
        <f>WO2025Jan71081416182224283032343840424446485456586264666870727476681216[[#This Row],[VO2]]</f>
        <v>1.1312777777777777E-3</v>
      </c>
      <c r="P36" s="28">
        <f>WO2025Jan71081416182224283032343840424446485456586264666870727476681216[[#This Row],[R]]/2</f>
        <v>5.2083333333333333E-4</v>
      </c>
      <c r="Q36" s="25"/>
      <c r="R36" s="25"/>
      <c r="S36" s="25"/>
      <c r="T36" s="28"/>
      <c r="U36" s="11"/>
      <c r="V36" s="36"/>
      <c r="W36" s="15" t="s">
        <v>48</v>
      </c>
      <c r="X36" s="52"/>
    </row>
    <row r="37" spans="1:24" ht="21" customHeight="1">
      <c r="A37" s="10"/>
      <c r="B37" s="11"/>
      <c r="C37" s="11"/>
      <c r="D37" s="11"/>
      <c r="E37" s="12"/>
      <c r="F37" s="11"/>
      <c r="G37" s="11"/>
      <c r="H37" s="11"/>
      <c r="I37" s="11"/>
      <c r="J37" s="11"/>
      <c r="K37" s="11"/>
      <c r="L37" s="11"/>
      <c r="M37" s="25"/>
      <c r="N37" s="28"/>
      <c r="O37" s="25"/>
      <c r="P37" s="28"/>
      <c r="Q37" s="25"/>
      <c r="R37" s="11"/>
      <c r="S37" s="14"/>
      <c r="T37" s="11"/>
      <c r="U37" s="11"/>
      <c r="V37" s="17"/>
      <c r="W37" s="18"/>
      <c r="X37" s="52"/>
    </row>
    <row r="38" spans="1:24" ht="21" customHeight="1">
      <c r="A38" s="19"/>
      <c r="B38" s="6"/>
      <c r="C38" s="6"/>
      <c r="D38" s="6"/>
      <c r="E38" s="20"/>
      <c r="F38" s="6"/>
      <c r="G38" s="6"/>
      <c r="H38" s="6"/>
      <c r="I38" s="6"/>
      <c r="J38" s="6"/>
      <c r="K38" s="6"/>
      <c r="L38" s="6"/>
      <c r="M38" s="6"/>
      <c r="N38" s="6"/>
      <c r="O38" s="6"/>
      <c r="P38" s="6"/>
      <c r="Q38" s="6"/>
      <c r="R38" s="6"/>
      <c r="S38" s="6"/>
      <c r="T38" s="6"/>
      <c r="U38" s="6"/>
      <c r="V38" s="6"/>
      <c r="W38" s="35"/>
      <c r="X38" s="52"/>
    </row>
    <row r="39" spans="1:24" ht="21" customHeight="1">
      <c r="A39" s="10" t="s">
        <v>61</v>
      </c>
      <c r="B39" s="11">
        <v>1.4930555555555556E-2</v>
      </c>
      <c r="C39" s="11">
        <v>4.3981481481481484E-3</v>
      </c>
      <c r="D39" s="11">
        <f>B39*E39</f>
        <v>8.6865972222222223E-3</v>
      </c>
      <c r="E39" s="12">
        <v>0.58179999999999998</v>
      </c>
      <c r="F39" s="11">
        <f>C39/4</f>
        <v>1.0995370370370371E-3</v>
      </c>
      <c r="G39" s="11">
        <f>D39/7.5</f>
        <v>1.1582129629629629E-3</v>
      </c>
      <c r="H39" s="11">
        <f>B39/12.5</f>
        <v>1.1944444444444446E-3</v>
      </c>
      <c r="I39" s="11">
        <f>G39/0.93</f>
        <v>1.2453902827558739E-3</v>
      </c>
      <c r="J39" s="11">
        <f>G39/0.92</f>
        <v>1.2589271336553944E-3</v>
      </c>
      <c r="K39" s="11">
        <f>G39/0.88</f>
        <v>1.3161510942760941E-3</v>
      </c>
      <c r="L39" s="11">
        <f>G39/0.84</f>
        <v>1.3788249559082892E-3</v>
      </c>
      <c r="M39" s="25"/>
      <c r="N39" s="28"/>
      <c r="O39" s="25"/>
      <c r="P39" s="25"/>
      <c r="Q39" s="25"/>
      <c r="R39" s="25"/>
      <c r="S39" s="28"/>
      <c r="T39" s="28"/>
      <c r="U39" s="28"/>
      <c r="V39" s="28"/>
      <c r="W39" s="15" t="s">
        <v>52</v>
      </c>
      <c r="X39" s="52"/>
    </row>
    <row r="40" spans="1:24" ht="21" customHeight="1">
      <c r="A40" s="10" t="s">
        <v>57</v>
      </c>
      <c r="B40" s="11"/>
      <c r="C40" s="11"/>
      <c r="D40" s="11"/>
      <c r="E40" s="12"/>
      <c r="F40" s="11"/>
      <c r="G40" s="11"/>
      <c r="H40" s="11"/>
      <c r="I40" s="11"/>
      <c r="J40" s="11"/>
      <c r="K40" s="11"/>
      <c r="L40" s="11"/>
      <c r="M40" s="25"/>
      <c r="N40" s="28"/>
      <c r="O40" s="25"/>
      <c r="P40" s="28"/>
      <c r="Q40" s="25"/>
      <c r="R40" s="28"/>
      <c r="S40" s="28"/>
      <c r="T40" s="11"/>
      <c r="U40" s="11"/>
      <c r="V40" s="11"/>
      <c r="W40" s="15" t="s">
        <v>52</v>
      </c>
      <c r="X40" s="52"/>
    </row>
    <row r="41" spans="1:24" ht="21" customHeight="1">
      <c r="A41" s="10"/>
      <c r="B41" s="11"/>
      <c r="C41" s="11"/>
      <c r="D41" s="11"/>
      <c r="E41" s="12"/>
      <c r="F41" s="11"/>
      <c r="G41" s="11"/>
      <c r="H41" s="11"/>
      <c r="I41" s="11"/>
      <c r="J41" s="11"/>
      <c r="K41" s="11"/>
      <c r="L41" s="11"/>
      <c r="M41" s="45"/>
      <c r="N41" s="11"/>
      <c r="O41" s="11"/>
      <c r="P41" s="11"/>
      <c r="Q41" s="14"/>
      <c r="R41" s="11"/>
      <c r="S41" s="14"/>
      <c r="T41" s="11"/>
      <c r="U41" s="14"/>
      <c r="V41" s="17"/>
      <c r="W41" s="18"/>
      <c r="X41" s="52"/>
    </row>
    <row r="42" spans="1:24" ht="21" customHeight="1">
      <c r="A42" s="39"/>
      <c r="B42" s="40"/>
      <c r="C42" s="40"/>
      <c r="D42" s="40"/>
      <c r="E42" s="41"/>
      <c r="F42" s="40"/>
      <c r="G42" s="40"/>
      <c r="H42" s="40"/>
      <c r="I42" s="40"/>
      <c r="J42" s="40"/>
      <c r="K42" s="40"/>
      <c r="L42" s="40"/>
      <c r="M42" s="40" t="s">
        <v>39</v>
      </c>
      <c r="N42" s="40"/>
      <c r="O42" s="40"/>
      <c r="P42" s="40"/>
      <c r="Q42" s="40"/>
      <c r="R42" s="40"/>
      <c r="S42" s="40"/>
      <c r="T42" s="40"/>
      <c r="U42" s="40"/>
      <c r="V42" s="40"/>
      <c r="W42" s="42"/>
      <c r="X42" s="52"/>
    </row>
    <row r="43" spans="1:24" ht="21" customHeight="1">
      <c r="A43" s="10"/>
      <c r="B43" s="11"/>
      <c r="C43" s="11"/>
      <c r="D43" s="11"/>
      <c r="E43" s="12"/>
      <c r="F43" s="11"/>
      <c r="G43" s="11"/>
      <c r="H43" s="11"/>
      <c r="I43" s="11"/>
      <c r="J43" s="11"/>
      <c r="K43" s="11"/>
      <c r="L43" s="11"/>
      <c r="M43" s="13"/>
      <c r="N43" s="11"/>
      <c r="O43" s="11"/>
      <c r="P43" s="11"/>
      <c r="Q43" s="14"/>
      <c r="R43" s="11"/>
      <c r="S43" s="14"/>
      <c r="T43" s="14"/>
      <c r="U43" s="14"/>
      <c r="V43" s="17"/>
      <c r="W43" s="18"/>
      <c r="X43" s="52"/>
    </row>
    <row r="44" spans="1:24" ht="21" customHeight="1">
      <c r="A44" s="10"/>
      <c r="B44" s="11"/>
      <c r="C44" s="11"/>
      <c r="D44" s="11"/>
      <c r="E44" s="12"/>
      <c r="F44" s="11"/>
      <c r="G44" s="11"/>
      <c r="H44" s="11"/>
      <c r="I44" s="11"/>
      <c r="J44" s="11"/>
      <c r="K44" s="11"/>
      <c r="L44" s="11"/>
      <c r="M44" s="13"/>
      <c r="N44" s="11"/>
      <c r="O44" s="11"/>
      <c r="P44" s="11"/>
      <c r="Q44" s="14"/>
      <c r="R44" s="11"/>
      <c r="S44" s="14"/>
      <c r="T44" s="14"/>
      <c r="U44" s="14"/>
      <c r="V44" s="17"/>
      <c r="W44" s="18"/>
      <c r="X44" s="52"/>
    </row>
    <row r="45" spans="1:24" ht="21" customHeight="1">
      <c r="A45" s="39"/>
      <c r="B45" s="40"/>
      <c r="C45" s="40"/>
      <c r="D45" s="40"/>
      <c r="E45" s="41"/>
      <c r="F45" s="40"/>
      <c r="G45" s="40"/>
      <c r="H45" s="40"/>
      <c r="I45" s="40"/>
      <c r="J45" s="40"/>
      <c r="K45" s="40"/>
      <c r="L45" s="40"/>
      <c r="M45" s="40"/>
      <c r="N45" s="40"/>
      <c r="O45" s="40"/>
      <c r="P45" s="40"/>
      <c r="Q45" s="40"/>
      <c r="R45" s="40"/>
      <c r="S45" s="40"/>
      <c r="T45" s="40"/>
      <c r="U45" s="40"/>
      <c r="V45" s="40"/>
      <c r="W45" s="42"/>
      <c r="X45" s="52"/>
    </row>
    <row r="46" spans="1:24" ht="21" customHeight="1">
      <c r="A46" s="10"/>
      <c r="B46" s="11"/>
      <c r="C46" s="11"/>
      <c r="D46" s="11"/>
      <c r="E46" s="12"/>
      <c r="F46" s="11"/>
      <c r="G46" s="11"/>
      <c r="H46" s="11"/>
      <c r="I46" s="11"/>
      <c r="J46" s="11"/>
      <c r="K46" s="11"/>
      <c r="L46" s="11"/>
      <c r="M46" s="45"/>
      <c r="N46" s="11"/>
      <c r="O46" s="11"/>
      <c r="P46" s="11"/>
      <c r="Q46" s="14"/>
      <c r="R46" s="11"/>
      <c r="S46" s="14"/>
      <c r="T46" s="11"/>
      <c r="U46" s="14"/>
      <c r="V46" s="17"/>
      <c r="W46" s="18"/>
      <c r="X46" s="52"/>
    </row>
    <row r="47" spans="1:24" ht="21" customHeight="1">
      <c r="A47" s="10"/>
      <c r="B47" s="11"/>
      <c r="C47" s="11"/>
      <c r="D47" s="11"/>
      <c r="E47" s="12"/>
      <c r="F47" s="11"/>
      <c r="G47" s="11"/>
      <c r="H47" s="11"/>
      <c r="I47" s="11"/>
      <c r="J47" s="11"/>
      <c r="K47" s="11"/>
      <c r="L47" s="11"/>
      <c r="M47" s="45"/>
      <c r="N47" s="11"/>
      <c r="O47" s="11"/>
      <c r="P47" s="11"/>
      <c r="Q47" s="14"/>
      <c r="R47" s="11"/>
      <c r="S47" s="14"/>
      <c r="T47" s="11"/>
      <c r="U47" s="14"/>
      <c r="V47" s="17"/>
      <c r="W47" s="18"/>
      <c r="X47" s="52"/>
    </row>
    <row r="48" spans="1:24" ht="21" customHeight="1">
      <c r="A48" s="10"/>
      <c r="B48" s="11"/>
      <c r="C48" s="11"/>
      <c r="D48" s="11"/>
      <c r="E48" s="12"/>
      <c r="F48" s="11"/>
      <c r="G48" s="11"/>
      <c r="H48" s="11"/>
      <c r="I48" s="11"/>
      <c r="J48" s="11"/>
      <c r="K48" s="11"/>
      <c r="L48" s="11"/>
      <c r="M48" s="14"/>
      <c r="N48" s="11"/>
      <c r="O48" s="14"/>
      <c r="P48" s="11"/>
      <c r="Q48" s="14"/>
      <c r="R48" s="11"/>
      <c r="S48" s="14"/>
      <c r="T48" s="14"/>
      <c r="U48" s="14"/>
      <c r="V48" s="11"/>
      <c r="W48" s="15"/>
      <c r="X48" s="52"/>
    </row>
    <row r="49" spans="1:24" ht="21" customHeight="1">
      <c r="A49" s="10"/>
      <c r="B49" s="11"/>
      <c r="C49" s="11"/>
      <c r="D49" s="11"/>
      <c r="E49" s="12"/>
      <c r="F49" s="11"/>
      <c r="G49" s="11"/>
      <c r="H49" s="11"/>
      <c r="I49" s="11"/>
      <c r="J49" s="11"/>
      <c r="K49" s="11"/>
      <c r="L49" s="11"/>
      <c r="M49" s="14"/>
      <c r="O49" s="14"/>
      <c r="P49" s="11"/>
      <c r="Q49" s="14"/>
      <c r="R49" s="11"/>
      <c r="S49" s="14"/>
      <c r="T49" s="14"/>
      <c r="U49" s="14"/>
      <c r="V49" s="11"/>
      <c r="W49" s="15"/>
      <c r="X49" s="52"/>
    </row>
    <row r="50" spans="1:24" ht="21" customHeight="1">
      <c r="A50" s="10"/>
      <c r="B50" s="11"/>
      <c r="C50" s="11"/>
      <c r="D50" s="11"/>
      <c r="E50" s="12"/>
      <c r="F50" s="11"/>
      <c r="G50" s="11"/>
      <c r="H50" s="11"/>
      <c r="I50" s="11"/>
      <c r="J50" s="11"/>
      <c r="K50" s="11"/>
      <c r="L50" s="11"/>
      <c r="M50" s="13"/>
      <c r="N50" s="11"/>
      <c r="O50" s="11"/>
      <c r="P50" s="11"/>
      <c r="Q50" s="14"/>
      <c r="R50" s="11"/>
      <c r="S50" s="14"/>
      <c r="T50" s="14"/>
      <c r="U50" s="14"/>
      <c r="V50" s="17"/>
      <c r="W50" s="18"/>
      <c r="X50" s="52"/>
    </row>
    <row r="51" spans="1:24" ht="21" customHeight="1">
      <c r="A51" s="10"/>
      <c r="B51" s="11"/>
      <c r="C51" s="11"/>
      <c r="D51" s="11"/>
      <c r="E51" s="12"/>
      <c r="F51" s="11"/>
      <c r="G51" s="11"/>
      <c r="H51" s="11"/>
      <c r="I51" s="11"/>
      <c r="J51" s="11"/>
      <c r="K51" s="11"/>
      <c r="L51" s="11"/>
      <c r="M51" s="13"/>
      <c r="N51" s="11"/>
      <c r="O51" s="11"/>
      <c r="P51" s="11"/>
      <c r="Q51" s="14"/>
      <c r="R51" s="11"/>
      <c r="S51" s="14"/>
      <c r="T51" s="14"/>
      <c r="U51" s="14"/>
      <c r="V51" s="17"/>
      <c r="W51" s="18"/>
      <c r="X51" s="52"/>
    </row>
    <row r="52" spans="1:24" ht="21" customHeight="1">
      <c r="A52" s="10"/>
      <c r="B52" s="11"/>
      <c r="C52" s="11"/>
      <c r="D52" s="11"/>
      <c r="E52" s="12"/>
      <c r="F52" s="11"/>
      <c r="G52" s="11"/>
      <c r="H52" s="11"/>
      <c r="I52" s="11"/>
      <c r="J52" s="11"/>
      <c r="K52" s="11"/>
      <c r="L52" s="11"/>
      <c r="M52" s="14"/>
      <c r="N52" s="11"/>
      <c r="O52" s="14"/>
      <c r="P52" s="11"/>
      <c r="Q52" s="14"/>
      <c r="R52" s="11"/>
      <c r="S52" s="14"/>
      <c r="T52" s="14"/>
      <c r="U52" s="14"/>
      <c r="V52" s="11"/>
      <c r="W52" s="15"/>
      <c r="X52" s="52"/>
    </row>
    <row r="53" spans="1:24" ht="21" customHeight="1">
      <c r="A53" s="10"/>
      <c r="B53" s="11"/>
      <c r="C53" s="11"/>
      <c r="D53" s="11"/>
      <c r="E53" s="12"/>
      <c r="F53" s="11"/>
      <c r="G53" s="11"/>
      <c r="H53" s="11"/>
      <c r="I53" s="11"/>
      <c r="J53" s="11"/>
      <c r="K53" s="11"/>
      <c r="L53" s="17"/>
      <c r="M53" s="14"/>
      <c r="N53" s="11"/>
      <c r="O53" s="11"/>
      <c r="P53" s="11"/>
      <c r="Q53" s="14"/>
      <c r="R53" s="11"/>
      <c r="S53" s="14"/>
      <c r="T53" s="11"/>
      <c r="U53" s="11"/>
      <c r="V53" s="11"/>
      <c r="W53" s="15"/>
      <c r="X53" s="52"/>
    </row>
    <row r="54" spans="1:24" ht="21" customHeight="1">
      <c r="A54" s="10"/>
      <c r="B54" s="11"/>
      <c r="C54" s="11"/>
      <c r="D54" s="11"/>
      <c r="E54" s="12"/>
      <c r="F54" s="11"/>
      <c r="G54" s="11"/>
      <c r="H54" s="11"/>
      <c r="I54" s="11"/>
      <c r="J54" s="11"/>
      <c r="K54" s="11"/>
      <c r="L54" s="11"/>
      <c r="M54" s="13"/>
      <c r="N54" s="11"/>
      <c r="O54" s="11"/>
      <c r="P54" s="11"/>
      <c r="Q54" s="14"/>
      <c r="R54" s="11"/>
      <c r="S54" s="14"/>
      <c r="T54" s="14"/>
      <c r="U54" s="14"/>
      <c r="V54" s="17"/>
      <c r="W54" s="18"/>
      <c r="X54" s="52"/>
    </row>
    <row r="55" spans="1:24" ht="21" customHeight="1">
      <c r="A55" s="10"/>
      <c r="B55" s="11"/>
      <c r="C55" s="11"/>
      <c r="D55" s="11"/>
      <c r="E55" s="12"/>
      <c r="F55" s="11"/>
      <c r="G55" s="11"/>
      <c r="H55" s="11"/>
      <c r="I55" s="11"/>
      <c r="J55" s="11"/>
      <c r="K55" s="11"/>
      <c r="L55" s="11"/>
      <c r="M55" s="13"/>
      <c r="N55" s="11"/>
      <c r="O55" s="14"/>
      <c r="P55" s="11"/>
      <c r="Q55" s="14"/>
      <c r="R55" s="11"/>
      <c r="S55" s="14"/>
      <c r="T55" s="14"/>
      <c r="U55" s="14"/>
      <c r="V55" s="11"/>
      <c r="W55" s="18"/>
      <c r="X55" s="52"/>
    </row>
    <row r="56" spans="1:24" ht="21" customHeight="1">
      <c r="A56" s="10"/>
      <c r="B56" s="11"/>
      <c r="C56" s="11"/>
      <c r="D56" s="11"/>
      <c r="E56" s="12"/>
      <c r="F56" s="11"/>
      <c r="G56" s="11"/>
      <c r="H56" s="11"/>
      <c r="I56" s="11"/>
      <c r="J56" s="11"/>
      <c r="K56" s="11"/>
      <c r="L56" s="11"/>
      <c r="M56" s="13"/>
      <c r="N56" s="11"/>
      <c r="O56" s="11"/>
      <c r="P56" s="11"/>
      <c r="Q56" s="14"/>
      <c r="R56" s="11"/>
      <c r="S56" s="14"/>
      <c r="T56" s="14"/>
      <c r="U56" s="14"/>
      <c r="V56" s="17"/>
      <c r="W56" s="18"/>
      <c r="X56" s="52"/>
    </row>
    <row r="57" spans="1:24" ht="21" customHeight="1" thickBot="1">
      <c r="A57" s="10"/>
      <c r="B57" s="11"/>
      <c r="C57" s="11"/>
      <c r="D57" s="11"/>
      <c r="E57" s="12"/>
      <c r="F57" s="11"/>
      <c r="G57" s="11"/>
      <c r="H57" s="11"/>
      <c r="I57" s="11"/>
      <c r="J57" s="11"/>
      <c r="K57" s="11"/>
      <c r="L57" s="11"/>
      <c r="M57" s="13"/>
      <c r="N57" s="11"/>
      <c r="O57" s="11"/>
      <c r="P57" s="11"/>
      <c r="Q57" s="14"/>
      <c r="R57" s="11"/>
      <c r="S57" s="14"/>
      <c r="T57" s="14"/>
      <c r="U57" s="14"/>
      <c r="V57" s="17"/>
      <c r="W57" s="18"/>
      <c r="X57" s="52"/>
    </row>
    <row r="58" spans="1:24" ht="20.45" customHeight="1">
      <c r="A58" s="1" t="s">
        <v>309</v>
      </c>
      <c r="B58" s="2" t="s">
        <v>1</v>
      </c>
      <c r="C58" s="2" t="s">
        <v>2</v>
      </c>
      <c r="D58" s="2" t="s">
        <v>3</v>
      </c>
      <c r="E58" s="3" t="s">
        <v>4</v>
      </c>
      <c r="F58" s="2" t="s">
        <v>5</v>
      </c>
      <c r="G58" s="2" t="s">
        <v>6</v>
      </c>
      <c r="H58" s="2" t="s">
        <v>7</v>
      </c>
      <c r="I58" s="4" t="s">
        <v>8</v>
      </c>
      <c r="J58" s="2" t="s">
        <v>9</v>
      </c>
      <c r="K58" s="2" t="s">
        <v>10</v>
      </c>
      <c r="L58" s="2" t="s">
        <v>11</v>
      </c>
      <c r="M58" s="5" t="s">
        <v>12</v>
      </c>
      <c r="N58" s="6" t="s">
        <v>13</v>
      </c>
      <c r="O58" s="7" t="s">
        <v>14</v>
      </c>
      <c r="P58" s="8" t="s">
        <v>161</v>
      </c>
      <c r="Q58" s="8" t="s">
        <v>158</v>
      </c>
      <c r="R58" s="7" t="s">
        <v>148</v>
      </c>
      <c r="S58" s="7" t="s">
        <v>149</v>
      </c>
      <c r="T58" s="7" t="s">
        <v>77</v>
      </c>
      <c r="U58" s="8" t="s">
        <v>20</v>
      </c>
      <c r="V58" s="8" t="s">
        <v>21</v>
      </c>
      <c r="W58" s="24" t="s">
        <v>22</v>
      </c>
      <c r="X58" s="52" t="s">
        <v>314</v>
      </c>
    </row>
    <row r="59" spans="1:24" ht="20.45" customHeight="1">
      <c r="A59" s="10" t="s">
        <v>79</v>
      </c>
      <c r="B59" s="11">
        <v>9.8379629629629633E-3</v>
      </c>
      <c r="C59" s="11">
        <v>2.9745370370370373E-3</v>
      </c>
      <c r="D59" s="11">
        <f>B59*E59</f>
        <v>5.7237268518518522E-3</v>
      </c>
      <c r="E59" s="12">
        <v>0.58179999999999998</v>
      </c>
      <c r="F59" s="11">
        <f>C59/4</f>
        <v>7.4363425925925931E-4</v>
      </c>
      <c r="G59" s="11">
        <f>D59/7.5</f>
        <v>7.6316358024691364E-4</v>
      </c>
      <c r="H59" s="11">
        <f>B59/12.5</f>
        <v>7.8703703703703705E-4</v>
      </c>
      <c r="I59" s="11">
        <f>G59/0.93</f>
        <v>8.2060600026549854E-4</v>
      </c>
      <c r="J59" s="11">
        <f>G59/0.92</f>
        <v>8.29525630703167E-4</v>
      </c>
      <c r="K59" s="11">
        <f>G59/0.88</f>
        <v>8.6723134118967459E-4</v>
      </c>
      <c r="L59" s="11">
        <f>G59/0.84</f>
        <v>9.085280717225163E-4</v>
      </c>
      <c r="M59" s="25">
        <f>WO2025Jan7men1191517192325293133353941434547495557596365676971737577791317[[#This Row],[Thresh]]</f>
        <v>8.6723134118967459E-4</v>
      </c>
      <c r="N59" s="28">
        <f>WO2025Jan7men1191517192325293133353941434547495557596365676971737577791317[[#This Row],[Thresh]]*2.5</f>
        <v>2.1680783529741867E-3</v>
      </c>
      <c r="O59" s="25">
        <f>WO2025Jan7men1191517192325293133353941434547495557596365676971737577791317[[#This Row],[CV]]</f>
        <v>8.29525630703167E-4</v>
      </c>
      <c r="P59" s="25">
        <f>WO2025Jan7men1191517192325293133353941434547495557596365676971737577791317[[#This Row],[CV]]*2.5</f>
        <v>2.0738140767579175E-3</v>
      </c>
      <c r="Q59" s="25">
        <f>WO2025Jan7men1191517192325293133353941434547495557596365676971737577791317[[#This Row],[VO2]]</f>
        <v>7.6316358024691364E-4</v>
      </c>
      <c r="R59" s="28"/>
      <c r="S59" s="25"/>
      <c r="T59" s="25"/>
      <c r="U59" s="28"/>
      <c r="V59" s="25"/>
      <c r="W59" s="15" t="s">
        <v>26</v>
      </c>
      <c r="X59" s="52"/>
    </row>
    <row r="60" spans="1:24" ht="20.45" customHeight="1">
      <c r="A60" s="10" t="s">
        <v>80</v>
      </c>
      <c r="B60" s="11">
        <v>9.8379629629629633E-3</v>
      </c>
      <c r="C60" s="11">
        <v>2.8587962962962963E-3</v>
      </c>
      <c r="D60" s="11">
        <f>B60*E60</f>
        <v>5.7237268518518522E-3</v>
      </c>
      <c r="E60" s="12">
        <v>0.58179999999999998</v>
      </c>
      <c r="F60" s="11">
        <f>C60/4</f>
        <v>7.1469907407407409E-4</v>
      </c>
      <c r="G60" s="11">
        <f>D60/7.5</f>
        <v>7.6316358024691364E-4</v>
      </c>
      <c r="H60" s="11">
        <f>B60/12.5</f>
        <v>7.8703703703703705E-4</v>
      </c>
      <c r="I60" s="11">
        <f>G60/0.93</f>
        <v>8.2060600026549854E-4</v>
      </c>
      <c r="J60" s="11">
        <f>G60/0.92</f>
        <v>8.29525630703167E-4</v>
      </c>
      <c r="K60" s="11">
        <f>G60/0.88</f>
        <v>8.6723134118967459E-4</v>
      </c>
      <c r="L60" s="11">
        <f>G60/0.84</f>
        <v>9.085280717225163E-4</v>
      </c>
      <c r="M60" s="25">
        <f>WO2025Jan7men1191517192325293133353941434547495557596365676971737577791317[[#This Row],[Thresh]]</f>
        <v>8.6723134118967459E-4</v>
      </c>
      <c r="N60" s="28">
        <f>WO2025Jan7men1191517192325293133353941434547495557596365676971737577791317[[#This Row],[Thresh]]*2.5</f>
        <v>2.1680783529741867E-3</v>
      </c>
      <c r="O60" s="25">
        <f>WO2025Jan7men1191517192325293133353941434547495557596365676971737577791317[[#This Row],[CV]]</f>
        <v>8.29525630703167E-4</v>
      </c>
      <c r="P60" s="25">
        <f>WO2025Jan7men1191517192325293133353941434547495557596365676971737577791317[[#This Row],[CV]]*2.5</f>
        <v>2.0738140767579175E-3</v>
      </c>
      <c r="Q60" s="25">
        <f>WO2025Jan7men1191517192325293133353941434547495557596365676971737577791317[[#This Row],[VO2]]</f>
        <v>7.6316358024691364E-4</v>
      </c>
      <c r="R60" s="25"/>
      <c r="S60" s="25"/>
      <c r="T60" s="25"/>
      <c r="U60" s="28"/>
      <c r="V60" s="25"/>
      <c r="W60" s="15" t="s">
        <v>35</v>
      </c>
      <c r="X60" s="52"/>
    </row>
    <row r="61" spans="1:24" ht="20.45" customHeight="1">
      <c r="A61" s="10" t="s">
        <v>109</v>
      </c>
      <c r="B61" s="11">
        <v>9.8379629629629633E-3</v>
      </c>
      <c r="C61" s="11">
        <v>2.9745370370370373E-3</v>
      </c>
      <c r="D61" s="11">
        <f>B61*E61</f>
        <v>5.7237268518518522E-3</v>
      </c>
      <c r="E61" s="12">
        <v>0.58179999999999998</v>
      </c>
      <c r="F61" s="11">
        <f>C61/4</f>
        <v>7.4363425925925931E-4</v>
      </c>
      <c r="G61" s="11">
        <f>D61/7.5</f>
        <v>7.6316358024691364E-4</v>
      </c>
      <c r="H61" s="11">
        <f>B61/12.5</f>
        <v>7.8703703703703705E-4</v>
      </c>
      <c r="I61" s="11">
        <f>G61/0.93</f>
        <v>8.2060600026549854E-4</v>
      </c>
      <c r="J61" s="11">
        <f>G61/0.92</f>
        <v>8.29525630703167E-4</v>
      </c>
      <c r="K61" s="11">
        <f>G61/0.88</f>
        <v>8.6723134118967459E-4</v>
      </c>
      <c r="L61" s="11">
        <f>G61/0.84</f>
        <v>9.085280717225163E-4</v>
      </c>
      <c r="M61" s="25">
        <f>WO2025Jan7men1191517192325293133353941434547495557596365676971737577791317[[#This Row],[Thresh]]</f>
        <v>8.6723134118967459E-4</v>
      </c>
      <c r="N61" s="28">
        <f>WO2025Jan7men1191517192325293133353941434547495557596365676971737577791317[[#This Row],[Thresh]]*2.5</f>
        <v>2.1680783529741867E-3</v>
      </c>
      <c r="O61" s="25">
        <f>WO2025Jan7men1191517192325293133353941434547495557596365676971737577791317[[#This Row],[CV]]</f>
        <v>8.29525630703167E-4</v>
      </c>
      <c r="P61" s="25">
        <f>WO2025Jan7men1191517192325293133353941434547495557596365676971737577791317[[#This Row],[CV]]*2.5</f>
        <v>2.0738140767579175E-3</v>
      </c>
      <c r="Q61" s="25">
        <f>WO2025Jan7men1191517192325293133353941434547495557596365676971737577791317[[#This Row],[VO2]]</f>
        <v>7.6316358024691364E-4</v>
      </c>
      <c r="R61" s="28"/>
      <c r="S61" s="25"/>
      <c r="T61" s="25"/>
      <c r="U61" s="28"/>
      <c r="V61" s="25"/>
      <c r="W61" s="15" t="s">
        <v>26</v>
      </c>
      <c r="X61" s="52"/>
    </row>
    <row r="62" spans="1:24" ht="20.45" customHeight="1">
      <c r="A62" s="10" t="s">
        <v>81</v>
      </c>
      <c r="B62" s="11">
        <v>9.9537037037037042E-3</v>
      </c>
      <c r="C62" s="11">
        <v>2.9745370370370373E-3</v>
      </c>
      <c r="D62" s="11">
        <f>B62*E62</f>
        <v>5.7910648148148149E-3</v>
      </c>
      <c r="E62" s="12">
        <v>0.58179999999999998</v>
      </c>
      <c r="F62" s="11">
        <f>C62/4</f>
        <v>7.4363425925925931E-4</v>
      </c>
      <c r="G62" s="11">
        <f>D62/7.5</f>
        <v>7.7214197530864196E-4</v>
      </c>
      <c r="H62" s="11">
        <f>B62/12.5</f>
        <v>7.9629629629629636E-4</v>
      </c>
      <c r="I62" s="11">
        <f>G62/0.93</f>
        <v>8.3026018850391602E-4</v>
      </c>
      <c r="J62" s="11">
        <f>G62/0.92</f>
        <v>8.3928475577026292E-4</v>
      </c>
      <c r="K62" s="11">
        <f>G62/0.88</f>
        <v>8.7743406285072947E-4</v>
      </c>
      <c r="L62" s="11">
        <f>G62/0.84</f>
        <v>9.1921663727219285E-4</v>
      </c>
      <c r="M62" s="25">
        <f>WO2025Jan7men1191517192325293133353941434547495557596365676971737577791317[[#This Row],[Thresh]]</f>
        <v>8.7743406285072947E-4</v>
      </c>
      <c r="N62" s="28">
        <f>WO2025Jan7men1191517192325293133353941434547495557596365676971737577791317[[#This Row],[Thresh]]*2.5</f>
        <v>2.1935851571268238E-3</v>
      </c>
      <c r="O62" s="25">
        <f>WO2025Jan7men1191517192325293133353941434547495557596365676971737577791317[[#This Row],[CV]]</f>
        <v>8.3928475577026292E-4</v>
      </c>
      <c r="P62" s="25">
        <f>WO2025Jan7men1191517192325293133353941434547495557596365676971737577791317[[#This Row],[CV]]*2.5</f>
        <v>2.0982118894256573E-3</v>
      </c>
      <c r="Q62" s="25">
        <f>WO2025Jan7men1191517192325293133353941434547495557596365676971737577791317[[#This Row],[VO2]]</f>
        <v>7.7214197530864196E-4</v>
      </c>
      <c r="R62" s="28"/>
      <c r="S62" s="25"/>
      <c r="T62" s="25"/>
      <c r="U62" s="28"/>
      <c r="V62" s="25"/>
      <c r="W62" s="15" t="s">
        <v>26</v>
      </c>
      <c r="X62" s="52"/>
    </row>
    <row r="63" spans="1:24" ht="20.45" customHeight="1">
      <c r="A63" s="10" t="s">
        <v>82</v>
      </c>
      <c r="B63" s="11">
        <v>9.9537037037037042E-3</v>
      </c>
      <c r="C63" s="11">
        <v>2.8935185185185188E-3</v>
      </c>
      <c r="D63" s="11">
        <f>B63*E63</f>
        <v>5.7910648148148149E-3</v>
      </c>
      <c r="E63" s="12">
        <v>0.58179999999999998</v>
      </c>
      <c r="F63" s="11">
        <f>C63/4</f>
        <v>7.233796296296297E-4</v>
      </c>
      <c r="G63" s="11">
        <f>D63/7.5</f>
        <v>7.7214197530864196E-4</v>
      </c>
      <c r="H63" s="11">
        <f>B63/12.5</f>
        <v>7.9629629629629636E-4</v>
      </c>
      <c r="I63" s="11">
        <f>G63/0.93</f>
        <v>8.3026018850391602E-4</v>
      </c>
      <c r="J63" s="11">
        <f>G63/0.92</f>
        <v>8.3928475577026292E-4</v>
      </c>
      <c r="K63" s="11">
        <f>G63/0.88</f>
        <v>8.7743406285072947E-4</v>
      </c>
      <c r="L63" s="11">
        <f>G63/0.84</f>
        <v>9.1921663727219285E-4</v>
      </c>
      <c r="M63" s="25">
        <f>WO2025Jan7men1191517192325293133353941434547495557596365676971737577791317[[#This Row],[Thresh]]</f>
        <v>8.7743406285072947E-4</v>
      </c>
      <c r="N63" s="28">
        <f>WO2025Jan7men1191517192325293133353941434547495557596365676971737577791317[[#This Row],[Thresh]]*2.5</f>
        <v>2.1935851571268238E-3</v>
      </c>
      <c r="O63" s="25">
        <f>WO2025Jan7men1191517192325293133353941434547495557596365676971737577791317[[#This Row],[CV]]</f>
        <v>8.3928475577026292E-4</v>
      </c>
      <c r="P63" s="25">
        <f>WO2025Jan7men1191517192325293133353941434547495557596365676971737577791317[[#This Row],[CV]]*2.5</f>
        <v>2.0982118894256573E-3</v>
      </c>
      <c r="Q63" s="25">
        <f>WO2025Jan7men1191517192325293133353941434547495557596365676971737577791317[[#This Row],[VO2]]</f>
        <v>7.7214197530864196E-4</v>
      </c>
      <c r="R63" s="25"/>
      <c r="S63" s="25"/>
      <c r="T63" s="25"/>
      <c r="U63" s="28"/>
      <c r="V63" s="25"/>
      <c r="W63" s="15" t="s">
        <v>26</v>
      </c>
      <c r="X63" s="52"/>
    </row>
    <row r="64" spans="1:24" ht="20.45" customHeight="1">
      <c r="A64" s="10" t="s">
        <v>84</v>
      </c>
      <c r="B64" s="11">
        <v>1.0069444444444445E-2</v>
      </c>
      <c r="C64" s="11">
        <v>3.0092592592592593E-3</v>
      </c>
      <c r="D64" s="11">
        <f t="shared" ref="D64:D84" si="24">B64*E64</f>
        <v>5.8584027777777783E-3</v>
      </c>
      <c r="E64" s="12">
        <v>0.58179999999999998</v>
      </c>
      <c r="F64" s="11">
        <f t="shared" ref="F64:F84" si="25">C64/4</f>
        <v>7.5231481481481482E-4</v>
      </c>
      <c r="G64" s="11">
        <f t="shared" ref="G64:G84" si="26">D64/7.5</f>
        <v>7.811203703703705E-4</v>
      </c>
      <c r="H64" s="11">
        <f t="shared" ref="H64:H84" si="27">B64/12.5</f>
        <v>8.0555555555555556E-4</v>
      </c>
      <c r="I64" s="11">
        <f t="shared" ref="I64:I84" si="28">G64/0.93</f>
        <v>8.3991437674233382E-4</v>
      </c>
      <c r="J64" s="11">
        <f t="shared" ref="J64:J84" si="29">G64/0.92</f>
        <v>8.4904388083735917E-4</v>
      </c>
      <c r="K64" s="11">
        <f t="shared" ref="K64:K84" si="30">G64/0.88</f>
        <v>8.8763678451178466E-4</v>
      </c>
      <c r="L64" s="11">
        <f t="shared" ref="L64:L84" si="31">G64/0.84</f>
        <v>9.2990520282186973E-4</v>
      </c>
      <c r="M64" s="25">
        <f>WO2025Jan7men1191517192325293133353941434547495557596365676971737577791317[[#This Row],[Thresh]]</f>
        <v>8.8763678451178466E-4</v>
      </c>
      <c r="N64" s="28">
        <f>WO2025Jan7men1191517192325293133353941434547495557596365676971737577791317[[#This Row],[Thresh]]*2.5</f>
        <v>2.2190919612794617E-3</v>
      </c>
      <c r="O64" s="25">
        <f>WO2025Jan7men1191517192325293133353941434547495557596365676971737577791317[[#This Row],[CV]]</f>
        <v>8.4904388083735917E-4</v>
      </c>
      <c r="P64" s="25">
        <f>WO2025Jan7men1191517192325293133353941434547495557596365676971737577791317[[#This Row],[CV]]*2.5</f>
        <v>2.1226097020933979E-3</v>
      </c>
      <c r="Q64" s="25">
        <f>WO2025Jan7men1191517192325293133353941434547495557596365676971737577791317[[#This Row],[VO2]]</f>
        <v>7.811203703703705E-4</v>
      </c>
      <c r="R64" s="25"/>
      <c r="S64" s="25"/>
      <c r="T64" s="25"/>
      <c r="U64" s="28"/>
      <c r="V64" s="25"/>
      <c r="W64" s="15" t="s">
        <v>26</v>
      </c>
      <c r="X64" s="52"/>
    </row>
    <row r="65" spans="1:24" ht="20.45" customHeight="1">
      <c r="A65" s="10" t="s">
        <v>110</v>
      </c>
      <c r="B65" s="11">
        <v>1.0069444444444445E-2</v>
      </c>
      <c r="C65" s="11">
        <v>2.8935185185185184E-3</v>
      </c>
      <c r="D65" s="11">
        <f>B65*E65</f>
        <v>5.8584027777777783E-3</v>
      </c>
      <c r="E65" s="12">
        <v>0.58179999999999998</v>
      </c>
      <c r="F65" s="11">
        <f>C65/4</f>
        <v>7.2337962962962959E-4</v>
      </c>
      <c r="G65" s="11">
        <f>D65/7.5</f>
        <v>7.811203703703705E-4</v>
      </c>
      <c r="H65" s="11">
        <f>B65/12.5</f>
        <v>8.0555555555555556E-4</v>
      </c>
      <c r="I65" s="11">
        <f>G65/0.93</f>
        <v>8.3991437674233382E-4</v>
      </c>
      <c r="J65" s="11">
        <f>G65/0.92</f>
        <v>8.4904388083735917E-4</v>
      </c>
      <c r="K65" s="11">
        <f>G65/0.88</f>
        <v>8.8763678451178466E-4</v>
      </c>
      <c r="L65" s="11">
        <f>G65/0.84</f>
        <v>9.2990520282186973E-4</v>
      </c>
      <c r="M65" s="25">
        <f>WO2025Jan7men1191517192325293133353941434547495557596365676971737577791317[[#This Row],[Thresh]]</f>
        <v>8.8763678451178466E-4</v>
      </c>
      <c r="N65" s="28">
        <f>WO2025Jan7men1191517192325293133353941434547495557596365676971737577791317[[#This Row],[Thresh]]*2.5</f>
        <v>2.2190919612794617E-3</v>
      </c>
      <c r="O65" s="25">
        <f>WO2025Jan7men1191517192325293133353941434547495557596365676971737577791317[[#This Row],[CV]]</f>
        <v>8.4904388083735917E-4</v>
      </c>
      <c r="P65" s="25">
        <f>WO2025Jan7men1191517192325293133353941434547495557596365676971737577791317[[#This Row],[CV]]*2.5</f>
        <v>2.1226097020933979E-3</v>
      </c>
      <c r="Q65" s="25">
        <f>WO2025Jan7men1191517192325293133353941434547495557596365676971737577791317[[#This Row],[VO2]]</f>
        <v>7.811203703703705E-4</v>
      </c>
      <c r="R65" s="25"/>
      <c r="S65" s="25"/>
      <c r="T65" s="25"/>
      <c r="U65" s="28"/>
      <c r="V65" s="25"/>
      <c r="W65" s="15" t="s">
        <v>35</v>
      </c>
      <c r="X65" s="52"/>
    </row>
    <row r="66" spans="1:24" ht="20.45" customHeight="1">
      <c r="A66" s="10" t="s">
        <v>95</v>
      </c>
      <c r="B66" s="11">
        <v>1.0243055555555556E-2</v>
      </c>
      <c r="C66" s="11">
        <v>2.9513888888888888E-3</v>
      </c>
      <c r="D66" s="11">
        <f>B66*E66</f>
        <v>5.9594097222222218E-3</v>
      </c>
      <c r="E66" s="12">
        <v>0.58179999999999998</v>
      </c>
      <c r="F66" s="11">
        <f>C66/4</f>
        <v>7.378472222222222E-4</v>
      </c>
      <c r="G66" s="11">
        <f>D66/7.5</f>
        <v>7.9458796296296287E-4</v>
      </c>
      <c r="H66" s="11">
        <f>B66/12.5</f>
        <v>8.1944444444444447E-4</v>
      </c>
      <c r="I66" s="11">
        <f>G66/0.93</f>
        <v>8.5439565909996003E-4</v>
      </c>
      <c r="J66" s="11">
        <f>G66/0.92</f>
        <v>8.636825684380031E-4</v>
      </c>
      <c r="K66" s="11">
        <f>G66/0.88</f>
        <v>9.0294086700336686E-4</v>
      </c>
      <c r="L66" s="11">
        <f>G66/0.84</f>
        <v>9.4593805114638445E-4</v>
      </c>
      <c r="M66" s="25">
        <f>WO2025Jan7men1191517192325293133353941434547495557596365676971737577791317[[#This Row],[Thresh]]</f>
        <v>9.0294086700336686E-4</v>
      </c>
      <c r="N66" s="28">
        <f>WO2025Jan7men1191517192325293133353941434547495557596365676971737577791317[[#This Row],[Thresh]]*2.5</f>
        <v>2.2573521675084171E-3</v>
      </c>
      <c r="O66" s="25">
        <f>WO2025Jan7men1191517192325293133353941434547495557596365676971737577791317[[#This Row],[CV]]</f>
        <v>8.636825684380031E-4</v>
      </c>
      <c r="P66" s="25">
        <f>WO2025Jan7men1191517192325293133353941434547495557596365676971737577791317[[#This Row],[CV]]*2.5</f>
        <v>2.1592064210950077E-3</v>
      </c>
      <c r="Q66" s="25">
        <f>WO2025Jan7men1191517192325293133353941434547495557596365676971737577791317[[#This Row],[VO2]]</f>
        <v>7.9458796296296287E-4</v>
      </c>
      <c r="R66" s="28"/>
      <c r="S66" s="25"/>
      <c r="T66" s="28"/>
      <c r="U66" s="28"/>
      <c r="V66" s="25"/>
      <c r="W66" s="15" t="s">
        <v>35</v>
      </c>
      <c r="X66" s="52"/>
    </row>
    <row r="67" spans="1:24" ht="20.45" customHeight="1">
      <c r="A67" s="10" t="s">
        <v>83</v>
      </c>
      <c r="B67" s="11">
        <v>1.0243055555555556E-2</v>
      </c>
      <c r="C67" s="11">
        <v>3.0671296296296297E-3</v>
      </c>
      <c r="D67" s="11">
        <f t="shared" si="24"/>
        <v>5.9594097222222218E-3</v>
      </c>
      <c r="E67" s="12">
        <v>0.58179999999999998</v>
      </c>
      <c r="F67" s="11">
        <f t="shared" si="25"/>
        <v>7.6678240740740743E-4</v>
      </c>
      <c r="G67" s="11">
        <f t="shared" si="26"/>
        <v>7.9458796296296287E-4</v>
      </c>
      <c r="H67" s="11">
        <f t="shared" si="27"/>
        <v>8.1944444444444447E-4</v>
      </c>
      <c r="I67" s="11">
        <f t="shared" si="28"/>
        <v>8.5439565909996003E-4</v>
      </c>
      <c r="J67" s="11">
        <f t="shared" si="29"/>
        <v>8.636825684380031E-4</v>
      </c>
      <c r="K67" s="11">
        <f t="shared" si="30"/>
        <v>9.0294086700336686E-4</v>
      </c>
      <c r="L67" s="11">
        <f t="shared" si="31"/>
        <v>9.4593805114638445E-4</v>
      </c>
      <c r="M67" s="25">
        <f>WO2025Jan7men1191517192325293133353941434547495557596365676971737577791317[[#This Row],[Thresh]]</f>
        <v>9.0294086700336686E-4</v>
      </c>
      <c r="N67" s="28">
        <f>WO2025Jan7men1191517192325293133353941434547495557596365676971737577791317[[#This Row],[Thresh]]*2.5</f>
        <v>2.2573521675084171E-3</v>
      </c>
      <c r="O67" s="25">
        <f>WO2025Jan7men1191517192325293133353941434547495557596365676971737577791317[[#This Row],[CV]]</f>
        <v>8.636825684380031E-4</v>
      </c>
      <c r="P67" s="25">
        <f>WO2025Jan7men1191517192325293133353941434547495557596365676971737577791317[[#This Row],[CV]]*2.5</f>
        <v>2.1592064210950077E-3</v>
      </c>
      <c r="Q67" s="25">
        <f>WO2025Jan7men1191517192325293133353941434547495557596365676971737577791317[[#This Row],[VO2]]</f>
        <v>7.9458796296296287E-4</v>
      </c>
      <c r="R67" s="28"/>
      <c r="S67" s="25"/>
      <c r="T67" s="25"/>
      <c r="U67" s="28"/>
      <c r="V67" s="28"/>
      <c r="W67" s="15" t="s">
        <v>26</v>
      </c>
      <c r="X67" s="52"/>
    </row>
    <row r="68" spans="1:24" ht="20.45" customHeight="1">
      <c r="A68" s="10" t="s">
        <v>112</v>
      </c>
      <c r="B68" s="11">
        <v>1.0243055555555556E-2</v>
      </c>
      <c r="C68" s="11">
        <v>2.8587962962962963E-3</v>
      </c>
      <c r="D68" s="11">
        <f t="shared" si="24"/>
        <v>5.9594097222222218E-3</v>
      </c>
      <c r="E68" s="12">
        <v>0.58179999999999998</v>
      </c>
      <c r="F68" s="11">
        <f t="shared" si="25"/>
        <v>7.1469907407407409E-4</v>
      </c>
      <c r="G68" s="11">
        <f t="shared" si="26"/>
        <v>7.9458796296296287E-4</v>
      </c>
      <c r="H68" s="11">
        <f t="shared" si="27"/>
        <v>8.1944444444444447E-4</v>
      </c>
      <c r="I68" s="11">
        <f t="shared" si="28"/>
        <v>8.5439565909996003E-4</v>
      </c>
      <c r="J68" s="11">
        <f t="shared" si="29"/>
        <v>8.636825684380031E-4</v>
      </c>
      <c r="K68" s="11">
        <f t="shared" si="30"/>
        <v>9.0294086700336686E-4</v>
      </c>
      <c r="L68" s="11">
        <f t="shared" si="31"/>
        <v>9.4593805114638445E-4</v>
      </c>
      <c r="M68" s="25">
        <f>WO2025Jan7men1191517192325293133353941434547495557596365676971737577791317[[#This Row],[Thresh]]</f>
        <v>9.0294086700336686E-4</v>
      </c>
      <c r="N68" s="28">
        <f>WO2025Jan7men1191517192325293133353941434547495557596365676971737577791317[[#This Row],[Thresh]]*2.5</f>
        <v>2.2573521675084171E-3</v>
      </c>
      <c r="O68" s="25">
        <f>WO2025Jan7men1191517192325293133353941434547495557596365676971737577791317[[#This Row],[CV]]</f>
        <v>8.636825684380031E-4</v>
      </c>
      <c r="P68" s="25">
        <f>WO2025Jan7men1191517192325293133353941434547495557596365676971737577791317[[#This Row],[CV]]*2.5</f>
        <v>2.1592064210950077E-3</v>
      </c>
      <c r="Q68" s="25">
        <f>WO2025Jan7men1191517192325293133353941434547495557596365676971737577791317[[#This Row],[VO2]]</f>
        <v>7.9458796296296287E-4</v>
      </c>
      <c r="R68" s="25"/>
      <c r="S68" s="25"/>
      <c r="T68" s="25"/>
      <c r="U68" s="28"/>
      <c r="V68" s="25"/>
      <c r="W68" s="15" t="s">
        <v>26</v>
      </c>
      <c r="X68" s="52" t="s">
        <v>315</v>
      </c>
    </row>
    <row r="69" spans="1:24" ht="20.45" customHeight="1">
      <c r="A69" s="10" t="s">
        <v>93</v>
      </c>
      <c r="B69" s="11">
        <v>1.0243055555555556E-2</v>
      </c>
      <c r="C69" s="11"/>
      <c r="D69" s="11">
        <f t="shared" si="24"/>
        <v>5.9594097222222218E-3</v>
      </c>
      <c r="E69" s="12">
        <v>0.58179999999999998</v>
      </c>
      <c r="F69" s="11">
        <f t="shared" si="25"/>
        <v>0</v>
      </c>
      <c r="G69" s="11">
        <f t="shared" si="26"/>
        <v>7.9458796296296287E-4</v>
      </c>
      <c r="H69" s="11">
        <f t="shared" si="27"/>
        <v>8.1944444444444447E-4</v>
      </c>
      <c r="I69" s="11">
        <f t="shared" si="28"/>
        <v>8.5439565909996003E-4</v>
      </c>
      <c r="J69" s="11">
        <f t="shared" si="29"/>
        <v>8.636825684380031E-4</v>
      </c>
      <c r="K69" s="11">
        <f t="shared" si="30"/>
        <v>9.0294086700336686E-4</v>
      </c>
      <c r="L69" s="11">
        <f t="shared" si="31"/>
        <v>9.4593805114638445E-4</v>
      </c>
      <c r="M69" s="25">
        <f>WO2025Jan7men1191517192325293133353941434547495557596365676971737577791317[[#This Row],[Thresh]]</f>
        <v>9.0294086700336686E-4</v>
      </c>
      <c r="N69" s="28">
        <f>WO2025Jan7men1191517192325293133353941434547495557596365676971737577791317[[#This Row],[Thresh]]*2.5</f>
        <v>2.2573521675084171E-3</v>
      </c>
      <c r="O69" s="25">
        <f>WO2025Jan7men1191517192325293133353941434547495557596365676971737577791317[[#This Row],[CV]]</f>
        <v>8.636825684380031E-4</v>
      </c>
      <c r="P69" s="25">
        <f>WO2025Jan7men1191517192325293133353941434547495557596365676971737577791317[[#This Row],[CV]]*2.5</f>
        <v>2.1592064210950077E-3</v>
      </c>
      <c r="Q69" s="25">
        <f>WO2025Jan7men1191517192325293133353941434547495557596365676971737577791317[[#This Row],[VO2]]</f>
        <v>7.9458796296296287E-4</v>
      </c>
      <c r="R69" s="28"/>
      <c r="S69" s="25"/>
      <c r="T69" s="25"/>
      <c r="U69" s="28"/>
      <c r="V69" s="28"/>
      <c r="W69" s="27" t="s">
        <v>26</v>
      </c>
      <c r="X69" s="52"/>
    </row>
    <row r="70" spans="1:24" ht="20.45" customHeight="1">
      <c r="A70" s="10" t="s">
        <v>116</v>
      </c>
      <c r="B70" s="11">
        <v>1.0243055555555556E-2</v>
      </c>
      <c r="C70" s="11">
        <v>2.9513888888888888E-3</v>
      </c>
      <c r="D70" s="11">
        <f>B70*E70</f>
        <v>5.9594097222222218E-3</v>
      </c>
      <c r="E70" s="12">
        <v>0.58179999999999998</v>
      </c>
      <c r="F70" s="11">
        <f>C70/4</f>
        <v>7.378472222222222E-4</v>
      </c>
      <c r="G70" s="11">
        <f>D70/7.5</f>
        <v>7.9458796296296287E-4</v>
      </c>
      <c r="H70" s="11">
        <f>B70/12.5</f>
        <v>8.1944444444444447E-4</v>
      </c>
      <c r="I70" s="11">
        <f>G70/0.93</f>
        <v>8.5439565909996003E-4</v>
      </c>
      <c r="J70" s="11">
        <f>G70/0.92</f>
        <v>8.636825684380031E-4</v>
      </c>
      <c r="K70" s="11">
        <f>G70/0.88</f>
        <v>9.0294086700336686E-4</v>
      </c>
      <c r="L70" s="17">
        <f>G70/0.84</f>
        <v>9.4593805114638445E-4</v>
      </c>
      <c r="M70" s="25">
        <f>WO2025Jan7men1191517192325293133353941434547495557596365676971737577791317[[#This Row],[Thresh]]</f>
        <v>9.0294086700336686E-4</v>
      </c>
      <c r="N70" s="28">
        <f>WO2025Jan7men1191517192325293133353941434547495557596365676971737577791317[[#This Row],[Thresh]]*2.5</f>
        <v>2.2573521675084171E-3</v>
      </c>
      <c r="O70" s="25">
        <f>WO2025Jan7men1191517192325293133353941434547495557596365676971737577791317[[#This Row],[CV]]</f>
        <v>8.636825684380031E-4</v>
      </c>
      <c r="P70" s="25">
        <f>WO2025Jan7men1191517192325293133353941434547495557596365676971737577791317[[#This Row],[CV]]*2.5</f>
        <v>2.1592064210950077E-3</v>
      </c>
      <c r="Q70" s="25">
        <f>WO2025Jan7men1191517192325293133353941434547495557596365676971737577791317[[#This Row],[VO2]]</f>
        <v>7.9458796296296287E-4</v>
      </c>
      <c r="R70" s="25"/>
      <c r="S70" s="25"/>
      <c r="T70" s="25"/>
      <c r="U70" s="28"/>
      <c r="V70" s="25"/>
      <c r="W70" s="15" t="s">
        <v>35</v>
      </c>
      <c r="X70" s="52"/>
    </row>
    <row r="71" spans="1:24" ht="20.45" customHeight="1">
      <c r="A71" s="10" t="s">
        <v>92</v>
      </c>
      <c r="B71" s="11">
        <v>1.0300925925925925E-2</v>
      </c>
      <c r="C71" s="11">
        <v>2.9745370370370373E-3</v>
      </c>
      <c r="D71" s="11">
        <f>B71*E71</f>
        <v>5.9930787037037027E-3</v>
      </c>
      <c r="E71" s="12">
        <v>0.58179999999999998</v>
      </c>
      <c r="F71" s="11">
        <f>C71/4</f>
        <v>7.4363425925925931E-4</v>
      </c>
      <c r="G71" s="11">
        <f>D71/7.5</f>
        <v>7.9907716049382703E-4</v>
      </c>
      <c r="H71" s="11">
        <f>B71/12.5</f>
        <v>8.2407407407407397E-4</v>
      </c>
      <c r="I71" s="11">
        <f>G71/0.93</f>
        <v>8.5922275321916877E-4</v>
      </c>
      <c r="J71" s="11">
        <f>G71/0.92</f>
        <v>8.6856213097155112E-4</v>
      </c>
      <c r="K71" s="11">
        <f>G71/0.88</f>
        <v>9.080422278338944E-4</v>
      </c>
      <c r="L71" s="11">
        <f>G71/0.84</f>
        <v>9.5128233392122272E-4</v>
      </c>
      <c r="M71" s="25">
        <f>WO2025Jan7men1191517192325293133353941434547495557596365676971737577791317[[#This Row],[Thresh]]</f>
        <v>9.080422278338944E-4</v>
      </c>
      <c r="N71" s="28">
        <f>WO2025Jan7men1191517192325293133353941434547495557596365676971737577791317[[#This Row],[Thresh]]*2.5</f>
        <v>2.2701055695847358E-3</v>
      </c>
      <c r="O71" s="25"/>
      <c r="P71" s="25"/>
      <c r="Q71" s="25">
        <f>WO2025Jan7men1191517192325293133353941434547495557596365676971737577791317[[#This Row],[VO2]]</f>
        <v>7.9907716049382703E-4</v>
      </c>
      <c r="R71" s="25"/>
      <c r="S71" s="25"/>
      <c r="T71" s="25"/>
      <c r="U71" s="28"/>
      <c r="V71" s="25"/>
      <c r="W71" s="15" t="s">
        <v>203</v>
      </c>
      <c r="X71" s="52"/>
    </row>
    <row r="72" spans="1:24" ht="20.45" customHeight="1">
      <c r="A72" s="10" t="s">
        <v>86</v>
      </c>
      <c r="B72" s="11">
        <v>1.0300925925925925E-2</v>
      </c>
      <c r="C72" s="11">
        <v>3.0671296296296297E-3</v>
      </c>
      <c r="D72" s="11">
        <f t="shared" si="24"/>
        <v>5.9930787037037027E-3</v>
      </c>
      <c r="E72" s="12">
        <v>0.58179999999999998</v>
      </c>
      <c r="F72" s="11">
        <f t="shared" si="25"/>
        <v>7.6678240740740743E-4</v>
      </c>
      <c r="G72" s="11">
        <f t="shared" si="26"/>
        <v>7.9907716049382703E-4</v>
      </c>
      <c r="H72" s="11">
        <f t="shared" si="27"/>
        <v>8.2407407407407397E-4</v>
      </c>
      <c r="I72" s="11">
        <f t="shared" si="28"/>
        <v>8.5922275321916877E-4</v>
      </c>
      <c r="J72" s="11">
        <f t="shared" si="29"/>
        <v>8.6856213097155112E-4</v>
      </c>
      <c r="K72" s="11">
        <f t="shared" si="30"/>
        <v>9.080422278338944E-4</v>
      </c>
      <c r="L72" s="11">
        <f t="shared" si="31"/>
        <v>9.5128233392122272E-4</v>
      </c>
      <c r="M72" s="25">
        <f>WO2025Jan7men1191517192325293133353941434547495557596365676971737577791317[[#This Row],[Thresh]]</f>
        <v>9.080422278338944E-4</v>
      </c>
      <c r="N72" s="28">
        <f>WO2025Jan7men1191517192325293133353941434547495557596365676971737577791317[[#This Row],[Thresh]]*2.5</f>
        <v>2.2701055695847358E-3</v>
      </c>
      <c r="O72" s="25">
        <f>WO2025Jan7men1191517192325293133353941434547495557596365676971737577791317[[#This Row],[CV]]</f>
        <v>8.6856213097155112E-4</v>
      </c>
      <c r="P72" s="25">
        <f>WO2025Jan7men1191517192325293133353941434547495557596365676971737577791317[[#This Row],[CV]]*2.5</f>
        <v>2.1714053274288778E-3</v>
      </c>
      <c r="Q72" s="25">
        <f>WO2025Jan7men1191517192325293133353941434547495557596365676971737577791317[[#This Row],[VO2]]</f>
        <v>7.9907716049382703E-4</v>
      </c>
      <c r="R72" s="25"/>
      <c r="S72" s="25"/>
      <c r="T72" s="25"/>
      <c r="U72" s="28"/>
      <c r="V72" s="25"/>
      <c r="W72" s="15" t="s">
        <v>26</v>
      </c>
      <c r="X72" s="52"/>
    </row>
    <row r="73" spans="1:24" ht="20.45" customHeight="1">
      <c r="A73" s="10" t="s">
        <v>85</v>
      </c>
      <c r="B73" s="11">
        <v>1.0300925925925925E-2</v>
      </c>
      <c r="C73" s="11">
        <v>3.0671296296296297E-3</v>
      </c>
      <c r="D73" s="11">
        <f t="shared" si="24"/>
        <v>5.9930787037037027E-3</v>
      </c>
      <c r="E73" s="12">
        <v>0.58179999999999998</v>
      </c>
      <c r="F73" s="11">
        <f t="shared" si="25"/>
        <v>7.6678240740740743E-4</v>
      </c>
      <c r="G73" s="11">
        <f t="shared" si="26"/>
        <v>7.9907716049382703E-4</v>
      </c>
      <c r="H73" s="11">
        <f t="shared" si="27"/>
        <v>8.2407407407407397E-4</v>
      </c>
      <c r="I73" s="11">
        <f t="shared" si="28"/>
        <v>8.5922275321916877E-4</v>
      </c>
      <c r="J73" s="11">
        <f t="shared" si="29"/>
        <v>8.6856213097155112E-4</v>
      </c>
      <c r="K73" s="11">
        <f t="shared" si="30"/>
        <v>9.080422278338944E-4</v>
      </c>
      <c r="L73" s="17">
        <f t="shared" si="31"/>
        <v>9.5128233392122272E-4</v>
      </c>
      <c r="M73" s="25">
        <f>WO2025Jan7men1191517192325293133353941434547495557596365676971737577791317[[#This Row],[Thresh]]</f>
        <v>9.080422278338944E-4</v>
      </c>
      <c r="N73" s="28">
        <f>WO2025Jan7men1191517192325293133353941434547495557596365676971737577791317[[#This Row],[Thresh]]*2.5</f>
        <v>2.2701055695847358E-3</v>
      </c>
      <c r="O73" s="25">
        <f>WO2025Jan7men1191517192325293133353941434547495557596365676971737577791317[[#This Row],[CV]]</f>
        <v>8.6856213097155112E-4</v>
      </c>
      <c r="P73" s="25">
        <f>WO2025Jan7men1191517192325293133353941434547495557596365676971737577791317[[#This Row],[CV]]*2.5</f>
        <v>2.1714053274288778E-3</v>
      </c>
      <c r="Q73" s="25">
        <f>WO2025Jan7men1191517192325293133353941434547495557596365676971737577791317[[#This Row],[VO2]]</f>
        <v>7.9907716049382703E-4</v>
      </c>
      <c r="R73" s="25"/>
      <c r="S73" s="25"/>
      <c r="T73" s="25"/>
      <c r="U73" s="28"/>
      <c r="V73" s="25"/>
      <c r="W73" s="15" t="s">
        <v>35</v>
      </c>
      <c r="X73" s="52"/>
    </row>
    <row r="74" spans="1:24" ht="20.45" customHeight="1">
      <c r="A74" s="10" t="s">
        <v>111</v>
      </c>
      <c r="B74" s="11">
        <v>1.0300925925925925E-2</v>
      </c>
      <c r="C74" s="11">
        <v>3.0092592592592588E-3</v>
      </c>
      <c r="D74" s="11">
        <f t="shared" si="24"/>
        <v>5.9930787037037027E-3</v>
      </c>
      <c r="E74" s="12">
        <v>0.58179999999999998</v>
      </c>
      <c r="F74" s="11">
        <f t="shared" si="25"/>
        <v>7.5231481481481471E-4</v>
      </c>
      <c r="G74" s="11">
        <f t="shared" si="26"/>
        <v>7.9907716049382703E-4</v>
      </c>
      <c r="H74" s="11">
        <f t="shared" si="27"/>
        <v>8.2407407407407397E-4</v>
      </c>
      <c r="I74" s="11">
        <f t="shared" si="28"/>
        <v>8.5922275321916877E-4</v>
      </c>
      <c r="J74" s="11">
        <f t="shared" si="29"/>
        <v>8.6856213097155112E-4</v>
      </c>
      <c r="K74" s="11">
        <f t="shared" si="30"/>
        <v>9.080422278338944E-4</v>
      </c>
      <c r="L74" s="11">
        <f t="shared" si="31"/>
        <v>9.5128233392122272E-4</v>
      </c>
      <c r="M74" s="25">
        <f>WO2025Jan7men1191517192325293133353941434547495557596365676971737577791317[[#This Row],[Thresh]]</f>
        <v>9.080422278338944E-4</v>
      </c>
      <c r="N74" s="28">
        <f>WO2025Jan7men1191517192325293133353941434547495557596365676971737577791317[[#This Row],[Thresh]]*2.5</f>
        <v>2.2701055695847358E-3</v>
      </c>
      <c r="O74" s="25">
        <f>WO2025Jan7men1191517192325293133353941434547495557596365676971737577791317[[#This Row],[CV]]</f>
        <v>8.6856213097155112E-4</v>
      </c>
      <c r="P74" s="25">
        <f>WO2025Jan7men1191517192325293133353941434547495557596365676971737577791317[[#This Row],[CV]]*2.5</f>
        <v>2.1714053274288778E-3</v>
      </c>
      <c r="Q74" s="25">
        <f>WO2025Jan7men1191517192325293133353941434547495557596365676971737577791317[[#This Row],[VO2]]</f>
        <v>7.9907716049382703E-4</v>
      </c>
      <c r="R74" s="25"/>
      <c r="S74" s="25"/>
      <c r="T74" s="25"/>
      <c r="U74" s="28"/>
      <c r="V74" s="25"/>
      <c r="W74" s="15" t="s">
        <v>35</v>
      </c>
      <c r="X74" s="52"/>
    </row>
    <row r="75" spans="1:24" ht="20.45" customHeight="1">
      <c r="A75" s="10" t="s">
        <v>117</v>
      </c>
      <c r="B75" s="11">
        <v>1.0416666666666666E-2</v>
      </c>
      <c r="C75" s="11">
        <v>3.0671296296296297E-3</v>
      </c>
      <c r="D75" s="11">
        <f t="shared" si="24"/>
        <v>6.0604166666666662E-3</v>
      </c>
      <c r="E75" s="12">
        <v>0.58179999999999998</v>
      </c>
      <c r="F75" s="11">
        <f t="shared" si="25"/>
        <v>7.6678240740740743E-4</v>
      </c>
      <c r="G75" s="11">
        <f t="shared" si="26"/>
        <v>8.0805555555555546E-4</v>
      </c>
      <c r="H75" s="11">
        <f t="shared" si="27"/>
        <v>8.3333333333333328E-4</v>
      </c>
      <c r="I75" s="11">
        <f t="shared" si="28"/>
        <v>8.6887694145758646E-4</v>
      </c>
      <c r="J75" s="11">
        <f t="shared" si="29"/>
        <v>8.7832125603864715E-4</v>
      </c>
      <c r="K75" s="11">
        <f t="shared" si="30"/>
        <v>9.1824494949494938E-4</v>
      </c>
      <c r="L75" s="11">
        <f t="shared" si="31"/>
        <v>9.6197089947089938E-4</v>
      </c>
      <c r="M75" s="25">
        <f>WO2025Jan7men1191517192325293133353941434547495557596365676971737577791317[[#This Row],[Thresh]]</f>
        <v>9.1824494949494938E-4</v>
      </c>
      <c r="N75" s="28">
        <f>WO2025Jan7men1191517192325293133353941434547495557596365676971737577791317[[#This Row],[Thresh]]*2.5</f>
        <v>2.2956123737373733E-3</v>
      </c>
      <c r="O75" s="25">
        <f>WO2025Jan7men1191517192325293133353941434547495557596365676971737577791317[[#This Row],[CV]]</f>
        <v>8.7832125603864715E-4</v>
      </c>
      <c r="P75" s="25">
        <f>WO2025Jan7men1191517192325293133353941434547495557596365676971737577791317[[#This Row],[CV]]*2.5</f>
        <v>2.195803140096618E-3</v>
      </c>
      <c r="Q75" s="25">
        <f>WO2025Jan7men1191517192325293133353941434547495557596365676971737577791317[[#This Row],[VO2]]</f>
        <v>8.0805555555555546E-4</v>
      </c>
      <c r="R75" s="28"/>
      <c r="S75" s="25"/>
      <c r="T75" s="25"/>
      <c r="U75" s="28"/>
      <c r="V75" s="25"/>
      <c r="W75" s="15" t="s">
        <v>35</v>
      </c>
      <c r="X75" s="52"/>
    </row>
    <row r="76" spans="1:24" ht="20.45" customHeight="1">
      <c r="A76" s="10" t="s">
        <v>115</v>
      </c>
      <c r="B76" s="11">
        <v>1.0416666666666666E-2</v>
      </c>
      <c r="C76" s="11"/>
      <c r="D76" s="11">
        <f t="shared" si="24"/>
        <v>6.0604166666666662E-3</v>
      </c>
      <c r="E76" s="12">
        <v>0.58179999999999998</v>
      </c>
      <c r="F76" s="11">
        <f t="shared" si="25"/>
        <v>0</v>
      </c>
      <c r="G76" s="11">
        <f t="shared" si="26"/>
        <v>8.0805555555555546E-4</v>
      </c>
      <c r="H76" s="11">
        <f t="shared" si="27"/>
        <v>8.3333333333333328E-4</v>
      </c>
      <c r="I76" s="11">
        <f t="shared" si="28"/>
        <v>8.6887694145758646E-4</v>
      </c>
      <c r="J76" s="11">
        <f t="shared" si="29"/>
        <v>8.7832125603864715E-4</v>
      </c>
      <c r="K76" s="11">
        <f t="shared" si="30"/>
        <v>9.1824494949494938E-4</v>
      </c>
      <c r="L76" s="11">
        <f t="shared" si="31"/>
        <v>9.6197089947089938E-4</v>
      </c>
      <c r="M76" s="25">
        <f>WO2025Jan7men1191517192325293133353941434547495557596365676971737577791317[[#This Row],[Thresh]]</f>
        <v>9.1824494949494938E-4</v>
      </c>
      <c r="N76" s="28">
        <f>WO2025Jan7men1191517192325293133353941434547495557596365676971737577791317[[#This Row],[Thresh]]*2.5</f>
        <v>2.2956123737373733E-3</v>
      </c>
      <c r="O76" s="25">
        <f>WO2025Jan7men1191517192325293133353941434547495557596365676971737577791317[[#This Row],[CV]]</f>
        <v>8.7832125603864715E-4</v>
      </c>
      <c r="P76" s="25">
        <f>WO2025Jan7men1191517192325293133353941434547495557596365676971737577791317[[#This Row],[CV]]*2.5</f>
        <v>2.195803140096618E-3</v>
      </c>
      <c r="Q76" s="25">
        <f>WO2025Jan7men1191517192325293133353941434547495557596365676971737577791317[[#This Row],[VO2]]</f>
        <v>8.0805555555555546E-4</v>
      </c>
      <c r="R76" s="28"/>
      <c r="S76" s="25"/>
      <c r="T76" s="25"/>
      <c r="U76" s="28"/>
      <c r="V76" s="28"/>
      <c r="W76" s="27" t="s">
        <v>35</v>
      </c>
      <c r="X76" s="52"/>
    </row>
    <row r="77" spans="1:24" ht="20.45" customHeight="1">
      <c r="A77" s="10" t="s">
        <v>94</v>
      </c>
      <c r="B77" s="11">
        <v>1.0416666666666666E-2</v>
      </c>
      <c r="C77" s="11">
        <v>2.8935185185185188E-3</v>
      </c>
      <c r="D77" s="11">
        <f t="shared" si="24"/>
        <v>6.0604166666666662E-3</v>
      </c>
      <c r="E77" s="12">
        <v>0.58179999999999998</v>
      </c>
      <c r="F77" s="11">
        <f t="shared" si="25"/>
        <v>7.233796296296297E-4</v>
      </c>
      <c r="G77" s="11">
        <f t="shared" si="26"/>
        <v>8.0805555555555546E-4</v>
      </c>
      <c r="H77" s="11">
        <f t="shared" si="27"/>
        <v>8.3333333333333328E-4</v>
      </c>
      <c r="I77" s="11">
        <f t="shared" si="28"/>
        <v>8.6887694145758646E-4</v>
      </c>
      <c r="J77" s="11">
        <f t="shared" si="29"/>
        <v>8.7832125603864715E-4</v>
      </c>
      <c r="K77" s="11">
        <f t="shared" si="30"/>
        <v>9.1824494949494938E-4</v>
      </c>
      <c r="L77" s="17">
        <f t="shared" si="31"/>
        <v>9.6197089947089938E-4</v>
      </c>
      <c r="M77" s="25">
        <f>WO2025Jan7men1191517192325293133353941434547495557596365676971737577791317[[#This Row],[Thresh]]</f>
        <v>9.1824494949494938E-4</v>
      </c>
      <c r="N77" s="28">
        <f>WO2025Jan7men1191517192325293133353941434547495557596365676971737577791317[[#This Row],[Thresh]]*2.5</f>
        <v>2.2956123737373733E-3</v>
      </c>
      <c r="O77" s="25">
        <f>WO2025Jan7men1191517192325293133353941434547495557596365676971737577791317[[#This Row],[CV]]</f>
        <v>8.7832125603864715E-4</v>
      </c>
      <c r="P77" s="25">
        <f>WO2025Jan7men1191517192325293133353941434547495557596365676971737577791317[[#This Row],[CV]]*2.5</f>
        <v>2.195803140096618E-3</v>
      </c>
      <c r="Q77" s="25">
        <f>WO2025Jan7men1191517192325293133353941434547495557596365676971737577791317[[#This Row],[VO2]]</f>
        <v>8.0805555555555546E-4</v>
      </c>
      <c r="R77" s="25"/>
      <c r="S77" s="25"/>
      <c r="T77" s="25"/>
      <c r="U77" s="28"/>
      <c r="V77" s="25"/>
      <c r="W77" s="15" t="s">
        <v>35</v>
      </c>
      <c r="X77" s="52"/>
    </row>
    <row r="78" spans="1:24" ht="20.45" customHeight="1">
      <c r="A78" s="10" t="s">
        <v>119</v>
      </c>
      <c r="B78" s="11">
        <v>1.0416666666666666E-2</v>
      </c>
      <c r="C78" s="11"/>
      <c r="D78" s="11">
        <f t="shared" si="24"/>
        <v>6.0604166666666662E-3</v>
      </c>
      <c r="E78" s="12">
        <v>0.58179999999999998</v>
      </c>
      <c r="F78" s="11">
        <f t="shared" si="25"/>
        <v>0</v>
      </c>
      <c r="G78" s="11">
        <f t="shared" si="26"/>
        <v>8.0805555555555546E-4</v>
      </c>
      <c r="H78" s="11">
        <f t="shared" si="27"/>
        <v>8.3333333333333328E-4</v>
      </c>
      <c r="I78" s="11">
        <f t="shared" si="28"/>
        <v>8.6887694145758646E-4</v>
      </c>
      <c r="J78" s="11">
        <f t="shared" si="29"/>
        <v>8.7832125603864715E-4</v>
      </c>
      <c r="K78" s="11">
        <f t="shared" si="30"/>
        <v>9.1824494949494938E-4</v>
      </c>
      <c r="L78" s="11">
        <f t="shared" si="31"/>
        <v>9.6197089947089938E-4</v>
      </c>
      <c r="M78" s="25">
        <f>WO2025Jan7men1191517192325293133353941434547495557596365676971737577791317[[#This Row],[Thresh]]</f>
        <v>9.1824494949494938E-4</v>
      </c>
      <c r="N78" s="28">
        <f>WO2025Jan7men1191517192325293133353941434547495557596365676971737577791317[[#This Row],[Thresh]]*2.5</f>
        <v>2.2956123737373733E-3</v>
      </c>
      <c r="O78" s="25"/>
      <c r="P78" s="25"/>
      <c r="Q78" s="25">
        <f>WO2025Jan7men1191517192325293133353941434547495557596365676971737577791317[[#This Row],[VO2]]</f>
        <v>8.0805555555555546E-4</v>
      </c>
      <c r="R78" s="26"/>
      <c r="S78" s="14"/>
      <c r="T78" s="14"/>
      <c r="U78" s="26"/>
      <c r="V78" s="28"/>
      <c r="W78" s="27" t="s">
        <v>201</v>
      </c>
      <c r="X78" s="52" t="s">
        <v>316</v>
      </c>
    </row>
    <row r="79" spans="1:24" ht="20.45" customHeight="1">
      <c r="A79" s="10" t="s">
        <v>118</v>
      </c>
      <c r="B79" s="11">
        <v>1.0416666666666666E-2</v>
      </c>
      <c r="C79" s="11">
        <v>3.0671296296296297E-3</v>
      </c>
      <c r="D79" s="11">
        <f t="shared" si="24"/>
        <v>6.0604166666666662E-3</v>
      </c>
      <c r="E79" s="12">
        <v>0.58179999999999998</v>
      </c>
      <c r="F79" s="11">
        <f t="shared" si="25"/>
        <v>7.6678240740740743E-4</v>
      </c>
      <c r="G79" s="11">
        <f t="shared" si="26"/>
        <v>8.0805555555555546E-4</v>
      </c>
      <c r="H79" s="11">
        <f t="shared" si="27"/>
        <v>8.3333333333333328E-4</v>
      </c>
      <c r="I79" s="11">
        <f t="shared" si="28"/>
        <v>8.6887694145758646E-4</v>
      </c>
      <c r="J79" s="11">
        <f t="shared" si="29"/>
        <v>8.7832125603864715E-4</v>
      </c>
      <c r="K79" s="11">
        <f t="shared" si="30"/>
        <v>9.1824494949494938E-4</v>
      </c>
      <c r="L79" s="11">
        <f t="shared" si="31"/>
        <v>9.6197089947089938E-4</v>
      </c>
      <c r="M79" s="25">
        <f>WO2025Jan7men1191517192325293133353941434547495557596365676971737577791317[[#This Row],[Thresh]]</f>
        <v>9.1824494949494938E-4</v>
      </c>
      <c r="N79" s="28">
        <f>WO2025Jan7men1191517192325293133353941434547495557596365676971737577791317[[#This Row],[Thresh]]*2.5</f>
        <v>2.2956123737373733E-3</v>
      </c>
      <c r="O79" s="25">
        <f>WO2025Jan7men1191517192325293133353941434547495557596365676971737577791317[[#This Row],[CV]]</f>
        <v>8.7832125603864715E-4</v>
      </c>
      <c r="P79" s="25">
        <f>WO2025Jan7men1191517192325293133353941434547495557596365676971737577791317[[#This Row],[CV]]*2.5</f>
        <v>2.195803140096618E-3</v>
      </c>
      <c r="Q79" s="25">
        <f>WO2025Jan7men1191517192325293133353941434547495557596365676971737577791317[[#This Row],[VO2]]</f>
        <v>8.0805555555555546E-4</v>
      </c>
      <c r="R79" s="28"/>
      <c r="S79" s="25"/>
      <c r="T79" s="25"/>
      <c r="U79" s="28"/>
      <c r="V79" s="25"/>
      <c r="W79" s="15" t="s">
        <v>26</v>
      </c>
      <c r="X79" s="52"/>
    </row>
    <row r="80" spans="1:24" ht="20.45" customHeight="1">
      <c r="A80" s="10" t="s">
        <v>120</v>
      </c>
      <c r="B80" s="11">
        <v>1.0532407407407407E-2</v>
      </c>
      <c r="C80" s="11">
        <v>3.1250000000000002E-3</v>
      </c>
      <c r="D80" s="11">
        <f t="shared" si="24"/>
        <v>6.1277546296296288E-3</v>
      </c>
      <c r="E80" s="12">
        <v>0.58179999999999998</v>
      </c>
      <c r="F80" s="11">
        <f t="shared" si="25"/>
        <v>7.8125000000000004E-4</v>
      </c>
      <c r="G80" s="11">
        <f t="shared" si="26"/>
        <v>8.1703395061728389E-4</v>
      </c>
      <c r="H80" s="11">
        <f t="shared" si="27"/>
        <v>8.4259259259259259E-4</v>
      </c>
      <c r="I80" s="11">
        <f t="shared" si="28"/>
        <v>8.7853112969600415E-4</v>
      </c>
      <c r="J80" s="11">
        <f t="shared" si="29"/>
        <v>8.8808038110574329E-4</v>
      </c>
      <c r="K80" s="11">
        <f t="shared" si="30"/>
        <v>9.2844767115600447E-4</v>
      </c>
      <c r="L80" s="11">
        <f t="shared" si="31"/>
        <v>9.7265946502057604E-4</v>
      </c>
      <c r="M80" s="25">
        <f>WO2025Jan7men1191517192325293133353941434547495557596365676971737577791317[[#This Row],[Thresh]]</f>
        <v>9.2844767115600447E-4</v>
      </c>
      <c r="N80" s="28">
        <f>WO2025Jan7men1191517192325293133353941434547495557596365676971737577791317[[#This Row],[Thresh]]*2.5</f>
        <v>2.3211191778900113E-3</v>
      </c>
      <c r="O80" s="25"/>
      <c r="P80" s="25"/>
      <c r="Q80" s="25">
        <f>WO2025Jan7men1191517192325293133353941434547495557596365676971737577791317[[#This Row],[VO2]]</f>
        <v>8.1703395061728389E-4</v>
      </c>
      <c r="R80" s="28"/>
      <c r="S80" s="25"/>
      <c r="T80" s="25"/>
      <c r="U80" s="28"/>
      <c r="V80" s="25"/>
      <c r="W80" s="15" t="s">
        <v>203</v>
      </c>
      <c r="X80" s="52"/>
    </row>
    <row r="81" spans="1:24" ht="20.45" customHeight="1">
      <c r="A81" s="10" t="s">
        <v>87</v>
      </c>
      <c r="B81" s="11">
        <v>1.0532407407407407E-2</v>
      </c>
      <c r="C81" s="11">
        <v>2.9745370370370373E-3</v>
      </c>
      <c r="D81" s="11">
        <f t="shared" si="24"/>
        <v>6.1277546296296288E-3</v>
      </c>
      <c r="E81" s="12">
        <v>0.58179999999999998</v>
      </c>
      <c r="F81" s="11">
        <f t="shared" si="25"/>
        <v>7.4363425925925931E-4</v>
      </c>
      <c r="G81" s="11">
        <f t="shared" si="26"/>
        <v>8.1703395061728389E-4</v>
      </c>
      <c r="H81" s="11">
        <f t="shared" si="27"/>
        <v>8.4259259259259259E-4</v>
      </c>
      <c r="I81" s="11">
        <f t="shared" si="28"/>
        <v>8.7853112969600415E-4</v>
      </c>
      <c r="J81" s="11">
        <f t="shared" si="29"/>
        <v>8.8808038110574329E-4</v>
      </c>
      <c r="K81" s="11">
        <f t="shared" si="30"/>
        <v>9.2844767115600447E-4</v>
      </c>
      <c r="L81" s="11">
        <f t="shared" si="31"/>
        <v>9.7265946502057604E-4</v>
      </c>
      <c r="M81" s="25">
        <f>WO2025Jan7men1191517192325293133353941434547495557596365676971737577791317[[#This Row],[Thresh]]</f>
        <v>9.2844767115600447E-4</v>
      </c>
      <c r="N81" s="28">
        <f>WO2025Jan7men1191517192325293133353941434547495557596365676971737577791317[[#This Row],[Thresh]]*2.5</f>
        <v>2.3211191778900113E-3</v>
      </c>
      <c r="O81" s="25">
        <f>WO2025Jan7men1191517192325293133353941434547495557596365676971737577791317[[#This Row],[CV]]</f>
        <v>8.8808038110574329E-4</v>
      </c>
      <c r="P81" s="25">
        <f>WO2025Jan7men1191517192325293133353941434547495557596365676971737577791317[[#This Row],[CV]]*2.5</f>
        <v>2.2202009527643582E-3</v>
      </c>
      <c r="Q81" s="25">
        <f>WO2025Jan7men1191517192325293133353941434547495557596365676971737577791317[[#This Row],[VO2]]</f>
        <v>8.1703395061728389E-4</v>
      </c>
      <c r="R81" s="25"/>
      <c r="S81" s="25"/>
      <c r="T81" s="25"/>
      <c r="U81" s="28"/>
      <c r="V81" s="25"/>
      <c r="W81" s="15" t="s">
        <v>26</v>
      </c>
      <c r="X81" s="52"/>
    </row>
    <row r="82" spans="1:24" ht="20.45" customHeight="1">
      <c r="A82" s="10" t="s">
        <v>123</v>
      </c>
      <c r="B82" s="11">
        <v>1.0590277777777778E-2</v>
      </c>
      <c r="C82" s="11">
        <v>3.1828703703703702E-3</v>
      </c>
      <c r="D82" s="11">
        <f>B82*E82</f>
        <v>6.1614236111111114E-3</v>
      </c>
      <c r="E82" s="12">
        <v>0.58179999999999998</v>
      </c>
      <c r="F82" s="11">
        <f>C82/4</f>
        <v>7.9571759259259255E-4</v>
      </c>
      <c r="G82" s="11">
        <f>D82/7.5</f>
        <v>8.2152314814814816E-4</v>
      </c>
      <c r="H82" s="11">
        <f>B82/12.5</f>
        <v>8.472222222222223E-4</v>
      </c>
      <c r="I82" s="11">
        <f>G82/0.93</f>
        <v>8.8335822381521299E-4</v>
      </c>
      <c r="J82" s="11">
        <f>G82/0.92</f>
        <v>8.9295994363929141E-4</v>
      </c>
      <c r="K82" s="11">
        <f>G82/0.88</f>
        <v>9.3354903198653201E-4</v>
      </c>
      <c r="L82" s="11">
        <f>G82/0.84</f>
        <v>9.7800374779541442E-4</v>
      </c>
      <c r="M82" s="25">
        <f>WO2025Jan7men1191517192325293133353941434547495557596365676971737577791317[[#This Row],[Thresh]]</f>
        <v>9.3354903198653201E-4</v>
      </c>
      <c r="N82" s="28">
        <f>WO2025Jan7men1191517192325293133353941434547495557596365676971737577791317[[#This Row],[Thresh]]*2.5</f>
        <v>2.33387257996633E-3</v>
      </c>
      <c r="O82" s="25">
        <f>WO2025Jan7men1191517192325293133353941434547495557596365676971737577791317[[#This Row],[CV]]</f>
        <v>8.9295994363929141E-4</v>
      </c>
      <c r="P82" s="25">
        <f>WO2025Jan7men1191517192325293133353941434547495557596365676971737577791317[[#This Row],[CV]]*2.5</f>
        <v>2.2323998590982287E-3</v>
      </c>
      <c r="Q82" s="25">
        <f>WO2025Jan7men1191517192325293133353941434547495557596365676971737577791317[[#This Row],[VO2]]</f>
        <v>8.2152314814814816E-4</v>
      </c>
      <c r="R82" s="25"/>
      <c r="S82" s="25"/>
      <c r="T82" s="25"/>
      <c r="U82" s="28"/>
      <c r="V82" s="28"/>
      <c r="W82" s="15" t="s">
        <v>26</v>
      </c>
      <c r="X82" s="52"/>
    </row>
    <row r="83" spans="1:24" ht="20.45" customHeight="1">
      <c r="A83" s="10" t="s">
        <v>88</v>
      </c>
      <c r="B83" s="11">
        <v>1.0590277777777778E-2</v>
      </c>
      <c r="C83" s="11">
        <v>3.0671296296296297E-3</v>
      </c>
      <c r="D83" s="11">
        <f>B83*E83</f>
        <v>6.1614236111111114E-3</v>
      </c>
      <c r="E83" s="12">
        <v>0.58179999999999998</v>
      </c>
      <c r="F83" s="11">
        <f>C83/4</f>
        <v>7.6678240740740743E-4</v>
      </c>
      <c r="G83" s="11">
        <f>D83/7.5</f>
        <v>8.2152314814814816E-4</v>
      </c>
      <c r="H83" s="11">
        <f>B83/12.5</f>
        <v>8.472222222222223E-4</v>
      </c>
      <c r="I83" s="11">
        <f>G83/0.93</f>
        <v>8.8335822381521299E-4</v>
      </c>
      <c r="J83" s="11">
        <f>G83/0.92</f>
        <v>8.9295994363929141E-4</v>
      </c>
      <c r="K83" s="11">
        <f>G83/0.88</f>
        <v>9.3354903198653201E-4</v>
      </c>
      <c r="L83" s="11">
        <f>G83/0.84</f>
        <v>9.7800374779541442E-4</v>
      </c>
      <c r="M83" s="25">
        <f>WO2025Jan7men1191517192325293133353941434547495557596365676971737577791317[[#This Row],[Thresh]]</f>
        <v>9.3354903198653201E-4</v>
      </c>
      <c r="N83" s="28">
        <f>WO2025Jan7men1191517192325293133353941434547495557596365676971737577791317[[#This Row],[Thresh]]*2.5</f>
        <v>2.33387257996633E-3</v>
      </c>
      <c r="O83" s="25">
        <f>WO2025Jan7men1191517192325293133353941434547495557596365676971737577791317[[#This Row],[CV]]</f>
        <v>8.9295994363929141E-4</v>
      </c>
      <c r="P83" s="25">
        <f>WO2025Jan7men1191517192325293133353941434547495557596365676971737577791317[[#This Row],[CV]]*2.5</f>
        <v>2.2323998590982287E-3</v>
      </c>
      <c r="Q83" s="25">
        <f>WO2025Jan7men1191517192325293133353941434547495557596365676971737577791317[[#This Row],[VO2]]</f>
        <v>8.2152314814814816E-4</v>
      </c>
      <c r="R83" s="28"/>
      <c r="S83" s="25"/>
      <c r="T83" s="25"/>
      <c r="U83" s="28"/>
      <c r="V83" s="44"/>
      <c r="W83" s="28" t="s">
        <v>26</v>
      </c>
      <c r="X83" s="52"/>
    </row>
    <row r="84" spans="1:24" ht="20.45" customHeight="1">
      <c r="A84" s="10" t="s">
        <v>91</v>
      </c>
      <c r="B84" s="11">
        <v>1.0590277777777778E-2</v>
      </c>
      <c r="C84" s="11">
        <v>3.1249999999999997E-3</v>
      </c>
      <c r="D84" s="11">
        <f t="shared" si="24"/>
        <v>6.1614236111111114E-3</v>
      </c>
      <c r="E84" s="12">
        <v>0.58179999999999998</v>
      </c>
      <c r="F84" s="11">
        <f t="shared" si="25"/>
        <v>7.8124999999999993E-4</v>
      </c>
      <c r="G84" s="11">
        <f t="shared" si="26"/>
        <v>8.2152314814814816E-4</v>
      </c>
      <c r="H84" s="11">
        <f t="shared" si="27"/>
        <v>8.472222222222223E-4</v>
      </c>
      <c r="I84" s="11">
        <f t="shared" si="28"/>
        <v>8.8335822381521299E-4</v>
      </c>
      <c r="J84" s="11">
        <f t="shared" si="29"/>
        <v>8.9295994363929141E-4</v>
      </c>
      <c r="K84" s="11">
        <f t="shared" si="30"/>
        <v>9.3354903198653201E-4</v>
      </c>
      <c r="L84" s="11">
        <f t="shared" si="31"/>
        <v>9.7800374779541442E-4</v>
      </c>
      <c r="M84" s="25">
        <f>WO2025Jan7men1191517192325293133353941434547495557596365676971737577791317[[#This Row],[Thresh]]</f>
        <v>9.3354903198653201E-4</v>
      </c>
      <c r="N84" s="28">
        <f>WO2025Jan7men1191517192325293133353941434547495557596365676971737577791317[[#This Row],[Thresh]]*2.5</f>
        <v>2.33387257996633E-3</v>
      </c>
      <c r="O84" s="25">
        <f>WO2025Jan7men1191517192325293133353941434547495557596365676971737577791317[[#This Row],[CV]]</f>
        <v>8.9295994363929141E-4</v>
      </c>
      <c r="P84" s="25">
        <f>WO2025Jan7men1191517192325293133353941434547495557596365676971737577791317[[#This Row],[CV]]*2.5</f>
        <v>2.2323998590982287E-3</v>
      </c>
      <c r="Q84" s="25">
        <f>WO2025Jan7men1191517192325293133353941434547495557596365676971737577791317[[#This Row],[VO2]]</f>
        <v>8.2152314814814816E-4</v>
      </c>
      <c r="R84" s="28"/>
      <c r="S84" s="25"/>
      <c r="T84" s="25"/>
      <c r="U84" s="28"/>
      <c r="V84" s="25"/>
      <c r="W84" s="15" t="s">
        <v>26</v>
      </c>
      <c r="X84" s="52"/>
    </row>
    <row r="85" spans="1:24" ht="20.45" customHeight="1">
      <c r="A85" s="10" t="s">
        <v>129</v>
      </c>
      <c r="B85" s="11">
        <v>1.0590277777777778E-2</v>
      </c>
      <c r="C85" s="11">
        <v>3.0092592592592593E-3</v>
      </c>
      <c r="D85" s="11">
        <f t="shared" ref="D85:D94" si="32">B85*E85</f>
        <v>6.1614236111111114E-3</v>
      </c>
      <c r="E85" s="12">
        <v>0.58179999999999998</v>
      </c>
      <c r="F85" s="11">
        <f t="shared" ref="F85:F94" si="33">C85/4</f>
        <v>7.5231481481481482E-4</v>
      </c>
      <c r="G85" s="11">
        <f t="shared" ref="G85:G94" si="34">D85/7.5</f>
        <v>8.2152314814814816E-4</v>
      </c>
      <c r="H85" s="11">
        <f t="shared" ref="H85:H94" si="35">B85/12.5</f>
        <v>8.472222222222223E-4</v>
      </c>
      <c r="I85" s="11">
        <f t="shared" ref="I85:I94" si="36">G85/0.93</f>
        <v>8.8335822381521299E-4</v>
      </c>
      <c r="J85" s="11">
        <f t="shared" ref="J85:J94" si="37">G85/0.92</f>
        <v>8.9295994363929141E-4</v>
      </c>
      <c r="K85" s="11">
        <f t="shared" ref="K85:K94" si="38">G85/0.88</f>
        <v>9.3354903198653201E-4</v>
      </c>
      <c r="L85" s="11">
        <f t="shared" ref="L85:L94" si="39">G85/0.84</f>
        <v>9.7800374779541442E-4</v>
      </c>
      <c r="M85" s="25">
        <f>WO2025Jan7men1191517192325293133353941434547495557596365676971737577791317[[#This Row],[Thresh]]</f>
        <v>9.3354903198653201E-4</v>
      </c>
      <c r="N85" s="28">
        <f>WO2025Jan7men1191517192325293133353941434547495557596365676971737577791317[[#This Row],[Thresh]]*2.5</f>
        <v>2.33387257996633E-3</v>
      </c>
      <c r="O85" s="25"/>
      <c r="P85" s="25"/>
      <c r="Q85" s="25">
        <f>WO2025Jan7men1191517192325293133353941434547495557596365676971737577791317[[#This Row],[VO2]]</f>
        <v>8.2152314814814816E-4</v>
      </c>
      <c r="R85" s="25"/>
      <c r="S85" s="25"/>
      <c r="T85" s="25"/>
      <c r="U85" s="28"/>
      <c r="V85" s="25"/>
      <c r="W85" s="15" t="s">
        <v>203</v>
      </c>
      <c r="X85" s="52"/>
    </row>
    <row r="86" spans="1:24" ht="20.45" customHeight="1" thickBot="1">
      <c r="A86" s="10" t="s">
        <v>121</v>
      </c>
      <c r="B86" s="11">
        <v>1.0590277777777778E-2</v>
      </c>
      <c r="C86" s="11"/>
      <c r="D86" s="11">
        <f t="shared" si="32"/>
        <v>6.1614236111111114E-3</v>
      </c>
      <c r="E86" s="12">
        <v>0.58179999999999998</v>
      </c>
      <c r="F86" s="11">
        <f t="shared" si="33"/>
        <v>0</v>
      </c>
      <c r="G86" s="11">
        <f t="shared" si="34"/>
        <v>8.2152314814814816E-4</v>
      </c>
      <c r="H86" s="11">
        <f t="shared" si="35"/>
        <v>8.472222222222223E-4</v>
      </c>
      <c r="I86" s="11">
        <f t="shared" si="36"/>
        <v>8.8335822381521299E-4</v>
      </c>
      <c r="J86" s="11">
        <f t="shared" si="37"/>
        <v>8.9295994363929141E-4</v>
      </c>
      <c r="K86" s="11">
        <f t="shared" si="38"/>
        <v>9.3354903198653201E-4</v>
      </c>
      <c r="L86" s="11">
        <f t="shared" si="39"/>
        <v>9.7800374779541442E-4</v>
      </c>
      <c r="M86" s="25">
        <f>WO2025Jan7men1191517192325293133353941434547495557596365676971737577791317[[#This Row],[Thresh]]</f>
        <v>9.3354903198653201E-4</v>
      </c>
      <c r="N86" s="28">
        <f>WO2025Jan7men1191517192325293133353941434547495557596365676971737577791317[[#This Row],[Thresh]]*2.5</f>
        <v>2.33387257996633E-3</v>
      </c>
      <c r="O86" s="25">
        <f>WO2025Jan7men1191517192325293133353941434547495557596365676971737577791317[[#This Row],[CV]]</f>
        <v>8.9295994363929141E-4</v>
      </c>
      <c r="P86" s="25">
        <f>WO2025Jan7men1191517192325293133353941434547495557596365676971737577791317[[#This Row],[CV]]*2.5</f>
        <v>2.2323998590982287E-3</v>
      </c>
      <c r="Q86" s="25">
        <f>WO2025Jan7men1191517192325293133353941434547495557596365676971737577791317[[#This Row],[VO2]]</f>
        <v>8.2152314814814816E-4</v>
      </c>
      <c r="R86" s="26"/>
      <c r="S86" s="14"/>
      <c r="T86" s="14"/>
      <c r="U86" s="26"/>
      <c r="V86" s="28"/>
      <c r="W86" s="27" t="s">
        <v>35</v>
      </c>
      <c r="X86" s="52"/>
    </row>
    <row r="87" spans="1:24" ht="20.45" customHeight="1">
      <c r="A87" s="1" t="s">
        <v>309</v>
      </c>
      <c r="B87" s="6"/>
      <c r="C87" s="6"/>
      <c r="D87" s="6"/>
      <c r="E87" s="20"/>
      <c r="F87" s="6"/>
      <c r="G87" s="6"/>
      <c r="H87" s="6"/>
      <c r="I87" s="6"/>
      <c r="J87" s="6"/>
      <c r="K87" s="6"/>
      <c r="L87" s="6"/>
      <c r="M87" s="6" t="s">
        <v>12</v>
      </c>
      <c r="N87" s="6" t="s">
        <v>13</v>
      </c>
      <c r="O87" s="6" t="s">
        <v>14</v>
      </c>
      <c r="P87" s="6" t="s">
        <v>161</v>
      </c>
      <c r="Q87" s="22" t="s">
        <v>158</v>
      </c>
      <c r="R87" s="6"/>
      <c r="S87" s="6"/>
      <c r="T87" s="6"/>
      <c r="U87" s="6"/>
      <c r="V87" s="23"/>
      <c r="W87" s="35"/>
      <c r="X87" s="52"/>
    </row>
    <row r="88" spans="1:24" ht="20.45" customHeight="1">
      <c r="A88" s="10" t="s">
        <v>90</v>
      </c>
      <c r="B88" s="11">
        <v>1.0648148148148148E-2</v>
      </c>
      <c r="C88" s="11">
        <v>3.0671296296296297E-3</v>
      </c>
      <c r="D88" s="11">
        <f t="shared" si="32"/>
        <v>6.1950925925925923E-3</v>
      </c>
      <c r="E88" s="12">
        <v>0.58179999999999998</v>
      </c>
      <c r="F88" s="11">
        <f t="shared" si="33"/>
        <v>7.6678240740740743E-4</v>
      </c>
      <c r="G88" s="11">
        <f t="shared" si="34"/>
        <v>8.2601234567901232E-4</v>
      </c>
      <c r="H88" s="11">
        <f t="shared" si="35"/>
        <v>8.5185185185185179E-4</v>
      </c>
      <c r="I88" s="11">
        <f t="shared" si="36"/>
        <v>8.8818531793442184E-4</v>
      </c>
      <c r="J88" s="11">
        <f t="shared" si="37"/>
        <v>8.9783950617283942E-4</v>
      </c>
      <c r="K88" s="11">
        <f t="shared" si="38"/>
        <v>9.3865039281705945E-4</v>
      </c>
      <c r="L88" s="17">
        <f t="shared" si="39"/>
        <v>9.833480305702527E-4</v>
      </c>
      <c r="M88" s="25">
        <f>WO2025Jan7men1191517192325293133353941434547495557596365676971737577791317[[#This Row],[Thresh]]</f>
        <v>9.3865039281705945E-4</v>
      </c>
      <c r="N88" s="28">
        <f>WO2025Jan7men1191517192325293133353941434547495557596365676971737577791317[[#This Row],[Thresh]]*2.5</f>
        <v>2.3466259820426488E-3</v>
      </c>
      <c r="O88" s="25">
        <f>WO2025Jan7men1191517192325293133353941434547495557596365676971737577791317[[#This Row],[CV]]</f>
        <v>8.9783950617283942E-4</v>
      </c>
      <c r="P88" s="25">
        <f>WO2025Jan7men1191517192325293133353941434547495557596365676971737577791317[[#This Row],[CV]]*2.5</f>
        <v>2.2445987654320983E-3</v>
      </c>
      <c r="Q88" s="25">
        <f>WO2025Jan7men1191517192325293133353941434547495557596365676971737577791317[[#This Row],[VO2]]</f>
        <v>8.2601234567901232E-4</v>
      </c>
      <c r="R88" s="25"/>
      <c r="S88" s="25"/>
      <c r="T88" s="25"/>
      <c r="U88" s="28"/>
      <c r="V88" s="25"/>
      <c r="W88" s="15" t="s">
        <v>35</v>
      </c>
      <c r="X88" s="52" t="s">
        <v>224</v>
      </c>
    </row>
    <row r="89" spans="1:24" ht="20.45" customHeight="1">
      <c r="A89" s="10" t="s">
        <v>125</v>
      </c>
      <c r="B89" s="11">
        <v>1.0648148148148148E-2</v>
      </c>
      <c r="C89" s="11"/>
      <c r="D89" s="11">
        <f t="shared" si="32"/>
        <v>6.1950925925925923E-3</v>
      </c>
      <c r="E89" s="12">
        <v>0.58179999999999998</v>
      </c>
      <c r="F89" s="11">
        <f t="shared" si="33"/>
        <v>0</v>
      </c>
      <c r="G89" s="11">
        <f t="shared" si="34"/>
        <v>8.2601234567901232E-4</v>
      </c>
      <c r="H89" s="11">
        <f t="shared" si="35"/>
        <v>8.5185185185185179E-4</v>
      </c>
      <c r="I89" s="11">
        <f t="shared" si="36"/>
        <v>8.8818531793442184E-4</v>
      </c>
      <c r="J89" s="11">
        <f t="shared" si="37"/>
        <v>8.9783950617283942E-4</v>
      </c>
      <c r="K89" s="11">
        <f t="shared" si="38"/>
        <v>9.3865039281705945E-4</v>
      </c>
      <c r="L89" s="11">
        <f t="shared" si="39"/>
        <v>9.833480305702527E-4</v>
      </c>
      <c r="M89" s="25">
        <f>WO2025Jan7men1191517192325293133353941434547495557596365676971737577791317[[#This Row],[Thresh]]</f>
        <v>9.3865039281705945E-4</v>
      </c>
      <c r="N89" s="28">
        <f>WO2025Jan7men1191517192325293133353941434547495557596365676971737577791317[[#This Row],[Thresh]]*2.5</f>
        <v>2.3466259820426488E-3</v>
      </c>
      <c r="O89" s="25">
        <f>WO2025Jan7men1191517192325293133353941434547495557596365676971737577791317[[#This Row],[CV]]</f>
        <v>8.9783950617283942E-4</v>
      </c>
      <c r="P89" s="25">
        <f>WO2025Jan7men1191517192325293133353941434547495557596365676971737577791317[[#This Row],[CV]]*2.5</f>
        <v>2.2445987654320983E-3</v>
      </c>
      <c r="Q89" s="25">
        <f>WO2025Jan7men1191517192325293133353941434547495557596365676971737577791317[[#This Row],[VO2]]</f>
        <v>8.2601234567901232E-4</v>
      </c>
      <c r="R89" s="28"/>
      <c r="S89" s="25"/>
      <c r="T89" s="25"/>
      <c r="U89" s="28"/>
      <c r="V89" s="28"/>
      <c r="W89" s="15" t="s">
        <v>35</v>
      </c>
      <c r="X89" s="52"/>
    </row>
    <row r="90" spans="1:24" ht="20.45" customHeight="1">
      <c r="A90" s="10" t="s">
        <v>264</v>
      </c>
      <c r="B90" s="11">
        <v>1.0648148148148148E-2</v>
      </c>
      <c r="C90" s="11"/>
      <c r="D90" s="11">
        <f t="shared" si="32"/>
        <v>6.1950925925925923E-3</v>
      </c>
      <c r="E90" s="12">
        <v>0.58179999999999998</v>
      </c>
      <c r="F90" s="11">
        <f t="shared" si="33"/>
        <v>0</v>
      </c>
      <c r="G90" s="11">
        <f t="shared" si="34"/>
        <v>8.2601234567901232E-4</v>
      </c>
      <c r="H90" s="11">
        <f t="shared" si="35"/>
        <v>8.5185185185185179E-4</v>
      </c>
      <c r="I90" s="11">
        <f t="shared" si="36"/>
        <v>8.8818531793442184E-4</v>
      </c>
      <c r="J90" s="11">
        <f t="shared" si="37"/>
        <v>8.9783950617283942E-4</v>
      </c>
      <c r="K90" s="11">
        <f t="shared" si="38"/>
        <v>9.3865039281705945E-4</v>
      </c>
      <c r="L90" s="11">
        <f t="shared" si="39"/>
        <v>9.833480305702527E-4</v>
      </c>
      <c r="M90" s="25">
        <f>WO2025Jan7men1191517192325293133353941434547495557596365676971737577791317[[#This Row],[Thresh]]</f>
        <v>9.3865039281705945E-4</v>
      </c>
      <c r="N90" s="28">
        <f>WO2025Jan7men1191517192325293133353941434547495557596365676971737577791317[[#This Row],[Thresh]]*2.5</f>
        <v>2.3466259820426488E-3</v>
      </c>
      <c r="O90" s="25">
        <f>WO2025Jan7men1191517192325293133353941434547495557596365676971737577791317[[#This Row],[CV]]</f>
        <v>8.9783950617283942E-4</v>
      </c>
      <c r="P90" s="25">
        <f>WO2025Jan7men1191517192325293133353941434547495557596365676971737577791317[[#This Row],[CV]]*2.5</f>
        <v>2.2445987654320983E-3</v>
      </c>
      <c r="Q90" s="25">
        <f>WO2025Jan7men1191517192325293133353941434547495557596365676971737577791317[[#This Row],[VO2]]</f>
        <v>8.2601234567901232E-4</v>
      </c>
      <c r="R90" s="26"/>
      <c r="S90" s="14"/>
      <c r="T90" s="14"/>
      <c r="U90" s="26"/>
      <c r="V90" s="28"/>
      <c r="W90" s="27" t="s">
        <v>35</v>
      </c>
      <c r="X90" s="52"/>
    </row>
    <row r="91" spans="1:24" ht="20.45" customHeight="1">
      <c r="A91" s="10" t="s">
        <v>126</v>
      </c>
      <c r="B91" s="11">
        <v>1.0648148148148148E-2</v>
      </c>
      <c r="C91" s="11"/>
      <c r="D91" s="11">
        <f t="shared" si="32"/>
        <v>6.1950925925925923E-3</v>
      </c>
      <c r="E91" s="12">
        <v>0.58179999999999998</v>
      </c>
      <c r="F91" s="11">
        <f t="shared" si="33"/>
        <v>0</v>
      </c>
      <c r="G91" s="11">
        <f t="shared" si="34"/>
        <v>8.2601234567901232E-4</v>
      </c>
      <c r="H91" s="11">
        <f t="shared" si="35"/>
        <v>8.5185185185185179E-4</v>
      </c>
      <c r="I91" s="11">
        <f t="shared" si="36"/>
        <v>8.8818531793442184E-4</v>
      </c>
      <c r="J91" s="11">
        <f t="shared" si="37"/>
        <v>8.9783950617283942E-4</v>
      </c>
      <c r="K91" s="11">
        <f t="shared" si="38"/>
        <v>9.3865039281705945E-4</v>
      </c>
      <c r="L91" s="11">
        <f t="shared" si="39"/>
        <v>9.833480305702527E-4</v>
      </c>
      <c r="M91" s="25">
        <f>WO2025Jan7men1191517192325293133353941434547495557596365676971737577791317[[#This Row],[Thresh]]</f>
        <v>9.3865039281705945E-4</v>
      </c>
      <c r="N91" s="28">
        <f>WO2025Jan7men1191517192325293133353941434547495557596365676971737577791317[[#This Row],[Thresh]]*2.5</f>
        <v>2.3466259820426488E-3</v>
      </c>
      <c r="O91" s="25">
        <f>WO2025Jan7men1191517192325293133353941434547495557596365676971737577791317[[#This Row],[CV]]</f>
        <v>8.9783950617283942E-4</v>
      </c>
      <c r="P91" s="25">
        <f>WO2025Jan7men1191517192325293133353941434547495557596365676971737577791317[[#This Row],[CV]]*2.5</f>
        <v>2.2445987654320983E-3</v>
      </c>
      <c r="Q91" s="25">
        <f>WO2025Jan7men1191517192325293133353941434547495557596365676971737577791317[[#This Row],[VO2]]</f>
        <v>8.2601234567901232E-4</v>
      </c>
      <c r="R91" s="28"/>
      <c r="S91" s="25"/>
      <c r="T91" s="25"/>
      <c r="U91" s="28"/>
      <c r="V91" s="28"/>
      <c r="W91" s="27" t="s">
        <v>35</v>
      </c>
      <c r="X91" s="52"/>
    </row>
    <row r="92" spans="1:24" ht="20.45" customHeight="1">
      <c r="A92" s="10" t="s">
        <v>124</v>
      </c>
      <c r="B92" s="11">
        <v>1.0648148148148148E-2</v>
      </c>
      <c r="C92" s="11"/>
      <c r="D92" s="11">
        <f t="shared" si="32"/>
        <v>6.1950925925925923E-3</v>
      </c>
      <c r="E92" s="12">
        <v>0.58179999999999998</v>
      </c>
      <c r="F92" s="11">
        <f t="shared" si="33"/>
        <v>0</v>
      </c>
      <c r="G92" s="11">
        <f t="shared" si="34"/>
        <v>8.2601234567901232E-4</v>
      </c>
      <c r="H92" s="11">
        <f t="shared" si="35"/>
        <v>8.5185185185185179E-4</v>
      </c>
      <c r="I92" s="11">
        <f t="shared" si="36"/>
        <v>8.8818531793442184E-4</v>
      </c>
      <c r="J92" s="11">
        <f t="shared" si="37"/>
        <v>8.9783950617283942E-4</v>
      </c>
      <c r="K92" s="11">
        <f t="shared" si="38"/>
        <v>9.3865039281705945E-4</v>
      </c>
      <c r="L92" s="11">
        <f t="shared" si="39"/>
        <v>9.833480305702527E-4</v>
      </c>
      <c r="M92" s="25">
        <f>WO2025Jan7men1191517192325293133353941434547495557596365676971737577791317[[#This Row],[Thresh]]</f>
        <v>9.3865039281705945E-4</v>
      </c>
      <c r="N92" s="28">
        <f>WO2025Jan7men1191517192325293133353941434547495557596365676971737577791317[[#This Row],[Thresh]]*2.5</f>
        <v>2.3466259820426488E-3</v>
      </c>
      <c r="O92" s="25"/>
      <c r="P92" s="25"/>
      <c r="Q92" s="25">
        <f>WO2025Jan7men1191517192325293133353941434547495557596365676971737577791317[[#This Row],[VO2]]</f>
        <v>8.2601234567901232E-4</v>
      </c>
      <c r="R92" s="26"/>
      <c r="S92" s="14"/>
      <c r="T92" s="14"/>
      <c r="U92" s="26"/>
      <c r="V92" s="28"/>
      <c r="W92" s="27" t="s">
        <v>203</v>
      </c>
      <c r="X92" s="52"/>
    </row>
    <row r="93" spans="1:24" ht="20.45" customHeight="1">
      <c r="A93" s="10" t="s">
        <v>127</v>
      </c>
      <c r="B93" s="11">
        <v>1.0763888888888891E-2</v>
      </c>
      <c r="C93" s="11"/>
      <c r="D93" s="11">
        <f t="shared" si="32"/>
        <v>6.2624305555555567E-3</v>
      </c>
      <c r="E93" s="12">
        <v>0.58179999999999998</v>
      </c>
      <c r="F93" s="11">
        <f t="shared" si="33"/>
        <v>0</v>
      </c>
      <c r="G93" s="11">
        <f t="shared" si="34"/>
        <v>8.3499074074074085E-4</v>
      </c>
      <c r="H93" s="11">
        <f t="shared" si="35"/>
        <v>8.6111111111111121E-4</v>
      </c>
      <c r="I93" s="11">
        <f t="shared" si="36"/>
        <v>8.9783950617283953E-4</v>
      </c>
      <c r="J93" s="11">
        <f t="shared" si="37"/>
        <v>9.0759863123993567E-4</v>
      </c>
      <c r="K93" s="11">
        <f t="shared" si="38"/>
        <v>9.4885311447811464E-4</v>
      </c>
      <c r="L93" s="11">
        <f t="shared" si="39"/>
        <v>9.9403659611992969E-4</v>
      </c>
      <c r="M93" s="25">
        <f>WO2025Jan7men1191517192325293133353941434547495557596365676971737577791317[[#This Row],[Thresh]]</f>
        <v>9.4885311447811464E-4</v>
      </c>
      <c r="N93" s="28">
        <f>WO2025Jan7men1191517192325293133353941434547495557596365676971737577791317[[#This Row],[Thresh]]*2.5</f>
        <v>2.3721327861952867E-3</v>
      </c>
      <c r="O93" s="25"/>
      <c r="P93" s="25"/>
      <c r="Q93" s="25">
        <f>WO2025Jan7men1191517192325293133353941434547495557596365676971737577791317[[#This Row],[VO2]]</f>
        <v>8.3499074074074085E-4</v>
      </c>
      <c r="R93" s="28"/>
      <c r="S93" s="25"/>
      <c r="T93" s="25"/>
      <c r="U93" s="28"/>
      <c r="V93" s="48" t="s">
        <v>317</v>
      </c>
      <c r="W93" s="15" t="s">
        <v>203</v>
      </c>
      <c r="X93" s="52"/>
    </row>
    <row r="94" spans="1:24" ht="20.45" customHeight="1">
      <c r="A94" s="10" t="s">
        <v>131</v>
      </c>
      <c r="B94" s="11">
        <v>1.0763888888888891E-2</v>
      </c>
      <c r="C94" s="11">
        <v>3.1828703703703702E-3</v>
      </c>
      <c r="D94" s="11">
        <f t="shared" si="32"/>
        <v>6.2624305555555567E-3</v>
      </c>
      <c r="E94" s="12">
        <v>0.58179999999999998</v>
      </c>
      <c r="F94" s="11">
        <f t="shared" si="33"/>
        <v>7.9571759259259255E-4</v>
      </c>
      <c r="G94" s="11">
        <f t="shared" si="34"/>
        <v>8.3499074074074085E-4</v>
      </c>
      <c r="H94" s="11">
        <f t="shared" si="35"/>
        <v>8.6111111111111121E-4</v>
      </c>
      <c r="I94" s="11">
        <f t="shared" si="36"/>
        <v>8.9783950617283953E-4</v>
      </c>
      <c r="J94" s="11">
        <f t="shared" si="37"/>
        <v>9.0759863123993567E-4</v>
      </c>
      <c r="K94" s="11">
        <f t="shared" si="38"/>
        <v>9.4885311447811464E-4</v>
      </c>
      <c r="L94" s="11">
        <f t="shared" si="39"/>
        <v>9.9403659611992969E-4</v>
      </c>
      <c r="M94" s="25">
        <f>WO2025Jan7men1191517192325293133353941434547495557596365676971737577791317[[#This Row],[Thresh]]</f>
        <v>9.4885311447811464E-4</v>
      </c>
      <c r="N94" s="28">
        <f>WO2025Jan7men1191517192325293133353941434547495557596365676971737577791317[[#This Row],[Thresh]]*2.5</f>
        <v>2.3721327861952867E-3</v>
      </c>
      <c r="O94" s="25"/>
      <c r="P94" s="25"/>
      <c r="Q94" s="25">
        <f>WO2025Jan7men1191517192325293133353941434547495557596365676971737577791317[[#This Row],[VO2]]</f>
        <v>8.3499074074074085E-4</v>
      </c>
      <c r="R94" s="28"/>
      <c r="S94" s="25"/>
      <c r="T94" s="25"/>
      <c r="U94" s="28"/>
      <c r="V94" s="28"/>
      <c r="W94" s="15" t="s">
        <v>203</v>
      </c>
      <c r="X94" s="52"/>
    </row>
    <row r="95" spans="1:24" ht="20.45" customHeight="1">
      <c r="A95" s="10" t="s">
        <v>130</v>
      </c>
      <c r="B95" s="11">
        <v>1.0763888888888891E-2</v>
      </c>
      <c r="C95" s="11">
        <v>3.1828703703703702E-3</v>
      </c>
      <c r="D95" s="11">
        <f>B95*E95</f>
        <v>6.2624305555555567E-3</v>
      </c>
      <c r="E95" s="12">
        <v>0.58179999999999998</v>
      </c>
      <c r="F95" s="11">
        <f>C95/4</f>
        <v>7.9571759259259255E-4</v>
      </c>
      <c r="G95" s="11">
        <f>D95/7.5</f>
        <v>8.3499074074074085E-4</v>
      </c>
      <c r="H95" s="11">
        <f>B95/12.5</f>
        <v>8.6111111111111121E-4</v>
      </c>
      <c r="I95" s="11">
        <f>G95/0.93</f>
        <v>8.9783950617283953E-4</v>
      </c>
      <c r="J95" s="11">
        <f>G95/0.92</f>
        <v>9.0759863123993567E-4</v>
      </c>
      <c r="K95" s="11">
        <f>G95/0.88</f>
        <v>9.4885311447811464E-4</v>
      </c>
      <c r="L95" s="11">
        <f>G95/0.84</f>
        <v>9.9403659611992969E-4</v>
      </c>
      <c r="M95" s="25">
        <f>WO2025Jan7men1191517192325293133353941434547495557596365676971737577791317[[#This Row],[Thresh]]</f>
        <v>9.4885311447811464E-4</v>
      </c>
      <c r="N95" s="28">
        <f>WO2025Jan7men1191517192325293133353941434547495557596365676971737577791317[[#This Row],[Thresh]]*2.5</f>
        <v>2.3721327861952867E-3</v>
      </c>
      <c r="O95" s="25"/>
      <c r="P95" s="25"/>
      <c r="Q95" s="25">
        <f>WO2025Jan7men1191517192325293133353941434547495557596365676971737577791317[[#This Row],[VO2]]</f>
        <v>8.3499074074074085E-4</v>
      </c>
      <c r="R95" s="28"/>
      <c r="S95" s="25"/>
      <c r="T95" s="25"/>
      <c r="U95" s="28"/>
      <c r="V95" s="48"/>
      <c r="W95" s="27" t="s">
        <v>203</v>
      </c>
      <c r="X95" s="52"/>
    </row>
    <row r="96" spans="1:24" ht="20.45" customHeight="1">
      <c r="A96" s="10" t="s">
        <v>114</v>
      </c>
      <c r="B96" s="11">
        <v>1.087962962962963E-2</v>
      </c>
      <c r="C96" s="11"/>
      <c r="D96" s="11">
        <f>B96*E96</f>
        <v>6.3297685185185184E-3</v>
      </c>
      <c r="E96" s="12">
        <v>0.58179999999999998</v>
      </c>
      <c r="F96" s="11">
        <f>C96/4</f>
        <v>0</v>
      </c>
      <c r="G96" s="11">
        <f>D96/7.5</f>
        <v>8.4396913580246917E-4</v>
      </c>
      <c r="H96" s="11">
        <f>B96/12.5</f>
        <v>8.7037037037037042E-4</v>
      </c>
      <c r="I96" s="11">
        <f>G96/0.93</f>
        <v>9.0749369441125711E-4</v>
      </c>
      <c r="J96" s="11">
        <f>G96/0.92</f>
        <v>9.173577563070317E-4</v>
      </c>
      <c r="K96" s="11">
        <f>G96/0.88</f>
        <v>9.5905583613916951E-4</v>
      </c>
      <c r="L96" s="11">
        <f>G96/0.84</f>
        <v>1.0047251616696062E-3</v>
      </c>
      <c r="M96" s="25">
        <f>WO2025Jan7men1191517192325293133353941434547495557596365676971737577791317[[#This Row],[Thresh]]</f>
        <v>9.5905583613916951E-4</v>
      </c>
      <c r="N96" s="28">
        <f>WO2025Jan7men1191517192325293133353941434547495557596365676971737577791317[[#This Row],[Thresh]]*2.5</f>
        <v>2.3976395903479238E-3</v>
      </c>
      <c r="O96" s="25"/>
      <c r="P96" s="25"/>
      <c r="Q96" s="25">
        <f>WO2025Jan7men1191517192325293133353941434547495557596365676971737577791317[[#This Row],[VO2]]</f>
        <v>8.4396913580246917E-4</v>
      </c>
      <c r="R96" s="28"/>
      <c r="S96" s="25"/>
      <c r="T96" s="25"/>
      <c r="U96" s="28"/>
      <c r="V96" s="28"/>
      <c r="W96" s="15" t="s">
        <v>203</v>
      </c>
      <c r="X96" s="52"/>
    </row>
    <row r="97" spans="1:24" ht="20.45" customHeight="1">
      <c r="A97" s="10" t="s">
        <v>137</v>
      </c>
      <c r="B97" s="11">
        <v>1.087962962962963E-2</v>
      </c>
      <c r="C97" s="11"/>
      <c r="D97" s="11">
        <f>B97*E97</f>
        <v>6.3297685185185184E-3</v>
      </c>
      <c r="E97" s="12">
        <v>0.58179999999999998</v>
      </c>
      <c r="F97" s="11">
        <f>C97/4</f>
        <v>0</v>
      </c>
      <c r="G97" s="11">
        <f>D97/7.5</f>
        <v>8.4396913580246917E-4</v>
      </c>
      <c r="H97" s="11">
        <f>B97/12.5</f>
        <v>8.7037037037037042E-4</v>
      </c>
      <c r="I97" s="11">
        <f>G97/0.93</f>
        <v>9.0749369441125711E-4</v>
      </c>
      <c r="J97" s="11">
        <f>G97/0.92</f>
        <v>9.173577563070317E-4</v>
      </c>
      <c r="K97" s="11">
        <f>G97/0.88</f>
        <v>9.5905583613916951E-4</v>
      </c>
      <c r="L97" s="11">
        <f>G97/0.84</f>
        <v>1.0047251616696062E-3</v>
      </c>
      <c r="M97" s="25">
        <f>WO2025Jan7men1191517192325293133353941434547495557596365676971737577791317[[#This Row],[Thresh]]</f>
        <v>9.5905583613916951E-4</v>
      </c>
      <c r="N97" s="28">
        <f>WO2025Jan7men1191517192325293133353941434547495557596365676971737577791317[[#This Row],[Thresh]]*2.5</f>
        <v>2.3976395903479238E-3</v>
      </c>
      <c r="O97" s="25"/>
      <c r="P97" s="25"/>
      <c r="Q97" s="25">
        <f>WO2025Jan7men1191517192325293133353941434547495557596365676971737577791317[[#This Row],[VO2]]</f>
        <v>8.4396913580246917E-4</v>
      </c>
      <c r="R97" s="28"/>
      <c r="S97" s="25"/>
      <c r="T97" s="25"/>
      <c r="U97" s="28"/>
      <c r="V97" s="28"/>
      <c r="W97" s="15" t="s">
        <v>203</v>
      </c>
      <c r="X97" s="52"/>
    </row>
    <row r="98" spans="1:24" ht="20.45" customHeight="1">
      <c r="A98" s="10" t="s">
        <v>132</v>
      </c>
      <c r="B98" s="11">
        <v>1.087962962962963E-2</v>
      </c>
      <c r="C98" s="11"/>
      <c r="D98" s="11">
        <f>B98*E98</f>
        <v>6.3297685185185184E-3</v>
      </c>
      <c r="E98" s="12">
        <v>0.58179999999999998</v>
      </c>
      <c r="F98" s="11">
        <f>C98/4</f>
        <v>0</v>
      </c>
      <c r="G98" s="11">
        <f>D98/7.5</f>
        <v>8.4396913580246917E-4</v>
      </c>
      <c r="H98" s="11">
        <f>B98/12.5</f>
        <v>8.7037037037037042E-4</v>
      </c>
      <c r="I98" s="11">
        <f>G98/0.93</f>
        <v>9.0749369441125711E-4</v>
      </c>
      <c r="J98" s="11">
        <f>G98/0.92</f>
        <v>9.173577563070317E-4</v>
      </c>
      <c r="K98" s="11">
        <f>G98/0.88</f>
        <v>9.5905583613916951E-4</v>
      </c>
      <c r="L98" s="11">
        <f>G98/0.84</f>
        <v>1.0047251616696062E-3</v>
      </c>
      <c r="M98" s="25">
        <f>WO2025Jan7men1191517192325293133353941434547495557596365676971737577791317[[#This Row],[Thresh]]</f>
        <v>9.5905583613916951E-4</v>
      </c>
      <c r="N98" s="28">
        <f>WO2025Jan7men1191517192325293133353941434547495557596365676971737577791317[[#This Row],[Thresh]]*2.5</f>
        <v>2.3976395903479238E-3</v>
      </c>
      <c r="O98" s="25"/>
      <c r="P98" s="25"/>
      <c r="Q98" s="25">
        <f>WO2025Jan7men1191517192325293133353941434547495557596365676971737577791317[[#This Row],[VO2]]</f>
        <v>8.4396913580246917E-4</v>
      </c>
      <c r="R98" s="26"/>
      <c r="S98" s="14"/>
      <c r="T98" s="14"/>
      <c r="U98" s="26"/>
      <c r="V98" s="28"/>
      <c r="W98" s="27" t="s">
        <v>203</v>
      </c>
      <c r="X98" s="50"/>
    </row>
    <row r="99" spans="1:24" ht="20.45" customHeight="1">
      <c r="A99" s="10" t="s">
        <v>133</v>
      </c>
      <c r="B99" s="11">
        <v>1.087962962962963E-2</v>
      </c>
      <c r="C99" s="11">
        <v>3.1250000000000002E-3</v>
      </c>
      <c r="D99" s="11">
        <f>B99*E99</f>
        <v>6.3297685185185184E-3</v>
      </c>
      <c r="E99" s="12">
        <v>0.58179999999999998</v>
      </c>
      <c r="F99" s="11">
        <f>C99/4</f>
        <v>7.8125000000000004E-4</v>
      </c>
      <c r="G99" s="11">
        <f>D99/7.5</f>
        <v>8.4396913580246917E-4</v>
      </c>
      <c r="H99" s="11">
        <f>B99/12.5</f>
        <v>8.7037037037037042E-4</v>
      </c>
      <c r="I99" s="11">
        <f>G99/0.93</f>
        <v>9.0749369441125711E-4</v>
      </c>
      <c r="J99" s="11">
        <f>G99/0.92</f>
        <v>9.173577563070317E-4</v>
      </c>
      <c r="K99" s="11">
        <f>G99/0.88</f>
        <v>9.5905583613916951E-4</v>
      </c>
      <c r="L99" s="11">
        <f>G99/0.84</f>
        <v>1.0047251616696062E-3</v>
      </c>
      <c r="M99" s="25">
        <f>WO2025Jan7men1191517192325293133353941434547495557596365676971737577791317[[#This Row],[Thresh]]</f>
        <v>9.5905583613916951E-4</v>
      </c>
      <c r="N99" s="28">
        <f>WO2025Jan7men1191517192325293133353941434547495557596365676971737577791317[[#This Row],[Thresh]]*2.5</f>
        <v>2.3976395903479238E-3</v>
      </c>
      <c r="O99" s="25"/>
      <c r="P99" s="25"/>
      <c r="Q99" s="25">
        <f>WO2025Jan7men1191517192325293133353941434547495557596365676971737577791317[[#This Row],[VO2]]</f>
        <v>8.4396913580246917E-4</v>
      </c>
      <c r="R99" s="25"/>
      <c r="S99" s="25"/>
      <c r="T99" s="25"/>
      <c r="U99" s="28"/>
      <c r="V99" s="25"/>
      <c r="W99" s="15" t="s">
        <v>203</v>
      </c>
      <c r="X99" s="50"/>
    </row>
    <row r="100" spans="1:24" ht="20.45" customHeight="1">
      <c r="A100" s="10" t="s">
        <v>113</v>
      </c>
      <c r="B100" s="11">
        <v>1.087962962962963E-2</v>
      </c>
      <c r="C100" s="11">
        <v>3.2986111111111111E-3</v>
      </c>
      <c r="D100" s="11">
        <f t="shared" ref="D100" si="40">B100*E100</f>
        <v>6.3297685185185184E-3</v>
      </c>
      <c r="E100" s="12">
        <v>0.58179999999999998</v>
      </c>
      <c r="F100" s="11">
        <f t="shared" ref="F100" si="41">C100/4</f>
        <v>8.2465277777777778E-4</v>
      </c>
      <c r="G100" s="11">
        <f t="shared" ref="G100" si="42">D100/7.5</f>
        <v>8.4396913580246917E-4</v>
      </c>
      <c r="H100" s="11">
        <f t="shared" ref="H100" si="43">B100/12.5</f>
        <v>8.7037037037037042E-4</v>
      </c>
      <c r="I100" s="11">
        <f t="shared" ref="I100" si="44">G100/0.93</f>
        <v>9.0749369441125711E-4</v>
      </c>
      <c r="J100" s="11">
        <f t="shared" ref="J100" si="45">G100/0.92</f>
        <v>9.173577563070317E-4</v>
      </c>
      <c r="K100" s="11">
        <f t="shared" ref="K100" si="46">G100/0.88</f>
        <v>9.5905583613916951E-4</v>
      </c>
      <c r="L100" s="11">
        <f t="shared" ref="L100" si="47">G100/0.84</f>
        <v>1.0047251616696062E-3</v>
      </c>
      <c r="M100" s="25">
        <f>WO2025Jan7men1191517192325293133353941434547495557596365676971737577791317[[#This Row],[Thresh]]</f>
        <v>9.5905583613916951E-4</v>
      </c>
      <c r="N100" s="28">
        <f>WO2025Jan7men1191517192325293133353941434547495557596365676971737577791317[[#This Row],[Thresh]]*2.5</f>
        <v>2.3976395903479238E-3</v>
      </c>
      <c r="O100" s="25"/>
      <c r="P100" s="25"/>
      <c r="Q100" s="25">
        <f>WO2025Jan7men1191517192325293133353941434547495557596365676971737577791317[[#This Row],[VO2]]</f>
        <v>8.4396913580246917E-4</v>
      </c>
      <c r="R100" s="28"/>
      <c r="S100" s="25"/>
      <c r="T100" s="25"/>
      <c r="U100" s="28"/>
      <c r="V100" s="25"/>
      <c r="W100" s="15" t="s">
        <v>203</v>
      </c>
      <c r="X100" s="50"/>
    </row>
    <row r="101" spans="1:24" ht="20.45" customHeight="1">
      <c r="A101" s="10" t="s">
        <v>128</v>
      </c>
      <c r="B101" s="11">
        <v>1.087962962962963E-2</v>
      </c>
      <c r="C101" s="11"/>
      <c r="D101" s="11">
        <f>B101*E101</f>
        <v>6.3297685185185184E-3</v>
      </c>
      <c r="E101" s="12">
        <v>0.58179999999999998</v>
      </c>
      <c r="F101" s="11">
        <f>C101/4</f>
        <v>0</v>
      </c>
      <c r="G101" s="11">
        <f>D101/7.5</f>
        <v>8.4396913580246917E-4</v>
      </c>
      <c r="H101" s="11">
        <f>B101/12.5</f>
        <v>8.7037037037037042E-4</v>
      </c>
      <c r="I101" s="11">
        <f>G101/0.93</f>
        <v>9.0749369441125711E-4</v>
      </c>
      <c r="J101" s="11">
        <f>G101/0.92</f>
        <v>9.173577563070317E-4</v>
      </c>
      <c r="K101" s="11">
        <f>G101/0.88</f>
        <v>9.5905583613916951E-4</v>
      </c>
      <c r="L101" s="11">
        <f>G101/0.84</f>
        <v>1.0047251616696062E-3</v>
      </c>
      <c r="M101" s="25">
        <f>WO2025Jan7men1191517192325293133353941434547495557596365676971737577791317[[#This Row],[Thresh]]</f>
        <v>9.5905583613916951E-4</v>
      </c>
      <c r="N101" s="28">
        <f>WO2025Jan7men1191517192325293133353941434547495557596365676971737577791317[[#This Row],[Thresh]]*2.5</f>
        <v>2.3976395903479238E-3</v>
      </c>
      <c r="O101" s="25"/>
      <c r="P101" s="25"/>
      <c r="Q101" s="25">
        <f>WO2025Jan7men1191517192325293133353941434547495557596365676971737577791317[[#This Row],[VO2]]</f>
        <v>8.4396913580246917E-4</v>
      </c>
      <c r="R101" s="26"/>
      <c r="S101" s="14"/>
      <c r="T101" s="14"/>
      <c r="U101" s="26"/>
      <c r="V101" s="28"/>
      <c r="W101" s="27" t="s">
        <v>203</v>
      </c>
      <c r="X101" s="50"/>
    </row>
    <row r="102" spans="1:24" ht="20.45" customHeight="1">
      <c r="A102" s="10" t="s">
        <v>136</v>
      </c>
      <c r="B102" s="11">
        <v>1.1111111111111112E-2</v>
      </c>
      <c r="C102" s="11">
        <v>3.1828703703703702E-3</v>
      </c>
      <c r="D102" s="11">
        <f>B102*E102</f>
        <v>6.4644444444444445E-3</v>
      </c>
      <c r="E102" s="12">
        <v>0.58179999999999998</v>
      </c>
      <c r="F102" s="11">
        <f>C102/4</f>
        <v>7.9571759259259255E-4</v>
      </c>
      <c r="G102" s="11">
        <f>D102/7.5</f>
        <v>8.6192592592592592E-4</v>
      </c>
      <c r="H102" s="11">
        <f>B102/12.5</f>
        <v>8.8888888888888893E-4</v>
      </c>
      <c r="I102" s="11">
        <f>G102/0.93</f>
        <v>9.2680207088809239E-4</v>
      </c>
      <c r="J102" s="11">
        <f>G102/0.92</f>
        <v>9.3687600644122375E-4</v>
      </c>
      <c r="K102" s="11">
        <f>G102/0.88</f>
        <v>9.7946127946127947E-4</v>
      </c>
      <c r="L102" s="11">
        <f>G102/0.84</f>
        <v>1.0261022927689596E-3</v>
      </c>
      <c r="M102" s="25">
        <f>WO2025Jan7men1191517192325293133353941434547495557596365676971737577791317[[#This Row],[Thresh]]</f>
        <v>9.7946127946127947E-4</v>
      </c>
      <c r="N102" s="28">
        <f>WO2025Jan7men1191517192325293133353941434547495557596365676971737577791317[[#This Row],[Thresh]]*2.5</f>
        <v>2.4486531986531988E-3</v>
      </c>
      <c r="O102" s="25"/>
      <c r="P102" s="25"/>
      <c r="Q102" s="25">
        <f>WO2025Jan7men1191517192325293133353941434547495557596365676971737577791317[[#This Row],[VO2]]</f>
        <v>8.6192592592592592E-4</v>
      </c>
      <c r="R102" s="25"/>
      <c r="S102" s="25"/>
      <c r="T102" s="25"/>
      <c r="U102" s="28"/>
      <c r="V102" s="25"/>
      <c r="W102" s="15" t="s">
        <v>203</v>
      </c>
      <c r="X102" s="50"/>
    </row>
    <row r="103" spans="1:24" ht="20.45" customHeight="1">
      <c r="A103" s="10" t="s">
        <v>134</v>
      </c>
      <c r="B103" s="11">
        <v>1.1458333333333333E-2</v>
      </c>
      <c r="C103" s="11"/>
      <c r="D103" s="11">
        <f>B103*E103</f>
        <v>6.6664583333333324E-3</v>
      </c>
      <c r="E103" s="12">
        <v>0.58179999999999998</v>
      </c>
      <c r="F103" s="11">
        <f>C103/4</f>
        <v>0</v>
      </c>
      <c r="G103" s="11">
        <f>D103/7.5</f>
        <v>8.8886111111111099E-4</v>
      </c>
      <c r="H103" s="11">
        <f>B103/12.5</f>
        <v>9.1666666666666665E-4</v>
      </c>
      <c r="I103" s="11">
        <f>G103/0.93</f>
        <v>9.5576463560334514E-4</v>
      </c>
      <c r="J103" s="11">
        <f>G103/0.92</f>
        <v>9.6615338164251195E-4</v>
      </c>
      <c r="K103" s="11">
        <f>G103/0.88</f>
        <v>1.0100694444444443E-3</v>
      </c>
      <c r="L103" s="11">
        <f>G103/0.84</f>
        <v>1.0581679894179892E-3</v>
      </c>
      <c r="M103" s="25">
        <f>WO2025Jan7men1191517192325293133353941434547495557596365676971737577791317[[#This Row],[Thresh]]</f>
        <v>1.0100694444444443E-3</v>
      </c>
      <c r="N103" s="28">
        <f>WO2025Jan7men1191517192325293133353941434547495557596365676971737577791317[[#This Row],[Thresh]]*2.5</f>
        <v>2.5251736111111108E-3</v>
      </c>
      <c r="O103" s="25">
        <f>WO2025Jan7men1191517192325293133353941434547495557596365676971737577791317[[#This Row],[CV]]</f>
        <v>9.6615338164251195E-4</v>
      </c>
      <c r="P103" s="25">
        <f>WO2025Jan7men1191517192325293133353941434547495557596365676971737577791317[[#This Row],[CV]]*2.5</f>
        <v>2.41538345410628E-3</v>
      </c>
      <c r="Q103" s="25">
        <f>WO2025Jan7men1191517192325293133353941434547495557596365676971737577791317[[#This Row],[VO2]]</f>
        <v>8.8886111111111099E-4</v>
      </c>
      <c r="R103" s="26"/>
      <c r="S103" s="14"/>
      <c r="T103" s="14"/>
      <c r="U103" s="26"/>
      <c r="V103" s="28"/>
      <c r="W103" s="27" t="s">
        <v>35</v>
      </c>
      <c r="X103" s="50"/>
    </row>
    <row r="104" spans="1:24" ht="20.45" customHeight="1">
      <c r="A104" s="10" t="s">
        <v>135</v>
      </c>
      <c r="B104" s="11">
        <v>1.1631944444444445E-2</v>
      </c>
      <c r="C104" s="11">
        <v>3.414351851851852E-3</v>
      </c>
      <c r="D104" s="11">
        <f>B104*E104</f>
        <v>6.7674652777777776E-3</v>
      </c>
      <c r="E104" s="12">
        <v>0.58179999999999998</v>
      </c>
      <c r="F104" s="11">
        <f>C104/4</f>
        <v>8.53587962962963E-4</v>
      </c>
      <c r="G104" s="11">
        <f>D104/7.5</f>
        <v>9.0232870370370369E-4</v>
      </c>
      <c r="H104" s="11">
        <f>B104/12.5</f>
        <v>9.3055555555555556E-4</v>
      </c>
      <c r="I104" s="11">
        <f>G104/0.93</f>
        <v>9.7024591796097167E-4</v>
      </c>
      <c r="J104" s="11">
        <f>G104/0.92</f>
        <v>9.8079206924315621E-4</v>
      </c>
      <c r="K104" s="11">
        <f>G104/0.88</f>
        <v>1.0253735269360269E-3</v>
      </c>
      <c r="L104" s="17">
        <f>G104/0.84</f>
        <v>1.0742008377425045E-3</v>
      </c>
      <c r="M104" s="25">
        <f>WO2025Jan7men1191517192325293133353941434547495557596365676971737577791317[[#This Row],[Thresh]]</f>
        <v>1.0253735269360269E-3</v>
      </c>
      <c r="N104" s="28">
        <f>WO2025Jan7men1191517192325293133353941434547495557596365676971737577791317[[#This Row],[Thresh]]*2.5</f>
        <v>2.5634338173400675E-3</v>
      </c>
      <c r="O104" s="25"/>
      <c r="P104" s="25"/>
      <c r="Q104" s="25">
        <f>WO2025Jan7men1191517192325293133353941434547495557596365676971737577791317[[#This Row],[VO2]]</f>
        <v>9.0232870370370369E-4</v>
      </c>
      <c r="R104" s="28"/>
      <c r="S104" s="25"/>
      <c r="T104" s="25"/>
      <c r="U104" s="28"/>
      <c r="V104" s="44"/>
      <c r="W104" s="28" t="s">
        <v>201</v>
      </c>
      <c r="X104" s="50"/>
    </row>
    <row r="105" spans="1:24" ht="20.45" customHeight="1">
      <c r="A105" s="10"/>
      <c r="B105" s="11"/>
      <c r="C105" s="11"/>
      <c r="D105" s="11"/>
      <c r="E105" s="12"/>
      <c r="F105" s="11"/>
      <c r="G105" s="11"/>
      <c r="H105" s="11"/>
      <c r="I105" s="11"/>
      <c r="J105" s="11"/>
      <c r="K105" s="11"/>
      <c r="L105" s="11"/>
      <c r="M105" s="25"/>
      <c r="N105" s="28"/>
      <c r="O105" s="25"/>
      <c r="P105" s="28"/>
      <c r="Q105" s="25"/>
      <c r="R105" s="28"/>
      <c r="S105" s="25"/>
      <c r="T105" s="28"/>
      <c r="U105" s="28"/>
      <c r="V105" s="25"/>
      <c r="W105" s="15"/>
      <c r="X105" s="50"/>
    </row>
    <row r="106" spans="1:24" ht="20.45" customHeight="1">
      <c r="A106" s="19"/>
      <c r="B106" s="6"/>
      <c r="C106" s="6"/>
      <c r="D106" s="6"/>
      <c r="E106" s="20"/>
      <c r="F106" s="6"/>
      <c r="G106" s="6"/>
      <c r="H106" s="6"/>
      <c r="I106" s="6"/>
      <c r="J106" s="6"/>
      <c r="K106" s="6"/>
      <c r="L106" s="6"/>
      <c r="M106" s="6"/>
      <c r="N106" s="6"/>
      <c r="O106" s="6"/>
      <c r="P106" s="6"/>
      <c r="Q106" s="6"/>
      <c r="R106" s="6"/>
      <c r="S106" s="6"/>
      <c r="T106" s="6"/>
      <c r="U106" s="6"/>
      <c r="V106" s="23"/>
      <c r="W106" s="35"/>
      <c r="X106" s="50"/>
    </row>
    <row r="107" spans="1:24" ht="20.45" customHeight="1">
      <c r="A107" s="10" t="s">
        <v>107</v>
      </c>
      <c r="B107" s="11">
        <v>1.1111111111111112E-2</v>
      </c>
      <c r="C107" s="11">
        <v>3.2407407407407406E-3</v>
      </c>
      <c r="D107" s="11">
        <f t="shared" ref="D107:D112" si="48">B107*E107</f>
        <v>6.4644444444444445E-3</v>
      </c>
      <c r="E107" s="12">
        <v>0.58179999999999998</v>
      </c>
      <c r="F107" s="11">
        <f t="shared" ref="F107:F112" si="49">C107/4</f>
        <v>8.1018518518518516E-4</v>
      </c>
      <c r="G107" s="11">
        <f t="shared" ref="G107:G112" si="50">D107/7.5</f>
        <v>8.6192592592592592E-4</v>
      </c>
      <c r="H107" s="11">
        <f t="shared" ref="H107:H112" si="51">B107/12.5</f>
        <v>8.8888888888888893E-4</v>
      </c>
      <c r="I107" s="11">
        <f t="shared" ref="I107:I112" si="52">G107/0.93</f>
        <v>9.2680207088809239E-4</v>
      </c>
      <c r="J107" s="11">
        <f t="shared" ref="J107:J112" si="53">G107/0.92</f>
        <v>9.3687600644122375E-4</v>
      </c>
      <c r="K107" s="11">
        <f t="shared" ref="K107:K112" si="54">G107/0.88</f>
        <v>9.7946127946127947E-4</v>
      </c>
      <c r="L107" s="11">
        <f t="shared" ref="L107:L112" si="55">G107/0.84</f>
        <v>1.0261022927689596E-3</v>
      </c>
      <c r="M107" s="25"/>
      <c r="N107" s="28"/>
      <c r="O107" s="25"/>
      <c r="P107" s="25"/>
      <c r="Q107" s="25"/>
      <c r="R107" s="28"/>
      <c r="S107" s="25"/>
      <c r="T107" s="25"/>
      <c r="U107" s="28"/>
      <c r="V107" s="28"/>
      <c r="W107" s="15" t="s">
        <v>52</v>
      </c>
      <c r="X107" s="50"/>
    </row>
    <row r="108" spans="1:24" ht="20.45" customHeight="1">
      <c r="A108" s="10" t="s">
        <v>106</v>
      </c>
      <c r="B108" s="11">
        <v>1.0532407407407407E-2</v>
      </c>
      <c r="C108" s="11">
        <v>2.9745370370370373E-3</v>
      </c>
      <c r="D108" s="11">
        <f t="shared" si="48"/>
        <v>6.1277546296296288E-3</v>
      </c>
      <c r="E108" s="12">
        <v>0.58179999999999998</v>
      </c>
      <c r="F108" s="11">
        <f t="shared" si="49"/>
        <v>7.4363425925925931E-4</v>
      </c>
      <c r="G108" s="11">
        <f t="shared" si="50"/>
        <v>8.1703395061728389E-4</v>
      </c>
      <c r="H108" s="11">
        <f t="shared" si="51"/>
        <v>8.4259259259259259E-4</v>
      </c>
      <c r="I108" s="11">
        <f t="shared" si="52"/>
        <v>8.7853112969600415E-4</v>
      </c>
      <c r="J108" s="11">
        <f t="shared" si="53"/>
        <v>8.8808038110574329E-4</v>
      </c>
      <c r="K108" s="11">
        <f t="shared" si="54"/>
        <v>9.2844767115600447E-4</v>
      </c>
      <c r="L108" s="11">
        <f t="shared" si="55"/>
        <v>9.7265946502057604E-4</v>
      </c>
      <c r="M108" s="25"/>
      <c r="N108" s="28"/>
      <c r="O108" s="25"/>
      <c r="P108" s="25"/>
      <c r="Q108" s="25"/>
      <c r="R108" s="25"/>
      <c r="S108" s="25"/>
      <c r="T108" s="25"/>
      <c r="U108" s="28"/>
      <c r="V108" s="25"/>
      <c r="W108" s="15" t="s">
        <v>52</v>
      </c>
      <c r="X108" s="52"/>
    </row>
    <row r="109" spans="1:24" ht="20.45" customHeight="1">
      <c r="A109" s="10" t="s">
        <v>122</v>
      </c>
      <c r="B109" s="11">
        <v>1.0532407407407407E-2</v>
      </c>
      <c r="C109" s="11">
        <v>3.0671296296296297E-3</v>
      </c>
      <c r="D109" s="11">
        <f t="shared" si="48"/>
        <v>6.1277546296296288E-3</v>
      </c>
      <c r="E109" s="12">
        <v>0.58179999999999998</v>
      </c>
      <c r="F109" s="11">
        <f t="shared" si="49"/>
        <v>7.6678240740740743E-4</v>
      </c>
      <c r="G109" s="11">
        <f t="shared" si="50"/>
        <v>8.1703395061728389E-4</v>
      </c>
      <c r="H109" s="11">
        <f t="shared" si="51"/>
        <v>8.4259259259259259E-4</v>
      </c>
      <c r="I109" s="11">
        <f t="shared" si="52"/>
        <v>8.7853112969600415E-4</v>
      </c>
      <c r="J109" s="11">
        <f t="shared" si="53"/>
        <v>8.8808038110574329E-4</v>
      </c>
      <c r="K109" s="11">
        <f t="shared" si="54"/>
        <v>9.2844767115600447E-4</v>
      </c>
      <c r="L109" s="11">
        <f t="shared" si="55"/>
        <v>9.7265946502057604E-4</v>
      </c>
      <c r="M109" s="25"/>
      <c r="N109" s="28"/>
      <c r="O109" s="25"/>
      <c r="P109" s="25"/>
      <c r="Q109" s="25"/>
      <c r="R109" s="28"/>
      <c r="S109" s="25"/>
      <c r="T109" s="25"/>
      <c r="U109" s="28"/>
      <c r="V109" s="25"/>
      <c r="W109" s="15" t="s">
        <v>52</v>
      </c>
      <c r="X109" s="52"/>
    </row>
    <row r="110" spans="1:24" ht="20.45" customHeight="1">
      <c r="A110" s="10" t="s">
        <v>164</v>
      </c>
      <c r="B110" s="11">
        <v>1.1342592592592593E-2</v>
      </c>
      <c r="C110" s="11">
        <v>3.2407407407407406E-3</v>
      </c>
      <c r="D110" s="11">
        <f t="shared" si="48"/>
        <v>6.5991203703703706E-3</v>
      </c>
      <c r="E110" s="12">
        <v>0.58179999999999998</v>
      </c>
      <c r="F110" s="11">
        <f t="shared" si="49"/>
        <v>8.1018518518518516E-4</v>
      </c>
      <c r="G110" s="11">
        <f t="shared" si="50"/>
        <v>8.7988271604938278E-4</v>
      </c>
      <c r="H110" s="11">
        <f t="shared" si="51"/>
        <v>9.0740740740740745E-4</v>
      </c>
      <c r="I110" s="11">
        <f t="shared" si="52"/>
        <v>9.4611044736492766E-4</v>
      </c>
      <c r="J110" s="11">
        <f t="shared" si="53"/>
        <v>9.5639425657541603E-4</v>
      </c>
      <c r="K110" s="11">
        <f t="shared" si="54"/>
        <v>9.9986672278338943E-4</v>
      </c>
      <c r="L110" s="11">
        <f t="shared" si="55"/>
        <v>1.0474794238683129E-3</v>
      </c>
      <c r="M110" s="25"/>
      <c r="N110" s="28"/>
      <c r="O110" s="25"/>
      <c r="P110" s="28"/>
      <c r="Q110" s="28"/>
      <c r="R110" s="11"/>
      <c r="S110" s="14"/>
      <c r="T110" s="14"/>
      <c r="U110" s="26"/>
      <c r="V110" s="28"/>
      <c r="W110" s="27" t="s">
        <v>52</v>
      </c>
      <c r="X110" s="52"/>
    </row>
    <row r="111" spans="1:24" ht="20.45" customHeight="1">
      <c r="A111" s="10" t="s">
        <v>108</v>
      </c>
      <c r="B111" s="11">
        <v>1.0763888888888891E-2</v>
      </c>
      <c r="C111" s="11">
        <v>3.0671296296296297E-3</v>
      </c>
      <c r="D111" s="11">
        <f t="shared" si="48"/>
        <v>6.2624305555555567E-3</v>
      </c>
      <c r="E111" s="12">
        <v>0.58179999999999998</v>
      </c>
      <c r="F111" s="11">
        <f t="shared" si="49"/>
        <v>7.6678240740740743E-4</v>
      </c>
      <c r="G111" s="11">
        <f t="shared" si="50"/>
        <v>8.3499074074074085E-4</v>
      </c>
      <c r="H111" s="11">
        <f t="shared" si="51"/>
        <v>8.6111111111111121E-4</v>
      </c>
      <c r="I111" s="11">
        <f t="shared" si="52"/>
        <v>8.9783950617283953E-4</v>
      </c>
      <c r="J111" s="11">
        <f t="shared" si="53"/>
        <v>9.0759863123993567E-4</v>
      </c>
      <c r="K111" s="11">
        <f t="shared" si="54"/>
        <v>9.4885311447811464E-4</v>
      </c>
      <c r="L111" s="11">
        <f t="shared" si="55"/>
        <v>9.9403659611992969E-4</v>
      </c>
      <c r="M111" s="25"/>
      <c r="N111" s="28"/>
      <c r="O111" s="25"/>
      <c r="P111" s="28"/>
      <c r="Q111" s="25"/>
      <c r="R111" s="28"/>
      <c r="S111" s="25"/>
      <c r="T111" s="25"/>
      <c r="U111" s="28"/>
      <c r="V111" s="28"/>
      <c r="W111" s="15" t="s">
        <v>52</v>
      </c>
      <c r="X111" s="52"/>
    </row>
    <row r="112" spans="1:24" ht="20.45" customHeight="1">
      <c r="A112" s="10" t="s">
        <v>105</v>
      </c>
      <c r="B112" s="11">
        <v>1.0648148148148148E-2</v>
      </c>
      <c r="C112" s="11">
        <v>2.9745370370370373E-3</v>
      </c>
      <c r="D112" s="11">
        <f t="shared" si="48"/>
        <v>6.1950925925925923E-3</v>
      </c>
      <c r="E112" s="12">
        <v>0.58179999999999998</v>
      </c>
      <c r="F112" s="11">
        <f t="shared" si="49"/>
        <v>7.4363425925925931E-4</v>
      </c>
      <c r="G112" s="11">
        <f t="shared" si="50"/>
        <v>8.2601234567901232E-4</v>
      </c>
      <c r="H112" s="11">
        <f t="shared" si="51"/>
        <v>8.5185185185185179E-4</v>
      </c>
      <c r="I112" s="11">
        <f t="shared" si="52"/>
        <v>8.8818531793442184E-4</v>
      </c>
      <c r="J112" s="11">
        <f t="shared" si="53"/>
        <v>8.9783950617283942E-4</v>
      </c>
      <c r="K112" s="11">
        <f t="shared" si="54"/>
        <v>9.3865039281705945E-4</v>
      </c>
      <c r="L112" s="11">
        <f t="shared" si="55"/>
        <v>9.833480305702527E-4</v>
      </c>
      <c r="M112" s="37"/>
      <c r="N112" s="28"/>
      <c r="O112" s="25"/>
      <c r="P112" s="25"/>
      <c r="Q112" s="25"/>
      <c r="R112" s="25"/>
      <c r="S112" s="25"/>
      <c r="T112" s="25"/>
      <c r="U112" s="28"/>
      <c r="V112" s="25"/>
      <c r="W112" s="15" t="s">
        <v>52</v>
      </c>
      <c r="X112" s="52"/>
    </row>
    <row r="113" spans="1:24" ht="20.45" customHeight="1">
      <c r="A113" s="10"/>
      <c r="B113" s="11"/>
      <c r="C113" s="11"/>
      <c r="D113" s="11"/>
      <c r="E113" s="12"/>
      <c r="F113" s="11"/>
      <c r="G113" s="11"/>
      <c r="H113" s="11"/>
      <c r="I113" s="11"/>
      <c r="J113" s="11"/>
      <c r="K113" s="11"/>
      <c r="L113" s="11"/>
      <c r="M113" s="25"/>
      <c r="N113" s="28"/>
      <c r="O113" s="25"/>
      <c r="P113" s="25"/>
      <c r="Q113" s="25"/>
      <c r="R113" s="28"/>
      <c r="S113" s="25"/>
      <c r="T113" s="25"/>
      <c r="U113" s="28"/>
      <c r="V113" s="25"/>
      <c r="W113" s="15"/>
      <c r="X113" s="52"/>
    </row>
    <row r="114" spans="1:24" ht="20.45" customHeight="1">
      <c r="A114" s="10"/>
      <c r="B114" s="11"/>
      <c r="C114" s="11"/>
      <c r="D114" s="11"/>
      <c r="E114" s="12"/>
      <c r="F114" s="11"/>
      <c r="G114" s="11"/>
      <c r="H114" s="11"/>
      <c r="I114" s="11"/>
      <c r="J114" s="11"/>
      <c r="K114" s="11"/>
      <c r="L114" s="11"/>
      <c r="M114" s="25"/>
      <c r="N114" s="28"/>
      <c r="O114" s="25"/>
      <c r="P114" s="28"/>
      <c r="Q114" s="25"/>
      <c r="R114" s="28"/>
      <c r="S114" s="25"/>
      <c r="T114" s="25"/>
      <c r="U114" s="28"/>
      <c r="V114" s="28"/>
      <c r="W114" s="27"/>
      <c r="X114" s="52"/>
    </row>
    <row r="115" spans="1:24" ht="20.45" customHeight="1" thickBot="1">
      <c r="A115" s="10"/>
      <c r="B115" s="11"/>
      <c r="C115" s="11"/>
      <c r="D115" s="11"/>
      <c r="E115" s="12"/>
      <c r="F115" s="11"/>
      <c r="G115" s="11"/>
      <c r="H115" s="11"/>
      <c r="I115" s="11"/>
      <c r="J115" s="11"/>
      <c r="K115" s="11"/>
      <c r="L115" s="11"/>
      <c r="M115" s="25"/>
      <c r="N115" s="28"/>
      <c r="O115" s="25"/>
      <c r="P115" s="25"/>
      <c r="Q115" s="28"/>
      <c r="R115" s="28"/>
      <c r="S115" s="25"/>
      <c r="T115" s="25"/>
      <c r="U115" s="28"/>
      <c r="V115" s="28"/>
      <c r="W115" s="15"/>
      <c r="X115" s="52"/>
    </row>
    <row r="116" spans="1:24" ht="20.45" customHeight="1">
      <c r="A116" s="1" t="s">
        <v>309</v>
      </c>
      <c r="B116" s="6"/>
      <c r="C116" s="6"/>
      <c r="D116" s="6"/>
      <c r="E116" s="20"/>
      <c r="F116" s="6"/>
      <c r="G116" s="6"/>
      <c r="H116" s="6"/>
      <c r="I116" s="6"/>
      <c r="J116" s="6"/>
      <c r="K116" s="6"/>
      <c r="L116" s="6"/>
      <c r="M116" s="6" t="s">
        <v>12</v>
      </c>
      <c r="N116" s="6" t="s">
        <v>13</v>
      </c>
      <c r="O116" s="6" t="s">
        <v>14</v>
      </c>
      <c r="P116" s="6" t="s">
        <v>15</v>
      </c>
      <c r="Q116" s="22" t="s">
        <v>153</v>
      </c>
      <c r="R116" s="6"/>
      <c r="S116" s="6"/>
      <c r="T116" s="6"/>
      <c r="U116" s="6"/>
      <c r="V116" s="23"/>
      <c r="W116" s="35"/>
      <c r="X116" s="52"/>
    </row>
    <row r="117" spans="1:24" ht="20.45" customHeight="1">
      <c r="A117" s="10" t="s">
        <v>96</v>
      </c>
      <c r="B117" s="11">
        <v>1.0648148148148148E-2</v>
      </c>
      <c r="C117" s="11">
        <v>2.9513888888888888E-3</v>
      </c>
      <c r="D117" s="11">
        <f t="shared" ref="D117:D123" si="56">B117*E117</f>
        <v>6.1950925925925923E-3</v>
      </c>
      <c r="E117" s="12">
        <v>0.58179999999999998</v>
      </c>
      <c r="F117" s="11">
        <f t="shared" ref="F117:F123" si="57">C117/4</f>
        <v>7.378472222222222E-4</v>
      </c>
      <c r="G117" s="11">
        <f t="shared" ref="G117:G123" si="58">D117/7.5</f>
        <v>8.2601234567901232E-4</v>
      </c>
      <c r="H117" s="11">
        <f t="shared" ref="H117:H123" si="59">B117/12.5</f>
        <v>8.5185185185185179E-4</v>
      </c>
      <c r="I117" s="11">
        <f t="shared" ref="I117:I123" si="60">G117/0.93</f>
        <v>8.8818531793442184E-4</v>
      </c>
      <c r="J117" s="11">
        <f t="shared" ref="J117:J123" si="61">G117/0.92</f>
        <v>8.9783950617283942E-4</v>
      </c>
      <c r="K117" s="11">
        <f t="shared" ref="K117:K123" si="62">G117/0.88</f>
        <v>9.3865039281705945E-4</v>
      </c>
      <c r="L117" s="17">
        <f t="shared" ref="L117:L123" si="63">G117/0.84</f>
        <v>9.833480305702527E-4</v>
      </c>
      <c r="M117" s="25">
        <f>WO2025Jan7men1191517192325293133353941434547495557596365676971737577791317[[#This Row],[Thresh]]</f>
        <v>9.3865039281705945E-4</v>
      </c>
      <c r="N117" s="28">
        <f>WO2025Jan7men1191517192325293133353941434547495557596365676971737577791317[[#This Row],[Thresh]]*2.5</f>
        <v>2.3466259820426488E-3</v>
      </c>
      <c r="O117" s="25">
        <f>WO2025Jan7men1191517192325293133353941434547495557596365676971737577791317[[#This Row],[CV]]</f>
        <v>8.9783950617283942E-4</v>
      </c>
      <c r="P117" s="28">
        <f>WO2025Jan7men1191517192325293133353941434547495557596365676971737577791317[[#This Row],[CV]]*1.5</f>
        <v>1.3467592592592591E-3</v>
      </c>
      <c r="Q117" s="25">
        <f>WO2025Jan7men1191517192325293133353941434547495557596365676971737577791317[[#This Row],[R]]/2</f>
        <v>3.689236111111111E-4</v>
      </c>
      <c r="R117" s="28"/>
      <c r="S117" s="25"/>
      <c r="T117" s="28"/>
      <c r="U117" s="28"/>
      <c r="V117" s="25"/>
      <c r="W117" s="15" t="s">
        <v>48</v>
      </c>
      <c r="X117" s="52"/>
    </row>
    <row r="118" spans="1:24" ht="20.45" customHeight="1">
      <c r="A118" s="10" t="s">
        <v>97</v>
      </c>
      <c r="B118" s="11">
        <v>1.0763888888888889E-2</v>
      </c>
      <c r="C118" s="11">
        <v>2.9513888888888888E-3</v>
      </c>
      <c r="D118" s="11">
        <f>B118*E118</f>
        <v>6.2624305555555549E-3</v>
      </c>
      <c r="E118" s="12">
        <v>0.58179999999999998</v>
      </c>
      <c r="F118" s="11">
        <f>C118/4</f>
        <v>7.378472222222222E-4</v>
      </c>
      <c r="G118" s="11">
        <f>D118/7.5</f>
        <v>8.3499074074074064E-4</v>
      </c>
      <c r="H118" s="11">
        <f>B118/12.5</f>
        <v>8.611111111111111E-4</v>
      </c>
      <c r="I118" s="11">
        <f>G118/0.93</f>
        <v>8.9783950617283931E-4</v>
      </c>
      <c r="J118" s="11">
        <f>G118/0.92</f>
        <v>9.0759863123993545E-4</v>
      </c>
      <c r="K118" s="11">
        <f>G118/0.88</f>
        <v>9.4885311447811432E-4</v>
      </c>
      <c r="L118" s="11">
        <f>G118/0.84</f>
        <v>9.9403659611992947E-4</v>
      </c>
      <c r="M118" s="25">
        <f>WO2025Jan7men1191517192325293133353941434547495557596365676971737577791317[[#This Row],[Thresh]]</f>
        <v>9.4885311447811432E-4</v>
      </c>
      <c r="N118" s="28">
        <f>WO2025Jan7men1191517192325293133353941434547495557596365676971737577791317[[#This Row],[Thresh]]*2.5</f>
        <v>2.3721327861952858E-3</v>
      </c>
      <c r="O118" s="25">
        <f>WO2025Jan7men1191517192325293133353941434547495557596365676971737577791317[[#This Row],[CV]]</f>
        <v>9.0759863123993545E-4</v>
      </c>
      <c r="P118" s="28">
        <f>WO2025Jan7men1191517192325293133353941434547495557596365676971737577791317[[#This Row],[CV]]*1.5</f>
        <v>1.3613979468599033E-3</v>
      </c>
      <c r="Q118" s="25">
        <f>WO2025Jan7men1191517192325293133353941434547495557596365676971737577791317[[#This Row],[R]]/2</f>
        <v>3.689236111111111E-4</v>
      </c>
      <c r="R118" s="28"/>
      <c r="S118" s="25"/>
      <c r="T118" s="28"/>
      <c r="U118" s="28"/>
      <c r="V118" s="25"/>
      <c r="W118" s="15" t="s">
        <v>48</v>
      </c>
      <c r="X118" s="50"/>
    </row>
    <row r="119" spans="1:24" ht="20.45" customHeight="1">
      <c r="A119" s="10" t="s">
        <v>100</v>
      </c>
      <c r="B119" s="11">
        <v>1.087962962962963E-2</v>
      </c>
      <c r="C119" s="11">
        <v>3.0671296296296297E-3</v>
      </c>
      <c r="D119" s="11">
        <f>B119*E119</f>
        <v>6.3297685185185184E-3</v>
      </c>
      <c r="E119" s="12">
        <v>0.58179999999999998</v>
      </c>
      <c r="F119" s="11">
        <f>C119/4</f>
        <v>7.6678240740740743E-4</v>
      </c>
      <c r="G119" s="11">
        <f>D119/7.5</f>
        <v>8.4396913580246917E-4</v>
      </c>
      <c r="H119" s="11">
        <f>B119/12.5</f>
        <v>8.7037037037037042E-4</v>
      </c>
      <c r="I119" s="11">
        <f>G119/0.93</f>
        <v>9.0749369441125711E-4</v>
      </c>
      <c r="J119" s="11">
        <f>G119/0.92</f>
        <v>9.173577563070317E-4</v>
      </c>
      <c r="K119" s="11">
        <f>G119/0.88</f>
        <v>9.5905583613916951E-4</v>
      </c>
      <c r="L119" s="17">
        <f>G119/0.84</f>
        <v>1.0047251616696062E-3</v>
      </c>
      <c r="M119" s="25">
        <f>WO2025Jan7men1191517192325293133353941434547495557596365676971737577791317[[#This Row],[Thresh]]</f>
        <v>9.5905583613916951E-4</v>
      </c>
      <c r="N119" s="28">
        <f>WO2025Jan7men1191517192325293133353941434547495557596365676971737577791317[[#This Row],[Thresh]]*2.5</f>
        <v>2.3976395903479238E-3</v>
      </c>
      <c r="O119" s="25">
        <f>WO2025Jan7men1191517192325293133353941434547495557596365676971737577791317[[#This Row],[CV]]</f>
        <v>9.173577563070317E-4</v>
      </c>
      <c r="P119" s="28">
        <f>WO2025Jan7men1191517192325293133353941434547495557596365676971737577791317[[#This Row],[CV]]*1.5</f>
        <v>1.3760366344605477E-3</v>
      </c>
      <c r="Q119" s="25">
        <f>WO2025Jan7men1191517192325293133353941434547495557596365676971737577791317[[#This Row],[R]]/2</f>
        <v>3.8339120370370371E-4</v>
      </c>
      <c r="R119" s="28"/>
      <c r="S119" s="25"/>
      <c r="T119" s="28"/>
      <c r="U119" s="28"/>
      <c r="V119" s="25"/>
      <c r="W119" s="15" t="s">
        <v>48</v>
      </c>
      <c r="X119" s="50"/>
    </row>
    <row r="120" spans="1:24" ht="20.45" customHeight="1">
      <c r="A120" s="10" t="s">
        <v>101</v>
      </c>
      <c r="B120" s="11">
        <v>1.1111111111111112E-2</v>
      </c>
      <c r="C120" s="11">
        <v>3.0671296296296297E-3</v>
      </c>
      <c r="D120" s="11">
        <f>B120*E120</f>
        <v>6.4644444444444445E-3</v>
      </c>
      <c r="E120" s="12">
        <v>0.58179999999999998</v>
      </c>
      <c r="F120" s="11">
        <f>C120/4</f>
        <v>7.6678240740740743E-4</v>
      </c>
      <c r="G120" s="11">
        <f>D120/7.5</f>
        <v>8.6192592592592592E-4</v>
      </c>
      <c r="H120" s="11">
        <f>B120/12.5</f>
        <v>8.8888888888888893E-4</v>
      </c>
      <c r="I120" s="11">
        <f>G120/0.93</f>
        <v>9.2680207088809239E-4</v>
      </c>
      <c r="J120" s="11">
        <f>G120/0.92</f>
        <v>9.3687600644122375E-4</v>
      </c>
      <c r="K120" s="11">
        <f>G120/0.88</f>
        <v>9.7946127946127947E-4</v>
      </c>
      <c r="L120" s="11">
        <f>G120/0.84</f>
        <v>1.0261022927689596E-3</v>
      </c>
      <c r="M120" s="25">
        <f>WO2025Jan7men1191517192325293133353941434547495557596365676971737577791317[[#This Row],[Thresh]]</f>
        <v>9.7946127946127947E-4</v>
      </c>
      <c r="N120" s="28">
        <f>WO2025Jan7men1191517192325293133353941434547495557596365676971737577791317[[#This Row],[Thresh]]*2.5</f>
        <v>2.4486531986531988E-3</v>
      </c>
      <c r="O120" s="25">
        <f>WO2025Jan7men1191517192325293133353941434547495557596365676971737577791317[[#This Row],[CV]]</f>
        <v>9.3687600644122375E-4</v>
      </c>
      <c r="P120" s="28">
        <f>WO2025Jan7men1191517192325293133353941434547495557596365676971737577791317[[#This Row],[CV]]*1.5</f>
        <v>1.4053140096618355E-3</v>
      </c>
      <c r="Q120" s="25">
        <f>WO2025Jan7men1191517192325293133353941434547495557596365676971737577791317[[#This Row],[R]]/2</f>
        <v>3.8339120370370371E-4</v>
      </c>
      <c r="R120" s="28"/>
      <c r="S120" s="25"/>
      <c r="T120" s="28"/>
      <c r="U120" s="28"/>
      <c r="V120" s="25"/>
      <c r="W120" s="15" t="s">
        <v>48</v>
      </c>
      <c r="X120" s="50"/>
    </row>
    <row r="121" spans="1:24" ht="20.45" customHeight="1">
      <c r="A121" s="10" t="s">
        <v>98</v>
      </c>
      <c r="B121" s="11">
        <v>1.1111111111111112E-2</v>
      </c>
      <c r="C121" s="11">
        <v>3.0671296296296297E-3</v>
      </c>
      <c r="D121" s="11">
        <f>B121*E121</f>
        <v>6.4644444444444445E-3</v>
      </c>
      <c r="E121" s="12">
        <v>0.58179999999999998</v>
      </c>
      <c r="F121" s="11">
        <f>C121/4</f>
        <v>7.6678240740740743E-4</v>
      </c>
      <c r="G121" s="11">
        <f>D121/7.5</f>
        <v>8.6192592592592592E-4</v>
      </c>
      <c r="H121" s="11">
        <f>B121/12.5</f>
        <v>8.8888888888888893E-4</v>
      </c>
      <c r="I121" s="11">
        <f>G121/0.93</f>
        <v>9.2680207088809239E-4</v>
      </c>
      <c r="J121" s="11">
        <f>G121/0.92</f>
        <v>9.3687600644122375E-4</v>
      </c>
      <c r="K121" s="11">
        <f>G121/0.88</f>
        <v>9.7946127946127947E-4</v>
      </c>
      <c r="L121" s="11">
        <f>G121/0.84</f>
        <v>1.0261022927689596E-3</v>
      </c>
      <c r="M121" s="25">
        <f>WO2025Jan7men1191517192325293133353941434547495557596365676971737577791317[[#This Row],[Thresh]]</f>
        <v>9.7946127946127947E-4</v>
      </c>
      <c r="N121" s="28">
        <f>WO2025Jan7men1191517192325293133353941434547495557596365676971737577791317[[#This Row],[Thresh]]*2.5</f>
        <v>2.4486531986531988E-3</v>
      </c>
      <c r="O121" s="25">
        <f>WO2025Jan7men1191517192325293133353941434547495557596365676971737577791317[[#This Row],[CV]]</f>
        <v>9.3687600644122375E-4</v>
      </c>
      <c r="P121" s="28">
        <f>WO2025Jan7men1191517192325293133353941434547495557596365676971737577791317[[#This Row],[CV]]*1.5</f>
        <v>1.4053140096618355E-3</v>
      </c>
      <c r="Q121" s="25">
        <f>WO2025Jan7men1191517192325293133353941434547495557596365676971737577791317[[#This Row],[R]]/2</f>
        <v>3.8339120370370371E-4</v>
      </c>
      <c r="R121" s="28"/>
      <c r="S121" s="25"/>
      <c r="T121" s="25"/>
      <c r="U121" s="28"/>
      <c r="V121" s="28"/>
      <c r="W121" s="27" t="s">
        <v>48</v>
      </c>
      <c r="X121" s="50"/>
    </row>
    <row r="122" spans="1:24" ht="20.45" customHeight="1">
      <c r="A122" s="10" t="s">
        <v>103</v>
      </c>
      <c r="B122" s="11">
        <v>1.1111111111111112E-2</v>
      </c>
      <c r="C122" s="11">
        <v>3.0671296296296297E-3</v>
      </c>
      <c r="D122" s="11">
        <f t="shared" si="56"/>
        <v>6.4644444444444445E-3</v>
      </c>
      <c r="E122" s="12">
        <v>0.58179999999999998</v>
      </c>
      <c r="F122" s="11">
        <f t="shared" si="57"/>
        <v>7.6678240740740743E-4</v>
      </c>
      <c r="G122" s="11">
        <f t="shared" si="58"/>
        <v>8.6192592592592592E-4</v>
      </c>
      <c r="H122" s="11">
        <f t="shared" si="59"/>
        <v>8.8888888888888893E-4</v>
      </c>
      <c r="I122" s="11">
        <f t="shared" si="60"/>
        <v>9.2680207088809239E-4</v>
      </c>
      <c r="J122" s="11">
        <f t="shared" si="61"/>
        <v>9.3687600644122375E-4</v>
      </c>
      <c r="K122" s="11">
        <f t="shared" si="62"/>
        <v>9.7946127946127947E-4</v>
      </c>
      <c r="L122" s="17">
        <f t="shared" si="63"/>
        <v>1.0261022927689596E-3</v>
      </c>
      <c r="M122" s="25">
        <f>WO2025Jan7men1191517192325293133353941434547495557596365676971737577791317[[#This Row],[Thresh]]</f>
        <v>9.7946127946127947E-4</v>
      </c>
      <c r="N122" s="28">
        <f>WO2025Jan7men1191517192325293133353941434547495557596365676971737577791317[[#This Row],[Thresh]]*2.5</f>
        <v>2.4486531986531988E-3</v>
      </c>
      <c r="O122" s="25">
        <f>WO2025Jan7men1191517192325293133353941434547495557596365676971737577791317[[#This Row],[CV]]</f>
        <v>9.3687600644122375E-4</v>
      </c>
      <c r="P122" s="28">
        <f>WO2025Jan7men1191517192325293133353941434547495557596365676971737577791317[[#This Row],[CV]]*1.5</f>
        <v>1.4053140096618355E-3</v>
      </c>
      <c r="Q122" s="25">
        <f>WO2025Jan7men1191517192325293133353941434547495557596365676971737577791317[[#This Row],[R]]/2</f>
        <v>3.8339120370370371E-4</v>
      </c>
      <c r="R122" s="28"/>
      <c r="S122" s="25"/>
      <c r="T122" s="28"/>
      <c r="U122" s="28"/>
      <c r="V122" s="25"/>
      <c r="W122" s="15" t="s">
        <v>48</v>
      </c>
      <c r="X122" s="50"/>
    </row>
    <row r="123" spans="1:24" ht="20.45" customHeight="1">
      <c r="A123" s="10" t="s">
        <v>104</v>
      </c>
      <c r="B123" s="11">
        <v>1.1458333333333333E-2</v>
      </c>
      <c r="C123" s="11">
        <v>3.2986111111111111E-3</v>
      </c>
      <c r="D123" s="11">
        <f t="shared" si="56"/>
        <v>6.6664583333333324E-3</v>
      </c>
      <c r="E123" s="12">
        <v>0.58179999999999998</v>
      </c>
      <c r="F123" s="11">
        <f t="shared" si="57"/>
        <v>8.2465277777777778E-4</v>
      </c>
      <c r="G123" s="11">
        <f t="shared" si="58"/>
        <v>8.8886111111111099E-4</v>
      </c>
      <c r="H123" s="11">
        <f t="shared" si="59"/>
        <v>9.1666666666666665E-4</v>
      </c>
      <c r="I123" s="11">
        <f t="shared" si="60"/>
        <v>9.5576463560334514E-4</v>
      </c>
      <c r="J123" s="11">
        <f t="shared" si="61"/>
        <v>9.6615338164251195E-4</v>
      </c>
      <c r="K123" s="11">
        <f t="shared" si="62"/>
        <v>1.0100694444444443E-3</v>
      </c>
      <c r="L123" s="11">
        <f t="shared" si="63"/>
        <v>1.0581679894179892E-3</v>
      </c>
      <c r="M123" s="25">
        <f>WO2025Jan7men1191517192325293133353941434547495557596365676971737577791317[[#This Row],[Thresh]]</f>
        <v>1.0100694444444443E-3</v>
      </c>
      <c r="N123" s="28">
        <f>WO2025Jan7men1191517192325293133353941434547495557596365676971737577791317[[#This Row],[Thresh]]*2.5</f>
        <v>2.5251736111111108E-3</v>
      </c>
      <c r="O123" s="25">
        <f>WO2025Jan7men1191517192325293133353941434547495557596365676971737577791317[[#This Row],[CV]]</f>
        <v>9.6615338164251195E-4</v>
      </c>
      <c r="P123" s="28">
        <f>WO2025Jan7men1191517192325293133353941434547495557596365676971737577791317[[#This Row],[CV]]*1.5</f>
        <v>1.449230072463768E-3</v>
      </c>
      <c r="Q123" s="25">
        <f>WO2025Jan7men1191517192325293133353941434547495557596365676971737577791317[[#This Row],[R]]/2</f>
        <v>4.1232638888888889E-4</v>
      </c>
      <c r="R123" s="28"/>
      <c r="S123" s="25"/>
      <c r="T123" s="28"/>
      <c r="U123" s="28"/>
      <c r="V123" s="25"/>
      <c r="W123" s="15" t="s">
        <v>48</v>
      </c>
      <c r="X123" s="50"/>
    </row>
    <row r="124" spans="1:24" ht="20.45" customHeight="1">
      <c r="A124" s="10" t="s">
        <v>99</v>
      </c>
      <c r="B124" s="11">
        <v>1.1458333333333333E-2</v>
      </c>
      <c r="C124" s="11">
        <v>3.0671296296296297E-3</v>
      </c>
      <c r="D124" s="11">
        <f>B124*E124</f>
        <v>6.6664583333333324E-3</v>
      </c>
      <c r="E124" s="12">
        <v>0.58179999999999998</v>
      </c>
      <c r="F124" s="11">
        <f>C124/4</f>
        <v>7.6678240740740743E-4</v>
      </c>
      <c r="G124" s="11">
        <f>D124/7.5</f>
        <v>8.8886111111111099E-4</v>
      </c>
      <c r="H124" s="11">
        <f>B124/12.5</f>
        <v>9.1666666666666665E-4</v>
      </c>
      <c r="I124" s="11">
        <f>G124/0.93</f>
        <v>9.5576463560334514E-4</v>
      </c>
      <c r="J124" s="11">
        <f>G124/0.92</f>
        <v>9.6615338164251195E-4</v>
      </c>
      <c r="K124" s="11">
        <f>G124/0.88</f>
        <v>1.0100694444444443E-3</v>
      </c>
      <c r="L124" s="11">
        <f>G124/0.84</f>
        <v>1.0581679894179892E-3</v>
      </c>
      <c r="M124" s="25">
        <f>WO2025Jan7men1191517192325293133353941434547495557596365676971737577791317[[#This Row],[Thresh]]</f>
        <v>1.0100694444444443E-3</v>
      </c>
      <c r="N124" s="28">
        <f>WO2025Jan7men1191517192325293133353941434547495557596365676971737577791317[[#This Row],[Thresh]]*2.5</f>
        <v>2.5251736111111108E-3</v>
      </c>
      <c r="O124" s="25">
        <f>WO2025Jan7men1191517192325293133353941434547495557596365676971737577791317[[#This Row],[CV]]</f>
        <v>9.6615338164251195E-4</v>
      </c>
      <c r="P124" s="28">
        <f>WO2025Jan7men1191517192325293133353941434547495557596365676971737577791317[[#This Row],[CV]]*1.5</f>
        <v>1.449230072463768E-3</v>
      </c>
      <c r="Q124" s="25">
        <f>WO2025Jan7men1191517192325293133353941434547495557596365676971737577791317[[#This Row],[R]]/2</f>
        <v>3.8339120370370371E-4</v>
      </c>
      <c r="R124" s="28"/>
      <c r="S124" s="25"/>
      <c r="T124" s="25"/>
      <c r="U124" s="28"/>
      <c r="V124" s="28"/>
      <c r="W124" s="27" t="s">
        <v>48</v>
      </c>
      <c r="X124" s="50"/>
    </row>
    <row r="125" spans="1:24" ht="20.45" customHeight="1">
      <c r="A125" s="10" t="s">
        <v>102</v>
      </c>
      <c r="B125" s="11">
        <v>1.1458333333333333E-2</v>
      </c>
      <c r="C125" s="11">
        <v>3.1250000000000002E-3</v>
      </c>
      <c r="D125" s="11">
        <f>B125*E125</f>
        <v>6.6664583333333324E-3</v>
      </c>
      <c r="E125" s="12">
        <v>0.58179999999999998</v>
      </c>
      <c r="F125" s="11">
        <f>C125/4</f>
        <v>7.8125000000000004E-4</v>
      </c>
      <c r="G125" s="11">
        <f>D125/7.5</f>
        <v>8.8886111111111099E-4</v>
      </c>
      <c r="H125" s="11">
        <f>B125/12.5</f>
        <v>9.1666666666666665E-4</v>
      </c>
      <c r="I125" s="11">
        <f>G125/0.93</f>
        <v>9.5576463560334514E-4</v>
      </c>
      <c r="J125" s="11">
        <f>G125/0.92</f>
        <v>9.6615338164251195E-4</v>
      </c>
      <c r="K125" s="11">
        <f>G125/0.88</f>
        <v>1.0100694444444443E-3</v>
      </c>
      <c r="L125" s="11">
        <f>G125/0.84</f>
        <v>1.0581679894179892E-3</v>
      </c>
      <c r="M125" s="25">
        <f>WO2025Jan7men1191517192325293133353941434547495557596365676971737577791317[[#This Row],[Thresh]]</f>
        <v>1.0100694444444443E-3</v>
      </c>
      <c r="N125" s="28">
        <f>WO2025Jan7men1191517192325293133353941434547495557596365676971737577791317[[#This Row],[Thresh]]*2.5</f>
        <v>2.5251736111111108E-3</v>
      </c>
      <c r="O125" s="25">
        <f>WO2025Jan7men1191517192325293133353941434547495557596365676971737577791317[[#This Row],[CV]]</f>
        <v>9.6615338164251195E-4</v>
      </c>
      <c r="P125" s="28">
        <f>WO2025Jan7men1191517192325293133353941434547495557596365676971737577791317[[#This Row],[CV]]*1.5</f>
        <v>1.449230072463768E-3</v>
      </c>
      <c r="Q125" s="25">
        <f>WO2025Jan7men1191517192325293133353941434547495557596365676971737577791317[[#This Row],[R]]/2</f>
        <v>3.9062500000000002E-4</v>
      </c>
      <c r="R125" s="26"/>
      <c r="S125" s="14"/>
      <c r="T125" s="14"/>
      <c r="U125" s="26"/>
      <c r="V125" s="28"/>
      <c r="W125" s="27" t="s">
        <v>48</v>
      </c>
      <c r="X125" s="50"/>
    </row>
    <row r="126" spans="1:24" ht="20.45" customHeight="1">
      <c r="A126" s="10"/>
      <c r="B126" s="11"/>
      <c r="C126" s="11"/>
      <c r="D126" s="11"/>
      <c r="E126" s="12"/>
      <c r="F126" s="11"/>
      <c r="G126" s="11"/>
      <c r="H126" s="11"/>
      <c r="I126" s="11"/>
      <c r="J126" s="11"/>
      <c r="K126" s="11"/>
      <c r="L126" s="11"/>
      <c r="M126" s="25"/>
      <c r="N126" s="28"/>
      <c r="O126" s="25"/>
      <c r="P126" s="25"/>
      <c r="Q126" s="25"/>
      <c r="R126" s="25"/>
      <c r="S126" s="25"/>
      <c r="T126" s="25"/>
      <c r="U126" s="28"/>
      <c r="V126" s="25"/>
      <c r="W126" s="15"/>
      <c r="X126" s="50"/>
    </row>
    <row r="127" spans="1:24" ht="20.45" customHeight="1">
      <c r="A127" s="10"/>
      <c r="B127" s="11"/>
      <c r="C127" s="11"/>
      <c r="D127" s="11"/>
      <c r="E127" s="12"/>
      <c r="F127" s="11"/>
      <c r="G127" s="11"/>
      <c r="H127" s="11"/>
      <c r="I127" s="11"/>
      <c r="J127" s="11"/>
      <c r="K127" s="11"/>
      <c r="L127" s="11"/>
      <c r="M127" s="25"/>
      <c r="N127" s="28"/>
      <c r="O127" s="25"/>
      <c r="P127" s="25"/>
      <c r="Q127" s="25"/>
      <c r="R127" s="25"/>
      <c r="S127" s="25"/>
      <c r="T127" s="25"/>
      <c r="U127" s="28"/>
      <c r="V127" s="25"/>
      <c r="W127" s="15"/>
      <c r="X127" s="50"/>
    </row>
    <row r="128" spans="1:24" ht="20.45" customHeight="1">
      <c r="A128" s="10"/>
      <c r="B128" s="11"/>
      <c r="C128" s="11"/>
      <c r="D128" s="11"/>
      <c r="E128" s="12"/>
      <c r="F128" s="11"/>
      <c r="G128" s="11"/>
      <c r="H128" s="11"/>
      <c r="I128" s="11"/>
      <c r="J128" s="11"/>
      <c r="K128" s="11"/>
      <c r="L128" s="17"/>
      <c r="M128" s="11"/>
      <c r="N128" s="26"/>
      <c r="P128" s="26"/>
      <c r="Q128" s="26"/>
      <c r="R128" s="26"/>
      <c r="S128" s="14"/>
      <c r="T128" s="14"/>
      <c r="U128" s="26"/>
      <c r="V128" s="38"/>
      <c r="W128" s="31"/>
      <c r="X128" s="50"/>
    </row>
    <row r="129" spans="1:24" ht="20.45" customHeight="1">
      <c r="A129" s="10"/>
      <c r="B129" s="11"/>
      <c r="C129" s="11"/>
      <c r="D129" s="11"/>
      <c r="E129" s="12"/>
      <c r="F129" s="11"/>
      <c r="G129" s="11"/>
      <c r="H129" s="11"/>
      <c r="I129" s="11"/>
      <c r="J129" s="11"/>
      <c r="K129" s="11"/>
      <c r="L129" s="17"/>
      <c r="M129" s="11"/>
      <c r="N129" s="26"/>
      <c r="P129" s="26"/>
      <c r="Q129" s="26"/>
      <c r="R129" s="26"/>
      <c r="S129" s="14"/>
      <c r="T129" s="14"/>
      <c r="U129" s="26"/>
      <c r="V129" s="38"/>
      <c r="W129" s="31"/>
      <c r="X129" s="50"/>
    </row>
    <row r="130" spans="1:24" ht="20.45" customHeight="1">
      <c r="A130" s="10"/>
      <c r="B130" s="11"/>
      <c r="C130" s="11"/>
      <c r="D130" s="11"/>
      <c r="E130" s="12"/>
      <c r="F130" s="11"/>
      <c r="G130" s="11"/>
      <c r="H130" s="11"/>
      <c r="I130" s="11"/>
      <c r="J130" s="11"/>
      <c r="K130" s="11"/>
      <c r="L130" s="11"/>
      <c r="M130" s="25"/>
      <c r="N130" s="28"/>
      <c r="O130" s="25"/>
      <c r="P130" s="25"/>
      <c r="Q130" s="28"/>
      <c r="R130" s="28"/>
      <c r="S130" s="25"/>
      <c r="T130" s="25"/>
      <c r="U130" s="28"/>
      <c r="V130" s="25"/>
      <c r="W130" s="15"/>
      <c r="X130" s="50"/>
    </row>
    <row r="131" spans="1:24" ht="20.45" customHeight="1">
      <c r="A131" s="10"/>
      <c r="B131" s="11"/>
      <c r="C131" s="11"/>
      <c r="D131" s="11"/>
      <c r="E131" s="12"/>
      <c r="F131" s="11"/>
      <c r="G131" s="11"/>
      <c r="H131" s="11"/>
      <c r="I131" s="11"/>
      <c r="J131" s="11"/>
      <c r="K131" s="11"/>
      <c r="L131" s="11"/>
      <c r="M131" s="25"/>
      <c r="N131" s="28"/>
      <c r="O131" s="25"/>
      <c r="P131" s="25"/>
      <c r="Q131" s="25"/>
      <c r="R131" s="25"/>
      <c r="S131" s="25"/>
      <c r="T131" s="25"/>
      <c r="U131" s="28"/>
      <c r="V131" s="25"/>
      <c r="W131" s="15"/>
      <c r="X131" s="50"/>
    </row>
    <row r="132" spans="1:24" ht="20.45" customHeight="1">
      <c r="A132" s="10"/>
      <c r="B132" s="11"/>
      <c r="C132" s="11"/>
      <c r="D132" s="11"/>
      <c r="E132" s="12"/>
      <c r="F132" s="11"/>
      <c r="G132" s="11"/>
      <c r="H132" s="11"/>
      <c r="I132" s="11"/>
      <c r="J132" s="11"/>
      <c r="K132" s="11"/>
      <c r="L132" s="17"/>
      <c r="M132" s="25"/>
      <c r="N132" s="28"/>
      <c r="O132" s="25"/>
      <c r="P132" s="25"/>
      <c r="Q132" s="25"/>
      <c r="R132" s="25"/>
      <c r="S132" s="25"/>
      <c r="T132" s="25"/>
      <c r="U132" s="28"/>
      <c r="V132" s="25"/>
      <c r="W132" s="15"/>
      <c r="X132" s="50"/>
    </row>
    <row r="133" spans="1:24" ht="20.45" customHeight="1">
      <c r="A133" s="10"/>
      <c r="B133" s="11"/>
      <c r="C133" s="11"/>
      <c r="D133" s="11"/>
      <c r="E133" s="12"/>
      <c r="F133" s="11"/>
      <c r="G133" s="11"/>
      <c r="H133" s="11"/>
      <c r="I133" s="11"/>
      <c r="J133" s="11"/>
      <c r="K133" s="11"/>
      <c r="L133" s="11"/>
      <c r="M133" s="25"/>
      <c r="N133" s="28"/>
      <c r="O133" s="25"/>
      <c r="P133" s="25"/>
      <c r="Q133" s="25"/>
      <c r="R133" s="28"/>
      <c r="S133" s="25"/>
      <c r="T133" s="25"/>
      <c r="U133" s="28"/>
      <c r="V133" s="25"/>
      <c r="W133" s="15"/>
      <c r="X133" s="50"/>
    </row>
    <row r="134" spans="1:24" ht="20.45" customHeight="1">
      <c r="A134" s="10"/>
      <c r="B134" s="11"/>
      <c r="C134" s="11"/>
      <c r="D134" s="11"/>
      <c r="E134" s="12"/>
      <c r="F134" s="11"/>
      <c r="G134" s="11"/>
      <c r="H134" s="11"/>
      <c r="I134" s="11"/>
      <c r="J134" s="11"/>
      <c r="K134" s="11"/>
      <c r="L134" s="17"/>
      <c r="M134" s="25"/>
      <c r="N134" s="28"/>
      <c r="O134" s="25"/>
      <c r="P134" s="25"/>
      <c r="Q134" s="25"/>
      <c r="R134" s="25"/>
      <c r="S134" s="25"/>
      <c r="T134" s="25"/>
      <c r="U134" s="28"/>
      <c r="V134" s="25"/>
      <c r="W134" s="15"/>
      <c r="X134" s="50"/>
    </row>
    <row r="135" spans="1:24" ht="20.45" customHeight="1">
      <c r="A135" s="10"/>
      <c r="B135" s="11"/>
      <c r="C135" s="11"/>
      <c r="D135" s="11"/>
      <c r="E135" s="12"/>
      <c r="F135" s="11"/>
      <c r="G135" s="11"/>
      <c r="H135" s="11"/>
      <c r="I135" s="11"/>
      <c r="J135" s="11"/>
      <c r="K135" s="11"/>
      <c r="L135" s="11"/>
      <c r="M135" s="25"/>
      <c r="N135" s="28"/>
      <c r="O135" s="25"/>
      <c r="P135" s="25"/>
      <c r="Q135" s="25"/>
      <c r="R135" s="28"/>
      <c r="S135" s="25"/>
      <c r="T135" s="25"/>
      <c r="U135" s="28"/>
      <c r="V135" s="25"/>
      <c r="W135" s="15"/>
      <c r="X135" s="50"/>
    </row>
    <row r="136" spans="1:24" ht="20.45" customHeight="1">
      <c r="A136" s="10"/>
      <c r="B136" s="11"/>
      <c r="C136" s="11"/>
      <c r="D136" s="11"/>
      <c r="E136" s="12"/>
      <c r="F136" s="11"/>
      <c r="G136" s="11"/>
      <c r="H136" s="11"/>
      <c r="I136" s="11"/>
      <c r="J136" s="11"/>
      <c r="K136" s="11"/>
      <c r="L136" s="17"/>
      <c r="M136" s="25"/>
      <c r="N136" s="28"/>
      <c r="O136" s="25"/>
      <c r="P136" s="25"/>
      <c r="Q136" s="25"/>
      <c r="R136" s="28"/>
      <c r="S136" s="25"/>
      <c r="T136" s="25"/>
      <c r="U136" s="28"/>
      <c r="V136" s="25"/>
      <c r="W136" s="15"/>
      <c r="X136" s="50"/>
    </row>
    <row r="137" spans="1:24" ht="20.45" customHeight="1">
      <c r="A137" s="10"/>
      <c r="B137" s="11"/>
      <c r="C137" s="11"/>
      <c r="D137" s="11"/>
      <c r="E137" s="12"/>
      <c r="F137" s="11"/>
      <c r="G137" s="11"/>
      <c r="H137" s="11"/>
      <c r="I137" s="11"/>
      <c r="J137" s="11"/>
      <c r="K137" s="11"/>
      <c r="L137" s="11"/>
      <c r="M137" s="25"/>
      <c r="N137" s="28"/>
      <c r="O137" s="25"/>
      <c r="P137" s="25"/>
      <c r="Q137" s="28"/>
      <c r="R137" s="28"/>
      <c r="S137" s="25"/>
      <c r="T137" s="25"/>
      <c r="U137" s="28"/>
      <c r="V137" s="25"/>
      <c r="W137" s="15"/>
      <c r="X137" s="50"/>
    </row>
    <row r="138" spans="1:24" ht="20.45" customHeight="1">
      <c r="A138" s="10"/>
      <c r="B138" s="11"/>
      <c r="C138" s="11"/>
      <c r="D138" s="11"/>
      <c r="E138" s="12"/>
      <c r="F138" s="11"/>
      <c r="G138" s="11"/>
      <c r="H138" s="11"/>
      <c r="I138" s="11"/>
      <c r="J138" s="11"/>
      <c r="K138" s="11"/>
      <c r="L138" s="11"/>
      <c r="M138" s="25"/>
      <c r="N138" s="28"/>
      <c r="O138" s="25"/>
      <c r="P138" s="28"/>
      <c r="Q138" s="25"/>
      <c r="R138" s="28"/>
      <c r="S138" s="25"/>
      <c r="T138" s="28"/>
      <c r="U138" s="28"/>
      <c r="V138" s="25"/>
      <c r="W138" s="15"/>
      <c r="X138" s="51"/>
    </row>
    <row r="139" spans="1:24" ht="20.45" customHeight="1">
      <c r="A139" s="10"/>
      <c r="B139" s="11"/>
      <c r="C139" s="11"/>
      <c r="D139" s="11"/>
      <c r="E139" s="12"/>
      <c r="F139" s="11"/>
      <c r="G139" s="11"/>
      <c r="H139" s="11"/>
      <c r="I139" s="11"/>
      <c r="J139" s="11"/>
      <c r="K139" s="11"/>
      <c r="L139" s="11"/>
      <c r="M139" s="25"/>
      <c r="N139" s="28"/>
      <c r="O139" s="25"/>
      <c r="P139" s="25"/>
      <c r="Q139" s="25"/>
      <c r="R139" s="25"/>
      <c r="S139" s="25"/>
      <c r="T139" s="25"/>
      <c r="U139" s="28"/>
      <c r="V139" s="25"/>
      <c r="W139" s="15"/>
      <c r="X139" s="51"/>
    </row>
    <row r="140" spans="1:24" ht="20.45" customHeight="1">
      <c r="A140" s="10"/>
      <c r="B140" s="11"/>
      <c r="C140" s="11"/>
      <c r="D140" s="11"/>
      <c r="E140" s="12"/>
      <c r="F140" s="11"/>
      <c r="G140" s="11"/>
      <c r="H140" s="11"/>
      <c r="I140" s="11"/>
      <c r="J140" s="11"/>
      <c r="K140" s="11"/>
      <c r="L140" s="17"/>
      <c r="M140" s="25"/>
      <c r="N140" s="28"/>
      <c r="O140" s="25"/>
      <c r="P140" s="28"/>
      <c r="Q140" s="25"/>
      <c r="R140" s="28"/>
      <c r="S140" s="25"/>
      <c r="T140" s="25"/>
      <c r="U140" s="28"/>
      <c r="V140" s="28"/>
      <c r="W140" s="27"/>
      <c r="X140" s="51"/>
    </row>
    <row r="141" spans="1:24" ht="20.45" customHeight="1">
      <c r="A141" s="10"/>
      <c r="B141" s="11"/>
      <c r="C141" s="11"/>
      <c r="D141" s="11"/>
      <c r="E141" s="12"/>
      <c r="F141" s="11"/>
      <c r="G141" s="11"/>
      <c r="H141" s="11"/>
      <c r="I141" s="11"/>
      <c r="J141" s="11"/>
      <c r="K141" s="11"/>
      <c r="L141" s="11"/>
      <c r="M141" s="11"/>
      <c r="N141" s="26"/>
      <c r="P141" s="26"/>
      <c r="Q141" s="26"/>
      <c r="R141" s="26"/>
      <c r="S141" s="14"/>
      <c r="T141" s="14"/>
      <c r="U141" s="26"/>
      <c r="V141" s="28"/>
      <c r="W141" s="27"/>
      <c r="X141" s="51"/>
    </row>
    <row r="142" spans="1:24" ht="20.100000000000001" customHeight="1">
      <c r="A142" s="10"/>
      <c r="B142" s="11"/>
      <c r="C142" s="11"/>
      <c r="D142" s="11">
        <f>B142*E142</f>
        <v>0</v>
      </c>
      <c r="E142" s="12"/>
      <c r="F142" s="11">
        <f>C142/4</f>
        <v>0</v>
      </c>
      <c r="G142" s="11">
        <f>D142/7.5</f>
        <v>0</v>
      </c>
      <c r="H142" s="11">
        <f>B142/12.5</f>
        <v>0</v>
      </c>
      <c r="I142" s="11">
        <f>G142/0.93</f>
        <v>0</v>
      </c>
      <c r="J142" s="11">
        <f>G142/0.92</f>
        <v>0</v>
      </c>
      <c r="K142" s="11">
        <f>G142/0.88</f>
        <v>0</v>
      </c>
      <c r="L142" s="17">
        <f>G142/0.84</f>
        <v>0</v>
      </c>
      <c r="M142" s="11"/>
      <c r="N142" s="26"/>
      <c r="P142" s="26"/>
      <c r="Q142" s="26"/>
      <c r="R142" s="26"/>
      <c r="S142" s="14"/>
      <c r="T142" s="14"/>
      <c r="U142" s="26"/>
      <c r="V142" s="38"/>
      <c r="W142" s="31"/>
      <c r="X142" s="51"/>
    </row>
    <row r="143" spans="1:24" ht="20.100000000000001" customHeight="1">
      <c r="A143" s="10"/>
      <c r="B143" s="11"/>
      <c r="C143" s="11"/>
      <c r="D143" s="11">
        <f>B143*E143</f>
        <v>0</v>
      </c>
      <c r="E143" s="12"/>
      <c r="F143" s="11">
        <f>C143/4</f>
        <v>0</v>
      </c>
      <c r="G143" s="11">
        <f>D143/7.5</f>
        <v>0</v>
      </c>
      <c r="H143" s="11">
        <f>B143/12.5</f>
        <v>0</v>
      </c>
      <c r="I143" s="11">
        <f>G143/0.93</f>
        <v>0</v>
      </c>
      <c r="J143" s="11">
        <f>G143/0.92</f>
        <v>0</v>
      </c>
      <c r="K143" s="11">
        <f>G143/0.88</f>
        <v>0</v>
      </c>
      <c r="L143" s="17">
        <f>G143/0.84</f>
        <v>0</v>
      </c>
      <c r="M143" s="11"/>
      <c r="N143" s="26"/>
      <c r="P143" s="26"/>
      <c r="Q143" s="26"/>
      <c r="R143" s="26"/>
      <c r="S143" s="14"/>
      <c r="T143" s="14"/>
      <c r="U143" s="26"/>
      <c r="V143" s="38"/>
      <c r="W143" s="31"/>
      <c r="X143" s="51"/>
    </row>
    <row r="144" spans="1:24" ht="20.100000000000001" customHeight="1">
      <c r="A144" s="10"/>
      <c r="B144" s="11"/>
      <c r="C144" s="11"/>
      <c r="D144" s="11">
        <f>B144*E144</f>
        <v>0</v>
      </c>
      <c r="E144" s="12"/>
      <c r="F144" s="11">
        <f>C144/4</f>
        <v>0</v>
      </c>
      <c r="G144" s="11">
        <f>D144/7.5</f>
        <v>0</v>
      </c>
      <c r="H144" s="11">
        <f>B144/12.5</f>
        <v>0</v>
      </c>
      <c r="I144" s="11">
        <f>G144/0.93</f>
        <v>0</v>
      </c>
      <c r="J144" s="11">
        <f>G144/0.92</f>
        <v>0</v>
      </c>
      <c r="K144" s="11">
        <f>G144/0.88</f>
        <v>0</v>
      </c>
      <c r="L144" s="17">
        <f>G144/0.84</f>
        <v>0</v>
      </c>
      <c r="M144" s="11"/>
      <c r="N144" s="26"/>
      <c r="P144" s="26"/>
      <c r="Q144" s="26"/>
      <c r="R144" s="26"/>
      <c r="S144" s="14"/>
      <c r="T144" s="14"/>
      <c r="U144" s="26"/>
      <c r="V144" s="38"/>
      <c r="W144" s="31"/>
      <c r="X144" s="51"/>
    </row>
  </sheetData>
  <mergeCells count="15">
    <mergeCell ref="X118:X127"/>
    <mergeCell ref="X128:X137"/>
    <mergeCell ref="X138:X144"/>
    <mergeCell ref="X58:X67"/>
    <mergeCell ref="X68:X77"/>
    <mergeCell ref="X78:X87"/>
    <mergeCell ref="X88:X97"/>
    <mergeCell ref="X98:X107"/>
    <mergeCell ref="X108:X117"/>
    <mergeCell ref="X51:X57"/>
    <mergeCell ref="X1:X10"/>
    <mergeCell ref="X11:X20"/>
    <mergeCell ref="X21:X30"/>
    <mergeCell ref="X31:X40"/>
    <mergeCell ref="X41:X50"/>
  </mergeCells>
  <pageMargins left="0.25" right="0.25" top="0.25" bottom="0.25" header="0" footer="0"/>
  <pageSetup scale="95" fitToHeight="0" orientation="landscape" r:id="rId1"/>
  <tableParts count="2">
    <tablePart r:id="rId2"/>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4C718-2108-47F3-8D0E-2FFADC5B9A76}">
  <sheetPr>
    <pageSetUpPr fitToPage="1"/>
  </sheetPr>
  <dimension ref="A1:Z144"/>
  <sheetViews>
    <sheetView topLeftCell="A57" zoomScale="85" zoomScaleNormal="85" workbookViewId="0">
      <selection activeCell="X31" sqref="X31:X40"/>
    </sheetView>
  </sheetViews>
  <sheetFormatPr defaultColWidth="8.7109375" defaultRowHeight="14.45"/>
  <cols>
    <col min="1" max="1" width="19.5703125" customWidth="1"/>
    <col min="2" max="2" width="8.7109375" style="29" hidden="1" customWidth="1"/>
    <col min="3" max="3" width="10.140625" hidden="1" customWidth="1"/>
    <col min="4" max="4" width="8.7109375" style="29" hidden="1" customWidth="1"/>
    <col min="5" max="5" width="9.28515625" hidden="1" customWidth="1"/>
    <col min="6" max="6" width="8.7109375" hidden="1" customWidth="1"/>
    <col min="7" max="7" width="9.28515625" hidden="1" customWidth="1"/>
    <col min="8" max="9" width="8.7109375" hidden="1" customWidth="1"/>
    <col min="10" max="10" width="10.7109375" hidden="1" customWidth="1"/>
    <col min="11" max="11" width="11.42578125" hidden="1" customWidth="1"/>
    <col min="12" max="12" width="6.140625" hidden="1" customWidth="1"/>
    <col min="13" max="13" width="8.7109375" customWidth="1"/>
    <col min="14" max="19" width="10.140625" customWidth="1"/>
    <col min="20" max="22" width="8.7109375" customWidth="1"/>
    <col min="23" max="23" width="3.42578125" customWidth="1"/>
    <col min="24" max="24" width="20.42578125" customWidth="1"/>
    <col min="25" max="25" width="12.28515625" bestFit="1" customWidth="1"/>
    <col min="26" max="27" width="12.85546875" bestFit="1" customWidth="1"/>
  </cols>
  <sheetData>
    <row r="1" spans="1:26" ht="14.45" customHeight="1">
      <c r="A1" s="1" t="s">
        <v>318</v>
      </c>
      <c r="B1" s="2" t="s">
        <v>1</v>
      </c>
      <c r="C1" s="2" t="s">
        <v>2</v>
      </c>
      <c r="D1" s="2" t="s">
        <v>3</v>
      </c>
      <c r="E1" s="3" t="s">
        <v>4</v>
      </c>
      <c r="F1" s="2" t="s">
        <v>5</v>
      </c>
      <c r="G1" s="2" t="s">
        <v>6</v>
      </c>
      <c r="H1" s="2" t="s">
        <v>7</v>
      </c>
      <c r="I1" s="4" t="s">
        <v>8</v>
      </c>
      <c r="J1" s="2" t="s">
        <v>9</v>
      </c>
      <c r="K1" s="2" t="s">
        <v>10</v>
      </c>
      <c r="L1" s="2" t="s">
        <v>11</v>
      </c>
      <c r="M1" s="6" t="s">
        <v>206</v>
      </c>
      <c r="N1" s="6" t="s">
        <v>207</v>
      </c>
      <c r="O1" s="7" t="s">
        <v>208</v>
      </c>
      <c r="P1" s="8" t="s">
        <v>209</v>
      </c>
      <c r="Q1" s="8" t="s">
        <v>147</v>
      </c>
      <c r="R1" s="7" t="s">
        <v>148</v>
      </c>
      <c r="S1" s="7" t="s">
        <v>149</v>
      </c>
      <c r="T1" s="7" t="s">
        <v>77</v>
      </c>
      <c r="U1" s="8" t="s">
        <v>20</v>
      </c>
      <c r="V1" s="7" t="s">
        <v>21</v>
      </c>
      <c r="W1" s="9" t="s">
        <v>22</v>
      </c>
      <c r="X1" s="52" t="s">
        <v>210</v>
      </c>
    </row>
    <row r="2" spans="1:26" ht="21" customHeight="1">
      <c r="A2" s="10" t="s">
        <v>34</v>
      </c>
      <c r="B2" s="11">
        <v>1.1979166666666667E-2</v>
      </c>
      <c r="C2" s="11">
        <v>3.472222222222222E-3</v>
      </c>
      <c r="D2" s="11">
        <f>B2*E2</f>
        <v>6.9694791666666672E-3</v>
      </c>
      <c r="E2" s="12">
        <v>0.58179999999999998</v>
      </c>
      <c r="F2" s="11">
        <f>C2/4</f>
        <v>8.6805555555555551E-4</v>
      </c>
      <c r="G2" s="11">
        <f>D2/7.5</f>
        <v>9.2926388888888898E-4</v>
      </c>
      <c r="H2" s="11">
        <f>B2/12.5</f>
        <v>9.5833333333333339E-4</v>
      </c>
      <c r="I2" s="11">
        <f>G2/0.93</f>
        <v>9.9920848267622464E-4</v>
      </c>
      <c r="J2" s="11">
        <f>G2/0.92</f>
        <v>1.0100694444444445E-3</v>
      </c>
      <c r="K2" s="11">
        <f>G2/0.88</f>
        <v>1.055981691919192E-3</v>
      </c>
      <c r="L2" s="11">
        <f>G2/0.84</f>
        <v>1.1062665343915346E-3</v>
      </c>
      <c r="M2" s="25"/>
      <c r="N2" s="28"/>
      <c r="O2" s="25"/>
      <c r="P2" s="28"/>
      <c r="Q2" s="25"/>
      <c r="R2" s="25"/>
      <c r="S2" s="25"/>
      <c r="T2" s="28"/>
      <c r="U2" s="11"/>
      <c r="V2" s="36"/>
      <c r="W2" s="15" t="s">
        <v>26</v>
      </c>
      <c r="X2" s="52"/>
    </row>
    <row r="3" spans="1:26" ht="21" customHeight="1">
      <c r="A3" s="10" t="s">
        <v>24</v>
      </c>
      <c r="B3" s="11">
        <v>1.238425925925926E-2</v>
      </c>
      <c r="C3" s="11">
        <v>3.5300925925925925E-3</v>
      </c>
      <c r="D3" s="11">
        <f>B3*E3</f>
        <v>7.2051620370370368E-3</v>
      </c>
      <c r="E3" s="12">
        <v>0.58179999999999998</v>
      </c>
      <c r="F3" s="11">
        <f>C3/4</f>
        <v>8.8252314814814812E-4</v>
      </c>
      <c r="G3" s="11">
        <f>D3/7.5</f>
        <v>9.6068827160493821E-4</v>
      </c>
      <c r="H3" s="11">
        <f>B3/12.5</f>
        <v>9.9074074074074082E-4</v>
      </c>
      <c r="I3" s="11">
        <f>G3/0.93</f>
        <v>1.0329981415106862E-3</v>
      </c>
      <c r="J3" s="11">
        <f>G3/0.92</f>
        <v>1.0442263821792807E-3</v>
      </c>
      <c r="K3" s="11">
        <f>G3/0.88</f>
        <v>1.0916912177328843E-3</v>
      </c>
      <c r="L3" s="11">
        <f>G3/0.84</f>
        <v>1.1436765138154027E-3</v>
      </c>
      <c r="M3" s="25"/>
      <c r="N3" s="28"/>
      <c r="O3" s="25"/>
      <c r="P3" s="25"/>
      <c r="Q3" s="25"/>
      <c r="R3" s="25"/>
      <c r="S3" s="28"/>
      <c r="T3" s="28"/>
      <c r="U3" s="28"/>
      <c r="V3" s="28"/>
      <c r="W3" s="15" t="s">
        <v>26</v>
      </c>
      <c r="X3" s="52"/>
      <c r="Z3" s="16"/>
    </row>
    <row r="4" spans="1:26" ht="21" customHeight="1">
      <c r="A4" s="10" t="s">
        <v>59</v>
      </c>
      <c r="B4" s="11">
        <v>1.2500000000000001E-2</v>
      </c>
      <c r="C4" s="11">
        <v>3.7037037037037038E-3</v>
      </c>
      <c r="D4" s="11">
        <f t="shared" ref="D4:D10" si="0">B4*E4</f>
        <v>7.2725000000000003E-3</v>
      </c>
      <c r="E4" s="12">
        <v>0.58179999999999998</v>
      </c>
      <c r="F4" s="11">
        <f t="shared" ref="F4:F10" si="1">C4/4</f>
        <v>9.2592592592592596E-4</v>
      </c>
      <c r="G4" s="11">
        <f t="shared" ref="G4:G10" si="2">D4/7.5</f>
        <v>9.6966666666666675E-4</v>
      </c>
      <c r="H4" s="11">
        <f t="shared" ref="H4:H10" si="3">B4/12.5</f>
        <v>1E-3</v>
      </c>
      <c r="I4" s="11">
        <f t="shared" ref="I4:I10" si="4">G4/0.93</f>
        <v>1.0426523297491039E-3</v>
      </c>
      <c r="J4" s="11">
        <f t="shared" ref="J4:J10" si="5">G4/0.92</f>
        <v>1.0539855072463768E-3</v>
      </c>
      <c r="K4" s="11">
        <f t="shared" ref="K4:K10" si="6">G4/0.88</f>
        <v>1.1018939393939394E-3</v>
      </c>
      <c r="L4" s="17">
        <f t="shared" ref="L4:L10" si="7">G4/0.84</f>
        <v>1.1543650793650795E-3</v>
      </c>
      <c r="M4" s="25"/>
      <c r="N4" s="28"/>
      <c r="O4" s="25"/>
      <c r="P4" s="25"/>
      <c r="Q4" s="25"/>
      <c r="R4" s="28"/>
      <c r="S4" s="11"/>
      <c r="T4" s="28"/>
      <c r="U4" s="28"/>
      <c r="V4" s="38"/>
      <c r="W4" s="15" t="s">
        <v>26</v>
      </c>
      <c r="X4" s="52"/>
    </row>
    <row r="5" spans="1:26" ht="21" customHeight="1">
      <c r="A5" s="10" t="s">
        <v>28</v>
      </c>
      <c r="B5" s="11">
        <v>1.2500000000000001E-2</v>
      </c>
      <c r="C5" s="11">
        <v>3.9351851851851857E-3</v>
      </c>
      <c r="D5" s="11">
        <f t="shared" si="0"/>
        <v>7.2725000000000003E-3</v>
      </c>
      <c r="E5" s="12">
        <v>0.58179999999999998</v>
      </c>
      <c r="F5" s="11">
        <f t="shared" si="1"/>
        <v>9.8379629629629642E-4</v>
      </c>
      <c r="G5" s="11">
        <f t="shared" si="2"/>
        <v>9.6966666666666675E-4</v>
      </c>
      <c r="H5" s="11">
        <f t="shared" si="3"/>
        <v>1E-3</v>
      </c>
      <c r="I5" s="11">
        <f t="shared" si="4"/>
        <v>1.0426523297491039E-3</v>
      </c>
      <c r="J5" s="11">
        <f t="shared" si="5"/>
        <v>1.0539855072463768E-3</v>
      </c>
      <c r="K5" s="11">
        <f t="shared" si="6"/>
        <v>1.1018939393939394E-3</v>
      </c>
      <c r="L5" s="11">
        <f t="shared" si="7"/>
        <v>1.1543650793650795E-3</v>
      </c>
      <c r="M5" s="25"/>
      <c r="N5" s="28"/>
      <c r="O5" s="25"/>
      <c r="P5" s="28"/>
      <c r="Q5" s="25"/>
      <c r="R5" s="28"/>
      <c r="S5" s="11"/>
      <c r="T5" s="28"/>
      <c r="U5" s="28"/>
      <c r="V5" s="28"/>
      <c r="W5" s="15" t="s">
        <v>26</v>
      </c>
      <c r="X5" s="52"/>
    </row>
    <row r="6" spans="1:26" ht="21" customHeight="1">
      <c r="A6" s="10" t="s">
        <v>27</v>
      </c>
      <c r="B6" s="11">
        <v>1.2500000000000001E-2</v>
      </c>
      <c r="C6" s="11">
        <v>3.6458333333333334E-3</v>
      </c>
      <c r="D6" s="11">
        <f t="shared" si="0"/>
        <v>7.2725000000000003E-3</v>
      </c>
      <c r="E6" s="12">
        <v>0.58179999999999998</v>
      </c>
      <c r="F6" s="11">
        <f t="shared" si="1"/>
        <v>9.1145833333333335E-4</v>
      </c>
      <c r="G6" s="11">
        <f t="shared" si="2"/>
        <v>9.6966666666666675E-4</v>
      </c>
      <c r="H6" s="11">
        <f t="shared" si="3"/>
        <v>1E-3</v>
      </c>
      <c r="I6" s="11">
        <f t="shared" si="4"/>
        <v>1.0426523297491039E-3</v>
      </c>
      <c r="J6" s="11">
        <f t="shared" si="5"/>
        <v>1.0539855072463768E-3</v>
      </c>
      <c r="K6" s="11">
        <f t="shared" si="6"/>
        <v>1.1018939393939394E-3</v>
      </c>
      <c r="L6" s="11">
        <f t="shared" si="7"/>
        <v>1.1543650793650795E-3</v>
      </c>
      <c r="M6" s="25"/>
      <c r="N6" s="28"/>
      <c r="O6" s="25"/>
      <c r="P6" s="25"/>
      <c r="Q6" s="25"/>
      <c r="R6" s="28"/>
      <c r="S6" s="11"/>
      <c r="T6" s="28"/>
      <c r="U6" s="28"/>
      <c r="V6" s="28"/>
      <c r="W6" s="15" t="s">
        <v>26</v>
      </c>
      <c r="X6" s="52"/>
    </row>
    <row r="7" spans="1:26" ht="21" customHeight="1">
      <c r="A7" s="10" t="s">
        <v>60</v>
      </c>
      <c r="B7" s="11">
        <v>1.2500000000000001E-2</v>
      </c>
      <c r="C7" s="11">
        <v>3.6458333333333334E-3</v>
      </c>
      <c r="D7" s="11">
        <f t="shared" si="0"/>
        <v>7.2725000000000003E-3</v>
      </c>
      <c r="E7" s="12">
        <v>0.58179999999999998</v>
      </c>
      <c r="F7" s="11">
        <f t="shared" si="1"/>
        <v>9.1145833333333335E-4</v>
      </c>
      <c r="G7" s="11">
        <f t="shared" si="2"/>
        <v>9.6966666666666675E-4</v>
      </c>
      <c r="H7" s="11">
        <f t="shared" si="3"/>
        <v>1E-3</v>
      </c>
      <c r="I7" s="11">
        <f t="shared" si="4"/>
        <v>1.0426523297491039E-3</v>
      </c>
      <c r="J7" s="11">
        <f t="shared" si="5"/>
        <v>1.0539855072463768E-3</v>
      </c>
      <c r="K7" s="11">
        <f t="shared" si="6"/>
        <v>1.1018939393939394E-3</v>
      </c>
      <c r="L7" s="11">
        <f t="shared" si="7"/>
        <v>1.1543650793650795E-3</v>
      </c>
      <c r="M7" s="25"/>
      <c r="N7" s="28"/>
      <c r="O7" s="25"/>
      <c r="P7" s="25"/>
      <c r="Q7" s="25"/>
      <c r="R7" s="28"/>
      <c r="S7" s="11"/>
      <c r="T7" s="28"/>
      <c r="U7" s="28"/>
      <c r="V7" s="28"/>
      <c r="W7" s="15" t="s">
        <v>26</v>
      </c>
      <c r="X7" s="52"/>
    </row>
    <row r="8" spans="1:26" ht="21" customHeight="1">
      <c r="A8" s="10" t="s">
        <v>29</v>
      </c>
      <c r="B8" s="11">
        <v>1.2500000000000001E-2</v>
      </c>
      <c r="C8" s="11">
        <v>3.8194444444444443E-3</v>
      </c>
      <c r="D8" s="11">
        <f t="shared" si="0"/>
        <v>7.2725000000000003E-3</v>
      </c>
      <c r="E8" s="12">
        <v>0.58179999999999998</v>
      </c>
      <c r="F8" s="11">
        <f t="shared" si="1"/>
        <v>9.5486111111111108E-4</v>
      </c>
      <c r="G8" s="11">
        <f t="shared" si="2"/>
        <v>9.6966666666666675E-4</v>
      </c>
      <c r="H8" s="11">
        <f t="shared" si="3"/>
        <v>1E-3</v>
      </c>
      <c r="I8" s="11">
        <f t="shared" si="4"/>
        <v>1.0426523297491039E-3</v>
      </c>
      <c r="J8" s="11">
        <f t="shared" si="5"/>
        <v>1.0539855072463768E-3</v>
      </c>
      <c r="K8" s="11">
        <f t="shared" si="6"/>
        <v>1.1018939393939394E-3</v>
      </c>
      <c r="L8" s="11">
        <f t="shared" si="7"/>
        <v>1.1543650793650795E-3</v>
      </c>
      <c r="M8" s="25"/>
      <c r="N8" s="28"/>
      <c r="O8" s="25"/>
      <c r="P8" s="25"/>
      <c r="Q8" s="25"/>
      <c r="R8" s="25"/>
      <c r="S8" s="28"/>
      <c r="T8" s="28"/>
      <c r="U8" s="28"/>
      <c r="V8" s="38"/>
      <c r="W8" s="18" t="s">
        <v>26</v>
      </c>
      <c r="X8" s="52"/>
    </row>
    <row r="9" spans="1:26" ht="21" customHeight="1">
      <c r="A9" s="10" t="s">
        <v>31</v>
      </c>
      <c r="B9" s="11">
        <v>1.2500000000000001E-2</v>
      </c>
      <c r="C9" s="11"/>
      <c r="D9" s="11">
        <f t="shared" ref="D9" si="8">B9*E9</f>
        <v>7.2725000000000003E-3</v>
      </c>
      <c r="E9" s="12">
        <v>0.58179999999999998</v>
      </c>
      <c r="F9" s="11">
        <f t="shared" ref="F9" si="9">C9/4</f>
        <v>0</v>
      </c>
      <c r="G9" s="11">
        <f t="shared" ref="G9" si="10">D9/7.5</f>
        <v>9.6966666666666675E-4</v>
      </c>
      <c r="H9" s="11">
        <f t="shared" ref="H9" si="11">B9/12.5</f>
        <v>1E-3</v>
      </c>
      <c r="I9" s="11">
        <f t="shared" ref="I9" si="12">G9/0.93</f>
        <v>1.0426523297491039E-3</v>
      </c>
      <c r="J9" s="11">
        <f t="shared" ref="J9" si="13">G9/0.92</f>
        <v>1.0539855072463768E-3</v>
      </c>
      <c r="K9" s="11">
        <f t="shared" ref="K9" si="14">G9/0.88</f>
        <v>1.1018939393939394E-3</v>
      </c>
      <c r="L9" s="11">
        <f t="shared" ref="L9" si="15">G9/0.84</f>
        <v>1.1543650793650795E-3</v>
      </c>
      <c r="M9" s="25"/>
      <c r="N9" s="28"/>
      <c r="O9" s="25"/>
      <c r="P9" s="25"/>
      <c r="Q9" s="25"/>
      <c r="R9" s="28"/>
      <c r="S9" s="11"/>
      <c r="T9" s="11"/>
      <c r="U9" s="28"/>
      <c r="V9" s="28"/>
      <c r="W9" s="15" t="s">
        <v>26</v>
      </c>
      <c r="X9" s="52"/>
    </row>
    <row r="10" spans="1:26" ht="21" customHeight="1">
      <c r="A10" s="10" t="s">
        <v>62</v>
      </c>
      <c r="B10" s="11">
        <v>1.2731481481481481E-2</v>
      </c>
      <c r="C10" s="11"/>
      <c r="D10" s="11">
        <f t="shared" si="0"/>
        <v>7.4071759259259256E-3</v>
      </c>
      <c r="E10" s="12">
        <v>0.58179999999999998</v>
      </c>
      <c r="F10" s="11">
        <f t="shared" si="1"/>
        <v>0</v>
      </c>
      <c r="G10" s="11">
        <f t="shared" si="2"/>
        <v>9.8762345679012349E-4</v>
      </c>
      <c r="H10" s="11">
        <f t="shared" si="3"/>
        <v>1.0185185185185184E-3</v>
      </c>
      <c r="I10" s="11">
        <f t="shared" si="4"/>
        <v>1.0619607062259391E-3</v>
      </c>
      <c r="J10" s="11">
        <f t="shared" si="5"/>
        <v>1.073503757380569E-3</v>
      </c>
      <c r="K10" s="11">
        <f t="shared" si="6"/>
        <v>1.1222993827160494E-3</v>
      </c>
      <c r="L10" s="11">
        <f t="shared" si="7"/>
        <v>1.1757422104644328E-3</v>
      </c>
      <c r="M10" s="25"/>
      <c r="N10" s="28"/>
      <c r="O10" s="25"/>
      <c r="P10" s="25"/>
      <c r="Q10" s="28"/>
      <c r="R10" s="28"/>
      <c r="S10" s="25"/>
      <c r="T10" s="28"/>
      <c r="U10" s="36"/>
      <c r="V10" s="17"/>
      <c r="W10" s="18" t="s">
        <v>26</v>
      </c>
      <c r="X10" s="52"/>
    </row>
    <row r="11" spans="1:26" ht="21" customHeight="1">
      <c r="A11" s="10"/>
      <c r="B11" s="11"/>
      <c r="C11" s="11"/>
      <c r="D11" s="11"/>
      <c r="E11" s="12"/>
      <c r="F11" s="11"/>
      <c r="G11" s="11"/>
      <c r="H11" s="11"/>
      <c r="I11" s="11"/>
      <c r="J11" s="11"/>
      <c r="K11" s="11"/>
      <c r="L11" s="11"/>
      <c r="M11" s="13"/>
      <c r="N11" s="11"/>
      <c r="O11" s="11"/>
      <c r="P11" s="11"/>
      <c r="Q11" s="14"/>
      <c r="R11" s="11"/>
      <c r="S11" s="14"/>
      <c r="T11" s="14"/>
      <c r="U11" s="14"/>
      <c r="V11" s="17"/>
      <c r="W11" s="18"/>
      <c r="X11" s="52" t="s">
        <v>211</v>
      </c>
    </row>
    <row r="12" spans="1:26" ht="21" customHeight="1">
      <c r="A12" s="19"/>
      <c r="B12" s="6"/>
      <c r="C12" s="6"/>
      <c r="D12" s="6"/>
      <c r="E12" s="20"/>
      <c r="F12" s="6"/>
      <c r="G12" s="6"/>
      <c r="H12" s="6"/>
      <c r="I12" s="6"/>
      <c r="J12" s="6"/>
      <c r="K12" s="6"/>
      <c r="L12" s="6"/>
      <c r="M12" s="6"/>
      <c r="N12" s="6"/>
      <c r="O12" s="6"/>
      <c r="P12" s="6"/>
      <c r="Q12" s="6"/>
      <c r="R12" s="6"/>
      <c r="S12" s="6"/>
      <c r="T12" s="6"/>
      <c r="U12" s="6"/>
      <c r="V12" s="21"/>
      <c r="W12" s="43"/>
      <c r="X12" s="52"/>
    </row>
    <row r="13" spans="1:26" ht="21" customHeight="1">
      <c r="A13" s="10" t="s">
        <v>38</v>
      </c>
      <c r="B13" s="11">
        <v>1.238425925925926E-2</v>
      </c>
      <c r="C13" s="11">
        <v>3.5300925925925925E-3</v>
      </c>
      <c r="D13" s="11">
        <f t="shared" ref="D13:D26" si="16">B13*E13</f>
        <v>7.2051620370370368E-3</v>
      </c>
      <c r="E13" s="12">
        <v>0.58179999999999998</v>
      </c>
      <c r="F13" s="11">
        <f t="shared" ref="F13:F26" si="17">C13/4</f>
        <v>8.8252314814814812E-4</v>
      </c>
      <c r="G13" s="11">
        <f t="shared" ref="G13:G26" si="18">D13/7.5</f>
        <v>9.6068827160493821E-4</v>
      </c>
      <c r="H13" s="11">
        <f t="shared" ref="H13:H26" si="19">B13/12.5</f>
        <v>9.9074074074074082E-4</v>
      </c>
      <c r="I13" s="11">
        <f t="shared" ref="I13:I26" si="20">G13/0.93</f>
        <v>1.0329981415106862E-3</v>
      </c>
      <c r="J13" s="11">
        <f t="shared" ref="J13:J26" si="21">G13/0.92</f>
        <v>1.0442263821792807E-3</v>
      </c>
      <c r="K13" s="11">
        <f t="shared" ref="K13:K26" si="22">G13/0.88</f>
        <v>1.0916912177328843E-3</v>
      </c>
      <c r="L13" s="11">
        <f t="shared" ref="L13:L26" si="23">G13/0.84</f>
        <v>1.1436765138154027E-3</v>
      </c>
      <c r="M13" s="25"/>
      <c r="N13" s="28"/>
      <c r="O13" s="25"/>
      <c r="P13" s="28"/>
      <c r="Q13" s="25"/>
      <c r="R13" s="25"/>
      <c r="S13" s="28"/>
      <c r="T13" s="28"/>
      <c r="U13" s="28"/>
      <c r="V13" s="28"/>
      <c r="W13" s="15" t="s">
        <v>35</v>
      </c>
      <c r="X13" s="52"/>
    </row>
    <row r="14" spans="1:26" ht="21" customHeight="1">
      <c r="A14" s="10" t="s">
        <v>63</v>
      </c>
      <c r="B14" s="11">
        <v>1.2500000000000001E-2</v>
      </c>
      <c r="C14" s="11"/>
      <c r="D14" s="11">
        <f t="shared" si="16"/>
        <v>7.2725000000000003E-3</v>
      </c>
      <c r="E14" s="12">
        <v>0.58179999999999998</v>
      </c>
      <c r="F14" s="11">
        <f t="shared" si="17"/>
        <v>0</v>
      </c>
      <c r="G14" s="11">
        <f t="shared" si="18"/>
        <v>9.6966666666666675E-4</v>
      </c>
      <c r="H14" s="11">
        <f t="shared" si="19"/>
        <v>1E-3</v>
      </c>
      <c r="I14" s="11">
        <f t="shared" si="20"/>
        <v>1.0426523297491039E-3</v>
      </c>
      <c r="J14" s="11">
        <f t="shared" si="21"/>
        <v>1.0539855072463768E-3</v>
      </c>
      <c r="K14" s="11">
        <f t="shared" si="22"/>
        <v>1.1018939393939394E-3</v>
      </c>
      <c r="L14" s="11">
        <f t="shared" si="23"/>
        <v>1.1543650793650795E-3</v>
      </c>
      <c r="M14" s="25"/>
      <c r="N14" s="28"/>
      <c r="O14" s="25"/>
      <c r="P14" s="28"/>
      <c r="Q14" s="25"/>
      <c r="R14" s="25"/>
      <c r="S14" s="25"/>
      <c r="T14" s="28"/>
      <c r="U14" s="11"/>
      <c r="V14" s="36"/>
      <c r="W14" s="15" t="s">
        <v>35</v>
      </c>
      <c r="X14" s="52"/>
    </row>
    <row r="15" spans="1:26" ht="21" customHeight="1">
      <c r="A15" s="10" t="s">
        <v>30</v>
      </c>
      <c r="B15" s="11">
        <v>1.2500000000000001E-2</v>
      </c>
      <c r="C15" s="11">
        <v>3.6458333333333334E-3</v>
      </c>
      <c r="D15" s="11">
        <f t="shared" si="16"/>
        <v>7.2725000000000003E-3</v>
      </c>
      <c r="E15" s="12">
        <v>0.58179999999999998</v>
      </c>
      <c r="F15" s="11">
        <f t="shared" si="17"/>
        <v>9.1145833333333335E-4</v>
      </c>
      <c r="G15" s="11">
        <f t="shared" si="18"/>
        <v>9.6966666666666675E-4</v>
      </c>
      <c r="H15" s="11">
        <f t="shared" si="19"/>
        <v>1E-3</v>
      </c>
      <c r="I15" s="11">
        <f t="shared" si="20"/>
        <v>1.0426523297491039E-3</v>
      </c>
      <c r="J15" s="11">
        <f t="shared" si="21"/>
        <v>1.0539855072463768E-3</v>
      </c>
      <c r="K15" s="11">
        <f t="shared" si="22"/>
        <v>1.1018939393939394E-3</v>
      </c>
      <c r="L15" s="11">
        <f t="shared" si="23"/>
        <v>1.1543650793650795E-3</v>
      </c>
      <c r="M15" s="25"/>
      <c r="N15" s="28"/>
      <c r="O15" s="25"/>
      <c r="P15" s="28"/>
      <c r="Q15" s="25"/>
      <c r="R15" s="25"/>
      <c r="S15" s="11"/>
      <c r="T15" s="28"/>
      <c r="U15" s="28"/>
      <c r="V15" s="28"/>
      <c r="W15" s="15" t="s">
        <v>35</v>
      </c>
      <c r="X15" s="52"/>
    </row>
    <row r="16" spans="1:26" ht="21" customHeight="1">
      <c r="A16" s="10" t="s">
        <v>55</v>
      </c>
      <c r="B16" s="11">
        <v>1.2500000000000001E-2</v>
      </c>
      <c r="C16" s="11"/>
      <c r="D16" s="11">
        <f t="shared" si="16"/>
        <v>7.2725000000000003E-3</v>
      </c>
      <c r="E16" s="12">
        <v>0.58179999999999998</v>
      </c>
      <c r="F16" s="11">
        <f t="shared" si="17"/>
        <v>0</v>
      </c>
      <c r="G16" s="11">
        <f t="shared" si="18"/>
        <v>9.6966666666666675E-4</v>
      </c>
      <c r="H16" s="11">
        <f t="shared" si="19"/>
        <v>1E-3</v>
      </c>
      <c r="I16" s="11">
        <f t="shared" si="20"/>
        <v>1.0426523297491039E-3</v>
      </c>
      <c r="J16" s="11">
        <f t="shared" si="21"/>
        <v>1.0539855072463768E-3</v>
      </c>
      <c r="K16" s="11">
        <f t="shared" si="22"/>
        <v>1.1018939393939394E-3</v>
      </c>
      <c r="L16" s="11">
        <f t="shared" si="23"/>
        <v>1.1543650793650795E-3</v>
      </c>
      <c r="M16" s="25"/>
      <c r="N16" s="28"/>
      <c r="O16" s="25"/>
      <c r="P16" s="11"/>
      <c r="Q16" s="14"/>
      <c r="R16" s="11"/>
      <c r="S16" s="14"/>
      <c r="T16" s="14"/>
      <c r="U16" s="14"/>
      <c r="V16" s="17"/>
      <c r="W16" s="18" t="s">
        <v>35</v>
      </c>
      <c r="X16" s="52"/>
    </row>
    <row r="17" spans="1:24" ht="21" customHeight="1">
      <c r="A17" s="10" t="s">
        <v>51</v>
      </c>
      <c r="B17" s="11">
        <v>1.2731481481481481E-2</v>
      </c>
      <c r="C17" s="11">
        <v>3.5879629629629629E-3</v>
      </c>
      <c r="D17" s="11">
        <f t="shared" si="16"/>
        <v>7.4071759259259256E-3</v>
      </c>
      <c r="E17" s="12">
        <v>0.58179999999999998</v>
      </c>
      <c r="F17" s="11">
        <f t="shared" si="17"/>
        <v>8.9699074074074073E-4</v>
      </c>
      <c r="G17" s="11">
        <f t="shared" si="18"/>
        <v>9.8762345679012349E-4</v>
      </c>
      <c r="H17" s="11">
        <f t="shared" si="19"/>
        <v>1.0185185185185184E-3</v>
      </c>
      <c r="I17" s="11">
        <f t="shared" si="20"/>
        <v>1.0619607062259391E-3</v>
      </c>
      <c r="J17" s="11">
        <f t="shared" si="21"/>
        <v>1.073503757380569E-3</v>
      </c>
      <c r="K17" s="11">
        <f t="shared" si="22"/>
        <v>1.1222993827160494E-3</v>
      </c>
      <c r="L17" s="11">
        <f t="shared" si="23"/>
        <v>1.1757422104644328E-3</v>
      </c>
      <c r="M17" s="25"/>
      <c r="N17" s="28"/>
      <c r="O17" s="25"/>
      <c r="P17" s="28"/>
      <c r="Q17" s="25"/>
      <c r="R17" s="28"/>
      <c r="S17" s="11"/>
      <c r="T17" s="11"/>
      <c r="U17" s="11"/>
      <c r="V17" s="36"/>
      <c r="W17" s="15" t="s">
        <v>35</v>
      </c>
      <c r="X17" s="52"/>
    </row>
    <row r="18" spans="1:24" ht="21" customHeight="1">
      <c r="A18" s="10" t="s">
        <v>49</v>
      </c>
      <c r="B18" s="11">
        <v>1.2731481481481481E-2</v>
      </c>
      <c r="C18" s="11"/>
      <c r="D18" s="11">
        <f t="shared" si="16"/>
        <v>7.4071759259259256E-3</v>
      </c>
      <c r="E18" s="12">
        <v>0.58179999999999998</v>
      </c>
      <c r="F18" s="11">
        <f t="shared" si="17"/>
        <v>0</v>
      </c>
      <c r="G18" s="11">
        <f t="shared" si="18"/>
        <v>9.8762345679012349E-4</v>
      </c>
      <c r="H18" s="11">
        <f t="shared" si="19"/>
        <v>1.0185185185185184E-3</v>
      </c>
      <c r="I18" s="11">
        <f t="shared" si="20"/>
        <v>1.0619607062259391E-3</v>
      </c>
      <c r="J18" s="11">
        <f t="shared" si="21"/>
        <v>1.073503757380569E-3</v>
      </c>
      <c r="K18" s="11">
        <f t="shared" si="22"/>
        <v>1.1222993827160494E-3</v>
      </c>
      <c r="L18" s="11">
        <f t="shared" si="23"/>
        <v>1.1757422104644328E-3</v>
      </c>
      <c r="M18" s="25"/>
      <c r="N18" s="28"/>
      <c r="O18" s="25"/>
      <c r="P18" s="11"/>
      <c r="Q18" s="14"/>
      <c r="R18" s="11"/>
      <c r="S18" s="14"/>
      <c r="T18" s="14"/>
      <c r="U18" s="14"/>
      <c r="V18" s="11"/>
      <c r="W18" s="15" t="s">
        <v>35</v>
      </c>
      <c r="X18" s="52"/>
    </row>
    <row r="19" spans="1:24" ht="21" customHeight="1">
      <c r="A19" s="10" t="s">
        <v>65</v>
      </c>
      <c r="B19" s="11">
        <v>1.2731481481481481E-2</v>
      </c>
      <c r="C19" s="11">
        <v>3.8194444444444443E-3</v>
      </c>
      <c r="D19" s="11">
        <f t="shared" si="16"/>
        <v>7.4071759259259256E-3</v>
      </c>
      <c r="E19" s="12">
        <v>0.58179999999999998</v>
      </c>
      <c r="F19" s="11">
        <f t="shared" si="17"/>
        <v>9.5486111111111108E-4</v>
      </c>
      <c r="G19" s="11">
        <f t="shared" si="18"/>
        <v>9.8762345679012349E-4</v>
      </c>
      <c r="H19" s="11">
        <f t="shared" si="19"/>
        <v>1.0185185185185184E-3</v>
      </c>
      <c r="I19" s="11">
        <f t="shared" si="20"/>
        <v>1.0619607062259391E-3</v>
      </c>
      <c r="J19" s="11">
        <f t="shared" si="21"/>
        <v>1.073503757380569E-3</v>
      </c>
      <c r="K19" s="11">
        <f t="shared" si="22"/>
        <v>1.1222993827160494E-3</v>
      </c>
      <c r="L19" s="11">
        <f t="shared" si="23"/>
        <v>1.1757422104644328E-3</v>
      </c>
      <c r="M19" s="25"/>
      <c r="N19" s="28"/>
      <c r="O19" s="25"/>
      <c r="P19" s="28"/>
      <c r="Q19" s="25"/>
      <c r="R19" s="28"/>
      <c r="S19" s="11"/>
      <c r="T19" s="28"/>
      <c r="U19" s="28"/>
      <c r="V19" s="28"/>
      <c r="W19" s="15" t="s">
        <v>35</v>
      </c>
      <c r="X19" s="52"/>
    </row>
    <row r="20" spans="1:24" ht="21" customHeight="1">
      <c r="A20" s="10" t="s">
        <v>67</v>
      </c>
      <c r="B20" s="11">
        <v>1.3020833333333334E-2</v>
      </c>
      <c r="C20" s="11">
        <v>3.8194444444444443E-3</v>
      </c>
      <c r="D20" s="11">
        <f t="shared" si="16"/>
        <v>7.5755208333333334E-3</v>
      </c>
      <c r="E20" s="12">
        <v>0.58179999999999998</v>
      </c>
      <c r="F20" s="11">
        <f t="shared" si="17"/>
        <v>9.5486111111111108E-4</v>
      </c>
      <c r="G20" s="11">
        <f t="shared" si="18"/>
        <v>1.0100694444444445E-3</v>
      </c>
      <c r="H20" s="11">
        <f t="shared" si="19"/>
        <v>1.0416666666666667E-3</v>
      </c>
      <c r="I20" s="11">
        <f t="shared" si="20"/>
        <v>1.0860961768219832E-3</v>
      </c>
      <c r="J20" s="11">
        <f t="shared" si="21"/>
        <v>1.0979015700483092E-3</v>
      </c>
      <c r="K20" s="11">
        <f t="shared" si="22"/>
        <v>1.1478061868686869E-3</v>
      </c>
      <c r="L20" s="11">
        <f t="shared" si="23"/>
        <v>1.2024636243386244E-3</v>
      </c>
      <c r="M20" s="25"/>
      <c r="N20" s="28"/>
      <c r="O20" s="25"/>
      <c r="P20" s="25"/>
      <c r="Q20" s="25"/>
      <c r="R20" s="25"/>
      <c r="S20" s="28"/>
      <c r="T20" s="28"/>
      <c r="U20" s="28"/>
      <c r="V20" s="28"/>
      <c r="W20" s="18" t="s">
        <v>35</v>
      </c>
      <c r="X20" s="52"/>
    </row>
    <row r="21" spans="1:24" ht="21" customHeight="1">
      <c r="A21" s="10" t="s">
        <v>71</v>
      </c>
      <c r="B21" s="11">
        <v>1.3368055555555555E-2</v>
      </c>
      <c r="C21" s="11">
        <v>4.0509259259259257E-3</v>
      </c>
      <c r="D21" s="11">
        <f t="shared" si="16"/>
        <v>7.7775347222222213E-3</v>
      </c>
      <c r="E21" s="12">
        <v>0.58179999999999998</v>
      </c>
      <c r="F21" s="11">
        <f t="shared" si="17"/>
        <v>1.0127314814814814E-3</v>
      </c>
      <c r="G21" s="11">
        <f t="shared" si="18"/>
        <v>1.0370046296296295E-3</v>
      </c>
      <c r="H21" s="11">
        <f t="shared" si="19"/>
        <v>1.0694444444444445E-3</v>
      </c>
      <c r="I21" s="11">
        <f t="shared" si="20"/>
        <v>1.1150587415372358E-3</v>
      </c>
      <c r="J21" s="11">
        <f t="shared" si="21"/>
        <v>1.1271789452495973E-3</v>
      </c>
      <c r="K21" s="11">
        <f t="shared" si="22"/>
        <v>1.1784143518518517E-3</v>
      </c>
      <c r="L21" s="11">
        <f t="shared" si="23"/>
        <v>1.2345293209876543E-3</v>
      </c>
      <c r="M21" s="25"/>
      <c r="N21" s="28"/>
      <c r="O21" s="25"/>
      <c r="P21" s="25"/>
      <c r="Q21" s="25"/>
      <c r="R21" s="28"/>
      <c r="S21" s="11"/>
      <c r="T21" s="28"/>
      <c r="U21" s="28"/>
      <c r="V21" s="38"/>
      <c r="W21" s="18" t="s">
        <v>35</v>
      </c>
      <c r="X21" s="50" t="s">
        <v>319</v>
      </c>
    </row>
    <row r="22" spans="1:24" ht="21" customHeight="1">
      <c r="A22" s="10" t="s">
        <v>69</v>
      </c>
      <c r="B22" s="11">
        <v>1.3368055555555555E-2</v>
      </c>
      <c r="C22" s="11"/>
      <c r="D22" s="11">
        <f t="shared" si="16"/>
        <v>7.7775347222222213E-3</v>
      </c>
      <c r="E22" s="12">
        <v>0.58179999999999998</v>
      </c>
      <c r="F22" s="11">
        <f t="shared" si="17"/>
        <v>0</v>
      </c>
      <c r="G22" s="11">
        <f t="shared" si="18"/>
        <v>1.0370046296296295E-3</v>
      </c>
      <c r="H22" s="11">
        <f t="shared" si="19"/>
        <v>1.0694444444444445E-3</v>
      </c>
      <c r="I22" s="11">
        <f t="shared" si="20"/>
        <v>1.1150587415372358E-3</v>
      </c>
      <c r="J22" s="11">
        <f t="shared" si="21"/>
        <v>1.1271789452495973E-3</v>
      </c>
      <c r="K22" s="11">
        <f t="shared" si="22"/>
        <v>1.1784143518518517E-3</v>
      </c>
      <c r="L22" s="11">
        <f t="shared" si="23"/>
        <v>1.2345293209876543E-3</v>
      </c>
      <c r="M22" s="25"/>
      <c r="N22" s="28"/>
      <c r="O22" s="25"/>
      <c r="P22" s="28"/>
      <c r="Q22" s="25"/>
      <c r="R22" s="25"/>
      <c r="S22" s="25"/>
      <c r="T22" s="28"/>
      <c r="U22" s="11"/>
      <c r="V22" s="36"/>
      <c r="W22" s="15" t="s">
        <v>35</v>
      </c>
      <c r="X22" s="50"/>
    </row>
    <row r="23" spans="1:24" ht="21" customHeight="1">
      <c r="A23" s="10" t="s">
        <v>58</v>
      </c>
      <c r="B23" s="11">
        <v>1.3368055555555555E-2</v>
      </c>
      <c r="C23" s="11">
        <v>4.1087962962962962E-3</v>
      </c>
      <c r="D23" s="11">
        <f t="shared" si="16"/>
        <v>7.7775347222222213E-3</v>
      </c>
      <c r="E23" s="12">
        <v>0.58179999999999998</v>
      </c>
      <c r="F23" s="11">
        <f t="shared" si="17"/>
        <v>1.027199074074074E-3</v>
      </c>
      <c r="G23" s="11">
        <f t="shared" si="18"/>
        <v>1.0370046296296295E-3</v>
      </c>
      <c r="H23" s="11">
        <f t="shared" si="19"/>
        <v>1.0694444444444445E-3</v>
      </c>
      <c r="I23" s="11">
        <f t="shared" si="20"/>
        <v>1.1150587415372358E-3</v>
      </c>
      <c r="J23" s="11">
        <f t="shared" si="21"/>
        <v>1.1271789452495973E-3</v>
      </c>
      <c r="K23" s="11">
        <f t="shared" si="22"/>
        <v>1.1784143518518517E-3</v>
      </c>
      <c r="L23" s="11">
        <f t="shared" si="23"/>
        <v>1.2345293209876543E-3</v>
      </c>
      <c r="M23" s="25"/>
      <c r="N23" s="28"/>
      <c r="O23" s="25"/>
      <c r="P23" s="25"/>
      <c r="Q23" s="25"/>
      <c r="R23" s="25"/>
      <c r="S23" s="28"/>
      <c r="T23" s="28"/>
      <c r="U23" s="28"/>
      <c r="V23" s="38"/>
      <c r="W23" s="15" t="s">
        <v>35</v>
      </c>
      <c r="X23" s="50"/>
    </row>
    <row r="24" spans="1:24" ht="21" customHeight="1">
      <c r="A24" s="10" t="s">
        <v>70</v>
      </c>
      <c r="B24" s="11">
        <v>1.3541666666666667E-2</v>
      </c>
      <c r="C24" s="11">
        <v>4.0509259259259257E-3</v>
      </c>
      <c r="D24" s="11">
        <f t="shared" si="16"/>
        <v>7.8785416666666674E-3</v>
      </c>
      <c r="E24" s="12">
        <v>0.58179999999999998</v>
      </c>
      <c r="F24" s="11">
        <f t="shared" si="17"/>
        <v>1.0127314814814814E-3</v>
      </c>
      <c r="G24" s="11">
        <f t="shared" si="18"/>
        <v>1.0504722222222224E-3</v>
      </c>
      <c r="H24" s="11">
        <f t="shared" si="19"/>
        <v>1.0833333333333333E-3</v>
      </c>
      <c r="I24" s="11">
        <f t="shared" si="20"/>
        <v>1.1295400238948627E-3</v>
      </c>
      <c r="J24" s="11">
        <f t="shared" si="21"/>
        <v>1.1418176328502417E-3</v>
      </c>
      <c r="K24" s="11">
        <f t="shared" si="22"/>
        <v>1.1937184343434346E-3</v>
      </c>
      <c r="L24" s="11">
        <f t="shared" si="23"/>
        <v>1.2505621693121695E-3</v>
      </c>
      <c r="M24" s="25"/>
      <c r="N24" s="28"/>
      <c r="O24" s="25"/>
      <c r="P24" s="25"/>
      <c r="Q24" s="25"/>
      <c r="R24" s="25"/>
      <c r="S24" s="28"/>
      <c r="T24" s="28"/>
      <c r="U24" s="28"/>
      <c r="V24" s="38"/>
      <c r="W24" s="15" t="s">
        <v>35</v>
      </c>
      <c r="X24" s="50"/>
    </row>
    <row r="25" spans="1:24" ht="21" customHeight="1">
      <c r="A25" s="10" t="s">
        <v>75</v>
      </c>
      <c r="B25" s="11">
        <v>1.3541666666666667E-2</v>
      </c>
      <c r="C25" s="11"/>
      <c r="D25" s="11">
        <f t="shared" si="16"/>
        <v>7.8785416666666674E-3</v>
      </c>
      <c r="E25" s="12">
        <v>0.58179999999999998</v>
      </c>
      <c r="F25" s="11">
        <f t="shared" si="17"/>
        <v>0</v>
      </c>
      <c r="G25" s="11">
        <f t="shared" si="18"/>
        <v>1.0504722222222224E-3</v>
      </c>
      <c r="H25" s="11">
        <f t="shared" si="19"/>
        <v>1.0833333333333333E-3</v>
      </c>
      <c r="I25" s="11">
        <f t="shared" si="20"/>
        <v>1.1295400238948627E-3</v>
      </c>
      <c r="J25" s="11">
        <f t="shared" si="21"/>
        <v>1.1418176328502417E-3</v>
      </c>
      <c r="K25" s="11">
        <f t="shared" si="22"/>
        <v>1.1937184343434346E-3</v>
      </c>
      <c r="L25" s="11">
        <f t="shared" si="23"/>
        <v>1.2505621693121695E-3</v>
      </c>
      <c r="M25" s="25"/>
      <c r="N25" s="28"/>
      <c r="O25" s="25"/>
      <c r="P25" s="25"/>
      <c r="Q25" s="25"/>
      <c r="R25" s="25"/>
      <c r="S25" s="25"/>
      <c r="T25" s="25"/>
      <c r="U25" s="25"/>
      <c r="V25" s="11"/>
      <c r="W25" s="15" t="s">
        <v>35</v>
      </c>
      <c r="X25" s="50"/>
    </row>
    <row r="26" spans="1:24" ht="21" customHeight="1">
      <c r="A26" s="10" t="s">
        <v>73</v>
      </c>
      <c r="B26" s="11">
        <v>1.4236111111111111E-2</v>
      </c>
      <c r="C26" s="11">
        <v>4.3981481481481484E-3</v>
      </c>
      <c r="D26" s="11">
        <f t="shared" si="16"/>
        <v>8.2825694444444448E-3</v>
      </c>
      <c r="E26" s="12">
        <v>0.58179999999999998</v>
      </c>
      <c r="F26" s="11">
        <f t="shared" si="17"/>
        <v>1.0995370370370371E-3</v>
      </c>
      <c r="G26" s="11">
        <f t="shared" si="18"/>
        <v>1.1043425925925927E-3</v>
      </c>
      <c r="H26" s="11">
        <f t="shared" si="19"/>
        <v>1.1388888888888889E-3</v>
      </c>
      <c r="I26" s="11">
        <f t="shared" si="20"/>
        <v>1.1874651533253684E-3</v>
      </c>
      <c r="J26" s="11">
        <f t="shared" si="21"/>
        <v>1.2003723832528181E-3</v>
      </c>
      <c r="K26" s="11">
        <f t="shared" si="22"/>
        <v>1.2549347643097644E-3</v>
      </c>
      <c r="L26" s="11">
        <f t="shared" si="23"/>
        <v>1.3146935626102295E-3</v>
      </c>
      <c r="M26" s="25"/>
      <c r="N26" s="28"/>
      <c r="O26" s="25"/>
      <c r="P26" s="25"/>
      <c r="Q26" s="25"/>
      <c r="R26" s="25"/>
      <c r="S26" s="28"/>
      <c r="T26" s="28"/>
      <c r="U26" s="28"/>
      <c r="V26" s="28"/>
      <c r="W26" s="15" t="s">
        <v>35</v>
      </c>
      <c r="X26" s="50"/>
    </row>
    <row r="27" spans="1:24" ht="21" customHeight="1">
      <c r="A27" s="10"/>
      <c r="B27" s="11"/>
      <c r="C27" s="11"/>
      <c r="D27" s="11"/>
      <c r="E27" s="12"/>
      <c r="F27" s="11"/>
      <c r="G27" s="11"/>
      <c r="H27" s="11"/>
      <c r="I27" s="11"/>
      <c r="J27" s="11"/>
      <c r="K27" s="11"/>
      <c r="L27" s="11"/>
      <c r="M27" s="13"/>
      <c r="N27" s="11"/>
      <c r="O27" s="11"/>
      <c r="P27" s="11"/>
      <c r="Q27" s="14"/>
      <c r="R27" s="11"/>
      <c r="S27" s="14"/>
      <c r="T27" s="14"/>
      <c r="U27" s="14"/>
      <c r="V27" s="17"/>
      <c r="W27" s="18"/>
      <c r="X27" s="50"/>
    </row>
    <row r="28" spans="1:24" ht="21" customHeight="1">
      <c r="A28" s="10"/>
      <c r="B28" s="11"/>
      <c r="C28" s="11"/>
      <c r="D28" s="11"/>
      <c r="E28" s="12"/>
      <c r="F28" s="11"/>
      <c r="G28" s="11"/>
      <c r="H28" s="11"/>
      <c r="I28" s="11"/>
      <c r="J28" s="11"/>
      <c r="K28" s="11"/>
      <c r="L28" s="11"/>
      <c r="M28" s="25"/>
      <c r="N28" s="28"/>
      <c r="O28" s="25"/>
      <c r="P28" s="28"/>
      <c r="Q28" s="25"/>
      <c r="R28" s="11"/>
      <c r="S28" s="14"/>
      <c r="T28" s="11"/>
      <c r="U28" s="11"/>
      <c r="V28" s="17"/>
      <c r="W28" s="18"/>
      <c r="X28" s="50"/>
    </row>
    <row r="29" spans="1:24" ht="21" customHeight="1" thickBot="1">
      <c r="A29" s="10"/>
      <c r="B29" s="11"/>
      <c r="C29" s="11"/>
      <c r="D29" s="11"/>
      <c r="E29" s="12"/>
      <c r="F29" s="11"/>
      <c r="G29" s="11"/>
      <c r="H29" s="11"/>
      <c r="I29" s="11"/>
      <c r="J29" s="11"/>
      <c r="K29" s="11"/>
      <c r="L29" s="11"/>
      <c r="M29" s="13"/>
      <c r="N29" s="11"/>
      <c r="O29" s="11"/>
      <c r="P29" s="11"/>
      <c r="Q29" s="14"/>
      <c r="R29" s="11"/>
      <c r="S29" s="14"/>
      <c r="T29" s="14"/>
      <c r="U29" s="14"/>
      <c r="V29" s="17"/>
      <c r="W29" s="18"/>
      <c r="X29" s="50"/>
    </row>
    <row r="30" spans="1:24" ht="21" customHeight="1">
      <c r="A30" s="1" t="s">
        <v>318</v>
      </c>
      <c r="B30" s="6"/>
      <c r="C30" s="6"/>
      <c r="D30" s="6"/>
      <c r="E30" s="20"/>
      <c r="F30" s="6"/>
      <c r="G30" s="6"/>
      <c r="H30" s="6"/>
      <c r="I30" s="6"/>
      <c r="J30" s="6"/>
      <c r="K30" s="6"/>
      <c r="L30" s="6"/>
      <c r="M30" s="6"/>
      <c r="N30" s="6"/>
      <c r="O30" s="6"/>
      <c r="P30" s="6"/>
      <c r="Q30" s="6"/>
      <c r="R30" s="6"/>
      <c r="S30" s="6"/>
      <c r="T30" s="6"/>
      <c r="U30" s="6"/>
      <c r="V30" s="21"/>
      <c r="W30" s="35"/>
      <c r="X30" s="50"/>
    </row>
    <row r="31" spans="1:24" ht="21" customHeight="1">
      <c r="A31" s="10" t="s">
        <v>36</v>
      </c>
      <c r="B31" s="11">
        <v>1.2731481481481481E-2</v>
      </c>
      <c r="C31" s="11"/>
      <c r="D31" s="11">
        <f t="shared" ref="D31:D39" si="24">B31*E31</f>
        <v>7.4071759259259256E-3</v>
      </c>
      <c r="E31" s="12">
        <v>0.58179999999999998</v>
      </c>
      <c r="F31" s="11">
        <f t="shared" ref="F31:F39" si="25">C31/4</f>
        <v>0</v>
      </c>
      <c r="G31" s="11">
        <f t="shared" ref="G31:G39" si="26">D31/7.5</f>
        <v>9.8762345679012349E-4</v>
      </c>
      <c r="H31" s="11">
        <f t="shared" ref="H31:H39" si="27">B31/12.5</f>
        <v>1.0185185185185184E-3</v>
      </c>
      <c r="I31" s="11">
        <f t="shared" ref="I31:I39" si="28">G31/0.93</f>
        <v>1.0619607062259391E-3</v>
      </c>
      <c r="J31" s="11">
        <f t="shared" ref="J31:J39" si="29">G31/0.92</f>
        <v>1.073503757380569E-3</v>
      </c>
      <c r="K31" s="11">
        <f t="shared" ref="K31:K39" si="30">G31/0.88</f>
        <v>1.1222993827160494E-3</v>
      </c>
      <c r="L31" s="11">
        <f t="shared" ref="L31:L39" si="31">G31/0.84</f>
        <v>1.1757422104644328E-3</v>
      </c>
      <c r="M31" s="25"/>
      <c r="N31" s="28"/>
      <c r="O31" s="25"/>
      <c r="P31" s="28"/>
      <c r="Q31" s="25"/>
      <c r="R31" s="25"/>
      <c r="S31" s="25"/>
      <c r="T31" s="28"/>
      <c r="U31" s="11"/>
      <c r="V31" s="36"/>
      <c r="W31" s="15" t="s">
        <v>48</v>
      </c>
      <c r="X31" s="52" t="s">
        <v>215</v>
      </c>
    </row>
    <row r="32" spans="1:24" ht="21" customHeight="1">
      <c r="A32" s="10" t="s">
        <v>50</v>
      </c>
      <c r="B32" s="11">
        <v>1.3020833333333334E-2</v>
      </c>
      <c r="C32" s="11">
        <v>3.6458333333333334E-3</v>
      </c>
      <c r="D32" s="11">
        <f t="shared" si="24"/>
        <v>7.5755208333333334E-3</v>
      </c>
      <c r="E32" s="12">
        <v>0.58179999999999998</v>
      </c>
      <c r="F32" s="11">
        <f t="shared" si="25"/>
        <v>9.1145833333333335E-4</v>
      </c>
      <c r="G32" s="11">
        <f t="shared" si="26"/>
        <v>1.0100694444444445E-3</v>
      </c>
      <c r="H32" s="11">
        <f t="shared" si="27"/>
        <v>1.0416666666666667E-3</v>
      </c>
      <c r="I32" s="11">
        <f t="shared" si="28"/>
        <v>1.0860961768219832E-3</v>
      </c>
      <c r="J32" s="11">
        <f t="shared" si="29"/>
        <v>1.0979015700483092E-3</v>
      </c>
      <c r="K32" s="11">
        <f t="shared" si="30"/>
        <v>1.1478061868686869E-3</v>
      </c>
      <c r="L32" s="11">
        <f t="shared" si="31"/>
        <v>1.2024636243386244E-3</v>
      </c>
      <c r="M32" s="25"/>
      <c r="N32" s="28"/>
      <c r="O32" s="25"/>
      <c r="P32" s="28"/>
      <c r="Q32" s="25"/>
      <c r="R32" s="25"/>
      <c r="S32" s="25"/>
      <c r="T32" s="28"/>
      <c r="U32" s="11"/>
      <c r="V32" s="36"/>
      <c r="W32" s="15" t="s">
        <v>48</v>
      </c>
      <c r="X32" s="52"/>
    </row>
    <row r="33" spans="1:24" ht="21" customHeight="1">
      <c r="A33" s="10" t="s">
        <v>74</v>
      </c>
      <c r="B33" s="11">
        <v>1.3020833333333334E-2</v>
      </c>
      <c r="C33" s="11">
        <v>3.7037037037037038E-3</v>
      </c>
      <c r="D33" s="11">
        <f t="shared" si="24"/>
        <v>7.5755208333333334E-3</v>
      </c>
      <c r="E33" s="12">
        <v>0.58179999999999998</v>
      </c>
      <c r="F33" s="11">
        <f t="shared" si="25"/>
        <v>9.2592592592592596E-4</v>
      </c>
      <c r="G33" s="11">
        <f t="shared" si="26"/>
        <v>1.0100694444444445E-3</v>
      </c>
      <c r="H33" s="11">
        <f t="shared" si="27"/>
        <v>1.0416666666666667E-3</v>
      </c>
      <c r="I33" s="11">
        <f t="shared" si="28"/>
        <v>1.0860961768219832E-3</v>
      </c>
      <c r="J33" s="11">
        <f t="shared" si="29"/>
        <v>1.0979015700483092E-3</v>
      </c>
      <c r="K33" s="11">
        <f t="shared" si="30"/>
        <v>1.1478061868686869E-3</v>
      </c>
      <c r="L33" s="11">
        <f t="shared" si="31"/>
        <v>1.2024636243386244E-3</v>
      </c>
      <c r="M33" s="25"/>
      <c r="N33" s="28"/>
      <c r="O33" s="25"/>
      <c r="P33" s="28"/>
      <c r="Q33" s="25"/>
      <c r="R33" s="25"/>
      <c r="S33" s="25"/>
      <c r="T33" s="28"/>
      <c r="U33" s="11"/>
      <c r="V33" s="36"/>
      <c r="W33" s="15" t="s">
        <v>48</v>
      </c>
      <c r="X33" s="52"/>
    </row>
    <row r="34" spans="1:24" ht="21" customHeight="1">
      <c r="A34" s="10" t="s">
        <v>47</v>
      </c>
      <c r="B34" s="11">
        <v>1.3020833333333334E-2</v>
      </c>
      <c r="C34" s="11">
        <v>3.7037037037037038E-3</v>
      </c>
      <c r="D34" s="11">
        <f t="shared" si="24"/>
        <v>7.5755208333333334E-3</v>
      </c>
      <c r="E34" s="12">
        <v>0.58179999999999998</v>
      </c>
      <c r="F34" s="11">
        <f t="shared" si="25"/>
        <v>9.2592592592592596E-4</v>
      </c>
      <c r="G34" s="11">
        <f t="shared" si="26"/>
        <v>1.0100694444444445E-3</v>
      </c>
      <c r="H34" s="11">
        <f t="shared" si="27"/>
        <v>1.0416666666666667E-3</v>
      </c>
      <c r="I34" s="11">
        <f t="shared" si="28"/>
        <v>1.0860961768219832E-3</v>
      </c>
      <c r="J34" s="11">
        <f t="shared" si="29"/>
        <v>1.0979015700483092E-3</v>
      </c>
      <c r="K34" s="11">
        <f t="shared" si="30"/>
        <v>1.1478061868686869E-3</v>
      </c>
      <c r="L34" s="11">
        <f t="shared" si="31"/>
        <v>1.2024636243386244E-3</v>
      </c>
      <c r="M34" s="25"/>
      <c r="N34" s="28"/>
      <c r="O34" s="25"/>
      <c r="P34" s="28"/>
      <c r="Q34" s="25"/>
      <c r="R34" s="25"/>
      <c r="S34" s="25"/>
      <c r="T34" s="28"/>
      <c r="U34" s="11"/>
      <c r="V34" s="36"/>
      <c r="W34" s="15" t="s">
        <v>48</v>
      </c>
      <c r="X34" s="52"/>
    </row>
    <row r="35" spans="1:24" ht="21" customHeight="1">
      <c r="A35" s="10" t="s">
        <v>53</v>
      </c>
      <c r="B35" s="11">
        <v>1.3020833333333334E-2</v>
      </c>
      <c r="C35" s="11"/>
      <c r="D35" s="11">
        <f t="shared" si="24"/>
        <v>7.5755208333333334E-3</v>
      </c>
      <c r="E35" s="12">
        <v>0.58179999999999998</v>
      </c>
      <c r="F35" s="11">
        <f t="shared" si="25"/>
        <v>0</v>
      </c>
      <c r="G35" s="11">
        <f t="shared" si="26"/>
        <v>1.0100694444444445E-3</v>
      </c>
      <c r="H35" s="11">
        <f t="shared" si="27"/>
        <v>1.0416666666666667E-3</v>
      </c>
      <c r="I35" s="11">
        <f t="shared" si="28"/>
        <v>1.0860961768219832E-3</v>
      </c>
      <c r="J35" s="11">
        <f t="shared" si="29"/>
        <v>1.0979015700483092E-3</v>
      </c>
      <c r="K35" s="11">
        <f t="shared" si="30"/>
        <v>1.1478061868686869E-3</v>
      </c>
      <c r="L35" s="11">
        <f t="shared" si="31"/>
        <v>1.2024636243386244E-3</v>
      </c>
      <c r="M35" s="25"/>
      <c r="N35" s="28"/>
      <c r="O35" s="25"/>
      <c r="P35" s="28"/>
      <c r="Q35" s="25"/>
      <c r="R35" s="28"/>
      <c r="S35" s="28"/>
      <c r="T35" s="11"/>
      <c r="U35" s="11"/>
      <c r="V35" s="47"/>
      <c r="W35" s="18" t="s">
        <v>48</v>
      </c>
      <c r="X35" s="52"/>
    </row>
    <row r="36" spans="1:24" ht="21" customHeight="1">
      <c r="A36" s="10" t="s">
        <v>66</v>
      </c>
      <c r="B36" s="11">
        <v>1.3020833333333334E-2</v>
      </c>
      <c r="C36" s="11">
        <v>3.7037037037037038E-3</v>
      </c>
      <c r="D36" s="11">
        <f t="shared" si="24"/>
        <v>7.5755208333333334E-3</v>
      </c>
      <c r="E36" s="12">
        <v>0.58179999999999998</v>
      </c>
      <c r="F36" s="11">
        <f t="shared" si="25"/>
        <v>9.2592592592592596E-4</v>
      </c>
      <c r="G36" s="11">
        <f t="shared" si="26"/>
        <v>1.0100694444444445E-3</v>
      </c>
      <c r="H36" s="11">
        <f t="shared" si="27"/>
        <v>1.0416666666666667E-3</v>
      </c>
      <c r="I36" s="11">
        <f t="shared" si="28"/>
        <v>1.0860961768219832E-3</v>
      </c>
      <c r="J36" s="11">
        <f t="shared" si="29"/>
        <v>1.0979015700483092E-3</v>
      </c>
      <c r="K36" s="11">
        <f t="shared" si="30"/>
        <v>1.1478061868686869E-3</v>
      </c>
      <c r="L36" s="17">
        <f t="shared" si="31"/>
        <v>1.2024636243386244E-3</v>
      </c>
      <c r="M36" s="25"/>
      <c r="N36" s="28"/>
      <c r="O36" s="25"/>
      <c r="P36" s="28"/>
      <c r="Q36" s="25"/>
      <c r="R36" s="25"/>
      <c r="S36" s="25"/>
      <c r="T36" s="28"/>
      <c r="U36" s="11"/>
      <c r="V36" s="36"/>
      <c r="W36" s="15" t="s">
        <v>48</v>
      </c>
      <c r="X36" s="52"/>
    </row>
    <row r="37" spans="1:24" ht="21" customHeight="1">
      <c r="A37" s="10" t="s">
        <v>72</v>
      </c>
      <c r="B37" s="11">
        <v>1.3541666666666667E-2</v>
      </c>
      <c r="C37" s="11">
        <v>4.0509259259259257E-3</v>
      </c>
      <c r="D37" s="11">
        <f t="shared" si="24"/>
        <v>7.8785416666666674E-3</v>
      </c>
      <c r="E37" s="12">
        <v>0.58179999999999998</v>
      </c>
      <c r="F37" s="11">
        <f t="shared" si="25"/>
        <v>1.0127314814814814E-3</v>
      </c>
      <c r="G37" s="11">
        <f t="shared" si="26"/>
        <v>1.0504722222222224E-3</v>
      </c>
      <c r="H37" s="11">
        <f t="shared" si="27"/>
        <v>1.0833333333333333E-3</v>
      </c>
      <c r="I37" s="11">
        <f t="shared" si="28"/>
        <v>1.1295400238948627E-3</v>
      </c>
      <c r="J37" s="11">
        <f t="shared" si="29"/>
        <v>1.1418176328502417E-3</v>
      </c>
      <c r="K37" s="11">
        <f t="shared" si="30"/>
        <v>1.1937184343434346E-3</v>
      </c>
      <c r="L37" s="11">
        <f t="shared" si="31"/>
        <v>1.2505621693121695E-3</v>
      </c>
      <c r="M37" s="25"/>
      <c r="N37" s="28"/>
      <c r="O37" s="25"/>
      <c r="P37" s="25"/>
      <c r="Q37" s="25"/>
      <c r="R37" s="28"/>
      <c r="S37" s="11"/>
      <c r="T37" s="28"/>
      <c r="U37" s="28"/>
      <c r="V37" s="28"/>
      <c r="W37" s="15" t="s">
        <v>48</v>
      </c>
      <c r="X37" s="52"/>
    </row>
    <row r="38" spans="1:24" ht="21" customHeight="1">
      <c r="A38" s="10" t="s">
        <v>198</v>
      </c>
      <c r="B38" s="11">
        <v>1.4583333333333334E-2</v>
      </c>
      <c r="C38" s="11">
        <v>4.1666666666666666E-3</v>
      </c>
      <c r="D38" s="11">
        <f t="shared" si="24"/>
        <v>8.4845833333333336E-3</v>
      </c>
      <c r="E38" s="12">
        <v>0.58179999999999998</v>
      </c>
      <c r="F38" s="11">
        <f t="shared" si="25"/>
        <v>1.0416666666666667E-3</v>
      </c>
      <c r="G38" s="11">
        <f t="shared" si="26"/>
        <v>1.1312777777777777E-3</v>
      </c>
      <c r="H38" s="11">
        <f t="shared" si="27"/>
        <v>1.1666666666666668E-3</v>
      </c>
      <c r="I38" s="11">
        <f t="shared" si="28"/>
        <v>1.2164277180406211E-3</v>
      </c>
      <c r="J38" s="11">
        <f t="shared" si="29"/>
        <v>1.2296497584541061E-3</v>
      </c>
      <c r="K38" s="11">
        <f t="shared" si="30"/>
        <v>1.2855429292929293E-3</v>
      </c>
      <c r="L38" s="11">
        <f t="shared" si="31"/>
        <v>1.3467592592592591E-3</v>
      </c>
      <c r="M38" s="25"/>
      <c r="N38" s="28"/>
      <c r="O38" s="25"/>
      <c r="P38" s="28"/>
      <c r="Q38" s="25"/>
      <c r="R38" s="25"/>
      <c r="S38" s="25"/>
      <c r="T38" s="28"/>
      <c r="U38" s="11"/>
      <c r="V38" s="36"/>
      <c r="W38" s="15" t="s">
        <v>48</v>
      </c>
      <c r="X38" s="52"/>
    </row>
    <row r="39" spans="1:24" ht="21" customHeight="1">
      <c r="A39" s="10" t="s">
        <v>68</v>
      </c>
      <c r="B39" s="11">
        <v>1.4236111111111111E-2</v>
      </c>
      <c r="C39" s="11"/>
      <c r="D39" s="11">
        <f t="shared" si="24"/>
        <v>8.2825694444444448E-3</v>
      </c>
      <c r="E39" s="12">
        <v>0.58179999999999998</v>
      </c>
      <c r="F39" s="11">
        <f t="shared" si="25"/>
        <v>0</v>
      </c>
      <c r="G39" s="11">
        <f t="shared" si="26"/>
        <v>1.1043425925925927E-3</v>
      </c>
      <c r="H39" s="11">
        <f t="shared" si="27"/>
        <v>1.1388888888888889E-3</v>
      </c>
      <c r="I39" s="11">
        <f t="shared" si="28"/>
        <v>1.1874651533253684E-3</v>
      </c>
      <c r="J39" s="11">
        <f t="shared" si="29"/>
        <v>1.2003723832528181E-3</v>
      </c>
      <c r="K39" s="11">
        <f t="shared" si="30"/>
        <v>1.2549347643097644E-3</v>
      </c>
      <c r="L39" s="11">
        <f t="shared" si="31"/>
        <v>1.3146935626102295E-3</v>
      </c>
      <c r="M39" s="25"/>
      <c r="N39" s="28"/>
      <c r="O39" s="25"/>
      <c r="P39" s="28"/>
      <c r="Q39" s="25"/>
      <c r="R39" s="28"/>
      <c r="S39" s="11"/>
      <c r="T39" s="11"/>
      <c r="U39" s="11"/>
      <c r="V39" s="11"/>
      <c r="W39" s="15" t="s">
        <v>48</v>
      </c>
      <c r="X39" s="52"/>
    </row>
    <row r="40" spans="1:24" ht="21" customHeight="1">
      <c r="A40" s="10" t="s">
        <v>76</v>
      </c>
      <c r="B40" s="11">
        <v>1.4236111111111111E-2</v>
      </c>
      <c r="C40" s="11"/>
      <c r="D40" s="11">
        <f t="shared" ref="D40" si="32">B40*E40</f>
        <v>8.2825694444444448E-3</v>
      </c>
      <c r="E40" s="12">
        <v>0.58179999999999998</v>
      </c>
      <c r="F40" s="11">
        <f t="shared" ref="F40" si="33">C40/4</f>
        <v>0</v>
      </c>
      <c r="G40" s="11">
        <f t="shared" ref="G40" si="34">D40/7.5</f>
        <v>1.1043425925925927E-3</v>
      </c>
      <c r="H40" s="11">
        <f t="shared" ref="H40" si="35">B40/12.5</f>
        <v>1.1388888888888889E-3</v>
      </c>
      <c r="I40" s="11">
        <f t="shared" ref="I40" si="36">G40/0.93</f>
        <v>1.1874651533253684E-3</v>
      </c>
      <c r="J40" s="11">
        <f t="shared" ref="J40" si="37">G40/0.92</f>
        <v>1.2003723832528181E-3</v>
      </c>
      <c r="K40" s="11">
        <f t="shared" ref="K40" si="38">G40/0.88</f>
        <v>1.2549347643097644E-3</v>
      </c>
      <c r="L40" s="11">
        <f t="shared" ref="L40" si="39">G40/0.84</f>
        <v>1.3146935626102295E-3</v>
      </c>
      <c r="M40" s="25"/>
      <c r="N40" s="28"/>
      <c r="O40" s="25"/>
      <c r="P40" s="25"/>
      <c r="Q40" s="25"/>
      <c r="R40" s="25"/>
      <c r="S40" s="28"/>
      <c r="T40" s="28"/>
      <c r="U40" s="28"/>
      <c r="V40" s="28"/>
      <c r="W40" s="15" t="s">
        <v>48</v>
      </c>
      <c r="X40" s="52"/>
    </row>
    <row r="41" spans="1:24" ht="21" customHeight="1">
      <c r="A41" s="39"/>
      <c r="B41" s="40"/>
      <c r="C41" s="40"/>
      <c r="D41" s="40"/>
      <c r="E41" s="41"/>
      <c r="F41" s="40"/>
      <c r="G41" s="40"/>
      <c r="H41" s="40"/>
      <c r="I41" s="40"/>
      <c r="J41" s="40"/>
      <c r="K41" s="40"/>
      <c r="L41" s="40"/>
      <c r="M41" s="40"/>
      <c r="N41" s="40"/>
      <c r="O41" s="40"/>
      <c r="P41" s="40"/>
      <c r="Q41" s="40"/>
      <c r="R41" s="40"/>
      <c r="S41" s="40"/>
      <c r="T41" s="40"/>
      <c r="U41" s="40"/>
      <c r="V41" s="40"/>
      <c r="W41" s="42"/>
      <c r="X41" s="50"/>
    </row>
    <row r="42" spans="1:24" ht="21" customHeight="1">
      <c r="A42" s="19"/>
      <c r="B42" s="6"/>
      <c r="C42" s="6"/>
      <c r="D42" s="6"/>
      <c r="E42" s="20"/>
      <c r="F42" s="6"/>
      <c r="G42" s="6"/>
      <c r="H42" s="6"/>
      <c r="I42" s="6"/>
      <c r="J42" s="6"/>
      <c r="K42" s="6"/>
      <c r="L42" s="6"/>
      <c r="M42" s="6"/>
      <c r="N42" s="6"/>
      <c r="O42" s="6"/>
      <c r="P42" s="6"/>
      <c r="Q42" s="6"/>
      <c r="R42" s="6"/>
      <c r="S42" s="6"/>
      <c r="T42" s="6"/>
      <c r="U42" s="6"/>
      <c r="V42" s="6"/>
      <c r="W42" s="35"/>
      <c r="X42" s="50"/>
    </row>
    <row r="43" spans="1:24" ht="21" customHeight="1">
      <c r="A43" s="10" t="s">
        <v>61</v>
      </c>
      <c r="B43" s="11">
        <v>1.4930555555555556E-2</v>
      </c>
      <c r="C43" s="11">
        <v>4.3981481481481484E-3</v>
      </c>
      <c r="D43" s="11">
        <f>B43*E43</f>
        <v>8.6865972222222223E-3</v>
      </c>
      <c r="E43" s="12">
        <v>0.58179999999999998</v>
      </c>
      <c r="F43" s="11">
        <f>C43/4</f>
        <v>1.0995370370370371E-3</v>
      </c>
      <c r="G43" s="11">
        <f>D43/7.5</f>
        <v>1.1582129629629629E-3</v>
      </c>
      <c r="H43" s="11">
        <f>B43/12.5</f>
        <v>1.1944444444444446E-3</v>
      </c>
      <c r="I43" s="11">
        <f>G43/0.93</f>
        <v>1.2453902827558739E-3</v>
      </c>
      <c r="J43" s="11">
        <f>G43/0.92</f>
        <v>1.2589271336553944E-3</v>
      </c>
      <c r="K43" s="11">
        <f>G43/0.88</f>
        <v>1.3161510942760941E-3</v>
      </c>
      <c r="L43" s="11">
        <f>G43/0.84</f>
        <v>1.3788249559082892E-3</v>
      </c>
      <c r="M43" s="25"/>
      <c r="N43" s="28"/>
      <c r="O43" s="25"/>
      <c r="P43" s="25"/>
      <c r="Q43" s="25"/>
      <c r="R43" s="25"/>
      <c r="S43" s="28"/>
      <c r="T43" s="28"/>
      <c r="U43" s="28"/>
      <c r="V43" s="28"/>
      <c r="W43" s="15" t="s">
        <v>52</v>
      </c>
      <c r="X43" s="50"/>
    </row>
    <row r="44" spans="1:24" ht="21" customHeight="1">
      <c r="A44" s="10" t="s">
        <v>57</v>
      </c>
      <c r="B44" s="11"/>
      <c r="C44" s="11"/>
      <c r="D44" s="11"/>
      <c r="E44" s="12"/>
      <c r="F44" s="11"/>
      <c r="G44" s="11"/>
      <c r="H44" s="11"/>
      <c r="I44" s="11"/>
      <c r="J44" s="11"/>
      <c r="K44" s="11"/>
      <c r="L44" s="11"/>
      <c r="M44" s="25"/>
      <c r="N44" s="28"/>
      <c r="O44" s="25"/>
      <c r="P44" s="28"/>
      <c r="Q44" s="25"/>
      <c r="R44" s="28"/>
      <c r="S44" s="28"/>
      <c r="T44" s="11"/>
      <c r="U44" s="11"/>
      <c r="V44" s="11"/>
      <c r="W44" s="15" t="s">
        <v>52</v>
      </c>
      <c r="X44" s="50"/>
    </row>
    <row r="45" spans="1:24" ht="21" customHeight="1">
      <c r="A45" s="10" t="s">
        <v>64</v>
      </c>
      <c r="B45" s="11">
        <v>1.2731481481481481E-2</v>
      </c>
      <c r="C45" s="11">
        <v>3.5879629629629629E-3</v>
      </c>
      <c r="D45" s="11">
        <f>B45*E45</f>
        <v>7.4071759259259256E-3</v>
      </c>
      <c r="E45" s="12">
        <v>0.58179999999999998</v>
      </c>
      <c r="F45" s="11">
        <f>C45/4</f>
        <v>8.9699074074074073E-4</v>
      </c>
      <c r="G45" s="11">
        <f>D45/7.5</f>
        <v>9.8762345679012349E-4</v>
      </c>
      <c r="H45" s="11">
        <f>B45/12.5</f>
        <v>1.0185185185185184E-3</v>
      </c>
      <c r="I45" s="11">
        <f>G45/0.93</f>
        <v>1.0619607062259391E-3</v>
      </c>
      <c r="J45" s="11">
        <f>G45/0.92</f>
        <v>1.073503757380569E-3</v>
      </c>
      <c r="K45" s="11">
        <f>G45/0.88</f>
        <v>1.1222993827160494E-3</v>
      </c>
      <c r="L45" s="11">
        <f>G45/0.84</f>
        <v>1.1757422104644328E-3</v>
      </c>
      <c r="M45" s="25"/>
      <c r="N45" s="28"/>
      <c r="O45" s="25"/>
      <c r="P45" s="28"/>
      <c r="Q45" s="25"/>
      <c r="R45" s="25"/>
      <c r="S45" s="28"/>
      <c r="T45" s="28"/>
      <c r="U45" s="28"/>
      <c r="V45" s="28"/>
      <c r="W45" s="15" t="s">
        <v>52</v>
      </c>
      <c r="X45" s="50"/>
    </row>
    <row r="46" spans="1:24" ht="21" customHeight="1">
      <c r="A46" s="10"/>
      <c r="B46" s="11"/>
      <c r="C46" s="11"/>
      <c r="D46" s="11"/>
      <c r="E46" s="12"/>
      <c r="F46" s="11"/>
      <c r="G46" s="11"/>
      <c r="H46" s="11"/>
      <c r="I46" s="11"/>
      <c r="J46" s="11"/>
      <c r="K46" s="11"/>
      <c r="L46" s="11"/>
      <c r="M46" s="45"/>
      <c r="N46" s="11"/>
      <c r="O46" s="11"/>
      <c r="P46" s="11"/>
      <c r="Q46" s="14"/>
      <c r="R46" s="11"/>
      <c r="S46" s="14"/>
      <c r="T46" s="11"/>
      <c r="U46" s="14"/>
      <c r="V46" s="17"/>
      <c r="W46" s="18"/>
      <c r="X46" s="50"/>
    </row>
    <row r="47" spans="1:24" ht="21" customHeight="1">
      <c r="A47" s="10"/>
      <c r="B47" s="11"/>
      <c r="C47" s="11"/>
      <c r="D47" s="11"/>
      <c r="E47" s="12"/>
      <c r="F47" s="11"/>
      <c r="G47" s="11"/>
      <c r="H47" s="11"/>
      <c r="I47" s="11"/>
      <c r="J47" s="11"/>
      <c r="K47" s="11"/>
      <c r="L47" s="11"/>
      <c r="M47" s="45"/>
      <c r="N47" s="11"/>
      <c r="O47" s="11"/>
      <c r="P47" s="11"/>
      <c r="Q47" s="14"/>
      <c r="R47" s="11"/>
      <c r="S47" s="14"/>
      <c r="T47" s="11"/>
      <c r="U47" s="14"/>
      <c r="V47" s="17"/>
      <c r="W47" s="18"/>
      <c r="X47" s="50"/>
    </row>
    <row r="48" spans="1:24" ht="21" customHeight="1">
      <c r="A48" s="10"/>
      <c r="B48" s="11"/>
      <c r="C48" s="11"/>
      <c r="D48" s="11"/>
      <c r="E48" s="12"/>
      <c r="F48" s="11"/>
      <c r="G48" s="11"/>
      <c r="H48" s="11"/>
      <c r="I48" s="11"/>
      <c r="J48" s="11"/>
      <c r="K48" s="11"/>
      <c r="L48" s="11"/>
      <c r="M48" s="45"/>
      <c r="N48" s="11"/>
      <c r="O48" s="11"/>
      <c r="P48" s="11"/>
      <c r="Q48" s="14"/>
      <c r="R48" s="11"/>
      <c r="S48" s="14"/>
      <c r="T48" s="11"/>
      <c r="U48" s="14"/>
      <c r="V48" s="17"/>
      <c r="W48" s="18"/>
      <c r="X48" s="50"/>
    </row>
    <row r="49" spans="1:24" ht="21" customHeight="1">
      <c r="A49" s="10"/>
      <c r="B49" s="11"/>
      <c r="C49" s="11"/>
      <c r="D49" s="11"/>
      <c r="E49" s="12"/>
      <c r="F49" s="11"/>
      <c r="G49" s="11"/>
      <c r="H49" s="11"/>
      <c r="I49" s="11"/>
      <c r="J49" s="11"/>
      <c r="K49" s="11"/>
      <c r="L49" s="11"/>
      <c r="M49" s="14"/>
      <c r="N49" s="11"/>
      <c r="O49" s="14"/>
      <c r="P49" s="11"/>
      <c r="Q49" s="14"/>
      <c r="R49" s="11"/>
      <c r="S49" s="14"/>
      <c r="T49" s="14"/>
      <c r="U49" s="14"/>
      <c r="V49" s="11"/>
      <c r="W49" s="15"/>
      <c r="X49" s="50"/>
    </row>
    <row r="50" spans="1:24" ht="21" customHeight="1">
      <c r="A50" s="10"/>
      <c r="B50" s="11"/>
      <c r="C50" s="11"/>
      <c r="D50" s="11"/>
      <c r="E50" s="12"/>
      <c r="F50" s="11"/>
      <c r="G50" s="11"/>
      <c r="H50" s="11"/>
      <c r="I50" s="11"/>
      <c r="J50" s="11"/>
      <c r="K50" s="11"/>
      <c r="L50" s="11"/>
      <c r="M50" s="14"/>
      <c r="O50" s="14"/>
      <c r="P50" s="11"/>
      <c r="Q50" s="14"/>
      <c r="R50" s="11"/>
      <c r="S50" s="14"/>
      <c r="T50" s="14"/>
      <c r="U50" s="14"/>
      <c r="V50" s="11"/>
      <c r="W50" s="15"/>
      <c r="X50" s="50"/>
    </row>
    <row r="51" spans="1:24" ht="21" customHeight="1">
      <c r="A51" s="10"/>
      <c r="B51" s="11"/>
      <c r="C51" s="11"/>
      <c r="D51" s="11"/>
      <c r="E51" s="12"/>
      <c r="F51" s="11"/>
      <c r="G51" s="11"/>
      <c r="H51" s="11"/>
      <c r="I51" s="11"/>
      <c r="J51" s="11"/>
      <c r="K51" s="11"/>
      <c r="L51" s="11"/>
      <c r="M51" s="13"/>
      <c r="N51" s="11"/>
      <c r="O51" s="11"/>
      <c r="P51" s="11"/>
      <c r="Q51" s="14"/>
      <c r="R51" s="11"/>
      <c r="S51" s="14"/>
      <c r="T51" s="14"/>
      <c r="U51" s="14"/>
      <c r="V51" s="17"/>
      <c r="W51" s="18"/>
      <c r="X51" s="52"/>
    </row>
    <row r="52" spans="1:24" ht="21" customHeight="1">
      <c r="A52" s="10"/>
      <c r="B52" s="11"/>
      <c r="C52" s="11"/>
      <c r="D52" s="11"/>
      <c r="E52" s="12"/>
      <c r="F52" s="11"/>
      <c r="G52" s="11"/>
      <c r="H52" s="11"/>
      <c r="I52" s="11"/>
      <c r="J52" s="11"/>
      <c r="K52" s="11"/>
      <c r="L52" s="11"/>
      <c r="M52" s="14"/>
      <c r="N52" s="11"/>
      <c r="O52" s="14"/>
      <c r="P52" s="11"/>
      <c r="Q52" s="14"/>
      <c r="R52" s="11"/>
      <c r="S52" s="14"/>
      <c r="T52" s="14"/>
      <c r="U52" s="14"/>
      <c r="V52" s="11"/>
      <c r="W52" s="15"/>
      <c r="X52" s="52"/>
    </row>
    <row r="53" spans="1:24" ht="21" customHeight="1">
      <c r="A53" s="10"/>
      <c r="B53" s="11"/>
      <c r="C53" s="11"/>
      <c r="D53" s="11"/>
      <c r="E53" s="12"/>
      <c r="F53" s="11"/>
      <c r="G53" s="11"/>
      <c r="H53" s="11"/>
      <c r="I53" s="11"/>
      <c r="J53" s="11"/>
      <c r="K53" s="11"/>
      <c r="L53" s="17"/>
      <c r="M53" s="14"/>
      <c r="N53" s="11"/>
      <c r="O53" s="11"/>
      <c r="P53" s="11"/>
      <c r="Q53" s="14"/>
      <c r="R53" s="11"/>
      <c r="S53" s="14"/>
      <c r="T53" s="11"/>
      <c r="U53" s="11"/>
      <c r="V53" s="11"/>
      <c r="W53" s="15"/>
      <c r="X53" s="52"/>
    </row>
    <row r="54" spans="1:24" ht="21" customHeight="1">
      <c r="A54" s="10"/>
      <c r="B54" s="11"/>
      <c r="C54" s="11"/>
      <c r="D54" s="11"/>
      <c r="E54" s="12"/>
      <c r="F54" s="11"/>
      <c r="G54" s="11"/>
      <c r="H54" s="11"/>
      <c r="I54" s="11"/>
      <c r="J54" s="11"/>
      <c r="K54" s="11"/>
      <c r="L54" s="11"/>
      <c r="M54" s="13"/>
      <c r="N54" s="11"/>
      <c r="O54" s="11"/>
      <c r="P54" s="11"/>
      <c r="Q54" s="14"/>
      <c r="R54" s="11"/>
      <c r="S54" s="14"/>
      <c r="T54" s="14"/>
      <c r="U54" s="14"/>
      <c r="V54" s="17"/>
      <c r="W54" s="18"/>
      <c r="X54" s="52"/>
    </row>
    <row r="55" spans="1:24" ht="21" customHeight="1">
      <c r="A55" s="10"/>
      <c r="B55" s="11"/>
      <c r="C55" s="11"/>
      <c r="D55" s="11"/>
      <c r="E55" s="12"/>
      <c r="F55" s="11"/>
      <c r="G55" s="11"/>
      <c r="H55" s="11"/>
      <c r="I55" s="11"/>
      <c r="J55" s="11"/>
      <c r="K55" s="11"/>
      <c r="L55" s="11"/>
      <c r="M55" s="13"/>
      <c r="N55" s="11"/>
      <c r="O55" s="14"/>
      <c r="P55" s="11"/>
      <c r="Q55" s="14"/>
      <c r="R55" s="11"/>
      <c r="S55" s="14"/>
      <c r="T55" s="14"/>
      <c r="U55" s="14"/>
      <c r="V55" s="11"/>
      <c r="W55" s="18"/>
      <c r="X55" s="52"/>
    </row>
    <row r="56" spans="1:24" ht="21" customHeight="1">
      <c r="A56" s="10"/>
      <c r="B56" s="11"/>
      <c r="C56" s="11"/>
      <c r="D56" s="11"/>
      <c r="E56" s="12"/>
      <c r="F56" s="11"/>
      <c r="G56" s="11"/>
      <c r="H56" s="11"/>
      <c r="I56" s="11"/>
      <c r="J56" s="11"/>
      <c r="K56" s="11"/>
      <c r="L56" s="11"/>
      <c r="M56" s="13"/>
      <c r="N56" s="11"/>
      <c r="O56" s="11"/>
      <c r="P56" s="11"/>
      <c r="Q56" s="14"/>
      <c r="R56" s="11"/>
      <c r="S56" s="14"/>
      <c r="T56" s="14"/>
      <c r="U56" s="14"/>
      <c r="V56" s="17"/>
      <c r="W56" s="18"/>
      <c r="X56" s="52"/>
    </row>
    <row r="57" spans="1:24" ht="21" customHeight="1" thickBot="1">
      <c r="A57" s="10"/>
      <c r="B57" s="11"/>
      <c r="C57" s="11"/>
      <c r="D57" s="11"/>
      <c r="E57" s="12"/>
      <c r="F57" s="11"/>
      <c r="G57" s="11"/>
      <c r="H57" s="11"/>
      <c r="I57" s="11"/>
      <c r="J57" s="11"/>
      <c r="K57" s="11"/>
      <c r="L57" s="11"/>
      <c r="M57" s="13"/>
      <c r="N57" s="11"/>
      <c r="O57" s="11"/>
      <c r="P57" s="11"/>
      <c r="Q57" s="14"/>
      <c r="R57" s="11"/>
      <c r="S57" s="14"/>
      <c r="T57" s="14"/>
      <c r="U57" s="14"/>
      <c r="V57" s="17"/>
      <c r="W57" s="18"/>
      <c r="X57" s="52"/>
    </row>
    <row r="58" spans="1:24" ht="20.45" customHeight="1">
      <c r="A58" s="1" t="s">
        <v>318</v>
      </c>
      <c r="B58" s="2" t="s">
        <v>1</v>
      </c>
      <c r="C58" s="2" t="s">
        <v>2</v>
      </c>
      <c r="D58" s="2" t="s">
        <v>3</v>
      </c>
      <c r="E58" s="3" t="s">
        <v>4</v>
      </c>
      <c r="F58" s="2" t="s">
        <v>5</v>
      </c>
      <c r="G58" s="2" t="s">
        <v>6</v>
      </c>
      <c r="H58" s="2" t="s">
        <v>7</v>
      </c>
      <c r="I58" s="4" t="s">
        <v>8</v>
      </c>
      <c r="J58" s="2" t="s">
        <v>9</v>
      </c>
      <c r="K58" s="2" t="s">
        <v>10</v>
      </c>
      <c r="L58" s="2" t="s">
        <v>11</v>
      </c>
      <c r="M58" s="5" t="s">
        <v>206</v>
      </c>
      <c r="N58" s="6" t="s">
        <v>207</v>
      </c>
      <c r="O58" s="7" t="s">
        <v>208</v>
      </c>
      <c r="P58" s="8" t="s">
        <v>209</v>
      </c>
      <c r="Q58" s="8" t="s">
        <v>147</v>
      </c>
      <c r="R58" s="7" t="s">
        <v>148</v>
      </c>
      <c r="S58" s="7" t="s">
        <v>149</v>
      </c>
      <c r="T58" s="7" t="s">
        <v>77</v>
      </c>
      <c r="U58" s="8" t="s">
        <v>20</v>
      </c>
      <c r="V58" s="8" t="s">
        <v>21</v>
      </c>
      <c r="W58" s="24" t="s">
        <v>22</v>
      </c>
      <c r="X58" s="52" t="s">
        <v>216</v>
      </c>
    </row>
    <row r="59" spans="1:24" ht="20.45" customHeight="1">
      <c r="A59" s="10" t="s">
        <v>79</v>
      </c>
      <c r="B59" s="11">
        <v>9.8379629629629633E-3</v>
      </c>
      <c r="C59" s="11">
        <v>2.9745370370370373E-3</v>
      </c>
      <c r="D59" s="11">
        <f>B59*E59</f>
        <v>5.7237268518518522E-3</v>
      </c>
      <c r="E59" s="12">
        <v>0.58179999999999998</v>
      </c>
      <c r="F59" s="11">
        <f>C59/4</f>
        <v>7.4363425925925931E-4</v>
      </c>
      <c r="G59" s="11">
        <f>D59/7.5</f>
        <v>7.6316358024691364E-4</v>
      </c>
      <c r="H59" s="11">
        <f>B59/12.5</f>
        <v>7.8703703703703705E-4</v>
      </c>
      <c r="I59" s="11">
        <f>G59/0.93</f>
        <v>8.2060600026549854E-4</v>
      </c>
      <c r="J59" s="11">
        <f>G59/0.92</f>
        <v>8.29525630703167E-4</v>
      </c>
      <c r="K59" s="11">
        <f>G59/0.88</f>
        <v>8.6723134118967459E-4</v>
      </c>
      <c r="L59" s="11">
        <f>G59/0.84</f>
        <v>9.085280717225163E-4</v>
      </c>
      <c r="M59" s="25"/>
      <c r="N59" s="28"/>
      <c r="O59" s="25"/>
      <c r="P59" s="25"/>
      <c r="Q59" s="25"/>
      <c r="R59" s="28"/>
      <c r="S59" s="25"/>
      <c r="T59" s="25"/>
      <c r="U59" s="28"/>
      <c r="V59" s="25"/>
      <c r="W59" s="15" t="s">
        <v>26</v>
      </c>
      <c r="X59" s="52"/>
    </row>
    <row r="60" spans="1:24" ht="20.45" customHeight="1">
      <c r="A60" s="10" t="s">
        <v>80</v>
      </c>
      <c r="B60" s="11">
        <v>9.8379629629629633E-3</v>
      </c>
      <c r="C60" s="11">
        <v>2.8587962962962963E-3</v>
      </c>
      <c r="D60" s="11">
        <f>B60*E60</f>
        <v>5.7237268518518522E-3</v>
      </c>
      <c r="E60" s="12">
        <v>0.58179999999999998</v>
      </c>
      <c r="F60" s="11">
        <f>C60/4</f>
        <v>7.1469907407407409E-4</v>
      </c>
      <c r="G60" s="11">
        <f>D60/7.5</f>
        <v>7.6316358024691364E-4</v>
      </c>
      <c r="H60" s="11">
        <f>B60/12.5</f>
        <v>7.8703703703703705E-4</v>
      </c>
      <c r="I60" s="11">
        <f>G60/0.93</f>
        <v>8.2060600026549854E-4</v>
      </c>
      <c r="J60" s="11">
        <f>G60/0.92</f>
        <v>8.29525630703167E-4</v>
      </c>
      <c r="K60" s="11">
        <f>G60/0.88</f>
        <v>8.6723134118967459E-4</v>
      </c>
      <c r="L60" s="11">
        <f>G60/0.84</f>
        <v>9.085280717225163E-4</v>
      </c>
      <c r="M60" s="25"/>
      <c r="N60" s="28"/>
      <c r="O60" s="25"/>
      <c r="P60" s="25"/>
      <c r="Q60" s="25"/>
      <c r="R60" s="25"/>
      <c r="S60" s="25"/>
      <c r="T60" s="25"/>
      <c r="U60" s="28"/>
      <c r="V60" s="25"/>
      <c r="W60" s="15" t="s">
        <v>26</v>
      </c>
      <c r="X60" s="52"/>
    </row>
    <row r="61" spans="1:24" ht="20.45" customHeight="1">
      <c r="A61" s="10" t="s">
        <v>109</v>
      </c>
      <c r="B61" s="11">
        <v>9.8379629629629633E-3</v>
      </c>
      <c r="C61" s="11">
        <v>2.9745370370370373E-3</v>
      </c>
      <c r="D61" s="11">
        <f>B61*E61</f>
        <v>5.7237268518518522E-3</v>
      </c>
      <c r="E61" s="12">
        <v>0.58179999999999998</v>
      </c>
      <c r="F61" s="11">
        <f>C61/4</f>
        <v>7.4363425925925931E-4</v>
      </c>
      <c r="G61" s="11">
        <f>D61/7.5</f>
        <v>7.6316358024691364E-4</v>
      </c>
      <c r="H61" s="11">
        <f>B61/12.5</f>
        <v>7.8703703703703705E-4</v>
      </c>
      <c r="I61" s="11">
        <f>G61/0.93</f>
        <v>8.2060600026549854E-4</v>
      </c>
      <c r="J61" s="11">
        <f>G61/0.92</f>
        <v>8.29525630703167E-4</v>
      </c>
      <c r="K61" s="11">
        <f>G61/0.88</f>
        <v>8.6723134118967459E-4</v>
      </c>
      <c r="L61" s="11">
        <f>G61/0.84</f>
        <v>9.085280717225163E-4</v>
      </c>
      <c r="M61" s="25"/>
      <c r="N61" s="28"/>
      <c r="O61" s="25"/>
      <c r="P61" s="25"/>
      <c r="Q61" s="25"/>
      <c r="R61" s="28"/>
      <c r="S61" s="25"/>
      <c r="T61" s="25"/>
      <c r="U61" s="28"/>
      <c r="V61" s="25"/>
      <c r="W61" s="15" t="s">
        <v>26</v>
      </c>
      <c r="X61" s="52"/>
    </row>
    <row r="62" spans="1:24" ht="20.45" customHeight="1">
      <c r="A62" s="10" t="s">
        <v>81</v>
      </c>
      <c r="B62" s="11">
        <v>9.9537037037037042E-3</v>
      </c>
      <c r="C62" s="11">
        <v>2.9745370370370373E-3</v>
      </c>
      <c r="D62" s="11">
        <f>B62*E62</f>
        <v>5.7910648148148149E-3</v>
      </c>
      <c r="E62" s="12">
        <v>0.58179999999999998</v>
      </c>
      <c r="F62" s="11">
        <f>C62/4</f>
        <v>7.4363425925925931E-4</v>
      </c>
      <c r="G62" s="11">
        <f>D62/7.5</f>
        <v>7.7214197530864196E-4</v>
      </c>
      <c r="H62" s="11">
        <f>B62/12.5</f>
        <v>7.9629629629629636E-4</v>
      </c>
      <c r="I62" s="11">
        <f>G62/0.93</f>
        <v>8.3026018850391602E-4</v>
      </c>
      <c r="J62" s="11">
        <f>G62/0.92</f>
        <v>8.3928475577026292E-4</v>
      </c>
      <c r="K62" s="11">
        <f>G62/0.88</f>
        <v>8.7743406285072947E-4</v>
      </c>
      <c r="L62" s="11">
        <f>G62/0.84</f>
        <v>9.1921663727219285E-4</v>
      </c>
      <c r="M62" s="25"/>
      <c r="N62" s="28"/>
      <c r="O62" s="25"/>
      <c r="P62" s="25"/>
      <c r="Q62" s="25"/>
      <c r="R62" s="28"/>
      <c r="S62" s="25"/>
      <c r="T62" s="25"/>
      <c r="U62" s="28"/>
      <c r="V62" s="25"/>
      <c r="W62" s="15" t="s">
        <v>26</v>
      </c>
      <c r="X62" s="52"/>
    </row>
    <row r="63" spans="1:24" ht="20.45" customHeight="1">
      <c r="A63" s="10" t="s">
        <v>82</v>
      </c>
      <c r="B63" s="11">
        <v>9.9537037037037042E-3</v>
      </c>
      <c r="C63" s="11">
        <v>2.8935185185185188E-3</v>
      </c>
      <c r="D63" s="11">
        <f>B63*E63</f>
        <v>5.7910648148148149E-3</v>
      </c>
      <c r="E63" s="12">
        <v>0.58179999999999998</v>
      </c>
      <c r="F63" s="11">
        <f>C63/4</f>
        <v>7.233796296296297E-4</v>
      </c>
      <c r="G63" s="11">
        <f>D63/7.5</f>
        <v>7.7214197530864196E-4</v>
      </c>
      <c r="H63" s="11">
        <f>B63/12.5</f>
        <v>7.9629629629629636E-4</v>
      </c>
      <c r="I63" s="11">
        <f>G63/0.93</f>
        <v>8.3026018850391602E-4</v>
      </c>
      <c r="J63" s="11">
        <f>G63/0.92</f>
        <v>8.3928475577026292E-4</v>
      </c>
      <c r="K63" s="11">
        <f>G63/0.88</f>
        <v>8.7743406285072947E-4</v>
      </c>
      <c r="L63" s="11">
        <f>G63/0.84</f>
        <v>9.1921663727219285E-4</v>
      </c>
      <c r="M63" s="25"/>
      <c r="N63" s="28"/>
      <c r="O63" s="25"/>
      <c r="P63" s="25"/>
      <c r="Q63" s="25"/>
      <c r="R63" s="25"/>
      <c r="S63" s="25"/>
      <c r="T63" s="25"/>
      <c r="U63" s="28"/>
      <c r="V63" s="25"/>
      <c r="W63" s="15" t="s">
        <v>26</v>
      </c>
      <c r="X63" s="52"/>
    </row>
    <row r="64" spans="1:24" ht="20.45" customHeight="1">
      <c r="A64" s="10" t="s">
        <v>84</v>
      </c>
      <c r="B64" s="11">
        <v>1.0069444444444445E-2</v>
      </c>
      <c r="C64" s="11">
        <v>3.0092592592592593E-3</v>
      </c>
      <c r="D64" s="11">
        <f t="shared" ref="D64:D74" si="40">B64*E64</f>
        <v>5.8584027777777783E-3</v>
      </c>
      <c r="E64" s="12">
        <v>0.58179999999999998</v>
      </c>
      <c r="F64" s="11">
        <f t="shared" ref="F64:F74" si="41">C64/4</f>
        <v>7.5231481481481482E-4</v>
      </c>
      <c r="G64" s="11">
        <f t="shared" ref="G64:G74" si="42">D64/7.5</f>
        <v>7.811203703703705E-4</v>
      </c>
      <c r="H64" s="11">
        <f t="shared" ref="H64:H74" si="43">B64/12.5</f>
        <v>8.0555555555555556E-4</v>
      </c>
      <c r="I64" s="11">
        <f t="shared" ref="I64:I74" si="44">G64/0.93</f>
        <v>8.3991437674233382E-4</v>
      </c>
      <c r="J64" s="11">
        <f t="shared" ref="J64:J74" si="45">G64/0.92</f>
        <v>8.4904388083735917E-4</v>
      </c>
      <c r="K64" s="11">
        <f t="shared" ref="K64:K74" si="46">G64/0.88</f>
        <v>8.8763678451178466E-4</v>
      </c>
      <c r="L64" s="11">
        <f t="shared" ref="L64:L74" si="47">G64/0.84</f>
        <v>9.2990520282186973E-4</v>
      </c>
      <c r="M64" s="25"/>
      <c r="N64" s="28"/>
      <c r="O64" s="25"/>
      <c r="P64" s="25"/>
      <c r="Q64" s="25"/>
      <c r="R64" s="25"/>
      <c r="S64" s="25"/>
      <c r="T64" s="25"/>
      <c r="U64" s="28"/>
      <c r="V64" s="25"/>
      <c r="W64" s="15" t="s">
        <v>26</v>
      </c>
      <c r="X64" s="52"/>
    </row>
    <row r="65" spans="1:24" ht="20.45" customHeight="1">
      <c r="A65" s="10" t="s">
        <v>110</v>
      </c>
      <c r="B65" s="11">
        <v>1.0069444444444445E-2</v>
      </c>
      <c r="C65" s="11">
        <v>2.8935185185185184E-3</v>
      </c>
      <c r="D65" s="11">
        <f>B65*E65</f>
        <v>5.8584027777777783E-3</v>
      </c>
      <c r="E65" s="12">
        <v>0.58179999999999998</v>
      </c>
      <c r="F65" s="11">
        <f>C65/4</f>
        <v>7.2337962962962959E-4</v>
      </c>
      <c r="G65" s="11">
        <f>D65/7.5</f>
        <v>7.811203703703705E-4</v>
      </c>
      <c r="H65" s="11">
        <f>B65/12.5</f>
        <v>8.0555555555555556E-4</v>
      </c>
      <c r="I65" s="11">
        <f>G65/0.93</f>
        <v>8.3991437674233382E-4</v>
      </c>
      <c r="J65" s="11">
        <f>G65/0.92</f>
        <v>8.4904388083735917E-4</v>
      </c>
      <c r="K65" s="11">
        <f>G65/0.88</f>
        <v>8.8763678451178466E-4</v>
      </c>
      <c r="L65" s="11">
        <f>G65/0.84</f>
        <v>9.2990520282186973E-4</v>
      </c>
      <c r="M65" s="25"/>
      <c r="N65" s="28"/>
      <c r="O65" s="25"/>
      <c r="P65" s="25"/>
      <c r="Q65" s="25"/>
      <c r="R65" s="25"/>
      <c r="S65" s="25"/>
      <c r="T65" s="25"/>
      <c r="U65" s="28"/>
      <c r="V65" s="25"/>
      <c r="W65" s="15" t="s">
        <v>26</v>
      </c>
      <c r="X65" s="52"/>
    </row>
    <row r="66" spans="1:24" ht="20.45" customHeight="1">
      <c r="A66" s="10" t="s">
        <v>83</v>
      </c>
      <c r="B66" s="11">
        <v>1.0243055555555556E-2</v>
      </c>
      <c r="C66" s="11">
        <v>3.0671296296296297E-3</v>
      </c>
      <c r="D66" s="11">
        <f t="shared" si="40"/>
        <v>5.9594097222222218E-3</v>
      </c>
      <c r="E66" s="12">
        <v>0.58179999999999998</v>
      </c>
      <c r="F66" s="11">
        <f t="shared" si="41"/>
        <v>7.6678240740740743E-4</v>
      </c>
      <c r="G66" s="11">
        <f t="shared" si="42"/>
        <v>7.9458796296296287E-4</v>
      </c>
      <c r="H66" s="11">
        <f t="shared" si="43"/>
        <v>8.1944444444444447E-4</v>
      </c>
      <c r="I66" s="11">
        <f t="shared" si="44"/>
        <v>8.5439565909996003E-4</v>
      </c>
      <c r="J66" s="11">
        <f t="shared" si="45"/>
        <v>8.636825684380031E-4</v>
      </c>
      <c r="K66" s="11">
        <f t="shared" si="46"/>
        <v>9.0294086700336686E-4</v>
      </c>
      <c r="L66" s="11">
        <f t="shared" si="47"/>
        <v>9.4593805114638445E-4</v>
      </c>
      <c r="M66" s="25"/>
      <c r="N66" s="28"/>
      <c r="O66" s="25"/>
      <c r="P66" s="25"/>
      <c r="Q66" s="25"/>
      <c r="R66" s="28"/>
      <c r="S66" s="25"/>
      <c r="T66" s="25"/>
      <c r="U66" s="28"/>
      <c r="V66" s="28"/>
      <c r="W66" s="15" t="s">
        <v>26</v>
      </c>
      <c r="X66" s="52"/>
    </row>
    <row r="67" spans="1:24" ht="20.45" customHeight="1">
      <c r="A67" s="10" t="s">
        <v>93</v>
      </c>
      <c r="B67" s="11">
        <v>1.0243055555555556E-2</v>
      </c>
      <c r="C67" s="11"/>
      <c r="D67" s="11">
        <f t="shared" si="40"/>
        <v>5.9594097222222218E-3</v>
      </c>
      <c r="E67" s="12">
        <v>0.58179999999999998</v>
      </c>
      <c r="F67" s="11">
        <f t="shared" si="41"/>
        <v>0</v>
      </c>
      <c r="G67" s="11">
        <f t="shared" si="42"/>
        <v>7.9458796296296287E-4</v>
      </c>
      <c r="H67" s="11">
        <f t="shared" si="43"/>
        <v>8.1944444444444447E-4</v>
      </c>
      <c r="I67" s="11">
        <f t="shared" si="44"/>
        <v>8.5439565909996003E-4</v>
      </c>
      <c r="J67" s="11">
        <f t="shared" si="45"/>
        <v>8.636825684380031E-4</v>
      </c>
      <c r="K67" s="11">
        <f t="shared" si="46"/>
        <v>9.0294086700336686E-4</v>
      </c>
      <c r="L67" s="11">
        <f t="shared" si="47"/>
        <v>9.4593805114638445E-4</v>
      </c>
      <c r="M67" s="25"/>
      <c r="N67" s="28"/>
      <c r="O67" s="25"/>
      <c r="P67" s="25"/>
      <c r="Q67" s="25"/>
      <c r="R67" s="28"/>
      <c r="S67" s="25"/>
      <c r="T67" s="25"/>
      <c r="U67" s="28"/>
      <c r="V67" s="28"/>
      <c r="W67" s="27" t="s">
        <v>26</v>
      </c>
      <c r="X67" s="52"/>
    </row>
    <row r="68" spans="1:24" ht="20.45" customHeight="1">
      <c r="A68" s="10" t="s">
        <v>86</v>
      </c>
      <c r="B68" s="11">
        <v>1.0300925925925925E-2</v>
      </c>
      <c r="C68" s="11">
        <v>3.0671296296296297E-3</v>
      </c>
      <c r="D68" s="11">
        <f t="shared" si="40"/>
        <v>5.9930787037037027E-3</v>
      </c>
      <c r="E68" s="12">
        <v>0.58179999999999998</v>
      </c>
      <c r="F68" s="11">
        <f t="shared" si="41"/>
        <v>7.6678240740740743E-4</v>
      </c>
      <c r="G68" s="11">
        <f t="shared" si="42"/>
        <v>7.9907716049382703E-4</v>
      </c>
      <c r="H68" s="11">
        <f t="shared" si="43"/>
        <v>8.2407407407407397E-4</v>
      </c>
      <c r="I68" s="11">
        <f t="shared" si="44"/>
        <v>8.5922275321916877E-4</v>
      </c>
      <c r="J68" s="11">
        <f t="shared" si="45"/>
        <v>8.6856213097155112E-4</v>
      </c>
      <c r="K68" s="11">
        <f t="shared" si="46"/>
        <v>9.080422278338944E-4</v>
      </c>
      <c r="L68" s="11">
        <f t="shared" si="47"/>
        <v>9.5128233392122272E-4</v>
      </c>
      <c r="M68" s="25"/>
      <c r="N68" s="28"/>
      <c r="O68" s="25"/>
      <c r="P68" s="25"/>
      <c r="Q68" s="25"/>
      <c r="R68" s="25"/>
      <c r="S68" s="25"/>
      <c r="T68" s="25"/>
      <c r="U68" s="28"/>
      <c r="V68" s="25"/>
      <c r="W68" s="15" t="s">
        <v>26</v>
      </c>
      <c r="X68" s="52" t="s">
        <v>217</v>
      </c>
    </row>
    <row r="69" spans="1:24" ht="20.45" customHeight="1">
      <c r="A69" s="10" t="s">
        <v>85</v>
      </c>
      <c r="B69" s="11">
        <v>1.0300925925925925E-2</v>
      </c>
      <c r="C69" s="11">
        <v>3.0671296296296297E-3</v>
      </c>
      <c r="D69" s="11">
        <f t="shared" ref="D69:D70" si="48">B69*E69</f>
        <v>5.9930787037037027E-3</v>
      </c>
      <c r="E69" s="12">
        <v>0.58179999999999998</v>
      </c>
      <c r="F69" s="11">
        <f t="shared" ref="F69:F70" si="49">C69/4</f>
        <v>7.6678240740740743E-4</v>
      </c>
      <c r="G69" s="11">
        <f t="shared" ref="G69:G70" si="50">D69/7.5</f>
        <v>7.9907716049382703E-4</v>
      </c>
      <c r="H69" s="11">
        <f t="shared" ref="H69:H70" si="51">B69/12.5</f>
        <v>8.2407407407407397E-4</v>
      </c>
      <c r="I69" s="11">
        <f t="shared" ref="I69:I70" si="52">G69/0.93</f>
        <v>8.5922275321916877E-4</v>
      </c>
      <c r="J69" s="11">
        <f t="shared" ref="J69:J70" si="53">G69/0.92</f>
        <v>8.6856213097155112E-4</v>
      </c>
      <c r="K69" s="11">
        <f t="shared" ref="K69:K70" si="54">G69/0.88</f>
        <v>9.080422278338944E-4</v>
      </c>
      <c r="L69" s="17">
        <f t="shared" ref="L69:L70" si="55">G69/0.84</f>
        <v>9.5128233392122272E-4</v>
      </c>
      <c r="M69" s="25"/>
      <c r="N69" s="28"/>
      <c r="O69" s="25"/>
      <c r="P69" s="25"/>
      <c r="Q69" s="25"/>
      <c r="R69" s="25"/>
      <c r="S69" s="25"/>
      <c r="T69" s="25"/>
      <c r="U69" s="28"/>
      <c r="V69" s="25"/>
      <c r="W69" s="15" t="s">
        <v>26</v>
      </c>
      <c r="X69" s="52"/>
    </row>
    <row r="70" spans="1:24" ht="20.45" customHeight="1">
      <c r="A70" s="10" t="s">
        <v>118</v>
      </c>
      <c r="B70" s="11">
        <v>1.0416666666666666E-2</v>
      </c>
      <c r="C70" s="11">
        <v>3.0671296296296297E-3</v>
      </c>
      <c r="D70" s="11">
        <f t="shared" si="48"/>
        <v>6.0604166666666662E-3</v>
      </c>
      <c r="E70" s="12">
        <v>0.58179999999999998</v>
      </c>
      <c r="F70" s="11">
        <f t="shared" si="49"/>
        <v>7.6678240740740743E-4</v>
      </c>
      <c r="G70" s="11">
        <f t="shared" si="50"/>
        <v>8.0805555555555546E-4</v>
      </c>
      <c r="H70" s="11">
        <f t="shared" si="51"/>
        <v>8.3333333333333328E-4</v>
      </c>
      <c r="I70" s="11">
        <f t="shared" si="52"/>
        <v>8.6887694145758646E-4</v>
      </c>
      <c r="J70" s="11">
        <f t="shared" si="53"/>
        <v>8.7832125603864715E-4</v>
      </c>
      <c r="K70" s="11">
        <f t="shared" si="54"/>
        <v>9.1824494949494938E-4</v>
      </c>
      <c r="L70" s="11">
        <f t="shared" si="55"/>
        <v>9.6197089947089938E-4</v>
      </c>
      <c r="M70" s="25"/>
      <c r="N70" s="28"/>
      <c r="O70" s="25"/>
      <c r="P70" s="25"/>
      <c r="Q70" s="25"/>
      <c r="R70" s="28"/>
      <c r="S70" s="25"/>
      <c r="T70" s="25"/>
      <c r="U70" s="28"/>
      <c r="V70" s="25"/>
      <c r="W70" s="15" t="s">
        <v>26</v>
      </c>
      <c r="X70" s="52"/>
    </row>
    <row r="71" spans="1:24" ht="20.45" customHeight="1">
      <c r="A71" s="10" t="s">
        <v>87</v>
      </c>
      <c r="B71" s="11">
        <v>1.0532407407407407E-2</v>
      </c>
      <c r="C71" s="11">
        <v>2.9745370370370373E-3</v>
      </c>
      <c r="D71" s="11">
        <f t="shared" si="40"/>
        <v>6.1277546296296288E-3</v>
      </c>
      <c r="E71" s="12">
        <v>0.58179999999999998</v>
      </c>
      <c r="F71" s="11">
        <f t="shared" si="41"/>
        <v>7.4363425925925931E-4</v>
      </c>
      <c r="G71" s="11">
        <f t="shared" si="42"/>
        <v>8.1703395061728389E-4</v>
      </c>
      <c r="H71" s="11">
        <f t="shared" si="43"/>
        <v>8.4259259259259259E-4</v>
      </c>
      <c r="I71" s="11">
        <f t="shared" si="44"/>
        <v>8.7853112969600415E-4</v>
      </c>
      <c r="J71" s="11">
        <f t="shared" si="45"/>
        <v>8.8808038110574329E-4</v>
      </c>
      <c r="K71" s="11">
        <f t="shared" si="46"/>
        <v>9.2844767115600447E-4</v>
      </c>
      <c r="L71" s="11">
        <f t="shared" si="47"/>
        <v>9.7265946502057604E-4</v>
      </c>
      <c r="M71" s="25"/>
      <c r="N71" s="28"/>
      <c r="O71" s="25"/>
      <c r="P71" s="25"/>
      <c r="Q71" s="25"/>
      <c r="R71" s="25"/>
      <c r="S71" s="25"/>
      <c r="T71" s="25"/>
      <c r="U71" s="28"/>
      <c r="V71" s="25"/>
      <c r="W71" s="15" t="s">
        <v>26</v>
      </c>
      <c r="X71" s="52"/>
    </row>
    <row r="72" spans="1:24" ht="20.45" customHeight="1">
      <c r="A72" s="10" t="s">
        <v>123</v>
      </c>
      <c r="B72" s="11">
        <v>1.0590277777777778E-2</v>
      </c>
      <c r="C72" s="11">
        <v>3.1828703703703702E-3</v>
      </c>
      <c r="D72" s="11">
        <f>B72*E72</f>
        <v>6.1614236111111114E-3</v>
      </c>
      <c r="E72" s="12">
        <v>0.58179999999999998</v>
      </c>
      <c r="F72" s="11">
        <f>C72/4</f>
        <v>7.9571759259259255E-4</v>
      </c>
      <c r="G72" s="11">
        <f>D72/7.5</f>
        <v>8.2152314814814816E-4</v>
      </c>
      <c r="H72" s="11">
        <f>B72/12.5</f>
        <v>8.472222222222223E-4</v>
      </c>
      <c r="I72" s="11">
        <f>G72/0.93</f>
        <v>8.8335822381521299E-4</v>
      </c>
      <c r="J72" s="11">
        <f>G72/0.92</f>
        <v>8.9295994363929141E-4</v>
      </c>
      <c r="K72" s="11">
        <f>G72/0.88</f>
        <v>9.3354903198653201E-4</v>
      </c>
      <c r="L72" s="11">
        <f>G72/0.84</f>
        <v>9.7800374779541442E-4</v>
      </c>
      <c r="M72" s="25"/>
      <c r="N72" s="28"/>
      <c r="O72" s="25"/>
      <c r="P72" s="25"/>
      <c r="Q72" s="25"/>
      <c r="R72" s="25"/>
      <c r="S72" s="25"/>
      <c r="T72" s="25"/>
      <c r="U72" s="28"/>
      <c r="V72" s="28"/>
      <c r="W72" s="15" t="s">
        <v>26</v>
      </c>
      <c r="X72" s="52"/>
    </row>
    <row r="73" spans="1:24" ht="20.45" customHeight="1">
      <c r="A73" s="10" t="s">
        <v>88</v>
      </c>
      <c r="B73" s="11">
        <v>1.0590277777777778E-2</v>
      </c>
      <c r="C73" s="11">
        <v>3.0671296296296297E-3</v>
      </c>
      <c r="D73" s="11">
        <f>B73*E73</f>
        <v>6.1614236111111114E-3</v>
      </c>
      <c r="E73" s="12">
        <v>0.58179999999999998</v>
      </c>
      <c r="F73" s="11">
        <f>C73/4</f>
        <v>7.6678240740740743E-4</v>
      </c>
      <c r="G73" s="11">
        <f>D73/7.5</f>
        <v>8.2152314814814816E-4</v>
      </c>
      <c r="H73" s="11">
        <f>B73/12.5</f>
        <v>8.472222222222223E-4</v>
      </c>
      <c r="I73" s="11">
        <f>G73/0.93</f>
        <v>8.8335822381521299E-4</v>
      </c>
      <c r="J73" s="11">
        <f>G73/0.92</f>
        <v>8.9295994363929141E-4</v>
      </c>
      <c r="K73" s="11">
        <f>G73/0.88</f>
        <v>9.3354903198653201E-4</v>
      </c>
      <c r="L73" s="11">
        <f>G73/0.84</f>
        <v>9.7800374779541442E-4</v>
      </c>
      <c r="M73" s="25"/>
      <c r="N73" s="28"/>
      <c r="O73" s="25"/>
      <c r="P73" s="25"/>
      <c r="Q73" s="25"/>
      <c r="R73" s="28"/>
      <c r="S73" s="25"/>
      <c r="T73" s="25"/>
      <c r="U73" s="28"/>
      <c r="V73" s="44"/>
      <c r="W73" s="28" t="s">
        <v>26</v>
      </c>
      <c r="X73" s="52"/>
    </row>
    <row r="74" spans="1:24" ht="20.45" customHeight="1">
      <c r="A74" s="10" t="s">
        <v>91</v>
      </c>
      <c r="B74" s="11">
        <v>1.0590277777777778E-2</v>
      </c>
      <c r="C74" s="11">
        <v>3.1249999999999997E-3</v>
      </c>
      <c r="D74" s="11">
        <f t="shared" si="40"/>
        <v>6.1614236111111114E-3</v>
      </c>
      <c r="E74" s="12">
        <v>0.58179999999999998</v>
      </c>
      <c r="F74" s="11">
        <f t="shared" si="41"/>
        <v>7.8124999999999993E-4</v>
      </c>
      <c r="G74" s="11">
        <f t="shared" si="42"/>
        <v>8.2152314814814816E-4</v>
      </c>
      <c r="H74" s="11">
        <f t="shared" si="43"/>
        <v>8.472222222222223E-4</v>
      </c>
      <c r="I74" s="11">
        <f t="shared" si="44"/>
        <v>8.8335822381521299E-4</v>
      </c>
      <c r="J74" s="11">
        <f t="shared" si="45"/>
        <v>8.9295994363929141E-4</v>
      </c>
      <c r="K74" s="11">
        <f t="shared" si="46"/>
        <v>9.3354903198653201E-4</v>
      </c>
      <c r="L74" s="11">
        <f t="shared" si="47"/>
        <v>9.7800374779541442E-4</v>
      </c>
      <c r="M74" s="25"/>
      <c r="N74" s="28"/>
      <c r="O74" s="25"/>
      <c r="P74" s="25"/>
      <c r="Q74" s="25"/>
      <c r="R74" s="28"/>
      <c r="S74" s="25"/>
      <c r="T74" s="25"/>
      <c r="U74" s="28"/>
      <c r="V74" s="25"/>
      <c r="W74" s="15" t="s">
        <v>26</v>
      </c>
      <c r="X74" s="52"/>
    </row>
    <row r="75" spans="1:24" ht="20.45" customHeight="1">
      <c r="A75" s="10" t="s">
        <v>131</v>
      </c>
      <c r="B75" s="11">
        <v>1.0763888888888891E-2</v>
      </c>
      <c r="C75" s="11">
        <v>3.1828703703703702E-3</v>
      </c>
      <c r="D75" s="11">
        <f t="shared" ref="D75" si="56">B75*E75</f>
        <v>6.2624305555555567E-3</v>
      </c>
      <c r="E75" s="12">
        <v>0.58179999999999998</v>
      </c>
      <c r="F75" s="11">
        <f t="shared" ref="F75" si="57">C75/4</f>
        <v>7.9571759259259255E-4</v>
      </c>
      <c r="G75" s="11">
        <f t="shared" ref="G75" si="58">D75/7.5</f>
        <v>8.3499074074074085E-4</v>
      </c>
      <c r="H75" s="11">
        <f t="shared" ref="H75" si="59">B75/12.5</f>
        <v>8.6111111111111121E-4</v>
      </c>
      <c r="I75" s="11">
        <f t="shared" ref="I75" si="60">G75/0.93</f>
        <v>8.9783950617283953E-4</v>
      </c>
      <c r="J75" s="11">
        <f t="shared" ref="J75" si="61">G75/0.92</f>
        <v>9.0759863123993567E-4</v>
      </c>
      <c r="K75" s="11">
        <f t="shared" ref="K75" si="62">G75/0.88</f>
        <v>9.4885311447811464E-4</v>
      </c>
      <c r="L75" s="11">
        <f t="shared" ref="L75" si="63">G75/0.84</f>
        <v>9.9403659611992969E-4</v>
      </c>
      <c r="M75" s="25"/>
      <c r="N75" s="28"/>
      <c r="O75" s="25"/>
      <c r="P75" s="25"/>
      <c r="Q75" s="25"/>
      <c r="R75" s="28"/>
      <c r="S75" s="25"/>
      <c r="T75" s="25"/>
      <c r="U75" s="28"/>
      <c r="V75" s="28"/>
      <c r="W75" s="15" t="s">
        <v>26</v>
      </c>
      <c r="X75" s="52"/>
    </row>
    <row r="76" spans="1:24" ht="20.45" customHeight="1">
      <c r="A76" s="10"/>
      <c r="B76" s="11"/>
      <c r="C76" s="11"/>
      <c r="D76" s="11"/>
      <c r="E76" s="12"/>
      <c r="F76" s="11"/>
      <c r="G76" s="11"/>
      <c r="H76" s="11"/>
      <c r="I76" s="11"/>
      <c r="J76" s="11"/>
      <c r="K76" s="11"/>
      <c r="L76" s="11"/>
      <c r="M76" s="25"/>
      <c r="N76" s="28"/>
      <c r="O76" s="25"/>
      <c r="P76" s="28"/>
      <c r="Q76" s="25"/>
      <c r="R76" s="28"/>
      <c r="S76" s="25"/>
      <c r="T76" s="25"/>
      <c r="U76" s="28"/>
      <c r="V76" s="25"/>
      <c r="W76" s="27"/>
      <c r="X76" s="52"/>
    </row>
    <row r="77" spans="1:24" ht="20.45" customHeight="1">
      <c r="A77" s="19"/>
      <c r="B77" s="6"/>
      <c r="C77" s="6"/>
      <c r="D77" s="6"/>
      <c r="E77" s="20"/>
      <c r="F77" s="6"/>
      <c r="G77" s="6"/>
      <c r="H77" s="6"/>
      <c r="I77" s="6"/>
      <c r="J77" s="6"/>
      <c r="K77" s="6"/>
      <c r="L77" s="6"/>
      <c r="M77" s="6"/>
      <c r="N77" s="6"/>
      <c r="O77" s="6"/>
      <c r="P77" s="6"/>
      <c r="Q77" s="6"/>
      <c r="R77" s="6"/>
      <c r="S77" s="6"/>
      <c r="T77" s="6"/>
      <c r="U77" s="6"/>
      <c r="V77" s="23"/>
      <c r="W77" s="35"/>
      <c r="X77" s="52"/>
    </row>
    <row r="78" spans="1:24" ht="20.45" customHeight="1">
      <c r="A78" s="10" t="s">
        <v>127</v>
      </c>
      <c r="B78" s="11">
        <v>1.0763888888888891E-2</v>
      </c>
      <c r="C78" s="11"/>
      <c r="D78" s="11">
        <f t="shared" ref="D78:D84" si="64">B78*E78</f>
        <v>6.2624305555555567E-3</v>
      </c>
      <c r="E78" s="12">
        <v>0.58179999999999998</v>
      </c>
      <c r="F78" s="11">
        <f t="shared" ref="F78:F84" si="65">C78/4</f>
        <v>0</v>
      </c>
      <c r="G78" s="11">
        <f t="shared" ref="G78:G84" si="66">D78/7.5</f>
        <v>8.3499074074074085E-4</v>
      </c>
      <c r="H78" s="11">
        <f t="shared" ref="H78:H84" si="67">B78/12.5</f>
        <v>8.6111111111111121E-4</v>
      </c>
      <c r="I78" s="11">
        <f t="shared" ref="I78:I84" si="68">G78/0.93</f>
        <v>8.9783950617283953E-4</v>
      </c>
      <c r="J78" s="11">
        <f t="shared" ref="J78:J84" si="69">G78/0.92</f>
        <v>9.0759863123993567E-4</v>
      </c>
      <c r="K78" s="11">
        <f t="shared" ref="K78:K84" si="70">G78/0.88</f>
        <v>9.4885311447811464E-4</v>
      </c>
      <c r="L78" s="11">
        <f t="shared" ref="L78:L84" si="71">G78/0.84</f>
        <v>9.9403659611992969E-4</v>
      </c>
      <c r="M78" s="25"/>
      <c r="N78" s="28"/>
      <c r="O78" s="25"/>
      <c r="P78" s="25"/>
      <c r="Q78" s="25"/>
      <c r="R78" s="28"/>
      <c r="S78" s="25"/>
      <c r="T78" s="25"/>
      <c r="U78" s="28"/>
      <c r="V78" s="48"/>
      <c r="W78" s="15" t="s">
        <v>52</v>
      </c>
      <c r="X78" s="52" t="s">
        <v>320</v>
      </c>
    </row>
    <row r="79" spans="1:24" ht="20.45" customHeight="1">
      <c r="A79" s="10" t="s">
        <v>107</v>
      </c>
      <c r="B79" s="11">
        <v>1.1111111111111112E-2</v>
      </c>
      <c r="C79" s="11">
        <v>3.2407407407407406E-3</v>
      </c>
      <c r="D79" s="11">
        <f t="shared" si="64"/>
        <v>6.4644444444444445E-3</v>
      </c>
      <c r="E79" s="12">
        <v>0.58179999999999998</v>
      </c>
      <c r="F79" s="11">
        <f t="shared" si="65"/>
        <v>8.1018518518518516E-4</v>
      </c>
      <c r="G79" s="11">
        <f t="shared" si="66"/>
        <v>8.6192592592592592E-4</v>
      </c>
      <c r="H79" s="11">
        <f t="shared" si="67"/>
        <v>8.8888888888888893E-4</v>
      </c>
      <c r="I79" s="11">
        <f t="shared" si="68"/>
        <v>9.2680207088809239E-4</v>
      </c>
      <c r="J79" s="11">
        <f t="shared" si="69"/>
        <v>9.3687600644122375E-4</v>
      </c>
      <c r="K79" s="11">
        <f t="shared" si="70"/>
        <v>9.7946127946127947E-4</v>
      </c>
      <c r="L79" s="11">
        <f t="shared" si="71"/>
        <v>1.0261022927689596E-3</v>
      </c>
      <c r="M79" s="25"/>
      <c r="N79" s="28"/>
      <c r="O79" s="25"/>
      <c r="P79" s="25"/>
      <c r="Q79" s="25"/>
      <c r="R79" s="28"/>
      <c r="S79" s="25"/>
      <c r="T79" s="25"/>
      <c r="U79" s="28"/>
      <c r="V79" s="28"/>
      <c r="W79" s="15" t="s">
        <v>52</v>
      </c>
      <c r="X79" s="52"/>
    </row>
    <row r="80" spans="1:24" ht="20.45" customHeight="1">
      <c r="A80" s="10" t="s">
        <v>106</v>
      </c>
      <c r="B80" s="11">
        <v>1.0532407407407407E-2</v>
      </c>
      <c r="C80" s="11">
        <v>2.9745370370370373E-3</v>
      </c>
      <c r="D80" s="11">
        <f t="shared" si="64"/>
        <v>6.1277546296296288E-3</v>
      </c>
      <c r="E80" s="12">
        <v>0.58179999999999998</v>
      </c>
      <c r="F80" s="11">
        <f t="shared" si="65"/>
        <v>7.4363425925925931E-4</v>
      </c>
      <c r="G80" s="11">
        <f t="shared" si="66"/>
        <v>8.1703395061728389E-4</v>
      </c>
      <c r="H80" s="11">
        <f t="shared" si="67"/>
        <v>8.4259259259259259E-4</v>
      </c>
      <c r="I80" s="11">
        <f t="shared" si="68"/>
        <v>8.7853112969600415E-4</v>
      </c>
      <c r="J80" s="11">
        <f t="shared" si="69"/>
        <v>8.8808038110574329E-4</v>
      </c>
      <c r="K80" s="11">
        <f t="shared" si="70"/>
        <v>9.2844767115600447E-4</v>
      </c>
      <c r="L80" s="11">
        <f t="shared" si="71"/>
        <v>9.7265946502057604E-4</v>
      </c>
      <c r="M80" s="25"/>
      <c r="N80" s="28"/>
      <c r="O80" s="25"/>
      <c r="P80" s="25"/>
      <c r="Q80" s="25"/>
      <c r="R80" s="25"/>
      <c r="S80" s="25"/>
      <c r="T80" s="25"/>
      <c r="U80" s="28"/>
      <c r="V80" s="25"/>
      <c r="W80" s="15" t="s">
        <v>52</v>
      </c>
      <c r="X80" s="52"/>
    </row>
    <row r="81" spans="1:24" ht="20.45" customHeight="1">
      <c r="A81" s="10" t="s">
        <v>122</v>
      </c>
      <c r="B81" s="11">
        <v>1.0532407407407407E-2</v>
      </c>
      <c r="C81" s="11">
        <v>3.0671296296296297E-3</v>
      </c>
      <c r="D81" s="11">
        <f t="shared" si="64"/>
        <v>6.1277546296296288E-3</v>
      </c>
      <c r="E81" s="12">
        <v>0.58179999999999998</v>
      </c>
      <c r="F81" s="11">
        <f t="shared" si="65"/>
        <v>7.6678240740740743E-4</v>
      </c>
      <c r="G81" s="11">
        <f t="shared" si="66"/>
        <v>8.1703395061728389E-4</v>
      </c>
      <c r="H81" s="11">
        <f t="shared" si="67"/>
        <v>8.4259259259259259E-4</v>
      </c>
      <c r="I81" s="11">
        <f t="shared" si="68"/>
        <v>8.7853112969600415E-4</v>
      </c>
      <c r="J81" s="11">
        <f t="shared" si="69"/>
        <v>8.8808038110574329E-4</v>
      </c>
      <c r="K81" s="11">
        <f t="shared" si="70"/>
        <v>9.2844767115600447E-4</v>
      </c>
      <c r="L81" s="11">
        <f t="shared" si="71"/>
        <v>9.7265946502057604E-4</v>
      </c>
      <c r="M81" s="25"/>
      <c r="N81" s="28"/>
      <c r="O81" s="25"/>
      <c r="P81" s="25"/>
      <c r="Q81" s="25"/>
      <c r="R81" s="28"/>
      <c r="S81" s="25"/>
      <c r="T81" s="25"/>
      <c r="U81" s="28"/>
      <c r="V81" s="25"/>
      <c r="W81" s="15" t="s">
        <v>52</v>
      </c>
      <c r="X81" s="52"/>
    </row>
    <row r="82" spans="1:24" ht="20.45" customHeight="1">
      <c r="A82" s="10" t="s">
        <v>164</v>
      </c>
      <c r="B82" s="11">
        <v>1.1342592592592593E-2</v>
      </c>
      <c r="C82" s="11">
        <v>3.2407407407407406E-3</v>
      </c>
      <c r="D82" s="11">
        <f t="shared" si="64"/>
        <v>6.5991203703703706E-3</v>
      </c>
      <c r="E82" s="12">
        <v>0.58179999999999998</v>
      </c>
      <c r="F82" s="11">
        <f t="shared" si="65"/>
        <v>8.1018518518518516E-4</v>
      </c>
      <c r="G82" s="11">
        <f t="shared" si="66"/>
        <v>8.7988271604938278E-4</v>
      </c>
      <c r="H82" s="11">
        <f t="shared" si="67"/>
        <v>9.0740740740740745E-4</v>
      </c>
      <c r="I82" s="11">
        <f t="shared" si="68"/>
        <v>9.4611044736492766E-4</v>
      </c>
      <c r="J82" s="11">
        <f t="shared" si="69"/>
        <v>9.5639425657541603E-4</v>
      </c>
      <c r="K82" s="11">
        <f t="shared" si="70"/>
        <v>9.9986672278338943E-4</v>
      </c>
      <c r="L82" s="11">
        <f t="shared" si="71"/>
        <v>1.0474794238683129E-3</v>
      </c>
      <c r="M82" s="25"/>
      <c r="N82" s="28"/>
      <c r="O82" s="25"/>
      <c r="P82" s="28"/>
      <c r="Q82" s="28"/>
      <c r="R82" s="11"/>
      <c r="S82" s="14"/>
      <c r="T82" s="14"/>
      <c r="U82" s="26"/>
      <c r="V82" s="28"/>
      <c r="W82" s="27" t="s">
        <v>52</v>
      </c>
      <c r="X82" s="52"/>
    </row>
    <row r="83" spans="1:24" ht="20.45" customHeight="1">
      <c r="A83" s="10" t="s">
        <v>108</v>
      </c>
      <c r="B83" s="11">
        <v>1.0763888888888891E-2</v>
      </c>
      <c r="C83" s="11">
        <v>3.0671296296296297E-3</v>
      </c>
      <c r="D83" s="11">
        <f t="shared" si="64"/>
        <v>6.2624305555555567E-3</v>
      </c>
      <c r="E83" s="12">
        <v>0.58179999999999998</v>
      </c>
      <c r="F83" s="11">
        <f t="shared" si="65"/>
        <v>7.6678240740740743E-4</v>
      </c>
      <c r="G83" s="11">
        <f t="shared" si="66"/>
        <v>8.3499074074074085E-4</v>
      </c>
      <c r="H83" s="11">
        <f t="shared" si="67"/>
        <v>8.6111111111111121E-4</v>
      </c>
      <c r="I83" s="11">
        <f t="shared" si="68"/>
        <v>8.9783950617283953E-4</v>
      </c>
      <c r="J83" s="11">
        <f t="shared" si="69"/>
        <v>9.0759863123993567E-4</v>
      </c>
      <c r="K83" s="11">
        <f t="shared" si="70"/>
        <v>9.4885311447811464E-4</v>
      </c>
      <c r="L83" s="11">
        <f t="shared" si="71"/>
        <v>9.9403659611992969E-4</v>
      </c>
      <c r="M83" s="25"/>
      <c r="N83" s="28"/>
      <c r="O83" s="25"/>
      <c r="P83" s="28"/>
      <c r="Q83" s="25"/>
      <c r="R83" s="28"/>
      <c r="S83" s="25"/>
      <c r="T83" s="25"/>
      <c r="U83" s="28"/>
      <c r="V83" s="28"/>
      <c r="W83" s="15" t="s">
        <v>52</v>
      </c>
      <c r="X83" s="52"/>
    </row>
    <row r="84" spans="1:24" ht="20.45" customHeight="1">
      <c r="A84" s="10" t="s">
        <v>105</v>
      </c>
      <c r="B84" s="11">
        <v>1.0648148148148148E-2</v>
      </c>
      <c r="C84" s="11">
        <v>2.9745370370370373E-3</v>
      </c>
      <c r="D84" s="11">
        <f t="shared" si="64"/>
        <v>6.1950925925925923E-3</v>
      </c>
      <c r="E84" s="12">
        <v>0.58179999999999998</v>
      </c>
      <c r="F84" s="11">
        <f t="shared" si="65"/>
        <v>7.4363425925925931E-4</v>
      </c>
      <c r="G84" s="11">
        <f t="shared" si="66"/>
        <v>8.2601234567901232E-4</v>
      </c>
      <c r="H84" s="11">
        <f t="shared" si="67"/>
        <v>8.5185185185185179E-4</v>
      </c>
      <c r="I84" s="11">
        <f t="shared" si="68"/>
        <v>8.8818531793442184E-4</v>
      </c>
      <c r="J84" s="11">
        <f t="shared" si="69"/>
        <v>8.9783950617283942E-4</v>
      </c>
      <c r="K84" s="11">
        <f t="shared" si="70"/>
        <v>9.3865039281705945E-4</v>
      </c>
      <c r="L84" s="11">
        <f t="shared" si="71"/>
        <v>9.833480305702527E-4</v>
      </c>
      <c r="M84" s="37"/>
      <c r="N84" s="28"/>
      <c r="O84" s="25"/>
      <c r="P84" s="25"/>
      <c r="Q84" s="25"/>
      <c r="R84" s="25"/>
      <c r="S84" s="25"/>
      <c r="T84" s="25"/>
      <c r="U84" s="28"/>
      <c r="V84" s="25"/>
      <c r="W84" s="15" t="s">
        <v>52</v>
      </c>
      <c r="X84" s="52"/>
    </row>
    <row r="85" spans="1:24" ht="20.45" customHeight="1">
      <c r="A85" s="10"/>
      <c r="B85" s="11"/>
      <c r="C85" s="11"/>
      <c r="D85" s="11"/>
      <c r="E85" s="12"/>
      <c r="F85" s="11"/>
      <c r="G85" s="11"/>
      <c r="H85" s="11"/>
      <c r="I85" s="11"/>
      <c r="J85" s="11"/>
      <c r="K85" s="11"/>
      <c r="L85" s="17"/>
      <c r="M85" s="11"/>
      <c r="N85" s="26"/>
      <c r="P85" s="26"/>
      <c r="Q85" s="26"/>
      <c r="R85" s="26"/>
      <c r="S85" s="14"/>
      <c r="T85" s="14"/>
      <c r="U85" s="26"/>
      <c r="V85" s="38"/>
      <c r="W85" s="31"/>
      <c r="X85" s="52"/>
    </row>
    <row r="86" spans="1:24" ht="20.45" customHeight="1" thickBot="1">
      <c r="A86" s="10"/>
      <c r="B86" s="11"/>
      <c r="C86" s="11"/>
      <c r="D86" s="11"/>
      <c r="E86" s="12"/>
      <c r="F86" s="11"/>
      <c r="G86" s="11"/>
      <c r="H86" s="11"/>
      <c r="I86" s="11"/>
      <c r="J86" s="11"/>
      <c r="K86" s="11"/>
      <c r="L86" s="11"/>
      <c r="M86" s="25"/>
      <c r="N86" s="28"/>
      <c r="O86" s="25"/>
      <c r="P86" s="25"/>
      <c r="Q86" s="28"/>
      <c r="R86" s="28"/>
      <c r="S86" s="25"/>
      <c r="T86" s="25"/>
      <c r="U86" s="28"/>
      <c r="V86" s="28"/>
      <c r="W86" s="15"/>
      <c r="X86" s="52"/>
    </row>
    <row r="87" spans="1:24" ht="20.45" customHeight="1">
      <c r="A87" s="1" t="s">
        <v>318</v>
      </c>
      <c r="B87" s="6"/>
      <c r="C87" s="6"/>
      <c r="D87" s="6"/>
      <c r="E87" s="20"/>
      <c r="F87" s="6"/>
      <c r="G87" s="6"/>
      <c r="H87" s="6"/>
      <c r="I87" s="6"/>
      <c r="J87" s="6"/>
      <c r="K87" s="6"/>
      <c r="L87" s="6"/>
      <c r="M87" s="6"/>
      <c r="N87" s="6"/>
      <c r="O87" s="6"/>
      <c r="P87" s="6"/>
      <c r="Q87" s="22"/>
      <c r="R87" s="6"/>
      <c r="S87" s="6"/>
      <c r="T87" s="6"/>
      <c r="U87" s="6"/>
      <c r="V87" s="23"/>
      <c r="W87" s="35"/>
      <c r="X87" s="52"/>
    </row>
    <row r="88" spans="1:24" ht="20.45" customHeight="1">
      <c r="A88" s="10" t="s">
        <v>95</v>
      </c>
      <c r="B88" s="11">
        <v>1.0243055555555556E-2</v>
      </c>
      <c r="C88" s="11">
        <v>2.9513888888888888E-3</v>
      </c>
      <c r="D88" s="11">
        <f t="shared" ref="D88:D97" si="72">B88*E88</f>
        <v>5.9594097222222218E-3</v>
      </c>
      <c r="E88" s="12">
        <v>0.58179999999999998</v>
      </c>
      <c r="F88" s="11">
        <f t="shared" ref="F88:F97" si="73">C88/4</f>
        <v>7.378472222222222E-4</v>
      </c>
      <c r="G88" s="11">
        <f t="shared" ref="G88:G97" si="74">D88/7.5</f>
        <v>7.9458796296296287E-4</v>
      </c>
      <c r="H88" s="11">
        <f t="shared" ref="H88:H97" si="75">B88/12.5</f>
        <v>8.1944444444444447E-4</v>
      </c>
      <c r="I88" s="11">
        <f t="shared" ref="I88:I97" si="76">G88/0.93</f>
        <v>8.5439565909996003E-4</v>
      </c>
      <c r="J88" s="11">
        <f t="shared" ref="J88:J97" si="77">G88/0.92</f>
        <v>8.636825684380031E-4</v>
      </c>
      <c r="K88" s="11">
        <f t="shared" ref="K88:K97" si="78">G88/0.88</f>
        <v>9.0294086700336686E-4</v>
      </c>
      <c r="L88" s="11">
        <f t="shared" ref="L88:L97" si="79">G88/0.84</f>
        <v>9.4593805114638445E-4</v>
      </c>
      <c r="M88" s="25"/>
      <c r="N88" s="28"/>
      <c r="O88" s="25"/>
      <c r="P88" s="25"/>
      <c r="Q88" s="25"/>
      <c r="R88" s="28"/>
      <c r="S88" s="25"/>
      <c r="T88" s="28"/>
      <c r="U88" s="28"/>
      <c r="V88" s="25"/>
      <c r="W88" s="15" t="s">
        <v>35</v>
      </c>
      <c r="X88" s="52" t="s">
        <v>215</v>
      </c>
    </row>
    <row r="89" spans="1:24" ht="20.45" customHeight="1">
      <c r="A89" s="10" t="s">
        <v>112</v>
      </c>
      <c r="B89" s="11">
        <v>1.0243055555555556E-2</v>
      </c>
      <c r="C89" s="11">
        <v>2.8587962962962963E-3</v>
      </c>
      <c r="D89" s="11">
        <f t="shared" si="72"/>
        <v>5.9594097222222218E-3</v>
      </c>
      <c r="E89" s="12">
        <v>0.58179999999999998</v>
      </c>
      <c r="F89" s="11">
        <f t="shared" si="73"/>
        <v>7.1469907407407409E-4</v>
      </c>
      <c r="G89" s="11">
        <f t="shared" si="74"/>
        <v>7.9458796296296287E-4</v>
      </c>
      <c r="H89" s="11">
        <f t="shared" si="75"/>
        <v>8.1944444444444447E-4</v>
      </c>
      <c r="I89" s="11">
        <f t="shared" si="76"/>
        <v>8.5439565909996003E-4</v>
      </c>
      <c r="J89" s="11">
        <f t="shared" si="77"/>
        <v>8.636825684380031E-4</v>
      </c>
      <c r="K89" s="11">
        <f t="shared" si="78"/>
        <v>9.0294086700336686E-4</v>
      </c>
      <c r="L89" s="11">
        <f t="shared" si="79"/>
        <v>9.4593805114638445E-4</v>
      </c>
      <c r="M89" s="25"/>
      <c r="N89" s="28"/>
      <c r="O89" s="25"/>
      <c r="P89" s="25"/>
      <c r="Q89" s="25"/>
      <c r="R89" s="25"/>
      <c r="S89" s="25"/>
      <c r="T89" s="25"/>
      <c r="U89" s="28"/>
      <c r="V89" s="25"/>
      <c r="W89" s="15" t="s">
        <v>35</v>
      </c>
      <c r="X89" s="52"/>
    </row>
    <row r="90" spans="1:24" ht="20.45" customHeight="1">
      <c r="A90" s="10" t="s">
        <v>116</v>
      </c>
      <c r="B90" s="11">
        <v>1.0243055555555556E-2</v>
      </c>
      <c r="C90" s="11">
        <v>2.9513888888888888E-3</v>
      </c>
      <c r="D90" s="11">
        <f t="shared" si="72"/>
        <v>5.9594097222222218E-3</v>
      </c>
      <c r="E90" s="12">
        <v>0.58179999999999998</v>
      </c>
      <c r="F90" s="11">
        <f t="shared" si="73"/>
        <v>7.378472222222222E-4</v>
      </c>
      <c r="G90" s="11">
        <f t="shared" si="74"/>
        <v>7.9458796296296287E-4</v>
      </c>
      <c r="H90" s="11">
        <f t="shared" si="75"/>
        <v>8.1944444444444447E-4</v>
      </c>
      <c r="I90" s="11">
        <f t="shared" si="76"/>
        <v>8.5439565909996003E-4</v>
      </c>
      <c r="J90" s="11">
        <f t="shared" si="77"/>
        <v>8.636825684380031E-4</v>
      </c>
      <c r="K90" s="11">
        <f t="shared" si="78"/>
        <v>9.0294086700336686E-4</v>
      </c>
      <c r="L90" s="17">
        <f t="shared" si="79"/>
        <v>9.4593805114638445E-4</v>
      </c>
      <c r="M90" s="25"/>
      <c r="N90" s="28"/>
      <c r="O90" s="25"/>
      <c r="P90" s="25"/>
      <c r="Q90" s="25"/>
      <c r="R90" s="25"/>
      <c r="S90" s="25"/>
      <c r="T90" s="25"/>
      <c r="U90" s="28"/>
      <c r="V90" s="25"/>
      <c r="W90" s="15" t="s">
        <v>35</v>
      </c>
      <c r="X90" s="52"/>
    </row>
    <row r="91" spans="1:24" ht="20.45" customHeight="1">
      <c r="A91" s="10" t="s">
        <v>92</v>
      </c>
      <c r="B91" s="11">
        <v>1.0300925925925925E-2</v>
      </c>
      <c r="C91" s="11">
        <v>2.9745370370370373E-3</v>
      </c>
      <c r="D91" s="11">
        <f t="shared" si="72"/>
        <v>5.9930787037037027E-3</v>
      </c>
      <c r="E91" s="12">
        <v>0.58179999999999998</v>
      </c>
      <c r="F91" s="11">
        <f t="shared" si="73"/>
        <v>7.4363425925925931E-4</v>
      </c>
      <c r="G91" s="11">
        <f t="shared" si="74"/>
        <v>7.9907716049382703E-4</v>
      </c>
      <c r="H91" s="11">
        <f t="shared" si="75"/>
        <v>8.2407407407407397E-4</v>
      </c>
      <c r="I91" s="11">
        <f t="shared" si="76"/>
        <v>8.5922275321916877E-4</v>
      </c>
      <c r="J91" s="11">
        <f t="shared" si="77"/>
        <v>8.6856213097155112E-4</v>
      </c>
      <c r="K91" s="11">
        <f t="shared" si="78"/>
        <v>9.080422278338944E-4</v>
      </c>
      <c r="L91" s="11">
        <f t="shared" si="79"/>
        <v>9.5128233392122272E-4</v>
      </c>
      <c r="M91" s="25"/>
      <c r="N91" s="28"/>
      <c r="O91" s="25"/>
      <c r="P91" s="25"/>
      <c r="Q91" s="25"/>
      <c r="R91" s="25"/>
      <c r="S91" s="25"/>
      <c r="T91" s="25"/>
      <c r="U91" s="28"/>
      <c r="V91" s="25"/>
      <c r="W91" s="15" t="s">
        <v>35</v>
      </c>
      <c r="X91" s="52"/>
    </row>
    <row r="92" spans="1:24" ht="20.45" customHeight="1">
      <c r="A92" s="10" t="s">
        <v>111</v>
      </c>
      <c r="B92" s="11">
        <v>1.0300925925925925E-2</v>
      </c>
      <c r="C92" s="11">
        <v>3.0092592592592588E-3</v>
      </c>
      <c r="D92" s="11">
        <f t="shared" si="72"/>
        <v>5.9930787037037027E-3</v>
      </c>
      <c r="E92" s="12">
        <v>0.58179999999999998</v>
      </c>
      <c r="F92" s="11">
        <f t="shared" si="73"/>
        <v>7.5231481481481471E-4</v>
      </c>
      <c r="G92" s="11">
        <f t="shared" si="74"/>
        <v>7.9907716049382703E-4</v>
      </c>
      <c r="H92" s="11">
        <f t="shared" si="75"/>
        <v>8.2407407407407397E-4</v>
      </c>
      <c r="I92" s="11">
        <f t="shared" si="76"/>
        <v>8.5922275321916877E-4</v>
      </c>
      <c r="J92" s="11">
        <f t="shared" si="77"/>
        <v>8.6856213097155112E-4</v>
      </c>
      <c r="K92" s="11">
        <f t="shared" si="78"/>
        <v>9.080422278338944E-4</v>
      </c>
      <c r="L92" s="11">
        <f t="shared" si="79"/>
        <v>9.5128233392122272E-4</v>
      </c>
      <c r="M92" s="25"/>
      <c r="N92" s="28"/>
      <c r="O92" s="25"/>
      <c r="P92" s="25"/>
      <c r="Q92" s="25"/>
      <c r="R92" s="25"/>
      <c r="S92" s="25"/>
      <c r="T92" s="25"/>
      <c r="U92" s="28"/>
      <c r="V92" s="25"/>
      <c r="W92" s="15" t="s">
        <v>35</v>
      </c>
      <c r="X92" s="52"/>
    </row>
    <row r="93" spans="1:24" ht="20.45" customHeight="1">
      <c r="A93" s="10" t="s">
        <v>117</v>
      </c>
      <c r="B93" s="11">
        <v>1.0416666666666666E-2</v>
      </c>
      <c r="C93" s="11">
        <v>3.0671296296296297E-3</v>
      </c>
      <c r="D93" s="11">
        <f t="shared" si="72"/>
        <v>6.0604166666666662E-3</v>
      </c>
      <c r="E93" s="12">
        <v>0.58179999999999998</v>
      </c>
      <c r="F93" s="11">
        <f t="shared" si="73"/>
        <v>7.6678240740740743E-4</v>
      </c>
      <c r="G93" s="11">
        <f t="shared" si="74"/>
        <v>8.0805555555555546E-4</v>
      </c>
      <c r="H93" s="11">
        <f t="shared" si="75"/>
        <v>8.3333333333333328E-4</v>
      </c>
      <c r="I93" s="11">
        <f t="shared" si="76"/>
        <v>8.6887694145758646E-4</v>
      </c>
      <c r="J93" s="11">
        <f t="shared" si="77"/>
        <v>8.7832125603864715E-4</v>
      </c>
      <c r="K93" s="11">
        <f t="shared" si="78"/>
        <v>9.1824494949494938E-4</v>
      </c>
      <c r="L93" s="11">
        <f t="shared" si="79"/>
        <v>9.6197089947089938E-4</v>
      </c>
      <c r="M93" s="25"/>
      <c r="N93" s="28"/>
      <c r="O93" s="25"/>
      <c r="P93" s="25"/>
      <c r="Q93" s="25"/>
      <c r="R93" s="28"/>
      <c r="S93" s="25"/>
      <c r="T93" s="25"/>
      <c r="U93" s="28"/>
      <c r="V93" s="25"/>
      <c r="W93" s="15" t="s">
        <v>35</v>
      </c>
      <c r="X93" s="52"/>
    </row>
    <row r="94" spans="1:24" ht="20.45" customHeight="1">
      <c r="A94" s="10" t="s">
        <v>115</v>
      </c>
      <c r="B94" s="11">
        <v>1.0416666666666666E-2</v>
      </c>
      <c r="C94" s="11"/>
      <c r="D94" s="11">
        <f t="shared" si="72"/>
        <v>6.0604166666666662E-3</v>
      </c>
      <c r="E94" s="12">
        <v>0.58179999999999998</v>
      </c>
      <c r="F94" s="11">
        <f t="shared" si="73"/>
        <v>0</v>
      </c>
      <c r="G94" s="11">
        <f t="shared" si="74"/>
        <v>8.0805555555555546E-4</v>
      </c>
      <c r="H94" s="11">
        <f t="shared" si="75"/>
        <v>8.3333333333333328E-4</v>
      </c>
      <c r="I94" s="11">
        <f t="shared" si="76"/>
        <v>8.6887694145758646E-4</v>
      </c>
      <c r="J94" s="11">
        <f t="shared" si="77"/>
        <v>8.7832125603864715E-4</v>
      </c>
      <c r="K94" s="11">
        <f t="shared" si="78"/>
        <v>9.1824494949494938E-4</v>
      </c>
      <c r="L94" s="11">
        <f t="shared" si="79"/>
        <v>9.6197089947089938E-4</v>
      </c>
      <c r="M94" s="25"/>
      <c r="N94" s="28"/>
      <c r="O94" s="25"/>
      <c r="P94" s="25"/>
      <c r="Q94" s="25"/>
      <c r="R94" s="28"/>
      <c r="S94" s="25"/>
      <c r="T94" s="25"/>
      <c r="U94" s="28"/>
      <c r="V94" s="28"/>
      <c r="W94" s="27" t="s">
        <v>35</v>
      </c>
      <c r="X94" s="52"/>
    </row>
    <row r="95" spans="1:24" ht="20.45" customHeight="1">
      <c r="A95" s="10" t="s">
        <v>94</v>
      </c>
      <c r="B95" s="11">
        <v>1.0416666666666666E-2</v>
      </c>
      <c r="C95" s="11">
        <v>2.8935185185185188E-3</v>
      </c>
      <c r="D95" s="11">
        <f t="shared" si="72"/>
        <v>6.0604166666666662E-3</v>
      </c>
      <c r="E95" s="12">
        <v>0.58179999999999998</v>
      </c>
      <c r="F95" s="11">
        <f t="shared" si="73"/>
        <v>7.233796296296297E-4</v>
      </c>
      <c r="G95" s="11">
        <f t="shared" si="74"/>
        <v>8.0805555555555546E-4</v>
      </c>
      <c r="H95" s="11">
        <f t="shared" si="75"/>
        <v>8.3333333333333328E-4</v>
      </c>
      <c r="I95" s="11">
        <f t="shared" si="76"/>
        <v>8.6887694145758646E-4</v>
      </c>
      <c r="J95" s="11">
        <f t="shared" si="77"/>
        <v>8.7832125603864715E-4</v>
      </c>
      <c r="K95" s="11">
        <f t="shared" si="78"/>
        <v>9.1824494949494938E-4</v>
      </c>
      <c r="L95" s="17">
        <f t="shared" si="79"/>
        <v>9.6197089947089938E-4</v>
      </c>
      <c r="M95" s="25"/>
      <c r="N95" s="28"/>
      <c r="O95" s="25"/>
      <c r="P95" s="25"/>
      <c r="Q95" s="25"/>
      <c r="R95" s="25"/>
      <c r="S95" s="25"/>
      <c r="T95" s="25"/>
      <c r="U95" s="28"/>
      <c r="V95" s="25"/>
      <c r="W95" s="15" t="s">
        <v>35</v>
      </c>
      <c r="X95" s="52"/>
    </row>
    <row r="96" spans="1:24" ht="20.45" customHeight="1">
      <c r="A96" s="10" t="s">
        <v>119</v>
      </c>
      <c r="B96" s="11">
        <v>1.0416666666666666E-2</v>
      </c>
      <c r="C96" s="11"/>
      <c r="D96" s="11">
        <f t="shared" si="72"/>
        <v>6.0604166666666662E-3</v>
      </c>
      <c r="E96" s="12">
        <v>0.58179999999999998</v>
      </c>
      <c r="F96" s="11">
        <f t="shared" si="73"/>
        <v>0</v>
      </c>
      <c r="G96" s="11">
        <f t="shared" si="74"/>
        <v>8.0805555555555546E-4</v>
      </c>
      <c r="H96" s="11">
        <f t="shared" si="75"/>
        <v>8.3333333333333328E-4</v>
      </c>
      <c r="I96" s="11">
        <f t="shared" si="76"/>
        <v>8.6887694145758646E-4</v>
      </c>
      <c r="J96" s="11">
        <f t="shared" si="77"/>
        <v>8.7832125603864715E-4</v>
      </c>
      <c r="K96" s="11">
        <f t="shared" si="78"/>
        <v>9.1824494949494938E-4</v>
      </c>
      <c r="L96" s="11">
        <f t="shared" si="79"/>
        <v>9.6197089947089938E-4</v>
      </c>
      <c r="M96" s="25"/>
      <c r="N96" s="28"/>
      <c r="O96" s="25"/>
      <c r="P96" s="25"/>
      <c r="Q96" s="25"/>
      <c r="R96" s="26"/>
      <c r="S96" s="14"/>
      <c r="T96" s="14"/>
      <c r="U96" s="26"/>
      <c r="V96" s="28"/>
      <c r="W96" s="27" t="s">
        <v>35</v>
      </c>
      <c r="X96" s="52"/>
    </row>
    <row r="97" spans="1:24" ht="20.45" customHeight="1">
      <c r="A97" s="10" t="s">
        <v>120</v>
      </c>
      <c r="B97" s="11">
        <v>1.0532407407407407E-2</v>
      </c>
      <c r="C97" s="11">
        <v>3.1250000000000002E-3</v>
      </c>
      <c r="D97" s="11">
        <f t="shared" si="72"/>
        <v>6.1277546296296288E-3</v>
      </c>
      <c r="E97" s="12">
        <v>0.58179999999999998</v>
      </c>
      <c r="F97" s="11">
        <f t="shared" si="73"/>
        <v>7.8125000000000004E-4</v>
      </c>
      <c r="G97" s="11">
        <f t="shared" si="74"/>
        <v>8.1703395061728389E-4</v>
      </c>
      <c r="H97" s="11">
        <f t="shared" si="75"/>
        <v>8.4259259259259259E-4</v>
      </c>
      <c r="I97" s="11">
        <f t="shared" si="76"/>
        <v>8.7853112969600415E-4</v>
      </c>
      <c r="J97" s="11">
        <f t="shared" si="77"/>
        <v>8.8808038110574329E-4</v>
      </c>
      <c r="K97" s="11">
        <f t="shared" si="78"/>
        <v>9.2844767115600447E-4</v>
      </c>
      <c r="L97" s="11">
        <f t="shared" si="79"/>
        <v>9.7265946502057604E-4</v>
      </c>
      <c r="M97" s="25"/>
      <c r="N97" s="28"/>
      <c r="O97" s="25"/>
      <c r="P97" s="25"/>
      <c r="Q97" s="25"/>
      <c r="R97" s="28"/>
      <c r="S97" s="25"/>
      <c r="T97" s="25"/>
      <c r="U97" s="28"/>
      <c r="V97" s="25"/>
      <c r="W97" s="15" t="s">
        <v>35</v>
      </c>
      <c r="X97" s="52"/>
    </row>
    <row r="98" spans="1:24" ht="20.45" customHeight="1">
      <c r="A98" s="10" t="s">
        <v>129</v>
      </c>
      <c r="B98" s="11">
        <v>1.0590277777777778E-2</v>
      </c>
      <c r="C98" s="11">
        <v>3.0092592592592593E-3</v>
      </c>
      <c r="D98" s="11">
        <f t="shared" ref="D98:D104" si="80">B98*E98</f>
        <v>6.1614236111111114E-3</v>
      </c>
      <c r="E98" s="12">
        <v>0.58179999999999998</v>
      </c>
      <c r="F98" s="11">
        <f t="shared" ref="F98:F104" si="81">C98/4</f>
        <v>7.5231481481481482E-4</v>
      </c>
      <c r="G98" s="11">
        <f t="shared" ref="G98:G104" si="82">D98/7.5</f>
        <v>8.2152314814814816E-4</v>
      </c>
      <c r="H98" s="11">
        <f t="shared" ref="H98:H104" si="83">B98/12.5</f>
        <v>8.472222222222223E-4</v>
      </c>
      <c r="I98" s="11">
        <f t="shared" ref="I98:I104" si="84">G98/0.93</f>
        <v>8.8335822381521299E-4</v>
      </c>
      <c r="J98" s="11">
        <f t="shared" ref="J98:J104" si="85">G98/0.92</f>
        <v>8.9295994363929141E-4</v>
      </c>
      <c r="K98" s="11">
        <f t="shared" ref="K98:K104" si="86">G98/0.88</f>
        <v>9.3354903198653201E-4</v>
      </c>
      <c r="L98" s="11">
        <f t="shared" ref="L98:L104" si="87">G98/0.84</f>
        <v>9.7800374779541442E-4</v>
      </c>
      <c r="M98" s="25"/>
      <c r="N98" s="28"/>
      <c r="O98" s="25"/>
      <c r="P98" s="25"/>
      <c r="Q98" s="25"/>
      <c r="R98" s="25"/>
      <c r="S98" s="25"/>
      <c r="T98" s="25"/>
      <c r="U98" s="28"/>
      <c r="V98" s="25"/>
      <c r="W98" s="15" t="s">
        <v>35</v>
      </c>
      <c r="X98" s="50"/>
    </row>
    <row r="99" spans="1:24" ht="20.45" customHeight="1">
      <c r="A99" s="10" t="s">
        <v>121</v>
      </c>
      <c r="B99" s="11">
        <v>1.0590277777777778E-2</v>
      </c>
      <c r="C99" s="11"/>
      <c r="D99" s="11">
        <f t="shared" si="80"/>
        <v>6.1614236111111114E-3</v>
      </c>
      <c r="E99" s="12">
        <v>0.58179999999999998</v>
      </c>
      <c r="F99" s="11">
        <f t="shared" si="81"/>
        <v>0</v>
      </c>
      <c r="G99" s="11">
        <f t="shared" si="82"/>
        <v>8.2152314814814816E-4</v>
      </c>
      <c r="H99" s="11">
        <f t="shared" si="83"/>
        <v>8.472222222222223E-4</v>
      </c>
      <c r="I99" s="11">
        <f t="shared" si="84"/>
        <v>8.8335822381521299E-4</v>
      </c>
      <c r="J99" s="11">
        <f t="shared" si="85"/>
        <v>8.9295994363929141E-4</v>
      </c>
      <c r="K99" s="11">
        <f t="shared" si="86"/>
        <v>9.3354903198653201E-4</v>
      </c>
      <c r="L99" s="11">
        <f t="shared" si="87"/>
        <v>9.7800374779541442E-4</v>
      </c>
      <c r="M99" s="25"/>
      <c r="N99" s="28"/>
      <c r="O99" s="25"/>
      <c r="P99" s="25"/>
      <c r="Q99" s="25"/>
      <c r="R99" s="26"/>
      <c r="S99" s="14"/>
      <c r="T99" s="14"/>
      <c r="U99" s="26"/>
      <c r="V99" s="28"/>
      <c r="W99" s="27" t="s">
        <v>35</v>
      </c>
      <c r="X99" s="50"/>
    </row>
    <row r="100" spans="1:24" ht="20.45" customHeight="1">
      <c r="A100" s="10" t="s">
        <v>90</v>
      </c>
      <c r="B100" s="11">
        <v>1.0648148148148148E-2</v>
      </c>
      <c r="C100" s="11">
        <v>3.0671296296296297E-3</v>
      </c>
      <c r="D100" s="11">
        <f t="shared" si="80"/>
        <v>6.1950925925925923E-3</v>
      </c>
      <c r="E100" s="12">
        <v>0.58179999999999998</v>
      </c>
      <c r="F100" s="11">
        <f t="shared" si="81"/>
        <v>7.6678240740740743E-4</v>
      </c>
      <c r="G100" s="11">
        <f t="shared" si="82"/>
        <v>8.2601234567901232E-4</v>
      </c>
      <c r="H100" s="11">
        <f t="shared" si="83"/>
        <v>8.5185185185185179E-4</v>
      </c>
      <c r="I100" s="11">
        <f t="shared" si="84"/>
        <v>8.8818531793442184E-4</v>
      </c>
      <c r="J100" s="11">
        <f t="shared" si="85"/>
        <v>8.9783950617283942E-4</v>
      </c>
      <c r="K100" s="11">
        <f t="shared" si="86"/>
        <v>9.3865039281705945E-4</v>
      </c>
      <c r="L100" s="17">
        <f t="shared" si="87"/>
        <v>9.833480305702527E-4</v>
      </c>
      <c r="M100" s="25"/>
      <c r="N100" s="28"/>
      <c r="O100" s="25"/>
      <c r="P100" s="25"/>
      <c r="Q100" s="25"/>
      <c r="R100" s="25"/>
      <c r="S100" s="25"/>
      <c r="T100" s="25"/>
      <c r="U100" s="28"/>
      <c r="V100" s="25"/>
      <c r="W100" s="15" t="s">
        <v>35</v>
      </c>
      <c r="X100" s="50"/>
    </row>
    <row r="101" spans="1:24" ht="20.45" customHeight="1">
      <c r="A101" s="10" t="s">
        <v>125</v>
      </c>
      <c r="B101" s="11">
        <v>1.0648148148148148E-2</v>
      </c>
      <c r="C101" s="11"/>
      <c r="D101" s="11">
        <f t="shared" si="80"/>
        <v>6.1950925925925923E-3</v>
      </c>
      <c r="E101" s="12">
        <v>0.58179999999999998</v>
      </c>
      <c r="F101" s="11">
        <f t="shared" si="81"/>
        <v>0</v>
      </c>
      <c r="G101" s="11">
        <f t="shared" si="82"/>
        <v>8.2601234567901232E-4</v>
      </c>
      <c r="H101" s="11">
        <f t="shared" si="83"/>
        <v>8.5185185185185179E-4</v>
      </c>
      <c r="I101" s="11">
        <f t="shared" si="84"/>
        <v>8.8818531793442184E-4</v>
      </c>
      <c r="J101" s="11">
        <f t="shared" si="85"/>
        <v>8.9783950617283942E-4</v>
      </c>
      <c r="K101" s="11">
        <f t="shared" si="86"/>
        <v>9.3865039281705945E-4</v>
      </c>
      <c r="L101" s="11">
        <f t="shared" si="87"/>
        <v>9.833480305702527E-4</v>
      </c>
      <c r="M101" s="25"/>
      <c r="N101" s="28"/>
      <c r="O101" s="25"/>
      <c r="P101" s="25"/>
      <c r="Q101" s="25"/>
      <c r="R101" s="28"/>
      <c r="S101" s="25"/>
      <c r="T101" s="25"/>
      <c r="U101" s="28"/>
      <c r="V101" s="28"/>
      <c r="W101" s="15" t="s">
        <v>35</v>
      </c>
      <c r="X101" s="50"/>
    </row>
    <row r="102" spans="1:24" ht="20.45" customHeight="1">
      <c r="A102" s="10" t="s">
        <v>264</v>
      </c>
      <c r="B102" s="11">
        <v>1.0648148148148148E-2</v>
      </c>
      <c r="C102" s="11"/>
      <c r="D102" s="11">
        <f t="shared" si="80"/>
        <v>6.1950925925925923E-3</v>
      </c>
      <c r="E102" s="12">
        <v>0.58179999999999998</v>
      </c>
      <c r="F102" s="11">
        <f t="shared" si="81"/>
        <v>0</v>
      </c>
      <c r="G102" s="11">
        <f t="shared" si="82"/>
        <v>8.2601234567901232E-4</v>
      </c>
      <c r="H102" s="11">
        <f t="shared" si="83"/>
        <v>8.5185185185185179E-4</v>
      </c>
      <c r="I102" s="11">
        <f t="shared" si="84"/>
        <v>8.8818531793442184E-4</v>
      </c>
      <c r="J102" s="11">
        <f t="shared" si="85"/>
        <v>8.9783950617283942E-4</v>
      </c>
      <c r="K102" s="11">
        <f t="shared" si="86"/>
        <v>9.3865039281705945E-4</v>
      </c>
      <c r="L102" s="11">
        <f t="shared" si="87"/>
        <v>9.833480305702527E-4</v>
      </c>
      <c r="M102" s="25"/>
      <c r="N102" s="28"/>
      <c r="O102" s="25"/>
      <c r="P102" s="25"/>
      <c r="Q102" s="25"/>
      <c r="R102" s="26"/>
      <c r="S102" s="14"/>
      <c r="T102" s="14"/>
      <c r="U102" s="26"/>
      <c r="V102" s="28"/>
      <c r="W102" s="27" t="s">
        <v>35</v>
      </c>
      <c r="X102" s="50"/>
    </row>
    <row r="103" spans="1:24" ht="20.45" customHeight="1">
      <c r="A103" s="10" t="s">
        <v>126</v>
      </c>
      <c r="B103" s="11">
        <v>1.0648148148148148E-2</v>
      </c>
      <c r="C103" s="11"/>
      <c r="D103" s="11">
        <f t="shared" si="80"/>
        <v>6.1950925925925923E-3</v>
      </c>
      <c r="E103" s="12">
        <v>0.58179999999999998</v>
      </c>
      <c r="F103" s="11">
        <f t="shared" si="81"/>
        <v>0</v>
      </c>
      <c r="G103" s="11">
        <f t="shared" si="82"/>
        <v>8.2601234567901232E-4</v>
      </c>
      <c r="H103" s="11">
        <f t="shared" si="83"/>
        <v>8.5185185185185179E-4</v>
      </c>
      <c r="I103" s="11">
        <f t="shared" si="84"/>
        <v>8.8818531793442184E-4</v>
      </c>
      <c r="J103" s="11">
        <f t="shared" si="85"/>
        <v>8.9783950617283942E-4</v>
      </c>
      <c r="K103" s="11">
        <f t="shared" si="86"/>
        <v>9.3865039281705945E-4</v>
      </c>
      <c r="L103" s="11">
        <f t="shared" si="87"/>
        <v>9.833480305702527E-4</v>
      </c>
      <c r="M103" s="25"/>
      <c r="N103" s="28"/>
      <c r="O103" s="25"/>
      <c r="P103" s="25"/>
      <c r="Q103" s="25"/>
      <c r="R103" s="28"/>
      <c r="S103" s="25"/>
      <c r="T103" s="25"/>
      <c r="U103" s="28"/>
      <c r="V103" s="28"/>
      <c r="W103" s="27" t="s">
        <v>35</v>
      </c>
      <c r="X103" s="50"/>
    </row>
    <row r="104" spans="1:24" ht="20.45" customHeight="1">
      <c r="A104" s="10" t="s">
        <v>124</v>
      </c>
      <c r="B104" s="11">
        <v>1.0648148148148148E-2</v>
      </c>
      <c r="C104" s="11"/>
      <c r="D104" s="11">
        <f t="shared" si="80"/>
        <v>6.1950925925925923E-3</v>
      </c>
      <c r="E104" s="12">
        <v>0.58179999999999998</v>
      </c>
      <c r="F104" s="11">
        <f t="shared" si="81"/>
        <v>0</v>
      </c>
      <c r="G104" s="11">
        <f t="shared" si="82"/>
        <v>8.2601234567901232E-4</v>
      </c>
      <c r="H104" s="11">
        <f t="shared" si="83"/>
        <v>8.5185185185185179E-4</v>
      </c>
      <c r="I104" s="11">
        <f t="shared" si="84"/>
        <v>8.8818531793442184E-4</v>
      </c>
      <c r="J104" s="11">
        <f t="shared" si="85"/>
        <v>8.9783950617283942E-4</v>
      </c>
      <c r="K104" s="11">
        <f t="shared" si="86"/>
        <v>9.3865039281705945E-4</v>
      </c>
      <c r="L104" s="11">
        <f t="shared" si="87"/>
        <v>9.833480305702527E-4</v>
      </c>
      <c r="M104" s="25"/>
      <c r="N104" s="28"/>
      <c r="O104" s="25"/>
      <c r="P104" s="25"/>
      <c r="Q104" s="25"/>
      <c r="R104" s="26"/>
      <c r="S104" s="14"/>
      <c r="T104" s="14"/>
      <c r="U104" s="26"/>
      <c r="V104" s="28"/>
      <c r="W104" s="27" t="s">
        <v>35</v>
      </c>
      <c r="X104" s="50"/>
    </row>
    <row r="105" spans="1:24" ht="20.45" customHeight="1">
      <c r="A105" s="10" t="s">
        <v>130</v>
      </c>
      <c r="B105" s="11">
        <v>1.0763888888888891E-2</v>
      </c>
      <c r="C105" s="11">
        <v>3.1828703703703702E-3</v>
      </c>
      <c r="D105" s="11">
        <f>B105*E105</f>
        <v>6.2624305555555567E-3</v>
      </c>
      <c r="E105" s="12">
        <v>0.58179999999999998</v>
      </c>
      <c r="F105" s="11">
        <f>C105/4</f>
        <v>7.9571759259259255E-4</v>
      </c>
      <c r="G105" s="11">
        <f>D105/7.5</f>
        <v>8.3499074074074085E-4</v>
      </c>
      <c r="H105" s="11">
        <f>B105/12.5</f>
        <v>8.6111111111111121E-4</v>
      </c>
      <c r="I105" s="11">
        <f>G105/0.93</f>
        <v>8.9783950617283953E-4</v>
      </c>
      <c r="J105" s="11">
        <f>G105/0.92</f>
        <v>9.0759863123993567E-4</v>
      </c>
      <c r="K105" s="11">
        <f>G105/0.88</f>
        <v>9.4885311447811464E-4</v>
      </c>
      <c r="L105" s="11">
        <f>G105/0.84</f>
        <v>9.9403659611992969E-4</v>
      </c>
      <c r="M105" s="25"/>
      <c r="N105" s="28"/>
      <c r="O105" s="25"/>
      <c r="P105" s="25"/>
      <c r="Q105" s="25"/>
      <c r="R105" s="28"/>
      <c r="S105" s="25"/>
      <c r="T105" s="25"/>
      <c r="U105" s="28"/>
      <c r="V105" s="48"/>
      <c r="W105" s="27" t="s">
        <v>35</v>
      </c>
      <c r="X105" s="50"/>
    </row>
    <row r="106" spans="1:24" ht="20.45" customHeight="1">
      <c r="A106" s="10" t="s">
        <v>132</v>
      </c>
      <c r="B106" s="11">
        <v>1.087962962962963E-2</v>
      </c>
      <c r="C106" s="11"/>
      <c r="D106" s="11">
        <f>B106*E106</f>
        <v>6.3297685185185184E-3</v>
      </c>
      <c r="E106" s="12">
        <v>0.58179999999999998</v>
      </c>
      <c r="F106" s="11">
        <f>C106/4</f>
        <v>0</v>
      </c>
      <c r="G106" s="11">
        <f>D106/7.5</f>
        <v>8.4396913580246917E-4</v>
      </c>
      <c r="H106" s="11">
        <f>B106/12.5</f>
        <v>8.7037037037037042E-4</v>
      </c>
      <c r="I106" s="11">
        <f>G106/0.93</f>
        <v>9.0749369441125711E-4</v>
      </c>
      <c r="J106" s="11">
        <f>G106/0.92</f>
        <v>9.173577563070317E-4</v>
      </c>
      <c r="K106" s="11">
        <f>G106/0.88</f>
        <v>9.5905583613916951E-4</v>
      </c>
      <c r="L106" s="11">
        <f>G106/0.84</f>
        <v>1.0047251616696062E-3</v>
      </c>
      <c r="M106" s="25"/>
      <c r="N106" s="28"/>
      <c r="O106" s="25"/>
      <c r="P106" s="25"/>
      <c r="Q106" s="25"/>
      <c r="R106" s="26"/>
      <c r="S106" s="14"/>
      <c r="T106" s="14"/>
      <c r="U106" s="26"/>
      <c r="V106" s="28"/>
      <c r="W106" s="27" t="s">
        <v>35</v>
      </c>
      <c r="X106" s="50"/>
    </row>
    <row r="107" spans="1:24" ht="20.45" customHeight="1">
      <c r="A107" s="10" t="s">
        <v>133</v>
      </c>
      <c r="B107" s="11">
        <v>1.087962962962963E-2</v>
      </c>
      <c r="C107" s="11">
        <v>3.1250000000000002E-3</v>
      </c>
      <c r="D107" s="11">
        <f>B107*E107</f>
        <v>6.3297685185185184E-3</v>
      </c>
      <c r="E107" s="12">
        <v>0.58179999999999998</v>
      </c>
      <c r="F107" s="11">
        <f>C107/4</f>
        <v>7.8125000000000004E-4</v>
      </c>
      <c r="G107" s="11">
        <f>D107/7.5</f>
        <v>8.4396913580246917E-4</v>
      </c>
      <c r="H107" s="11">
        <f>B107/12.5</f>
        <v>8.7037037037037042E-4</v>
      </c>
      <c r="I107" s="11">
        <f>G107/0.93</f>
        <v>9.0749369441125711E-4</v>
      </c>
      <c r="J107" s="11">
        <f>G107/0.92</f>
        <v>9.173577563070317E-4</v>
      </c>
      <c r="K107" s="11">
        <f>G107/0.88</f>
        <v>9.5905583613916951E-4</v>
      </c>
      <c r="L107" s="11">
        <f>G107/0.84</f>
        <v>1.0047251616696062E-3</v>
      </c>
      <c r="M107" s="25"/>
      <c r="N107" s="28"/>
      <c r="O107" s="25"/>
      <c r="P107" s="25"/>
      <c r="Q107" s="25"/>
      <c r="R107" s="25"/>
      <c r="S107" s="25"/>
      <c r="T107" s="25"/>
      <c r="U107" s="28"/>
      <c r="V107" s="25"/>
      <c r="W107" s="15" t="s">
        <v>35</v>
      </c>
      <c r="X107" s="50"/>
    </row>
    <row r="108" spans="1:24" ht="20.45" customHeight="1">
      <c r="A108" s="10" t="s">
        <v>113</v>
      </c>
      <c r="B108" s="11">
        <v>1.087962962962963E-2</v>
      </c>
      <c r="C108" s="11">
        <v>3.2986111111111111E-3</v>
      </c>
      <c r="D108" s="11">
        <f t="shared" ref="D108" si="88">B108*E108</f>
        <v>6.3297685185185184E-3</v>
      </c>
      <c r="E108" s="12">
        <v>0.58179999999999998</v>
      </c>
      <c r="F108" s="11">
        <f t="shared" ref="F108" si="89">C108/4</f>
        <v>8.2465277777777778E-4</v>
      </c>
      <c r="G108" s="11">
        <f t="shared" ref="G108" si="90">D108/7.5</f>
        <v>8.4396913580246917E-4</v>
      </c>
      <c r="H108" s="11">
        <f t="shared" ref="H108" si="91">B108/12.5</f>
        <v>8.7037037037037042E-4</v>
      </c>
      <c r="I108" s="11">
        <f t="shared" ref="I108" si="92">G108/0.93</f>
        <v>9.0749369441125711E-4</v>
      </c>
      <c r="J108" s="11">
        <f t="shared" ref="J108" si="93">G108/0.92</f>
        <v>9.173577563070317E-4</v>
      </c>
      <c r="K108" s="11">
        <f t="shared" ref="K108" si="94">G108/0.88</f>
        <v>9.5905583613916951E-4</v>
      </c>
      <c r="L108" s="11">
        <f t="shared" ref="L108" si="95">G108/0.84</f>
        <v>1.0047251616696062E-3</v>
      </c>
      <c r="M108" s="25"/>
      <c r="N108" s="28"/>
      <c r="O108" s="25"/>
      <c r="P108" s="25"/>
      <c r="Q108" s="25"/>
      <c r="R108" s="28"/>
      <c r="S108" s="25"/>
      <c r="T108" s="25"/>
      <c r="U108" s="28"/>
      <c r="V108" s="25"/>
      <c r="W108" s="15" t="s">
        <v>35</v>
      </c>
      <c r="X108" s="52"/>
    </row>
    <row r="109" spans="1:24" ht="20.45" customHeight="1">
      <c r="A109" s="10" t="s">
        <v>128</v>
      </c>
      <c r="B109" s="11">
        <v>1.087962962962963E-2</v>
      </c>
      <c r="C109" s="11"/>
      <c r="D109" s="11">
        <f>B109*E109</f>
        <v>6.3297685185185184E-3</v>
      </c>
      <c r="E109" s="12">
        <v>0.58179999999999998</v>
      </c>
      <c r="F109" s="11">
        <f>C109/4</f>
        <v>0</v>
      </c>
      <c r="G109" s="11">
        <f>D109/7.5</f>
        <v>8.4396913580246917E-4</v>
      </c>
      <c r="H109" s="11">
        <f>B109/12.5</f>
        <v>8.7037037037037042E-4</v>
      </c>
      <c r="I109" s="11">
        <f>G109/0.93</f>
        <v>9.0749369441125711E-4</v>
      </c>
      <c r="J109" s="11">
        <f>G109/0.92</f>
        <v>9.173577563070317E-4</v>
      </c>
      <c r="K109" s="11">
        <f>G109/0.88</f>
        <v>9.5905583613916951E-4</v>
      </c>
      <c r="L109" s="11">
        <f>G109/0.84</f>
        <v>1.0047251616696062E-3</v>
      </c>
      <c r="M109" s="25"/>
      <c r="N109" s="28"/>
      <c r="O109" s="25"/>
      <c r="P109" s="25"/>
      <c r="Q109" s="25"/>
      <c r="R109" s="26"/>
      <c r="S109" s="14"/>
      <c r="T109" s="14"/>
      <c r="U109" s="26"/>
      <c r="V109" s="28"/>
      <c r="W109" s="27" t="s">
        <v>35</v>
      </c>
      <c r="X109" s="52"/>
    </row>
    <row r="110" spans="1:24" ht="20.45" customHeight="1">
      <c r="A110" s="10" t="s">
        <v>136</v>
      </c>
      <c r="B110" s="11">
        <v>1.1111111111111112E-2</v>
      </c>
      <c r="C110" s="11">
        <v>3.1828703703703702E-3</v>
      </c>
      <c r="D110" s="11">
        <f>B110*E110</f>
        <v>6.4644444444444445E-3</v>
      </c>
      <c r="E110" s="12">
        <v>0.58179999999999998</v>
      </c>
      <c r="F110" s="11">
        <f>C110/4</f>
        <v>7.9571759259259255E-4</v>
      </c>
      <c r="G110" s="11">
        <f>D110/7.5</f>
        <v>8.6192592592592592E-4</v>
      </c>
      <c r="H110" s="11">
        <f>B110/12.5</f>
        <v>8.8888888888888893E-4</v>
      </c>
      <c r="I110" s="11">
        <f>G110/0.93</f>
        <v>9.2680207088809239E-4</v>
      </c>
      <c r="J110" s="11">
        <f>G110/0.92</f>
        <v>9.3687600644122375E-4</v>
      </c>
      <c r="K110" s="11">
        <f>G110/0.88</f>
        <v>9.7946127946127947E-4</v>
      </c>
      <c r="L110" s="11">
        <f>G110/0.84</f>
        <v>1.0261022927689596E-3</v>
      </c>
      <c r="M110" s="25"/>
      <c r="N110" s="28"/>
      <c r="O110" s="25"/>
      <c r="P110" s="25"/>
      <c r="Q110" s="25"/>
      <c r="R110" s="25"/>
      <c r="S110" s="25"/>
      <c r="T110" s="25"/>
      <c r="U110" s="28"/>
      <c r="V110" s="25"/>
      <c r="W110" s="15" t="s">
        <v>35</v>
      </c>
      <c r="X110" s="52"/>
    </row>
    <row r="111" spans="1:24" ht="20.45" customHeight="1">
      <c r="A111" s="10" t="s">
        <v>135</v>
      </c>
      <c r="B111" s="11">
        <v>1.1631944444444445E-2</v>
      </c>
      <c r="C111" s="11">
        <v>3.414351851851852E-3</v>
      </c>
      <c r="D111" s="11">
        <f>B111*E111</f>
        <v>6.7674652777777776E-3</v>
      </c>
      <c r="E111" s="12">
        <v>0.58179999999999998</v>
      </c>
      <c r="F111" s="11">
        <f>C111/4</f>
        <v>8.53587962962963E-4</v>
      </c>
      <c r="G111" s="11">
        <f>D111/7.5</f>
        <v>9.0232870370370369E-4</v>
      </c>
      <c r="H111" s="11">
        <f>B111/12.5</f>
        <v>9.3055555555555556E-4</v>
      </c>
      <c r="I111" s="11">
        <f>G111/0.93</f>
        <v>9.7024591796097167E-4</v>
      </c>
      <c r="J111" s="11">
        <f>G111/0.92</f>
        <v>9.8079206924315621E-4</v>
      </c>
      <c r="K111" s="11">
        <f>G111/0.88</f>
        <v>1.0253735269360269E-3</v>
      </c>
      <c r="L111" s="17">
        <f>G111/0.84</f>
        <v>1.0742008377425045E-3</v>
      </c>
      <c r="M111" s="25"/>
      <c r="N111" s="28"/>
      <c r="O111" s="25"/>
      <c r="P111" s="25"/>
      <c r="Q111" s="25"/>
      <c r="R111" s="28"/>
      <c r="S111" s="25"/>
      <c r="T111" s="25"/>
      <c r="U111" s="28"/>
      <c r="V111" s="44"/>
      <c r="W111" s="28" t="s">
        <v>35</v>
      </c>
      <c r="X111" s="52"/>
    </row>
    <row r="112" spans="1:24" ht="20.45" customHeight="1">
      <c r="A112" s="10"/>
      <c r="B112" s="11"/>
      <c r="C112" s="11"/>
      <c r="D112" s="11"/>
      <c r="E112" s="12"/>
      <c r="F112" s="11"/>
      <c r="G112" s="11"/>
      <c r="H112" s="11"/>
      <c r="I112" s="11"/>
      <c r="J112" s="11"/>
      <c r="K112" s="11"/>
      <c r="L112" s="11"/>
      <c r="M112" s="25"/>
      <c r="N112" s="28"/>
      <c r="O112" s="25"/>
      <c r="P112" s="28"/>
      <c r="Q112" s="25"/>
      <c r="R112" s="28"/>
      <c r="S112" s="25"/>
      <c r="T112" s="28"/>
      <c r="U112" s="28"/>
      <c r="V112" s="25"/>
      <c r="W112" s="15"/>
      <c r="X112" s="52"/>
    </row>
    <row r="113" spans="1:24" ht="20.45" customHeight="1">
      <c r="A113" s="10"/>
      <c r="B113" s="11"/>
      <c r="C113" s="11"/>
      <c r="D113" s="11"/>
      <c r="E113" s="12"/>
      <c r="F113" s="11"/>
      <c r="G113" s="11"/>
      <c r="H113" s="11"/>
      <c r="I113" s="11"/>
      <c r="J113" s="11"/>
      <c r="K113" s="11"/>
      <c r="L113" s="11"/>
      <c r="M113" s="25"/>
      <c r="N113" s="28"/>
      <c r="O113" s="25"/>
      <c r="P113" s="25"/>
      <c r="Q113" s="25"/>
      <c r="R113" s="28"/>
      <c r="S113" s="25"/>
      <c r="T113" s="25"/>
      <c r="U113" s="28"/>
      <c r="V113" s="25"/>
      <c r="W113" s="15"/>
      <c r="X113" s="52"/>
    </row>
    <row r="114" spans="1:24" ht="20.45" customHeight="1">
      <c r="A114" s="10"/>
      <c r="B114" s="11"/>
      <c r="C114" s="11"/>
      <c r="D114" s="11"/>
      <c r="E114" s="12"/>
      <c r="F114" s="11"/>
      <c r="G114" s="11"/>
      <c r="H114" s="11"/>
      <c r="I114" s="11"/>
      <c r="J114" s="11"/>
      <c r="K114" s="11"/>
      <c r="L114" s="11"/>
      <c r="M114" s="25"/>
      <c r="N114" s="28"/>
      <c r="O114" s="25"/>
      <c r="P114" s="28"/>
      <c r="Q114" s="25"/>
      <c r="R114" s="28"/>
      <c r="S114" s="25"/>
      <c r="T114" s="25"/>
      <c r="U114" s="28"/>
      <c r="V114" s="28"/>
      <c r="W114" s="27"/>
      <c r="X114" s="52"/>
    </row>
    <row r="115" spans="1:24" ht="20.45" customHeight="1" thickBot="1">
      <c r="A115" s="10"/>
      <c r="B115" s="11"/>
      <c r="C115" s="11"/>
      <c r="D115" s="11"/>
      <c r="E115" s="12"/>
      <c r="F115" s="11"/>
      <c r="G115" s="11"/>
      <c r="H115" s="11"/>
      <c r="I115" s="11"/>
      <c r="J115" s="11"/>
      <c r="K115" s="11"/>
      <c r="L115" s="17"/>
      <c r="M115" s="11"/>
      <c r="N115" s="26"/>
      <c r="P115" s="26"/>
      <c r="Q115" s="26"/>
      <c r="R115" s="26"/>
      <c r="S115" s="14"/>
      <c r="T115" s="14"/>
      <c r="U115" s="26"/>
      <c r="V115" s="38"/>
      <c r="W115" s="31"/>
      <c r="X115" s="52"/>
    </row>
    <row r="116" spans="1:24" ht="20.45" customHeight="1">
      <c r="A116" s="1" t="s">
        <v>318</v>
      </c>
      <c r="B116" s="6"/>
      <c r="C116" s="6"/>
      <c r="D116" s="6"/>
      <c r="E116" s="20"/>
      <c r="F116" s="6"/>
      <c r="G116" s="6"/>
      <c r="H116" s="6"/>
      <c r="I116" s="6"/>
      <c r="J116" s="6"/>
      <c r="K116" s="6"/>
      <c r="L116" s="6"/>
      <c r="M116" s="6"/>
      <c r="N116" s="6"/>
      <c r="O116" s="6"/>
      <c r="P116" s="6"/>
      <c r="Q116" s="22"/>
      <c r="R116" s="6"/>
      <c r="S116" s="6"/>
      <c r="T116" s="6"/>
      <c r="U116" s="6"/>
      <c r="V116" s="23"/>
      <c r="W116" s="35"/>
      <c r="X116" s="52"/>
    </row>
    <row r="117" spans="1:24" ht="20.45" customHeight="1">
      <c r="A117" s="10" t="s">
        <v>114</v>
      </c>
      <c r="B117" s="11">
        <v>1.087962962962963E-2</v>
      </c>
      <c r="C117" s="11"/>
      <c r="D117" s="11">
        <f>B117*E117</f>
        <v>6.3297685185185184E-3</v>
      </c>
      <c r="E117" s="12">
        <v>0.58179999999999998</v>
      </c>
      <c r="F117" s="11">
        <f>C117/4</f>
        <v>0</v>
      </c>
      <c r="G117" s="11">
        <f>D117/7.5</f>
        <v>8.4396913580246917E-4</v>
      </c>
      <c r="H117" s="11">
        <f>B117/12.5</f>
        <v>8.7037037037037042E-4</v>
      </c>
      <c r="I117" s="11">
        <f>G117/0.93</f>
        <v>9.0749369441125711E-4</v>
      </c>
      <c r="J117" s="11">
        <f>G117/0.92</f>
        <v>9.173577563070317E-4</v>
      </c>
      <c r="K117" s="11">
        <f>G117/0.88</f>
        <v>9.5905583613916951E-4</v>
      </c>
      <c r="L117" s="11">
        <f>G117/0.84</f>
        <v>1.0047251616696062E-3</v>
      </c>
      <c r="M117" s="25"/>
      <c r="N117" s="28"/>
      <c r="O117" s="25"/>
      <c r="P117" s="25"/>
      <c r="Q117" s="25"/>
      <c r="R117" s="28"/>
      <c r="S117" s="25"/>
      <c r="T117" s="25"/>
      <c r="U117" s="28"/>
      <c r="V117" s="28"/>
      <c r="W117" s="15" t="s">
        <v>48</v>
      </c>
      <c r="X117" s="52"/>
    </row>
    <row r="118" spans="1:24" ht="20.45" customHeight="1">
      <c r="A118" s="10" t="s">
        <v>137</v>
      </c>
      <c r="B118" s="11">
        <v>1.087962962962963E-2</v>
      </c>
      <c r="C118" s="11"/>
      <c r="D118" s="11">
        <f>B118*E118</f>
        <v>6.3297685185185184E-3</v>
      </c>
      <c r="E118" s="12">
        <v>0.58179999999999998</v>
      </c>
      <c r="F118" s="11">
        <f>C118/4</f>
        <v>0</v>
      </c>
      <c r="G118" s="11">
        <f>D118/7.5</f>
        <v>8.4396913580246917E-4</v>
      </c>
      <c r="H118" s="11">
        <f>B118/12.5</f>
        <v>8.7037037037037042E-4</v>
      </c>
      <c r="I118" s="11">
        <f>G118/0.93</f>
        <v>9.0749369441125711E-4</v>
      </c>
      <c r="J118" s="11">
        <f>G118/0.92</f>
        <v>9.173577563070317E-4</v>
      </c>
      <c r="K118" s="11">
        <f>G118/0.88</f>
        <v>9.5905583613916951E-4</v>
      </c>
      <c r="L118" s="11">
        <f>G118/0.84</f>
        <v>1.0047251616696062E-3</v>
      </c>
      <c r="M118" s="25"/>
      <c r="N118" s="28"/>
      <c r="O118" s="25"/>
      <c r="P118" s="25"/>
      <c r="Q118" s="25"/>
      <c r="R118" s="28"/>
      <c r="S118" s="25"/>
      <c r="T118" s="25"/>
      <c r="U118" s="28"/>
      <c r="V118" s="28"/>
      <c r="W118" s="15" t="s">
        <v>48</v>
      </c>
      <c r="X118" s="50"/>
    </row>
    <row r="119" spans="1:24" ht="20.45" customHeight="1">
      <c r="A119" s="10" t="s">
        <v>134</v>
      </c>
      <c r="B119" s="11">
        <v>1.1458333333333333E-2</v>
      </c>
      <c r="C119" s="11"/>
      <c r="D119" s="11">
        <f>B119*E119</f>
        <v>6.6664583333333324E-3</v>
      </c>
      <c r="E119" s="12">
        <v>0.58179999999999998</v>
      </c>
      <c r="F119" s="11">
        <f>C119/4</f>
        <v>0</v>
      </c>
      <c r="G119" s="11">
        <f>D119/7.5</f>
        <v>8.8886111111111099E-4</v>
      </c>
      <c r="H119" s="11">
        <f>B119/12.5</f>
        <v>9.1666666666666665E-4</v>
      </c>
      <c r="I119" s="11">
        <f>G119/0.93</f>
        <v>9.5576463560334514E-4</v>
      </c>
      <c r="J119" s="11">
        <f>G119/0.92</f>
        <v>9.6615338164251195E-4</v>
      </c>
      <c r="K119" s="11">
        <f>G119/0.88</f>
        <v>1.0100694444444443E-3</v>
      </c>
      <c r="L119" s="11">
        <f>G119/0.84</f>
        <v>1.0581679894179892E-3</v>
      </c>
      <c r="M119" s="25"/>
      <c r="N119" s="28"/>
      <c r="P119" s="26"/>
      <c r="Q119" s="26"/>
      <c r="R119" s="26"/>
      <c r="S119" s="14"/>
      <c r="T119" s="14"/>
      <c r="U119" s="26"/>
      <c r="V119" s="28"/>
      <c r="W119" s="27" t="s">
        <v>48</v>
      </c>
      <c r="X119" s="50"/>
    </row>
    <row r="120" spans="1:24" ht="20.45" customHeight="1">
      <c r="A120" s="10" t="s">
        <v>96</v>
      </c>
      <c r="B120" s="11">
        <v>1.0648148148148148E-2</v>
      </c>
      <c r="C120" s="11">
        <v>2.9513888888888888E-3</v>
      </c>
      <c r="D120" s="11">
        <f t="shared" ref="D120:D126" si="96">B120*E120</f>
        <v>6.1950925925925923E-3</v>
      </c>
      <c r="E120" s="12">
        <v>0.58179999999999998</v>
      </c>
      <c r="F120" s="11">
        <f t="shared" ref="F120:F126" si="97">C120/4</f>
        <v>7.378472222222222E-4</v>
      </c>
      <c r="G120" s="11">
        <f t="shared" ref="G120:G126" si="98">D120/7.5</f>
        <v>8.2601234567901232E-4</v>
      </c>
      <c r="H120" s="11">
        <f t="shared" ref="H120:H126" si="99">B120/12.5</f>
        <v>8.5185185185185179E-4</v>
      </c>
      <c r="I120" s="11">
        <f t="shared" ref="I120:I126" si="100">G120/0.93</f>
        <v>8.8818531793442184E-4</v>
      </c>
      <c r="J120" s="11">
        <f t="shared" ref="J120:J126" si="101">G120/0.92</f>
        <v>8.9783950617283942E-4</v>
      </c>
      <c r="K120" s="11">
        <f t="shared" ref="K120:K126" si="102">G120/0.88</f>
        <v>9.3865039281705945E-4</v>
      </c>
      <c r="L120" s="17">
        <f t="shared" ref="L120:L126" si="103">G120/0.84</f>
        <v>9.833480305702527E-4</v>
      </c>
      <c r="M120" s="25"/>
      <c r="N120" s="28"/>
      <c r="O120" s="25"/>
      <c r="P120" s="28"/>
      <c r="Q120" s="25"/>
      <c r="R120" s="28"/>
      <c r="S120" s="25"/>
      <c r="T120" s="28"/>
      <c r="U120" s="28"/>
      <c r="V120" s="25"/>
      <c r="W120" s="15" t="s">
        <v>48</v>
      </c>
      <c r="X120" s="50"/>
    </row>
    <row r="121" spans="1:24" ht="20.45" customHeight="1">
      <c r="A121" s="10" t="s">
        <v>97</v>
      </c>
      <c r="B121" s="11">
        <v>1.0763888888888889E-2</v>
      </c>
      <c r="C121" s="11">
        <v>2.9513888888888888E-3</v>
      </c>
      <c r="D121" s="11">
        <f>B121*E121</f>
        <v>6.2624305555555549E-3</v>
      </c>
      <c r="E121" s="12">
        <v>0.58179999999999998</v>
      </c>
      <c r="F121" s="11">
        <f>C121/4</f>
        <v>7.378472222222222E-4</v>
      </c>
      <c r="G121" s="11">
        <f>D121/7.5</f>
        <v>8.3499074074074064E-4</v>
      </c>
      <c r="H121" s="11">
        <f>B121/12.5</f>
        <v>8.611111111111111E-4</v>
      </c>
      <c r="I121" s="11">
        <f>G121/0.93</f>
        <v>8.9783950617283931E-4</v>
      </c>
      <c r="J121" s="11">
        <f>G121/0.92</f>
        <v>9.0759863123993545E-4</v>
      </c>
      <c r="K121" s="11">
        <f>G121/0.88</f>
        <v>9.4885311447811432E-4</v>
      </c>
      <c r="L121" s="11">
        <f>G121/0.84</f>
        <v>9.9403659611992947E-4</v>
      </c>
      <c r="M121" s="25"/>
      <c r="N121" s="28"/>
      <c r="O121" s="25"/>
      <c r="P121" s="28"/>
      <c r="Q121" s="25"/>
      <c r="R121" s="28"/>
      <c r="S121" s="25"/>
      <c r="T121" s="28"/>
      <c r="U121" s="28"/>
      <c r="V121" s="25"/>
      <c r="W121" s="15" t="s">
        <v>48</v>
      </c>
      <c r="X121" s="50"/>
    </row>
    <row r="122" spans="1:24" ht="20.45" customHeight="1">
      <c r="A122" s="10" t="s">
        <v>100</v>
      </c>
      <c r="B122" s="11">
        <v>1.087962962962963E-2</v>
      </c>
      <c r="C122" s="11">
        <v>3.0671296296296297E-3</v>
      </c>
      <c r="D122" s="11">
        <f>B122*E122</f>
        <v>6.3297685185185184E-3</v>
      </c>
      <c r="E122" s="12">
        <v>0.58179999999999998</v>
      </c>
      <c r="F122" s="11">
        <f>C122/4</f>
        <v>7.6678240740740743E-4</v>
      </c>
      <c r="G122" s="11">
        <f>D122/7.5</f>
        <v>8.4396913580246917E-4</v>
      </c>
      <c r="H122" s="11">
        <f>B122/12.5</f>
        <v>8.7037037037037042E-4</v>
      </c>
      <c r="I122" s="11">
        <f>G122/0.93</f>
        <v>9.0749369441125711E-4</v>
      </c>
      <c r="J122" s="11">
        <f>G122/0.92</f>
        <v>9.173577563070317E-4</v>
      </c>
      <c r="K122" s="11">
        <f>G122/0.88</f>
        <v>9.5905583613916951E-4</v>
      </c>
      <c r="L122" s="17">
        <f>G122/0.84</f>
        <v>1.0047251616696062E-3</v>
      </c>
      <c r="M122" s="25"/>
      <c r="N122" s="28"/>
      <c r="O122" s="25"/>
      <c r="P122" s="28"/>
      <c r="Q122" s="25"/>
      <c r="R122" s="28"/>
      <c r="S122" s="25"/>
      <c r="T122" s="28"/>
      <c r="U122" s="28"/>
      <c r="V122" s="25"/>
      <c r="W122" s="15" t="s">
        <v>48</v>
      </c>
      <c r="X122" s="50"/>
    </row>
    <row r="123" spans="1:24" ht="20.45" customHeight="1">
      <c r="A123" s="10" t="s">
        <v>101</v>
      </c>
      <c r="B123" s="11">
        <v>1.1111111111111112E-2</v>
      </c>
      <c r="C123" s="11">
        <v>3.0671296296296297E-3</v>
      </c>
      <c r="D123" s="11">
        <f>B123*E123</f>
        <v>6.4644444444444445E-3</v>
      </c>
      <c r="E123" s="12">
        <v>0.58179999999999998</v>
      </c>
      <c r="F123" s="11">
        <f>C123/4</f>
        <v>7.6678240740740743E-4</v>
      </c>
      <c r="G123" s="11">
        <f>D123/7.5</f>
        <v>8.6192592592592592E-4</v>
      </c>
      <c r="H123" s="11">
        <f>B123/12.5</f>
        <v>8.8888888888888893E-4</v>
      </c>
      <c r="I123" s="11">
        <f>G123/0.93</f>
        <v>9.2680207088809239E-4</v>
      </c>
      <c r="J123" s="11">
        <f>G123/0.92</f>
        <v>9.3687600644122375E-4</v>
      </c>
      <c r="K123" s="11">
        <f>G123/0.88</f>
        <v>9.7946127946127947E-4</v>
      </c>
      <c r="L123" s="11">
        <f>G123/0.84</f>
        <v>1.0261022927689596E-3</v>
      </c>
      <c r="M123" s="25"/>
      <c r="N123" s="28"/>
      <c r="O123" s="25"/>
      <c r="P123" s="28"/>
      <c r="Q123" s="25"/>
      <c r="R123" s="28"/>
      <c r="S123" s="25"/>
      <c r="T123" s="28"/>
      <c r="U123" s="28"/>
      <c r="V123" s="25"/>
      <c r="W123" s="15" t="s">
        <v>48</v>
      </c>
      <c r="X123" s="50"/>
    </row>
    <row r="124" spans="1:24" ht="20.45" customHeight="1">
      <c r="A124" s="10" t="s">
        <v>98</v>
      </c>
      <c r="B124" s="11">
        <v>1.1111111111111112E-2</v>
      </c>
      <c r="C124" s="11"/>
      <c r="D124" s="11">
        <f>B124*E124</f>
        <v>6.4644444444444445E-3</v>
      </c>
      <c r="E124" s="12">
        <v>0.58179999999999998</v>
      </c>
      <c r="F124" s="11">
        <f>C124/4</f>
        <v>0</v>
      </c>
      <c r="G124" s="11">
        <f>D124/7.5</f>
        <v>8.6192592592592592E-4</v>
      </c>
      <c r="H124" s="11">
        <f>B124/12.5</f>
        <v>8.8888888888888893E-4</v>
      </c>
      <c r="I124" s="11">
        <f>G124/0.93</f>
        <v>9.2680207088809239E-4</v>
      </c>
      <c r="J124" s="11">
        <f>G124/0.92</f>
        <v>9.3687600644122375E-4</v>
      </c>
      <c r="K124" s="11">
        <f>G124/0.88</f>
        <v>9.7946127946127947E-4</v>
      </c>
      <c r="L124" s="11">
        <f>G124/0.84</f>
        <v>1.0261022927689596E-3</v>
      </c>
      <c r="M124" s="25"/>
      <c r="N124" s="28"/>
      <c r="O124" s="25"/>
      <c r="P124" s="28"/>
      <c r="Q124" s="25"/>
      <c r="R124" s="28"/>
      <c r="S124" s="25"/>
      <c r="T124" s="25"/>
      <c r="U124" s="28"/>
      <c r="V124" s="28"/>
      <c r="W124" s="27" t="s">
        <v>48</v>
      </c>
      <c r="X124" s="50"/>
    </row>
    <row r="125" spans="1:24" ht="20.45" customHeight="1">
      <c r="A125" s="10" t="s">
        <v>103</v>
      </c>
      <c r="B125" s="11">
        <v>1.1111111111111112E-2</v>
      </c>
      <c r="C125" s="11">
        <v>3.0671296296296297E-3</v>
      </c>
      <c r="D125" s="11">
        <f t="shared" si="96"/>
        <v>6.4644444444444445E-3</v>
      </c>
      <c r="E125" s="12">
        <v>0.58179999999999998</v>
      </c>
      <c r="F125" s="11">
        <f t="shared" si="97"/>
        <v>7.6678240740740743E-4</v>
      </c>
      <c r="G125" s="11">
        <f t="shared" si="98"/>
        <v>8.6192592592592592E-4</v>
      </c>
      <c r="H125" s="11">
        <f t="shared" si="99"/>
        <v>8.8888888888888893E-4</v>
      </c>
      <c r="I125" s="11">
        <f t="shared" si="100"/>
        <v>9.2680207088809239E-4</v>
      </c>
      <c r="J125" s="11">
        <f t="shared" si="101"/>
        <v>9.3687600644122375E-4</v>
      </c>
      <c r="K125" s="11">
        <f t="shared" si="102"/>
        <v>9.7946127946127947E-4</v>
      </c>
      <c r="L125" s="17">
        <f t="shared" si="103"/>
        <v>1.0261022927689596E-3</v>
      </c>
      <c r="M125" s="25"/>
      <c r="N125" s="28"/>
      <c r="O125" s="25"/>
      <c r="P125" s="28"/>
      <c r="Q125" s="25"/>
      <c r="R125" s="28"/>
      <c r="S125" s="25"/>
      <c r="T125" s="28"/>
      <c r="U125" s="28"/>
      <c r="V125" s="25"/>
      <c r="W125" s="15" t="s">
        <v>48</v>
      </c>
      <c r="X125" s="50"/>
    </row>
    <row r="126" spans="1:24" ht="20.45" customHeight="1">
      <c r="A126" s="10" t="s">
        <v>104</v>
      </c>
      <c r="B126" s="11">
        <v>1.1458333333333333E-2</v>
      </c>
      <c r="C126" s="11">
        <v>3.414351851851852E-3</v>
      </c>
      <c r="D126" s="11">
        <f t="shared" si="96"/>
        <v>6.6664583333333324E-3</v>
      </c>
      <c r="E126" s="12">
        <v>0.58179999999999998</v>
      </c>
      <c r="F126" s="11">
        <f t="shared" si="97"/>
        <v>8.53587962962963E-4</v>
      </c>
      <c r="G126" s="11">
        <f t="shared" si="98"/>
        <v>8.8886111111111099E-4</v>
      </c>
      <c r="H126" s="11">
        <f t="shared" si="99"/>
        <v>9.1666666666666665E-4</v>
      </c>
      <c r="I126" s="11">
        <f t="shared" si="100"/>
        <v>9.5576463560334514E-4</v>
      </c>
      <c r="J126" s="11">
        <f t="shared" si="101"/>
        <v>9.6615338164251195E-4</v>
      </c>
      <c r="K126" s="11">
        <f t="shared" si="102"/>
        <v>1.0100694444444443E-3</v>
      </c>
      <c r="L126" s="11">
        <f t="shared" si="103"/>
        <v>1.0581679894179892E-3</v>
      </c>
      <c r="M126" s="25"/>
      <c r="N126" s="28"/>
      <c r="O126" s="25"/>
      <c r="P126" s="28"/>
      <c r="Q126" s="25"/>
      <c r="R126" s="28"/>
      <c r="S126" s="25"/>
      <c r="T126" s="28"/>
      <c r="U126" s="28"/>
      <c r="V126" s="25"/>
      <c r="W126" s="15" t="s">
        <v>48</v>
      </c>
      <c r="X126" s="50"/>
    </row>
    <row r="127" spans="1:24" ht="20.45" customHeight="1">
      <c r="A127" s="10" t="s">
        <v>99</v>
      </c>
      <c r="B127" s="11">
        <v>1.1458333333333333E-2</v>
      </c>
      <c r="C127" s="11"/>
      <c r="D127" s="11">
        <f>B127*E127</f>
        <v>6.6664583333333324E-3</v>
      </c>
      <c r="E127" s="12">
        <v>0.58179999999999998</v>
      </c>
      <c r="F127" s="11">
        <f>C127/4</f>
        <v>0</v>
      </c>
      <c r="G127" s="11">
        <f>D127/7.5</f>
        <v>8.8886111111111099E-4</v>
      </c>
      <c r="H127" s="11">
        <f>B127/12.5</f>
        <v>9.1666666666666665E-4</v>
      </c>
      <c r="I127" s="11">
        <f>G127/0.93</f>
        <v>9.5576463560334514E-4</v>
      </c>
      <c r="J127" s="11">
        <f>G127/0.92</f>
        <v>9.6615338164251195E-4</v>
      </c>
      <c r="K127" s="11">
        <f>G127/0.88</f>
        <v>1.0100694444444443E-3</v>
      </c>
      <c r="L127" s="11">
        <f>G127/0.84</f>
        <v>1.0581679894179892E-3</v>
      </c>
      <c r="M127" s="25"/>
      <c r="N127" s="28"/>
      <c r="O127" s="25"/>
      <c r="P127" s="28"/>
      <c r="Q127" s="25"/>
      <c r="R127" s="28"/>
      <c r="S127" s="25"/>
      <c r="T127" s="25"/>
      <c r="U127" s="28"/>
      <c r="V127" s="28"/>
      <c r="W127" s="27" t="s">
        <v>48</v>
      </c>
      <c r="X127" s="50"/>
    </row>
    <row r="128" spans="1:24" ht="20.45" customHeight="1">
      <c r="A128" s="10" t="s">
        <v>102</v>
      </c>
      <c r="B128" s="11">
        <v>1.1458333333333333E-2</v>
      </c>
      <c r="C128" s="11"/>
      <c r="D128" s="11">
        <f>B128*E128</f>
        <v>6.6664583333333324E-3</v>
      </c>
      <c r="E128" s="12">
        <v>0.58179999999999998</v>
      </c>
      <c r="F128" s="11">
        <f>C128/4</f>
        <v>0</v>
      </c>
      <c r="G128" s="11">
        <f>D128/7.5</f>
        <v>8.8886111111111099E-4</v>
      </c>
      <c r="H128" s="11">
        <f>B128/12.5</f>
        <v>9.1666666666666665E-4</v>
      </c>
      <c r="I128" s="11">
        <f>G128/0.93</f>
        <v>9.5576463560334514E-4</v>
      </c>
      <c r="J128" s="11">
        <f>G128/0.92</f>
        <v>9.6615338164251195E-4</v>
      </c>
      <c r="K128" s="11">
        <f>G128/0.88</f>
        <v>1.0100694444444443E-3</v>
      </c>
      <c r="L128" s="11">
        <f>G128/0.84</f>
        <v>1.0581679894179892E-3</v>
      </c>
      <c r="M128" s="25"/>
      <c r="N128" s="28"/>
      <c r="O128" s="25"/>
      <c r="P128" s="26"/>
      <c r="Q128" s="26"/>
      <c r="R128" s="26"/>
      <c r="S128" s="14"/>
      <c r="T128" s="14"/>
      <c r="U128" s="26"/>
      <c r="V128" s="28"/>
      <c r="W128" s="27" t="s">
        <v>48</v>
      </c>
      <c r="X128" s="50"/>
    </row>
    <row r="129" spans="1:24" ht="20.45" customHeight="1">
      <c r="A129" s="10"/>
      <c r="B129" s="11"/>
      <c r="C129" s="11"/>
      <c r="D129" s="11"/>
      <c r="E129" s="12"/>
      <c r="F129" s="11"/>
      <c r="G129" s="11"/>
      <c r="H129" s="11"/>
      <c r="I129" s="11"/>
      <c r="J129" s="11"/>
      <c r="K129" s="11"/>
      <c r="L129" s="11"/>
      <c r="M129" s="25"/>
      <c r="N129" s="28"/>
      <c r="O129" s="25"/>
      <c r="P129" s="25"/>
      <c r="Q129" s="25"/>
      <c r="R129" s="25"/>
      <c r="S129" s="25"/>
      <c r="T129" s="25"/>
      <c r="U129" s="28"/>
      <c r="V129" s="25"/>
      <c r="W129" s="15"/>
      <c r="X129" s="50"/>
    </row>
    <row r="130" spans="1:24" ht="20.45" customHeight="1">
      <c r="A130" s="10"/>
      <c r="B130" s="11"/>
      <c r="C130" s="11"/>
      <c r="D130" s="11"/>
      <c r="E130" s="12"/>
      <c r="F130" s="11"/>
      <c r="G130" s="11"/>
      <c r="H130" s="11"/>
      <c r="I130" s="11"/>
      <c r="J130" s="11"/>
      <c r="K130" s="11"/>
      <c r="L130" s="11"/>
      <c r="M130" s="25"/>
      <c r="N130" s="28"/>
      <c r="O130" s="25"/>
      <c r="P130" s="25"/>
      <c r="Q130" s="28"/>
      <c r="R130" s="28"/>
      <c r="S130" s="25"/>
      <c r="T130" s="25"/>
      <c r="U130" s="28"/>
      <c r="V130" s="25"/>
      <c r="W130" s="15"/>
      <c r="X130" s="50"/>
    </row>
    <row r="131" spans="1:24" ht="20.45" customHeight="1">
      <c r="A131" s="10"/>
      <c r="B131" s="11"/>
      <c r="C131" s="11"/>
      <c r="D131" s="11"/>
      <c r="E131" s="12"/>
      <c r="F131" s="11"/>
      <c r="G131" s="11"/>
      <c r="H131" s="11"/>
      <c r="I131" s="11"/>
      <c r="J131" s="11"/>
      <c r="K131" s="11"/>
      <c r="L131" s="11"/>
      <c r="M131" s="25"/>
      <c r="N131" s="28"/>
      <c r="O131" s="25"/>
      <c r="P131" s="25"/>
      <c r="Q131" s="25"/>
      <c r="R131" s="25"/>
      <c r="S131" s="25"/>
      <c r="T131" s="25"/>
      <c r="U131" s="28"/>
      <c r="V131" s="25"/>
      <c r="W131" s="15"/>
      <c r="X131" s="50"/>
    </row>
    <row r="132" spans="1:24" ht="20.45" customHeight="1">
      <c r="A132" s="10"/>
      <c r="B132" s="11"/>
      <c r="C132" s="11"/>
      <c r="D132" s="11"/>
      <c r="E132" s="12"/>
      <c r="F132" s="11"/>
      <c r="G132" s="11"/>
      <c r="H132" s="11"/>
      <c r="I132" s="11"/>
      <c r="J132" s="11"/>
      <c r="K132" s="11"/>
      <c r="L132" s="17"/>
      <c r="M132" s="25"/>
      <c r="N132" s="28"/>
      <c r="O132" s="25"/>
      <c r="P132" s="25"/>
      <c r="Q132" s="25"/>
      <c r="R132" s="25"/>
      <c r="S132" s="25"/>
      <c r="T132" s="25"/>
      <c r="U132" s="28"/>
      <c r="V132" s="25"/>
      <c r="W132" s="15"/>
      <c r="X132" s="50"/>
    </row>
    <row r="133" spans="1:24" ht="20.45" customHeight="1">
      <c r="A133" s="10"/>
      <c r="B133" s="11"/>
      <c r="C133" s="11"/>
      <c r="D133" s="11"/>
      <c r="E133" s="12"/>
      <c r="F133" s="11"/>
      <c r="G133" s="11"/>
      <c r="H133" s="11"/>
      <c r="I133" s="11"/>
      <c r="J133" s="11"/>
      <c r="K133" s="11"/>
      <c r="L133" s="11"/>
      <c r="M133" s="25"/>
      <c r="N133" s="28"/>
      <c r="O133" s="25"/>
      <c r="P133" s="25"/>
      <c r="Q133" s="25"/>
      <c r="R133" s="28"/>
      <c r="S133" s="25"/>
      <c r="T133" s="25"/>
      <c r="U133" s="28"/>
      <c r="V133" s="25"/>
      <c r="W133" s="15"/>
      <c r="X133" s="50"/>
    </row>
    <row r="134" spans="1:24" ht="20.45" customHeight="1">
      <c r="A134" s="10"/>
      <c r="B134" s="11"/>
      <c r="C134" s="11"/>
      <c r="D134" s="11"/>
      <c r="E134" s="12"/>
      <c r="F134" s="11"/>
      <c r="G134" s="11"/>
      <c r="H134" s="11"/>
      <c r="I134" s="11"/>
      <c r="J134" s="11"/>
      <c r="K134" s="11"/>
      <c r="L134" s="17"/>
      <c r="M134" s="25"/>
      <c r="N134" s="28"/>
      <c r="O134" s="25"/>
      <c r="P134" s="25"/>
      <c r="Q134" s="25"/>
      <c r="R134" s="25"/>
      <c r="S134" s="25"/>
      <c r="T134" s="25"/>
      <c r="U134" s="28"/>
      <c r="V134" s="25"/>
      <c r="W134" s="15"/>
      <c r="X134" s="50"/>
    </row>
    <row r="135" spans="1:24" ht="20.45" customHeight="1">
      <c r="A135" s="10"/>
      <c r="B135" s="11"/>
      <c r="C135" s="11"/>
      <c r="D135" s="11"/>
      <c r="E135" s="12"/>
      <c r="F135" s="11"/>
      <c r="G135" s="11"/>
      <c r="H135" s="11"/>
      <c r="I135" s="11"/>
      <c r="J135" s="11"/>
      <c r="K135" s="11"/>
      <c r="L135" s="11"/>
      <c r="M135" s="25"/>
      <c r="N135" s="28"/>
      <c r="O135" s="25"/>
      <c r="P135" s="25"/>
      <c r="Q135" s="25"/>
      <c r="R135" s="28"/>
      <c r="S135" s="25"/>
      <c r="T135" s="25"/>
      <c r="U135" s="28"/>
      <c r="V135" s="25"/>
      <c r="W135" s="15"/>
      <c r="X135" s="50"/>
    </row>
    <row r="136" spans="1:24" ht="20.45" customHeight="1">
      <c r="A136" s="10"/>
      <c r="B136" s="11"/>
      <c r="C136" s="11"/>
      <c r="D136" s="11"/>
      <c r="E136" s="12"/>
      <c r="F136" s="11"/>
      <c r="G136" s="11"/>
      <c r="H136" s="11"/>
      <c r="I136" s="11"/>
      <c r="J136" s="11"/>
      <c r="K136" s="11"/>
      <c r="L136" s="17"/>
      <c r="M136" s="25"/>
      <c r="N136" s="28"/>
      <c r="O136" s="25"/>
      <c r="P136" s="25"/>
      <c r="Q136" s="25"/>
      <c r="R136" s="28"/>
      <c r="S136" s="25"/>
      <c r="T136" s="25"/>
      <c r="U136" s="28"/>
      <c r="V136" s="25"/>
      <c r="W136" s="15"/>
      <c r="X136" s="50"/>
    </row>
    <row r="137" spans="1:24" ht="20.45" customHeight="1">
      <c r="A137" s="10"/>
      <c r="B137" s="11"/>
      <c r="C137" s="11"/>
      <c r="D137" s="11"/>
      <c r="E137" s="12"/>
      <c r="F137" s="11"/>
      <c r="G137" s="11"/>
      <c r="H137" s="11"/>
      <c r="I137" s="11"/>
      <c r="J137" s="11"/>
      <c r="K137" s="11"/>
      <c r="L137" s="11"/>
      <c r="M137" s="25"/>
      <c r="N137" s="28"/>
      <c r="O137" s="25"/>
      <c r="P137" s="25"/>
      <c r="Q137" s="28"/>
      <c r="R137" s="28"/>
      <c r="S137" s="25"/>
      <c r="T137" s="25"/>
      <c r="U137" s="28"/>
      <c r="V137" s="25"/>
      <c r="W137" s="15"/>
      <c r="X137" s="50"/>
    </row>
    <row r="138" spans="1:24" ht="20.45" customHeight="1">
      <c r="A138" s="10"/>
      <c r="B138" s="11"/>
      <c r="C138" s="11"/>
      <c r="D138" s="11"/>
      <c r="E138" s="12"/>
      <c r="F138" s="11"/>
      <c r="G138" s="11"/>
      <c r="H138" s="11"/>
      <c r="I138" s="11"/>
      <c r="J138" s="11"/>
      <c r="K138" s="11"/>
      <c r="L138" s="11"/>
      <c r="M138" s="25"/>
      <c r="N138" s="28"/>
      <c r="O138" s="25"/>
      <c r="P138" s="28"/>
      <c r="Q138" s="25"/>
      <c r="R138" s="28"/>
      <c r="S138" s="25"/>
      <c r="T138" s="28"/>
      <c r="U138" s="28"/>
      <c r="V138" s="25"/>
      <c r="W138" s="15"/>
      <c r="X138" s="51"/>
    </row>
    <row r="139" spans="1:24" ht="20.45" customHeight="1">
      <c r="A139" s="10"/>
      <c r="B139" s="11"/>
      <c r="C139" s="11"/>
      <c r="D139" s="11"/>
      <c r="E139" s="12"/>
      <c r="F139" s="11"/>
      <c r="G139" s="11"/>
      <c r="H139" s="11"/>
      <c r="I139" s="11"/>
      <c r="J139" s="11"/>
      <c r="K139" s="11"/>
      <c r="L139" s="11"/>
      <c r="M139" s="25"/>
      <c r="N139" s="28"/>
      <c r="O139" s="25"/>
      <c r="P139" s="25"/>
      <c r="Q139" s="25"/>
      <c r="R139" s="25"/>
      <c r="S139" s="25"/>
      <c r="T139" s="25"/>
      <c r="U139" s="28"/>
      <c r="V139" s="25"/>
      <c r="W139" s="15"/>
      <c r="X139" s="51"/>
    </row>
    <row r="140" spans="1:24" ht="20.45" customHeight="1">
      <c r="A140" s="10"/>
      <c r="B140" s="11"/>
      <c r="C140" s="11"/>
      <c r="D140" s="11"/>
      <c r="E140" s="12"/>
      <c r="F140" s="11"/>
      <c r="G140" s="11"/>
      <c r="H140" s="11"/>
      <c r="I140" s="11"/>
      <c r="J140" s="11"/>
      <c r="K140" s="11"/>
      <c r="L140" s="17"/>
      <c r="M140" s="25"/>
      <c r="N140" s="28"/>
      <c r="O140" s="25"/>
      <c r="P140" s="28"/>
      <c r="Q140" s="25"/>
      <c r="R140" s="28"/>
      <c r="S140" s="25"/>
      <c r="T140" s="25"/>
      <c r="U140" s="28"/>
      <c r="V140" s="28"/>
      <c r="W140" s="27"/>
      <c r="X140" s="51"/>
    </row>
    <row r="141" spans="1:24" ht="20.45" customHeight="1">
      <c r="A141" s="10"/>
      <c r="B141" s="11"/>
      <c r="C141" s="11"/>
      <c r="D141" s="11"/>
      <c r="E141" s="12"/>
      <c r="F141" s="11"/>
      <c r="G141" s="11"/>
      <c r="H141" s="11"/>
      <c r="I141" s="11"/>
      <c r="J141" s="11"/>
      <c r="K141" s="11"/>
      <c r="L141" s="11"/>
      <c r="M141" s="11"/>
      <c r="N141" s="26"/>
      <c r="P141" s="26"/>
      <c r="Q141" s="26"/>
      <c r="R141" s="26"/>
      <c r="S141" s="14"/>
      <c r="T141" s="14"/>
      <c r="U141" s="26"/>
      <c r="V141" s="28"/>
      <c r="W141" s="27"/>
      <c r="X141" s="51"/>
    </row>
    <row r="142" spans="1:24" ht="20.100000000000001" customHeight="1">
      <c r="A142" s="10"/>
      <c r="B142" s="11"/>
      <c r="C142" s="11"/>
      <c r="D142" s="11">
        <f>B142*E142</f>
        <v>0</v>
      </c>
      <c r="E142" s="12"/>
      <c r="F142" s="11">
        <f>C142/4</f>
        <v>0</v>
      </c>
      <c r="G142" s="11">
        <f>D142/7.5</f>
        <v>0</v>
      </c>
      <c r="H142" s="11">
        <f>B142/12.5</f>
        <v>0</v>
      </c>
      <c r="I142" s="11">
        <f>G142/0.93</f>
        <v>0</v>
      </c>
      <c r="J142" s="11">
        <f>G142/0.92</f>
        <v>0</v>
      </c>
      <c r="K142" s="11">
        <f>G142/0.88</f>
        <v>0</v>
      </c>
      <c r="L142" s="17">
        <f>G142/0.84</f>
        <v>0</v>
      </c>
      <c r="M142" s="11"/>
      <c r="N142" s="26"/>
      <c r="P142" s="26"/>
      <c r="Q142" s="26"/>
      <c r="R142" s="26"/>
      <c r="S142" s="14"/>
      <c r="T142" s="14"/>
      <c r="U142" s="26"/>
      <c r="V142" s="38"/>
      <c r="W142" s="31"/>
      <c r="X142" s="51"/>
    </row>
    <row r="143" spans="1:24" ht="20.100000000000001" customHeight="1">
      <c r="A143" s="10"/>
      <c r="B143" s="11"/>
      <c r="C143" s="11"/>
      <c r="D143" s="11">
        <f>B143*E143</f>
        <v>0</v>
      </c>
      <c r="E143" s="12"/>
      <c r="F143" s="11">
        <f>C143/4</f>
        <v>0</v>
      </c>
      <c r="G143" s="11">
        <f>D143/7.5</f>
        <v>0</v>
      </c>
      <c r="H143" s="11">
        <f>B143/12.5</f>
        <v>0</v>
      </c>
      <c r="I143" s="11">
        <f>G143/0.93</f>
        <v>0</v>
      </c>
      <c r="J143" s="11">
        <f>G143/0.92</f>
        <v>0</v>
      </c>
      <c r="K143" s="11">
        <f>G143/0.88</f>
        <v>0</v>
      </c>
      <c r="L143" s="17">
        <f>G143/0.84</f>
        <v>0</v>
      </c>
      <c r="M143" s="11"/>
      <c r="N143" s="26"/>
      <c r="P143" s="26"/>
      <c r="Q143" s="26"/>
      <c r="R143" s="26"/>
      <c r="S143" s="14"/>
      <c r="T143" s="14"/>
      <c r="U143" s="26"/>
      <c r="V143" s="38"/>
      <c r="W143" s="31"/>
      <c r="X143" s="51"/>
    </row>
    <row r="144" spans="1:24" ht="20.100000000000001" customHeight="1">
      <c r="A144" s="10"/>
      <c r="B144" s="11"/>
      <c r="C144" s="11"/>
      <c r="D144" s="11">
        <f>B144*E144</f>
        <v>0</v>
      </c>
      <c r="E144" s="12"/>
      <c r="F144" s="11">
        <f>C144/4</f>
        <v>0</v>
      </c>
      <c r="G144" s="11">
        <f>D144/7.5</f>
        <v>0</v>
      </c>
      <c r="H144" s="11">
        <f>B144/12.5</f>
        <v>0</v>
      </c>
      <c r="I144" s="11">
        <f>G144/0.93</f>
        <v>0</v>
      </c>
      <c r="J144" s="11">
        <f>G144/0.92</f>
        <v>0</v>
      </c>
      <c r="K144" s="11">
        <f>G144/0.88</f>
        <v>0</v>
      </c>
      <c r="L144" s="17">
        <f>G144/0.84</f>
        <v>0</v>
      </c>
      <c r="M144" s="11"/>
      <c r="N144" s="26"/>
      <c r="P144" s="26"/>
      <c r="Q144" s="26"/>
      <c r="R144" s="26"/>
      <c r="S144" s="14"/>
      <c r="T144" s="14"/>
      <c r="U144" s="26"/>
      <c r="V144" s="38"/>
      <c r="W144" s="31"/>
      <c r="X144" s="51"/>
    </row>
  </sheetData>
  <mergeCells count="15">
    <mergeCell ref="X51:X57"/>
    <mergeCell ref="X1:X10"/>
    <mergeCell ref="X11:X20"/>
    <mergeCell ref="X21:X30"/>
    <mergeCell ref="X31:X40"/>
    <mergeCell ref="X41:X50"/>
    <mergeCell ref="X118:X127"/>
    <mergeCell ref="X128:X137"/>
    <mergeCell ref="X138:X144"/>
    <mergeCell ref="X58:X67"/>
    <mergeCell ref="X68:X77"/>
    <mergeCell ref="X78:X87"/>
    <mergeCell ref="X88:X97"/>
    <mergeCell ref="X98:X107"/>
    <mergeCell ref="X108:X117"/>
  </mergeCells>
  <pageMargins left="0.25" right="0.25" top="0.25" bottom="0.25" header="0" footer="0"/>
  <pageSetup scale="95" fitToHeight="0" orientation="landscape" r:id="rId1"/>
  <tableParts count="2">
    <tablePart r:id="rId2"/>
    <tablePart r:id="rId3"/>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1B38C-DAA7-48F8-A10F-3017AF0D67E0}">
  <sheetPr>
    <pageSetUpPr fitToPage="1"/>
  </sheetPr>
  <dimension ref="A1:Z144"/>
  <sheetViews>
    <sheetView topLeftCell="A2" zoomScale="85" zoomScaleNormal="85" workbookViewId="0">
      <selection activeCell="A118" sqref="A118"/>
    </sheetView>
  </sheetViews>
  <sheetFormatPr defaultColWidth="8.7109375" defaultRowHeight="14.45"/>
  <cols>
    <col min="1" max="1" width="19.5703125" customWidth="1"/>
    <col min="2" max="2" width="8.7109375" style="29" hidden="1" customWidth="1"/>
    <col min="3" max="3" width="10.140625" hidden="1" customWidth="1"/>
    <col min="4" max="4" width="8.7109375" style="29" hidden="1" customWidth="1"/>
    <col min="5" max="5" width="9.28515625" hidden="1" customWidth="1"/>
    <col min="6" max="6" width="8.7109375" hidden="1" customWidth="1"/>
    <col min="7" max="7" width="9.28515625" hidden="1" customWidth="1"/>
    <col min="8" max="9" width="8.7109375" hidden="1" customWidth="1"/>
    <col min="10" max="10" width="10.7109375" hidden="1" customWidth="1"/>
    <col min="11" max="11" width="11.42578125" hidden="1" customWidth="1"/>
    <col min="12" max="12" width="6.140625" hidden="1" customWidth="1"/>
    <col min="13" max="13" width="8.7109375" customWidth="1"/>
    <col min="14" max="19" width="10.140625" customWidth="1"/>
    <col min="20" max="22" width="8.7109375" customWidth="1"/>
    <col min="23" max="23" width="3.42578125" customWidth="1"/>
    <col min="24" max="24" width="20.42578125" customWidth="1"/>
    <col min="25" max="25" width="12.28515625" bestFit="1" customWidth="1"/>
    <col min="26" max="27" width="12.85546875" bestFit="1" customWidth="1"/>
  </cols>
  <sheetData>
    <row r="1" spans="1:26" ht="14.45" customHeight="1">
      <c r="A1" s="1" t="s">
        <v>321</v>
      </c>
      <c r="B1" s="2" t="s">
        <v>1</v>
      </c>
      <c r="C1" s="2" t="s">
        <v>2</v>
      </c>
      <c r="D1" s="2" t="s">
        <v>3</v>
      </c>
      <c r="E1" s="3" t="s">
        <v>4</v>
      </c>
      <c r="F1" s="2" t="s">
        <v>5</v>
      </c>
      <c r="G1" s="2" t="s">
        <v>6</v>
      </c>
      <c r="H1" s="2" t="s">
        <v>7</v>
      </c>
      <c r="I1" s="4" t="s">
        <v>8</v>
      </c>
      <c r="J1" s="2" t="s">
        <v>9</v>
      </c>
      <c r="K1" s="2" t="s">
        <v>10</v>
      </c>
      <c r="L1" s="2" t="s">
        <v>11</v>
      </c>
      <c r="M1" s="6" t="s">
        <v>12</v>
      </c>
      <c r="N1" s="6" t="s">
        <v>174</v>
      </c>
      <c r="O1" s="7" t="s">
        <v>158</v>
      </c>
      <c r="P1" s="8" t="s">
        <v>209</v>
      </c>
      <c r="Q1" s="8" t="s">
        <v>147</v>
      </c>
      <c r="R1" s="7" t="s">
        <v>148</v>
      </c>
      <c r="S1" s="7" t="s">
        <v>149</v>
      </c>
      <c r="T1" s="7" t="s">
        <v>77</v>
      </c>
      <c r="U1" s="8" t="s">
        <v>20</v>
      </c>
      <c r="V1" s="7" t="s">
        <v>21</v>
      </c>
      <c r="W1" s="9" t="s">
        <v>22</v>
      </c>
      <c r="X1" s="52" t="s">
        <v>322</v>
      </c>
    </row>
    <row r="2" spans="1:26" ht="21" customHeight="1">
      <c r="A2" s="10" t="s">
        <v>34</v>
      </c>
      <c r="B2" s="11">
        <v>1.1979166666666667E-2</v>
      </c>
      <c r="C2" s="11">
        <v>3.472222222222222E-3</v>
      </c>
      <c r="D2" s="11">
        <f>B2*E2</f>
        <v>6.9694791666666672E-3</v>
      </c>
      <c r="E2" s="12">
        <v>0.58179999999999998</v>
      </c>
      <c r="F2" s="11">
        <f>C2/4</f>
        <v>8.6805555555555551E-4</v>
      </c>
      <c r="G2" s="11">
        <f>D2/7.5</f>
        <v>9.2926388888888898E-4</v>
      </c>
      <c r="H2" s="11">
        <f>B2/12.5</f>
        <v>9.5833333333333339E-4</v>
      </c>
      <c r="I2" s="11">
        <f>G2/0.93</f>
        <v>9.9920848267622464E-4</v>
      </c>
      <c r="J2" s="11">
        <f>G2/0.92</f>
        <v>1.0100694444444445E-3</v>
      </c>
      <c r="K2" s="11">
        <f>G2/0.88</f>
        <v>1.055981691919192E-3</v>
      </c>
      <c r="L2" s="11">
        <f>G2/0.84</f>
        <v>1.1062665343915346E-3</v>
      </c>
      <c r="M2" s="25">
        <f>WO2025Jan710814161822242830323438404244464854565862646668707274766812[[#This Row],[Thresh]]</f>
        <v>1.055981691919192E-3</v>
      </c>
      <c r="N2" s="28">
        <f>WO2025Jan710814161822242830323438404244464854565862646668707274766812[[#This Row],[Thresh]]*3</f>
        <v>3.1679450757575757E-3</v>
      </c>
      <c r="O2" s="25">
        <f>WO2025Jan710814161822242830323438404244464854565862646668707274766812[[#This Row],[VO2]]</f>
        <v>9.2926388888888898E-4</v>
      </c>
      <c r="P2" s="28"/>
      <c r="Q2" s="25"/>
      <c r="R2" s="25"/>
      <c r="S2" s="25"/>
      <c r="T2" s="28"/>
      <c r="U2" s="11"/>
      <c r="V2" s="36"/>
      <c r="W2" s="15" t="s">
        <v>26</v>
      </c>
      <c r="X2" s="52"/>
    </row>
    <row r="3" spans="1:26" ht="21" customHeight="1">
      <c r="A3" s="10" t="s">
        <v>38</v>
      </c>
      <c r="B3" s="11">
        <v>1.238425925925926E-2</v>
      </c>
      <c r="C3" s="11">
        <v>3.5300925925925925E-3</v>
      </c>
      <c r="D3" s="11">
        <f>B3*E3</f>
        <v>7.2051620370370368E-3</v>
      </c>
      <c r="E3" s="12">
        <v>0.58179999999999998</v>
      </c>
      <c r="F3" s="11">
        <f>C3/4</f>
        <v>8.8252314814814812E-4</v>
      </c>
      <c r="G3" s="11">
        <f>D3/7.5</f>
        <v>9.6068827160493821E-4</v>
      </c>
      <c r="H3" s="11">
        <f>B3/12.5</f>
        <v>9.9074074074074082E-4</v>
      </c>
      <c r="I3" s="11">
        <f>G3/0.93</f>
        <v>1.0329981415106862E-3</v>
      </c>
      <c r="J3" s="11">
        <f>G3/0.92</f>
        <v>1.0442263821792807E-3</v>
      </c>
      <c r="K3" s="11">
        <f>G3/0.88</f>
        <v>1.0916912177328843E-3</v>
      </c>
      <c r="L3" s="11">
        <f>G3/0.84</f>
        <v>1.1436765138154027E-3</v>
      </c>
      <c r="M3" s="25">
        <f>WO2025Jan710814161822242830323438404244464854565862646668707274766812[[#This Row],[Thresh]]</f>
        <v>1.0916912177328843E-3</v>
      </c>
      <c r="N3" s="28">
        <f>WO2025Jan710814161822242830323438404244464854565862646668707274766812[[#This Row],[Thresh]]*3</f>
        <v>3.275073653198653E-3</v>
      </c>
      <c r="O3" s="25">
        <f>WO2025Jan710814161822242830323438404244464854565862646668707274766812[[#This Row],[VO2]]</f>
        <v>9.6068827160493821E-4</v>
      </c>
      <c r="P3" s="28"/>
      <c r="Q3" s="25"/>
      <c r="R3" s="25"/>
      <c r="S3" s="28"/>
      <c r="T3" s="28"/>
      <c r="U3" s="28"/>
      <c r="V3" s="28"/>
      <c r="W3" s="15" t="s">
        <v>26</v>
      </c>
      <c r="X3" s="52"/>
      <c r="Z3" s="16"/>
    </row>
    <row r="4" spans="1:26" ht="21" customHeight="1">
      <c r="A4" s="10" t="s">
        <v>24</v>
      </c>
      <c r="B4" s="11">
        <v>1.238425925925926E-2</v>
      </c>
      <c r="C4" s="11">
        <v>3.5300925925925925E-3</v>
      </c>
      <c r="D4" s="11">
        <f>B4*E4</f>
        <v>7.2051620370370368E-3</v>
      </c>
      <c r="E4" s="12">
        <v>0.58179999999999998</v>
      </c>
      <c r="F4" s="11">
        <f>C4/4</f>
        <v>8.8252314814814812E-4</v>
      </c>
      <c r="G4" s="11">
        <f>D4/7.5</f>
        <v>9.6068827160493821E-4</v>
      </c>
      <c r="H4" s="11">
        <f>B4/12.5</f>
        <v>9.9074074074074082E-4</v>
      </c>
      <c r="I4" s="11">
        <f>G4/0.93</f>
        <v>1.0329981415106862E-3</v>
      </c>
      <c r="J4" s="11">
        <f>G4/0.92</f>
        <v>1.0442263821792807E-3</v>
      </c>
      <c r="K4" s="11">
        <f>G4/0.88</f>
        <v>1.0916912177328843E-3</v>
      </c>
      <c r="L4" s="11">
        <f>G4/0.84</f>
        <v>1.1436765138154027E-3</v>
      </c>
      <c r="M4" s="25">
        <f>WO2025Jan710814161822242830323438404244464854565862646668707274766812[[#This Row],[Thresh]]</f>
        <v>1.0916912177328843E-3</v>
      </c>
      <c r="N4" s="28">
        <f>WO2025Jan710814161822242830323438404244464854565862646668707274766812[[#This Row],[Thresh]]*3</f>
        <v>3.275073653198653E-3</v>
      </c>
      <c r="O4" s="25">
        <f>WO2025Jan710814161822242830323438404244464854565862646668707274766812[[#This Row],[VO2]]</f>
        <v>9.6068827160493821E-4</v>
      </c>
      <c r="P4" s="25"/>
      <c r="Q4" s="25"/>
      <c r="R4" s="25"/>
      <c r="S4" s="28"/>
      <c r="T4" s="28"/>
      <c r="U4" s="28"/>
      <c r="V4" s="28"/>
      <c r="W4" s="15" t="s">
        <v>26</v>
      </c>
      <c r="X4" s="52"/>
    </row>
    <row r="5" spans="1:26" ht="21" customHeight="1">
      <c r="A5" s="10" t="s">
        <v>59</v>
      </c>
      <c r="B5" s="11">
        <v>1.2500000000000001E-2</v>
      </c>
      <c r="C5" s="11">
        <v>3.7037037037037038E-3</v>
      </c>
      <c r="D5" s="11">
        <f t="shared" ref="D5:D22" si="0">B5*E5</f>
        <v>7.2725000000000003E-3</v>
      </c>
      <c r="E5" s="12">
        <v>0.58179999999999998</v>
      </c>
      <c r="F5" s="11">
        <f t="shared" ref="F5:F22" si="1">C5/4</f>
        <v>9.2592592592592596E-4</v>
      </c>
      <c r="G5" s="11">
        <f t="shared" ref="G5:G22" si="2">D5/7.5</f>
        <v>9.6966666666666675E-4</v>
      </c>
      <c r="H5" s="11">
        <f t="shared" ref="H5:H22" si="3">B5/12.5</f>
        <v>1E-3</v>
      </c>
      <c r="I5" s="11">
        <f t="shared" ref="I5:I22" si="4">G5/0.93</f>
        <v>1.0426523297491039E-3</v>
      </c>
      <c r="J5" s="11">
        <f t="shared" ref="J5:J22" si="5">G5/0.92</f>
        <v>1.0539855072463768E-3</v>
      </c>
      <c r="K5" s="11">
        <f t="shared" ref="K5:K22" si="6">G5/0.88</f>
        <v>1.1018939393939394E-3</v>
      </c>
      <c r="L5" s="17">
        <f t="shared" ref="L5:L22" si="7">G5/0.84</f>
        <v>1.1543650793650795E-3</v>
      </c>
      <c r="M5" s="25">
        <f>WO2025Jan710814161822242830323438404244464854565862646668707274766812[[#This Row],[Thresh]]</f>
        <v>1.1018939393939394E-3</v>
      </c>
      <c r="N5" s="28">
        <f>WO2025Jan710814161822242830323438404244464854565862646668707274766812[[#This Row],[Thresh]]*3</f>
        <v>3.3056818181818183E-3</v>
      </c>
      <c r="O5" s="25">
        <f>WO2025Jan710814161822242830323438404244464854565862646668707274766812[[#This Row],[VO2]]</f>
        <v>9.6966666666666675E-4</v>
      </c>
      <c r="P5" s="25"/>
      <c r="Q5" s="25"/>
      <c r="R5" s="28"/>
      <c r="S5" s="11"/>
      <c r="T5" s="28"/>
      <c r="U5" s="28"/>
      <c r="V5" s="38"/>
      <c r="W5" s="15" t="s">
        <v>35</v>
      </c>
      <c r="X5" s="52"/>
    </row>
    <row r="6" spans="1:26" ht="21" customHeight="1">
      <c r="A6" s="10" t="s">
        <v>28</v>
      </c>
      <c r="B6" s="11">
        <v>1.2500000000000001E-2</v>
      </c>
      <c r="C6" s="11">
        <v>3.9351851851851857E-3</v>
      </c>
      <c r="D6" s="11">
        <f t="shared" si="0"/>
        <v>7.2725000000000003E-3</v>
      </c>
      <c r="E6" s="12">
        <v>0.58179999999999998</v>
      </c>
      <c r="F6" s="11">
        <f t="shared" si="1"/>
        <v>9.8379629629629642E-4</v>
      </c>
      <c r="G6" s="11">
        <f t="shared" si="2"/>
        <v>9.6966666666666675E-4</v>
      </c>
      <c r="H6" s="11">
        <f t="shared" si="3"/>
        <v>1E-3</v>
      </c>
      <c r="I6" s="11">
        <f t="shared" si="4"/>
        <v>1.0426523297491039E-3</v>
      </c>
      <c r="J6" s="11">
        <f t="shared" si="5"/>
        <v>1.0539855072463768E-3</v>
      </c>
      <c r="K6" s="11">
        <f t="shared" si="6"/>
        <v>1.1018939393939394E-3</v>
      </c>
      <c r="L6" s="11">
        <f t="shared" si="7"/>
        <v>1.1543650793650795E-3</v>
      </c>
      <c r="M6" s="25">
        <f>WO2025Jan710814161822242830323438404244464854565862646668707274766812[[#This Row],[Thresh]]</f>
        <v>1.1018939393939394E-3</v>
      </c>
      <c r="N6" s="28">
        <f>WO2025Jan710814161822242830323438404244464854565862646668707274766812[[#This Row],[Thresh]]*3</f>
        <v>3.3056818181818183E-3</v>
      </c>
      <c r="O6" s="25">
        <f>WO2025Jan710814161822242830323438404244464854565862646668707274766812[[#This Row],[VO2]]</f>
        <v>9.6966666666666675E-4</v>
      </c>
      <c r="P6" s="28"/>
      <c r="Q6" s="25"/>
      <c r="R6" s="28"/>
      <c r="S6" s="11"/>
      <c r="T6" s="28"/>
      <c r="U6" s="28"/>
      <c r="V6" s="28"/>
      <c r="W6" s="15" t="s">
        <v>26</v>
      </c>
      <c r="X6" s="52"/>
    </row>
    <row r="7" spans="1:26" ht="21" customHeight="1">
      <c r="A7" s="10" t="s">
        <v>27</v>
      </c>
      <c r="B7" s="11">
        <v>1.2500000000000001E-2</v>
      </c>
      <c r="C7" s="11">
        <v>3.6458333333333334E-3</v>
      </c>
      <c r="D7" s="11">
        <f t="shared" si="0"/>
        <v>7.2725000000000003E-3</v>
      </c>
      <c r="E7" s="12">
        <v>0.58179999999999998</v>
      </c>
      <c r="F7" s="11">
        <f t="shared" si="1"/>
        <v>9.1145833333333335E-4</v>
      </c>
      <c r="G7" s="11">
        <f t="shared" si="2"/>
        <v>9.6966666666666675E-4</v>
      </c>
      <c r="H7" s="11">
        <f t="shared" si="3"/>
        <v>1E-3</v>
      </c>
      <c r="I7" s="11">
        <f t="shared" si="4"/>
        <v>1.0426523297491039E-3</v>
      </c>
      <c r="J7" s="11">
        <f t="shared" si="5"/>
        <v>1.0539855072463768E-3</v>
      </c>
      <c r="K7" s="11">
        <f t="shared" si="6"/>
        <v>1.1018939393939394E-3</v>
      </c>
      <c r="L7" s="11">
        <f t="shared" si="7"/>
        <v>1.1543650793650795E-3</v>
      </c>
      <c r="M7" s="25">
        <f>WO2025Jan710814161822242830323438404244464854565862646668707274766812[[#This Row],[Thresh]]</f>
        <v>1.1018939393939394E-3</v>
      </c>
      <c r="N7" s="28">
        <f>WO2025Jan710814161822242830323438404244464854565862646668707274766812[[#This Row],[Thresh]]*3</f>
        <v>3.3056818181818183E-3</v>
      </c>
      <c r="O7" s="25">
        <f>WO2025Jan710814161822242830323438404244464854565862646668707274766812[[#This Row],[VO2]]</f>
        <v>9.6966666666666675E-4</v>
      </c>
      <c r="P7" s="25"/>
      <c r="Q7" s="25"/>
      <c r="R7" s="28"/>
      <c r="S7" s="11"/>
      <c r="T7" s="28"/>
      <c r="U7" s="28"/>
      <c r="V7" s="28"/>
      <c r="W7" s="15" t="s">
        <v>26</v>
      </c>
      <c r="X7" s="52"/>
    </row>
    <row r="8" spans="1:26" ht="21" customHeight="1">
      <c r="A8" s="10" t="s">
        <v>60</v>
      </c>
      <c r="B8" s="11">
        <v>1.2500000000000001E-2</v>
      </c>
      <c r="C8" s="11">
        <v>3.6458333333333334E-3</v>
      </c>
      <c r="D8" s="11">
        <f t="shared" si="0"/>
        <v>7.2725000000000003E-3</v>
      </c>
      <c r="E8" s="12">
        <v>0.58179999999999998</v>
      </c>
      <c r="F8" s="11">
        <f t="shared" si="1"/>
        <v>9.1145833333333335E-4</v>
      </c>
      <c r="G8" s="11">
        <f t="shared" si="2"/>
        <v>9.6966666666666675E-4</v>
      </c>
      <c r="H8" s="11">
        <f t="shared" si="3"/>
        <v>1E-3</v>
      </c>
      <c r="I8" s="11">
        <f t="shared" si="4"/>
        <v>1.0426523297491039E-3</v>
      </c>
      <c r="J8" s="11">
        <f t="shared" si="5"/>
        <v>1.0539855072463768E-3</v>
      </c>
      <c r="K8" s="11">
        <f t="shared" si="6"/>
        <v>1.1018939393939394E-3</v>
      </c>
      <c r="L8" s="11">
        <f t="shared" si="7"/>
        <v>1.1543650793650795E-3</v>
      </c>
      <c r="M8" s="25">
        <f>WO2025Jan710814161822242830323438404244464854565862646668707274766812[[#This Row],[Thresh]]</f>
        <v>1.1018939393939394E-3</v>
      </c>
      <c r="N8" s="28">
        <f>WO2025Jan710814161822242830323438404244464854565862646668707274766812[[#This Row],[Thresh]]*3</f>
        <v>3.3056818181818183E-3</v>
      </c>
      <c r="O8" s="25">
        <f>WO2025Jan710814161822242830323438404244464854565862646668707274766812[[#This Row],[VO2]]</f>
        <v>9.6966666666666675E-4</v>
      </c>
      <c r="P8" s="25"/>
      <c r="Q8" s="25"/>
      <c r="R8" s="28"/>
      <c r="S8" s="11"/>
      <c r="T8" s="28"/>
      <c r="U8" s="28"/>
      <c r="V8" s="28"/>
      <c r="W8" s="15" t="s">
        <v>26</v>
      </c>
      <c r="X8" s="52"/>
    </row>
    <row r="9" spans="1:26" ht="21" customHeight="1">
      <c r="A9" s="10" t="s">
        <v>63</v>
      </c>
      <c r="B9" s="11">
        <v>1.2500000000000001E-2</v>
      </c>
      <c r="C9" s="11"/>
      <c r="D9" s="11">
        <f t="shared" si="0"/>
        <v>7.2725000000000003E-3</v>
      </c>
      <c r="E9" s="12">
        <v>0.58179999999999998</v>
      </c>
      <c r="F9" s="11">
        <f t="shared" si="1"/>
        <v>0</v>
      </c>
      <c r="G9" s="11">
        <f t="shared" si="2"/>
        <v>9.6966666666666675E-4</v>
      </c>
      <c r="H9" s="11">
        <f t="shared" si="3"/>
        <v>1E-3</v>
      </c>
      <c r="I9" s="11">
        <f t="shared" si="4"/>
        <v>1.0426523297491039E-3</v>
      </c>
      <c r="J9" s="11">
        <f t="shared" si="5"/>
        <v>1.0539855072463768E-3</v>
      </c>
      <c r="K9" s="11">
        <f t="shared" si="6"/>
        <v>1.1018939393939394E-3</v>
      </c>
      <c r="L9" s="11">
        <f t="shared" si="7"/>
        <v>1.1543650793650795E-3</v>
      </c>
      <c r="M9" s="25">
        <f>WO2025Jan710814161822242830323438404244464854565862646668707274766812[[#This Row],[Thresh]]</f>
        <v>1.1018939393939394E-3</v>
      </c>
      <c r="N9" s="28">
        <f>WO2025Jan710814161822242830323438404244464854565862646668707274766812[[#This Row],[Thresh]]*3</f>
        <v>3.3056818181818183E-3</v>
      </c>
      <c r="O9" s="25">
        <f>WO2025Jan710814161822242830323438404244464854565862646668707274766812[[#This Row],[VO2]]</f>
        <v>9.6966666666666675E-4</v>
      </c>
      <c r="P9" s="28"/>
      <c r="Q9" s="25"/>
      <c r="R9" s="25"/>
      <c r="S9" s="25"/>
      <c r="T9" s="28"/>
      <c r="U9" s="11"/>
      <c r="V9" s="36"/>
      <c r="W9" s="15" t="s">
        <v>35</v>
      </c>
      <c r="X9" s="52"/>
    </row>
    <row r="10" spans="1:26" ht="21" customHeight="1">
      <c r="A10" s="10" t="s">
        <v>29</v>
      </c>
      <c r="B10" s="11">
        <v>1.2500000000000001E-2</v>
      </c>
      <c r="C10" s="11">
        <v>3.8194444444444443E-3</v>
      </c>
      <c r="D10" s="11">
        <f t="shared" si="0"/>
        <v>7.2725000000000003E-3</v>
      </c>
      <c r="E10" s="12">
        <v>0.58179999999999998</v>
      </c>
      <c r="F10" s="11">
        <f t="shared" si="1"/>
        <v>9.5486111111111108E-4</v>
      </c>
      <c r="G10" s="11">
        <f t="shared" si="2"/>
        <v>9.6966666666666675E-4</v>
      </c>
      <c r="H10" s="11">
        <f t="shared" si="3"/>
        <v>1E-3</v>
      </c>
      <c r="I10" s="11">
        <f t="shared" si="4"/>
        <v>1.0426523297491039E-3</v>
      </c>
      <c r="J10" s="11">
        <f t="shared" si="5"/>
        <v>1.0539855072463768E-3</v>
      </c>
      <c r="K10" s="11">
        <f t="shared" si="6"/>
        <v>1.1018939393939394E-3</v>
      </c>
      <c r="L10" s="11">
        <f t="shared" si="7"/>
        <v>1.1543650793650795E-3</v>
      </c>
      <c r="M10" s="25">
        <f>WO2025Jan710814161822242830323438404244464854565862646668707274766812[[#This Row],[Thresh]]</f>
        <v>1.1018939393939394E-3</v>
      </c>
      <c r="N10" s="28">
        <f>WO2025Jan710814161822242830323438404244464854565862646668707274766812[[#This Row],[Thresh]]*3</f>
        <v>3.3056818181818183E-3</v>
      </c>
      <c r="O10" s="25">
        <f>WO2025Jan710814161822242830323438404244464854565862646668707274766812[[#This Row],[VO2]]</f>
        <v>9.6966666666666675E-4</v>
      </c>
      <c r="P10" s="25"/>
      <c r="Q10" s="25"/>
      <c r="R10" s="25"/>
      <c r="S10" s="28"/>
      <c r="T10" s="28"/>
      <c r="U10" s="28"/>
      <c r="V10" s="38"/>
      <c r="W10" s="18" t="s">
        <v>26</v>
      </c>
      <c r="X10" s="52"/>
    </row>
    <row r="11" spans="1:26" ht="21" customHeight="1">
      <c r="A11" s="10" t="s">
        <v>30</v>
      </c>
      <c r="B11" s="11">
        <v>1.2500000000000001E-2</v>
      </c>
      <c r="C11" s="11">
        <v>3.6458333333333334E-3</v>
      </c>
      <c r="D11" s="11">
        <f t="shared" ref="D11:D17" si="8">B11*E11</f>
        <v>7.2725000000000003E-3</v>
      </c>
      <c r="E11" s="12">
        <v>0.58179999999999998</v>
      </c>
      <c r="F11" s="11">
        <f t="shared" ref="F11:F17" si="9">C11/4</f>
        <v>9.1145833333333335E-4</v>
      </c>
      <c r="G11" s="11">
        <f t="shared" ref="G11:G17" si="10">D11/7.5</f>
        <v>9.6966666666666675E-4</v>
      </c>
      <c r="H11" s="11">
        <f t="shared" ref="H11:H17" si="11">B11/12.5</f>
        <v>1E-3</v>
      </c>
      <c r="I11" s="11">
        <f t="shared" ref="I11:I17" si="12">G11/0.93</f>
        <v>1.0426523297491039E-3</v>
      </c>
      <c r="J11" s="11">
        <f t="shared" ref="J11:J17" si="13">G11/0.92</f>
        <v>1.0539855072463768E-3</v>
      </c>
      <c r="K11" s="11">
        <f t="shared" ref="K11:K17" si="14">G11/0.88</f>
        <v>1.1018939393939394E-3</v>
      </c>
      <c r="L11" s="11">
        <f t="shared" ref="L11:L17" si="15">G11/0.84</f>
        <v>1.1543650793650795E-3</v>
      </c>
      <c r="M11" s="25">
        <f>WO2025Jan710814161822242830323438404244464854565862646668707274766812[[#This Row],[Thresh]]</f>
        <v>1.1018939393939394E-3</v>
      </c>
      <c r="N11" s="28">
        <f>WO2025Jan710814161822242830323438404244464854565862646668707274766812[[#This Row],[Thresh]]*3</f>
        <v>3.3056818181818183E-3</v>
      </c>
      <c r="O11" s="25">
        <f>WO2025Jan710814161822242830323438404244464854565862646668707274766812[[#This Row],[VO2]]</f>
        <v>9.6966666666666675E-4</v>
      </c>
      <c r="P11" s="28"/>
      <c r="Q11" s="25"/>
      <c r="R11" s="25"/>
      <c r="S11" s="11"/>
      <c r="T11" s="28"/>
      <c r="U11" s="28"/>
      <c r="V11" s="28"/>
      <c r="W11" s="15" t="s">
        <v>35</v>
      </c>
      <c r="X11" s="52" t="s">
        <v>323</v>
      </c>
    </row>
    <row r="12" spans="1:26" ht="21" customHeight="1">
      <c r="A12" s="10" t="s">
        <v>55</v>
      </c>
      <c r="B12" s="11">
        <v>1.2500000000000001E-2</v>
      </c>
      <c r="C12" s="11"/>
      <c r="D12" s="11">
        <f t="shared" si="8"/>
        <v>7.2725000000000003E-3</v>
      </c>
      <c r="E12" s="12">
        <v>0.58179999999999998</v>
      </c>
      <c r="F12" s="11">
        <f t="shared" si="9"/>
        <v>0</v>
      </c>
      <c r="G12" s="11">
        <f t="shared" si="10"/>
        <v>9.6966666666666675E-4</v>
      </c>
      <c r="H12" s="11">
        <f t="shared" si="11"/>
        <v>1E-3</v>
      </c>
      <c r="I12" s="11">
        <f t="shared" si="12"/>
        <v>1.0426523297491039E-3</v>
      </c>
      <c r="J12" s="11">
        <f t="shared" si="13"/>
        <v>1.0539855072463768E-3</v>
      </c>
      <c r="K12" s="11">
        <f t="shared" si="14"/>
        <v>1.1018939393939394E-3</v>
      </c>
      <c r="L12" s="11">
        <f t="shared" si="15"/>
        <v>1.1543650793650795E-3</v>
      </c>
      <c r="M12" s="25">
        <f>WO2025Jan710814161822242830323438404244464854565862646668707274766812[[#This Row],[Thresh]]</f>
        <v>1.1018939393939394E-3</v>
      </c>
      <c r="N12" s="28">
        <f>WO2025Jan710814161822242830323438404244464854565862646668707274766812[[#This Row],[Thresh]]*3</f>
        <v>3.3056818181818183E-3</v>
      </c>
      <c r="O12" s="25">
        <f>WO2025Jan710814161822242830323438404244464854565862646668707274766812[[#This Row],[VO2]]</f>
        <v>9.6966666666666675E-4</v>
      </c>
      <c r="P12" s="11"/>
      <c r="Q12" s="14"/>
      <c r="R12" s="11"/>
      <c r="S12" s="14"/>
      <c r="T12" s="14"/>
      <c r="U12" s="14"/>
      <c r="V12" s="17"/>
      <c r="W12" s="18" t="s">
        <v>26</v>
      </c>
      <c r="X12" s="52"/>
    </row>
    <row r="13" spans="1:26" ht="21" customHeight="1">
      <c r="A13" s="10" t="s">
        <v>31</v>
      </c>
      <c r="B13" s="11">
        <v>1.2500000000000001E-2</v>
      </c>
      <c r="C13" s="11"/>
      <c r="D13" s="11">
        <f t="shared" si="8"/>
        <v>7.2725000000000003E-3</v>
      </c>
      <c r="E13" s="12">
        <v>0.58179999999999998</v>
      </c>
      <c r="F13" s="11">
        <f t="shared" si="9"/>
        <v>0</v>
      </c>
      <c r="G13" s="11">
        <f t="shared" si="10"/>
        <v>9.6966666666666675E-4</v>
      </c>
      <c r="H13" s="11">
        <f t="shared" si="11"/>
        <v>1E-3</v>
      </c>
      <c r="I13" s="11">
        <f t="shared" si="12"/>
        <v>1.0426523297491039E-3</v>
      </c>
      <c r="J13" s="11">
        <f t="shared" si="13"/>
        <v>1.0539855072463768E-3</v>
      </c>
      <c r="K13" s="11">
        <f t="shared" si="14"/>
        <v>1.1018939393939394E-3</v>
      </c>
      <c r="L13" s="11">
        <f t="shared" si="15"/>
        <v>1.1543650793650795E-3</v>
      </c>
      <c r="M13" s="25">
        <f>WO2025Jan710814161822242830323438404244464854565862646668707274766812[[#This Row],[Thresh]]</f>
        <v>1.1018939393939394E-3</v>
      </c>
      <c r="N13" s="28">
        <f>WO2025Jan710814161822242830323438404244464854565862646668707274766812[[#This Row],[Thresh]]*3</f>
        <v>3.3056818181818183E-3</v>
      </c>
      <c r="O13" s="25">
        <f>WO2025Jan710814161822242830323438404244464854565862646668707274766812[[#This Row],[VO2]]</f>
        <v>9.6966666666666675E-4</v>
      </c>
      <c r="P13" s="25"/>
      <c r="Q13" s="25"/>
      <c r="R13" s="28"/>
      <c r="S13" s="11"/>
      <c r="T13" s="11"/>
      <c r="U13" s="28"/>
      <c r="V13" s="28"/>
      <c r="W13" s="15" t="s">
        <v>35</v>
      </c>
      <c r="X13" s="52"/>
    </row>
    <row r="14" spans="1:26" ht="21" customHeight="1">
      <c r="A14" s="10" t="s">
        <v>51</v>
      </c>
      <c r="B14" s="11">
        <v>1.2731481481481481E-2</v>
      </c>
      <c r="C14" s="11">
        <v>3.5879629629629629E-3</v>
      </c>
      <c r="D14" s="11">
        <f t="shared" si="8"/>
        <v>7.4071759259259256E-3</v>
      </c>
      <c r="E14" s="12">
        <v>0.58179999999999998</v>
      </c>
      <c r="F14" s="11">
        <f t="shared" si="9"/>
        <v>8.9699074074074073E-4</v>
      </c>
      <c r="G14" s="11">
        <f t="shared" si="10"/>
        <v>9.8762345679012349E-4</v>
      </c>
      <c r="H14" s="11">
        <f t="shared" si="11"/>
        <v>1.0185185185185184E-3</v>
      </c>
      <c r="I14" s="11">
        <f t="shared" si="12"/>
        <v>1.0619607062259391E-3</v>
      </c>
      <c r="J14" s="11">
        <f t="shared" si="13"/>
        <v>1.073503757380569E-3</v>
      </c>
      <c r="K14" s="11">
        <f t="shared" si="14"/>
        <v>1.1222993827160494E-3</v>
      </c>
      <c r="L14" s="11">
        <f t="shared" si="15"/>
        <v>1.1757422104644328E-3</v>
      </c>
      <c r="M14" s="25">
        <f>WO2025Jan710814161822242830323438404244464854565862646668707274766812[[#This Row],[Thresh]]</f>
        <v>1.1222993827160494E-3</v>
      </c>
      <c r="N14" s="28">
        <f>WO2025Jan710814161822242830323438404244464854565862646668707274766812[[#This Row],[Thresh]]*3</f>
        <v>3.3668981481481484E-3</v>
      </c>
      <c r="O14" s="25">
        <f>WO2025Jan710814161822242830323438404244464854565862646668707274766812[[#This Row],[VO2]]</f>
        <v>9.8762345679012349E-4</v>
      </c>
      <c r="P14" s="28"/>
      <c r="Q14" s="25"/>
      <c r="R14" s="28"/>
      <c r="S14" s="11"/>
      <c r="T14" s="11"/>
      <c r="U14" s="11"/>
      <c r="V14" s="36"/>
      <c r="W14" s="15" t="s">
        <v>35</v>
      </c>
      <c r="X14" s="52"/>
    </row>
    <row r="15" spans="1:26" ht="21" customHeight="1">
      <c r="A15" s="10" t="s">
        <v>49</v>
      </c>
      <c r="B15" s="11">
        <v>1.2731481481481481E-2</v>
      </c>
      <c r="C15" s="11"/>
      <c r="D15" s="11">
        <f t="shared" si="8"/>
        <v>7.4071759259259256E-3</v>
      </c>
      <c r="E15" s="12">
        <v>0.58179999999999998</v>
      </c>
      <c r="F15" s="11">
        <f t="shared" si="9"/>
        <v>0</v>
      </c>
      <c r="G15" s="11">
        <f t="shared" si="10"/>
        <v>9.8762345679012349E-4</v>
      </c>
      <c r="H15" s="11">
        <f t="shared" si="11"/>
        <v>1.0185185185185184E-3</v>
      </c>
      <c r="I15" s="11">
        <f t="shared" si="12"/>
        <v>1.0619607062259391E-3</v>
      </c>
      <c r="J15" s="11">
        <f t="shared" si="13"/>
        <v>1.073503757380569E-3</v>
      </c>
      <c r="K15" s="11">
        <f t="shared" si="14"/>
        <v>1.1222993827160494E-3</v>
      </c>
      <c r="L15" s="11">
        <f t="shared" si="15"/>
        <v>1.1757422104644328E-3</v>
      </c>
      <c r="M15" s="25">
        <f>WO2025Jan710814161822242830323438404244464854565862646668707274766812[[#This Row],[Thresh]]</f>
        <v>1.1222993827160494E-3</v>
      </c>
      <c r="N15" s="28">
        <f>WO2025Jan710814161822242830323438404244464854565862646668707274766812[[#This Row],[Thresh]]*3</f>
        <v>3.3668981481481484E-3</v>
      </c>
      <c r="O15" s="25">
        <f>WO2025Jan710814161822242830323438404244464854565862646668707274766812[[#This Row],[VO2]]</f>
        <v>9.8762345679012349E-4</v>
      </c>
      <c r="P15" s="11"/>
      <c r="Q15" s="14"/>
      <c r="R15" s="11"/>
      <c r="S15" s="14"/>
      <c r="T15" s="14"/>
      <c r="U15" s="14"/>
      <c r="V15" s="11"/>
      <c r="W15" s="15" t="s">
        <v>35</v>
      </c>
      <c r="X15" s="52"/>
    </row>
    <row r="16" spans="1:26" ht="21" customHeight="1">
      <c r="A16" s="10" t="s">
        <v>65</v>
      </c>
      <c r="B16" s="11">
        <v>1.2731481481481481E-2</v>
      </c>
      <c r="C16" s="11">
        <v>3.8194444444444443E-3</v>
      </c>
      <c r="D16" s="11">
        <f t="shared" si="8"/>
        <v>7.4071759259259256E-3</v>
      </c>
      <c r="E16" s="12">
        <v>0.58179999999999998</v>
      </c>
      <c r="F16" s="11">
        <f t="shared" si="9"/>
        <v>9.5486111111111108E-4</v>
      </c>
      <c r="G16" s="11">
        <f t="shared" si="10"/>
        <v>9.8762345679012349E-4</v>
      </c>
      <c r="H16" s="11">
        <f t="shared" si="11"/>
        <v>1.0185185185185184E-3</v>
      </c>
      <c r="I16" s="11">
        <f t="shared" si="12"/>
        <v>1.0619607062259391E-3</v>
      </c>
      <c r="J16" s="11">
        <f t="shared" si="13"/>
        <v>1.073503757380569E-3</v>
      </c>
      <c r="K16" s="11">
        <f t="shared" si="14"/>
        <v>1.1222993827160494E-3</v>
      </c>
      <c r="L16" s="11">
        <f t="shared" si="15"/>
        <v>1.1757422104644328E-3</v>
      </c>
      <c r="M16" s="25">
        <f>WO2025Jan710814161822242830323438404244464854565862646668707274766812[[#This Row],[Thresh]]</f>
        <v>1.1222993827160494E-3</v>
      </c>
      <c r="N16" s="28">
        <f>WO2025Jan710814161822242830323438404244464854565862646668707274766812[[#This Row],[Thresh]]*3</f>
        <v>3.3668981481481484E-3</v>
      </c>
      <c r="O16" s="25">
        <f>WO2025Jan710814161822242830323438404244464854565862646668707274766812[[#This Row],[VO2]]</f>
        <v>9.8762345679012349E-4</v>
      </c>
      <c r="P16" s="28"/>
      <c r="Q16" s="25"/>
      <c r="R16" s="28"/>
      <c r="S16" s="11"/>
      <c r="T16" s="28"/>
      <c r="U16" s="28"/>
      <c r="V16" s="28"/>
      <c r="W16" s="15" t="s">
        <v>26</v>
      </c>
      <c r="X16" s="52"/>
    </row>
    <row r="17" spans="1:24" ht="21" customHeight="1">
      <c r="A17" s="10" t="s">
        <v>64</v>
      </c>
      <c r="B17" s="11">
        <v>1.2731481481481481E-2</v>
      </c>
      <c r="C17" s="11">
        <v>3.5879629629629629E-3</v>
      </c>
      <c r="D17" s="11">
        <f t="shared" si="8"/>
        <v>7.4071759259259256E-3</v>
      </c>
      <c r="E17" s="12">
        <v>0.58179999999999998</v>
      </c>
      <c r="F17" s="11">
        <f t="shared" si="9"/>
        <v>8.9699074074074073E-4</v>
      </c>
      <c r="G17" s="11">
        <f t="shared" si="10"/>
        <v>9.8762345679012349E-4</v>
      </c>
      <c r="H17" s="11">
        <f t="shared" si="11"/>
        <v>1.0185185185185184E-3</v>
      </c>
      <c r="I17" s="11">
        <f t="shared" si="12"/>
        <v>1.0619607062259391E-3</v>
      </c>
      <c r="J17" s="11">
        <f t="shared" si="13"/>
        <v>1.073503757380569E-3</v>
      </c>
      <c r="K17" s="11">
        <f t="shared" si="14"/>
        <v>1.1222993827160494E-3</v>
      </c>
      <c r="L17" s="11">
        <f t="shared" si="15"/>
        <v>1.1757422104644328E-3</v>
      </c>
      <c r="M17" s="25">
        <f>WO2025Jan710814161822242830323438404244464854565862646668707274766812[[#This Row],[Thresh]]</f>
        <v>1.1222993827160494E-3</v>
      </c>
      <c r="N17" s="28">
        <f>WO2025Jan710814161822242830323438404244464854565862646668707274766812[[#This Row],[Thresh]]*3</f>
        <v>3.3668981481481484E-3</v>
      </c>
      <c r="O17" s="25">
        <f>WO2025Jan710814161822242830323438404244464854565862646668707274766812[[#This Row],[VO2]]</f>
        <v>9.8762345679012349E-4</v>
      </c>
      <c r="P17" s="28"/>
      <c r="Q17" s="25"/>
      <c r="R17" s="25"/>
      <c r="S17" s="28"/>
      <c r="T17" s="28"/>
      <c r="U17" s="28"/>
      <c r="V17" s="28"/>
      <c r="W17" s="15" t="s">
        <v>35</v>
      </c>
      <c r="X17" s="52"/>
    </row>
    <row r="18" spans="1:24" ht="21" customHeight="1">
      <c r="A18" s="10" t="s">
        <v>62</v>
      </c>
      <c r="B18" s="11">
        <v>1.2731481481481481E-2</v>
      </c>
      <c r="C18" s="11"/>
      <c r="D18" s="11">
        <f t="shared" si="0"/>
        <v>7.4071759259259256E-3</v>
      </c>
      <c r="E18" s="12">
        <v>0.58179999999999998</v>
      </c>
      <c r="F18" s="11">
        <f t="shared" si="1"/>
        <v>0</v>
      </c>
      <c r="G18" s="11">
        <f t="shared" si="2"/>
        <v>9.8762345679012349E-4</v>
      </c>
      <c r="H18" s="11">
        <f t="shared" si="3"/>
        <v>1.0185185185185184E-3</v>
      </c>
      <c r="I18" s="11">
        <f t="shared" si="4"/>
        <v>1.0619607062259391E-3</v>
      </c>
      <c r="J18" s="11">
        <f t="shared" si="5"/>
        <v>1.073503757380569E-3</v>
      </c>
      <c r="K18" s="11">
        <f t="shared" si="6"/>
        <v>1.1222993827160494E-3</v>
      </c>
      <c r="L18" s="11">
        <f t="shared" si="7"/>
        <v>1.1757422104644328E-3</v>
      </c>
      <c r="M18" s="25">
        <f>WO2025Jan710814161822242830323438404244464854565862646668707274766812[[#This Row],[Thresh]]</f>
        <v>1.1222993827160494E-3</v>
      </c>
      <c r="N18" s="28">
        <f>WO2025Jan710814161822242830323438404244464854565862646668707274766812[[#This Row],[Thresh]]*3</f>
        <v>3.3668981481481484E-3</v>
      </c>
      <c r="O18" s="25">
        <f>WO2025Jan710814161822242830323438404244464854565862646668707274766812[[#This Row],[VO2]]</f>
        <v>9.8762345679012349E-4</v>
      </c>
      <c r="P18" s="25"/>
      <c r="Q18" s="28"/>
      <c r="R18" s="28"/>
      <c r="S18" s="25"/>
      <c r="T18" s="28"/>
      <c r="U18" s="36"/>
      <c r="V18" s="17"/>
      <c r="W18" s="18" t="s">
        <v>26</v>
      </c>
      <c r="X18" s="52"/>
    </row>
    <row r="19" spans="1:24" ht="21" customHeight="1">
      <c r="A19" s="10" t="s">
        <v>67</v>
      </c>
      <c r="B19" s="11">
        <v>1.3020833333333334E-2</v>
      </c>
      <c r="C19" s="11">
        <v>3.8194444444444443E-3</v>
      </c>
      <c r="D19" s="11">
        <f>B19*E19</f>
        <v>7.5755208333333334E-3</v>
      </c>
      <c r="E19" s="12">
        <v>0.58179999999999998</v>
      </c>
      <c r="F19" s="11">
        <f>C19/4</f>
        <v>9.5486111111111108E-4</v>
      </c>
      <c r="G19" s="11">
        <f>D19/7.5</f>
        <v>1.0100694444444445E-3</v>
      </c>
      <c r="H19" s="11">
        <f>B19/12.5</f>
        <v>1.0416666666666667E-3</v>
      </c>
      <c r="I19" s="11">
        <f>G19/0.93</f>
        <v>1.0860961768219832E-3</v>
      </c>
      <c r="J19" s="11">
        <f>G19/0.92</f>
        <v>1.0979015700483092E-3</v>
      </c>
      <c r="K19" s="11">
        <f>G19/0.88</f>
        <v>1.1478061868686869E-3</v>
      </c>
      <c r="L19" s="11">
        <f>G19/0.84</f>
        <v>1.2024636243386244E-3</v>
      </c>
      <c r="M19" s="25">
        <f>WO2025Jan710814161822242830323438404244464854565862646668707274766812[[#This Row],[Thresh]]</f>
        <v>1.1478061868686869E-3</v>
      </c>
      <c r="N19" s="28">
        <f>WO2025Jan710814161822242830323438404244464854565862646668707274766812[[#This Row],[Thresh]]*3</f>
        <v>3.4434185606060609E-3</v>
      </c>
      <c r="O19" s="25">
        <f>WO2025Jan710814161822242830323438404244464854565862646668707274766812[[#This Row],[VO2]]</f>
        <v>1.0100694444444445E-3</v>
      </c>
      <c r="P19" s="25"/>
      <c r="Q19" s="25"/>
      <c r="R19" s="25"/>
      <c r="S19" s="28"/>
      <c r="T19" s="28"/>
      <c r="U19" s="28"/>
      <c r="V19" s="28"/>
      <c r="W19" s="18" t="s">
        <v>35</v>
      </c>
      <c r="X19" s="52"/>
    </row>
    <row r="20" spans="1:24" ht="21" customHeight="1">
      <c r="A20" s="10" t="s">
        <v>53</v>
      </c>
      <c r="B20" s="11">
        <v>1.3020833333333334E-2</v>
      </c>
      <c r="C20" s="11"/>
      <c r="D20" s="11">
        <f>B20*E20</f>
        <v>7.5755208333333334E-3</v>
      </c>
      <c r="E20" s="12">
        <v>0.58179999999999998</v>
      </c>
      <c r="F20" s="11">
        <f>C20/4</f>
        <v>0</v>
      </c>
      <c r="G20" s="11">
        <f>D20/7.5</f>
        <v>1.0100694444444445E-3</v>
      </c>
      <c r="H20" s="11">
        <f>B20/12.5</f>
        <v>1.0416666666666667E-3</v>
      </c>
      <c r="I20" s="11">
        <f>G20/0.93</f>
        <v>1.0860961768219832E-3</v>
      </c>
      <c r="J20" s="11">
        <f>G20/0.92</f>
        <v>1.0979015700483092E-3</v>
      </c>
      <c r="K20" s="11">
        <f>G20/0.88</f>
        <v>1.1478061868686869E-3</v>
      </c>
      <c r="L20" s="11">
        <f>G20/0.84</f>
        <v>1.2024636243386244E-3</v>
      </c>
      <c r="M20" s="25">
        <f>WO2025Jan710814161822242830323438404244464854565862646668707274766812[[#This Row],[Thresh]]</f>
        <v>1.1478061868686869E-3</v>
      </c>
      <c r="N20" s="28">
        <f>WO2025Jan710814161822242830323438404244464854565862646668707274766812[[#This Row],[Thresh]]*3</f>
        <v>3.4434185606060609E-3</v>
      </c>
      <c r="O20" s="25">
        <f>WO2025Jan710814161822242830323438404244464854565862646668707274766812[[#This Row],[VO2]]</f>
        <v>1.0100694444444445E-3</v>
      </c>
      <c r="P20" s="28"/>
      <c r="Q20" s="25"/>
      <c r="R20" s="28"/>
      <c r="S20" s="28"/>
      <c r="T20" s="11"/>
      <c r="U20" s="11"/>
      <c r="V20" s="47" t="s">
        <v>324</v>
      </c>
      <c r="W20" s="18" t="s">
        <v>35</v>
      </c>
      <c r="X20" s="52"/>
    </row>
    <row r="21" spans="1:24" ht="21" customHeight="1">
      <c r="A21" s="10" t="s">
        <v>66</v>
      </c>
      <c r="B21" s="11">
        <v>1.3020833333333334E-2</v>
      </c>
      <c r="C21" s="11">
        <v>3.7037037037037038E-3</v>
      </c>
      <c r="D21" s="11">
        <f>B21*E21</f>
        <v>7.5755208333333334E-3</v>
      </c>
      <c r="E21" s="12">
        <v>0.58179999999999998</v>
      </c>
      <c r="F21" s="11">
        <f>C21/4</f>
        <v>9.2592592592592596E-4</v>
      </c>
      <c r="G21" s="11">
        <f>D21/7.5</f>
        <v>1.0100694444444445E-3</v>
      </c>
      <c r="H21" s="11">
        <f>B21/12.5</f>
        <v>1.0416666666666667E-3</v>
      </c>
      <c r="I21" s="11">
        <f>G21/0.93</f>
        <v>1.0860961768219832E-3</v>
      </c>
      <c r="J21" s="11">
        <f>G21/0.92</f>
        <v>1.0979015700483092E-3</v>
      </c>
      <c r="K21" s="11">
        <f>G21/0.88</f>
        <v>1.1478061868686869E-3</v>
      </c>
      <c r="L21" s="17">
        <f>G21/0.84</f>
        <v>1.2024636243386244E-3</v>
      </c>
      <c r="M21" s="25">
        <f>WO2025Jan710814161822242830323438404244464854565862646668707274766812[[#This Row],[Thresh]]</f>
        <v>1.1478061868686869E-3</v>
      </c>
      <c r="N21" s="28">
        <f>WO2025Jan710814161822242830323438404244464854565862646668707274766812[[#This Row],[Thresh]]*3</f>
        <v>3.4434185606060609E-3</v>
      </c>
      <c r="O21" s="25">
        <f>WO2025Jan710814161822242830323438404244464854565862646668707274766812[[#This Row],[VO2]]</f>
        <v>1.0100694444444445E-3</v>
      </c>
      <c r="P21" s="28"/>
      <c r="Q21" s="25"/>
      <c r="R21" s="25"/>
      <c r="S21" s="25"/>
      <c r="T21" s="28"/>
      <c r="U21" s="11"/>
      <c r="V21" s="36"/>
      <c r="W21" s="15" t="s">
        <v>35</v>
      </c>
      <c r="X21" s="50" t="s">
        <v>325</v>
      </c>
    </row>
    <row r="22" spans="1:24" ht="21" customHeight="1">
      <c r="A22" s="10" t="s">
        <v>71</v>
      </c>
      <c r="B22" s="11">
        <v>1.3368055555555555E-2</v>
      </c>
      <c r="C22" s="11">
        <v>4.0509259259259257E-3</v>
      </c>
      <c r="D22" s="11">
        <f t="shared" si="0"/>
        <v>7.7775347222222213E-3</v>
      </c>
      <c r="E22" s="12">
        <v>0.58179999999999998</v>
      </c>
      <c r="F22" s="11">
        <f t="shared" si="1"/>
        <v>1.0127314814814814E-3</v>
      </c>
      <c r="G22" s="11">
        <f t="shared" si="2"/>
        <v>1.0370046296296295E-3</v>
      </c>
      <c r="H22" s="11">
        <f t="shared" si="3"/>
        <v>1.0694444444444445E-3</v>
      </c>
      <c r="I22" s="11">
        <f t="shared" si="4"/>
        <v>1.1150587415372358E-3</v>
      </c>
      <c r="J22" s="11">
        <f t="shared" si="5"/>
        <v>1.1271789452495973E-3</v>
      </c>
      <c r="K22" s="11">
        <f t="shared" si="6"/>
        <v>1.1784143518518517E-3</v>
      </c>
      <c r="L22" s="11">
        <f t="shared" si="7"/>
        <v>1.2345293209876543E-3</v>
      </c>
      <c r="M22" s="25">
        <f>WO2025Jan710814161822242830323438404244464854565862646668707274766812[[#This Row],[Thresh]]</f>
        <v>1.1784143518518517E-3</v>
      </c>
      <c r="N22" s="28">
        <f>WO2025Jan710814161822242830323438404244464854565862646668707274766812[[#This Row],[Thresh]]*3</f>
        <v>3.5352430555555554E-3</v>
      </c>
      <c r="O22" s="25">
        <f>WO2025Jan710814161822242830323438404244464854565862646668707274766812[[#This Row],[VO2]]</f>
        <v>1.0370046296296295E-3</v>
      </c>
      <c r="P22" s="25"/>
      <c r="Q22" s="25"/>
      <c r="R22" s="28"/>
      <c r="S22" s="11"/>
      <c r="T22" s="28"/>
      <c r="U22" s="28"/>
      <c r="V22" s="38"/>
      <c r="W22" s="18" t="s">
        <v>35</v>
      </c>
      <c r="X22" s="50"/>
    </row>
    <row r="23" spans="1:24" ht="21" customHeight="1">
      <c r="A23" s="10" t="s">
        <v>69</v>
      </c>
      <c r="B23" s="11">
        <v>1.3368055555555555E-2</v>
      </c>
      <c r="C23" s="11"/>
      <c r="D23" s="11">
        <f>B23*E23</f>
        <v>7.7775347222222213E-3</v>
      </c>
      <c r="E23" s="12">
        <v>0.58179999999999998</v>
      </c>
      <c r="F23" s="11">
        <f>C23/4</f>
        <v>0</v>
      </c>
      <c r="G23" s="11">
        <f>D23/7.5</f>
        <v>1.0370046296296295E-3</v>
      </c>
      <c r="H23" s="11">
        <f>B23/12.5</f>
        <v>1.0694444444444445E-3</v>
      </c>
      <c r="I23" s="11">
        <f>G23/0.93</f>
        <v>1.1150587415372358E-3</v>
      </c>
      <c r="J23" s="11">
        <f>G23/0.92</f>
        <v>1.1271789452495973E-3</v>
      </c>
      <c r="K23" s="11">
        <f>G23/0.88</f>
        <v>1.1784143518518517E-3</v>
      </c>
      <c r="L23" s="11">
        <f>G23/0.84</f>
        <v>1.2345293209876543E-3</v>
      </c>
      <c r="M23" s="25">
        <f>WO2025Jan710814161822242830323438404244464854565862646668707274766812[[#This Row],[Thresh]]</f>
        <v>1.1784143518518517E-3</v>
      </c>
      <c r="N23" s="28">
        <f>WO2025Jan710814161822242830323438404244464854565862646668707274766812[[#This Row],[Thresh]]*3</f>
        <v>3.5352430555555554E-3</v>
      </c>
      <c r="O23" s="25">
        <f>WO2025Jan710814161822242830323438404244464854565862646668707274766812[[#This Row],[VO2]]</f>
        <v>1.0370046296296295E-3</v>
      </c>
      <c r="P23" s="28"/>
      <c r="Q23" s="25"/>
      <c r="R23" s="25"/>
      <c r="S23" s="25"/>
      <c r="T23" s="28"/>
      <c r="U23" s="11"/>
      <c r="V23" s="36"/>
      <c r="W23" s="15" t="s">
        <v>35</v>
      </c>
      <c r="X23" s="50"/>
    </row>
    <row r="24" spans="1:24" ht="21" customHeight="1">
      <c r="A24" s="10" t="s">
        <v>58</v>
      </c>
      <c r="B24" s="11">
        <v>1.3368055555555555E-2</v>
      </c>
      <c r="C24" s="11">
        <v>4.1087962962962962E-3</v>
      </c>
      <c r="D24" s="11">
        <f>B24*E24</f>
        <v>7.7775347222222213E-3</v>
      </c>
      <c r="E24" s="12">
        <v>0.58179999999999998</v>
      </c>
      <c r="F24" s="11">
        <f>C24/4</f>
        <v>1.027199074074074E-3</v>
      </c>
      <c r="G24" s="11">
        <f>D24/7.5</f>
        <v>1.0370046296296295E-3</v>
      </c>
      <c r="H24" s="11">
        <f>B24/12.5</f>
        <v>1.0694444444444445E-3</v>
      </c>
      <c r="I24" s="11">
        <f>G24/0.93</f>
        <v>1.1150587415372358E-3</v>
      </c>
      <c r="J24" s="11">
        <f>G24/0.92</f>
        <v>1.1271789452495973E-3</v>
      </c>
      <c r="K24" s="11">
        <f>G24/0.88</f>
        <v>1.1784143518518517E-3</v>
      </c>
      <c r="L24" s="11">
        <f>G24/0.84</f>
        <v>1.2345293209876543E-3</v>
      </c>
      <c r="M24" s="25">
        <f>WO2025Jan710814161822242830323438404244464854565862646668707274766812[[#This Row],[Thresh]]</f>
        <v>1.1784143518518517E-3</v>
      </c>
      <c r="N24" s="28">
        <f>WO2025Jan710814161822242830323438404244464854565862646668707274766812[[#This Row],[Thresh]]*3</f>
        <v>3.5352430555555554E-3</v>
      </c>
      <c r="O24" s="25">
        <f>WO2025Jan710814161822242830323438404244464854565862646668707274766812[[#This Row],[VO2]]</f>
        <v>1.0370046296296295E-3</v>
      </c>
      <c r="P24" s="25"/>
      <c r="Q24" s="25"/>
      <c r="R24" s="25"/>
      <c r="S24" s="28"/>
      <c r="T24" s="28"/>
      <c r="U24" s="28"/>
      <c r="V24" s="38"/>
      <c r="W24" s="15" t="s">
        <v>35</v>
      </c>
      <c r="X24" s="50"/>
    </row>
    <row r="25" spans="1:24" ht="21" customHeight="1">
      <c r="A25" s="10" t="s">
        <v>70</v>
      </c>
      <c r="B25" s="11">
        <v>1.3541666666666667E-2</v>
      </c>
      <c r="C25" s="11">
        <v>4.0509259259259257E-3</v>
      </c>
      <c r="D25" s="11">
        <f>B25*E25</f>
        <v>7.8785416666666674E-3</v>
      </c>
      <c r="E25" s="12">
        <v>0.58179999999999998</v>
      </c>
      <c r="F25" s="11">
        <f>C25/4</f>
        <v>1.0127314814814814E-3</v>
      </c>
      <c r="G25" s="11">
        <f>D25/7.5</f>
        <v>1.0504722222222224E-3</v>
      </c>
      <c r="H25" s="11">
        <f>B25/12.5</f>
        <v>1.0833333333333333E-3</v>
      </c>
      <c r="I25" s="11">
        <f>G25/0.93</f>
        <v>1.1295400238948627E-3</v>
      </c>
      <c r="J25" s="11">
        <f>G25/0.92</f>
        <v>1.1418176328502417E-3</v>
      </c>
      <c r="K25" s="11">
        <f>G25/0.88</f>
        <v>1.1937184343434346E-3</v>
      </c>
      <c r="L25" s="11">
        <f>G25/0.84</f>
        <v>1.2505621693121695E-3</v>
      </c>
      <c r="M25" s="25">
        <f>WO2025Jan710814161822242830323438404244464854565862646668707274766812[[#This Row],[Thresh]]</f>
        <v>1.1937184343434346E-3</v>
      </c>
      <c r="N25" s="28">
        <f>WO2025Jan710814161822242830323438404244464854565862646668707274766812[[#This Row],[Thresh]]*3</f>
        <v>3.5811553030303039E-3</v>
      </c>
      <c r="O25" s="25">
        <f>WO2025Jan710814161822242830323438404244464854565862646668707274766812[[#This Row],[VO2]]</f>
        <v>1.0504722222222224E-3</v>
      </c>
      <c r="P25" s="25"/>
      <c r="Q25" s="25"/>
      <c r="R25" s="25"/>
      <c r="S25" s="28"/>
      <c r="T25" s="28"/>
      <c r="U25" s="28"/>
      <c r="V25" s="38"/>
      <c r="W25" s="15" t="s">
        <v>35</v>
      </c>
      <c r="X25" s="50"/>
    </row>
    <row r="26" spans="1:24" ht="21" customHeight="1">
      <c r="A26" s="10" t="s">
        <v>75</v>
      </c>
      <c r="B26" s="11">
        <v>1.3541666666666667E-2</v>
      </c>
      <c r="C26" s="11"/>
      <c r="D26" s="11">
        <f>B26*E26</f>
        <v>7.8785416666666674E-3</v>
      </c>
      <c r="E26" s="12">
        <v>0.58179999999999998</v>
      </c>
      <c r="F26" s="11">
        <f>C26/4</f>
        <v>0</v>
      </c>
      <c r="G26" s="11">
        <f>D26/7.5</f>
        <v>1.0504722222222224E-3</v>
      </c>
      <c r="H26" s="11">
        <f>B26/12.5</f>
        <v>1.0833333333333333E-3</v>
      </c>
      <c r="I26" s="11">
        <f>G26/0.93</f>
        <v>1.1295400238948627E-3</v>
      </c>
      <c r="J26" s="11">
        <f>G26/0.92</f>
        <v>1.1418176328502417E-3</v>
      </c>
      <c r="K26" s="11">
        <f>G26/0.88</f>
        <v>1.1937184343434346E-3</v>
      </c>
      <c r="L26" s="11">
        <f>G26/0.84</f>
        <v>1.2505621693121695E-3</v>
      </c>
      <c r="M26" s="25">
        <f>WO2025Jan710814161822242830323438404244464854565862646668707274766812[[#This Row],[Thresh]]</f>
        <v>1.1937184343434346E-3</v>
      </c>
      <c r="N26" s="28">
        <f>WO2025Jan710814161822242830323438404244464854565862646668707274766812[[#This Row],[Thresh]]*3</f>
        <v>3.5811553030303039E-3</v>
      </c>
      <c r="O26" s="25">
        <f>WO2025Jan710814161822242830323438404244464854565862646668707274766812[[#This Row],[VO2]]</f>
        <v>1.0504722222222224E-3</v>
      </c>
      <c r="P26" s="25"/>
      <c r="Q26" s="25"/>
      <c r="R26" s="25"/>
      <c r="S26" s="25"/>
      <c r="T26" s="25"/>
      <c r="U26" s="25"/>
      <c r="V26" s="11"/>
      <c r="W26" s="15" t="s">
        <v>35</v>
      </c>
      <c r="X26" s="50"/>
    </row>
    <row r="27" spans="1:24" ht="21" customHeight="1">
      <c r="A27" s="10" t="s">
        <v>72</v>
      </c>
      <c r="B27" s="11">
        <v>1.3541666666666667E-2</v>
      </c>
      <c r="C27" s="11">
        <v>4.0509259259259257E-3</v>
      </c>
      <c r="D27" s="11">
        <f>B27*E27</f>
        <v>7.8785416666666674E-3</v>
      </c>
      <c r="E27" s="12">
        <v>0.58179999999999998</v>
      </c>
      <c r="F27" s="11">
        <f>C27/4</f>
        <v>1.0127314814814814E-3</v>
      </c>
      <c r="G27" s="11">
        <f>D27/7.5</f>
        <v>1.0504722222222224E-3</v>
      </c>
      <c r="H27" s="11">
        <f>B27/12.5</f>
        <v>1.0833333333333333E-3</v>
      </c>
      <c r="I27" s="11">
        <f>G27/0.93</f>
        <v>1.1295400238948627E-3</v>
      </c>
      <c r="J27" s="11">
        <f>G27/0.92</f>
        <v>1.1418176328502417E-3</v>
      </c>
      <c r="K27" s="11">
        <f>G27/0.88</f>
        <v>1.1937184343434346E-3</v>
      </c>
      <c r="L27" s="11">
        <f>G27/0.84</f>
        <v>1.2505621693121695E-3</v>
      </c>
      <c r="M27" s="25">
        <f>WO2025Jan710814161822242830323438404244464854565862646668707274766812[[#This Row],[Thresh]]</f>
        <v>1.1937184343434346E-3</v>
      </c>
      <c r="N27" s="28">
        <f>WO2025Jan710814161822242830323438404244464854565862646668707274766812[[#This Row],[Thresh]]*3</f>
        <v>3.5811553030303039E-3</v>
      </c>
      <c r="O27" s="25">
        <f>WO2025Jan710814161822242830323438404244464854565862646668707274766812[[#This Row],[VO2]]</f>
        <v>1.0504722222222224E-3</v>
      </c>
      <c r="P27" s="25"/>
      <c r="Q27" s="25"/>
      <c r="R27" s="28"/>
      <c r="S27" s="11"/>
      <c r="T27" s="28"/>
      <c r="U27" s="28"/>
      <c r="V27" s="28"/>
      <c r="W27" s="15" t="s">
        <v>35</v>
      </c>
      <c r="X27" s="50"/>
    </row>
    <row r="28" spans="1:24" ht="21" customHeight="1">
      <c r="A28" s="10"/>
      <c r="B28" s="11"/>
      <c r="C28" s="11"/>
      <c r="D28" s="11"/>
      <c r="E28" s="12"/>
      <c r="F28" s="11"/>
      <c r="G28" s="11"/>
      <c r="H28" s="11"/>
      <c r="I28" s="11"/>
      <c r="J28" s="11"/>
      <c r="K28" s="11"/>
      <c r="L28" s="11"/>
      <c r="M28" s="13"/>
      <c r="N28" s="11"/>
      <c r="O28" s="11"/>
      <c r="P28" s="11"/>
      <c r="Q28" s="14"/>
      <c r="R28" s="11"/>
      <c r="S28" s="14"/>
      <c r="T28" s="14"/>
      <c r="U28" s="14"/>
      <c r="V28" s="17"/>
      <c r="W28" s="18"/>
      <c r="X28" s="50"/>
    </row>
    <row r="29" spans="1:24" ht="21" customHeight="1" thickBot="1">
      <c r="A29" s="10"/>
      <c r="B29" s="11"/>
      <c r="C29" s="11"/>
      <c r="D29" s="11"/>
      <c r="E29" s="12"/>
      <c r="F29" s="11"/>
      <c r="G29" s="11"/>
      <c r="H29" s="11"/>
      <c r="I29" s="11"/>
      <c r="J29" s="11"/>
      <c r="K29" s="11"/>
      <c r="L29" s="11"/>
      <c r="M29" s="13"/>
      <c r="N29" s="11"/>
      <c r="O29" s="11"/>
      <c r="P29" s="11"/>
      <c r="Q29" s="14"/>
      <c r="R29" s="11"/>
      <c r="S29" s="14"/>
      <c r="T29" s="14"/>
      <c r="U29" s="14"/>
      <c r="V29" s="17"/>
      <c r="W29" s="18"/>
      <c r="X29" s="50"/>
    </row>
    <row r="30" spans="1:24" ht="21" customHeight="1">
      <c r="A30" s="1" t="s">
        <v>321</v>
      </c>
      <c r="B30" s="6"/>
      <c r="C30" s="6"/>
      <c r="D30" s="6"/>
      <c r="E30" s="20"/>
      <c r="F30" s="6"/>
      <c r="G30" s="6"/>
      <c r="H30" s="6"/>
      <c r="I30" s="6"/>
      <c r="J30" s="6"/>
      <c r="K30" s="6"/>
      <c r="L30" s="6"/>
      <c r="M30" s="6" t="s">
        <v>12</v>
      </c>
      <c r="N30" s="6" t="s">
        <v>174</v>
      </c>
      <c r="O30" s="6" t="s">
        <v>158</v>
      </c>
      <c r="P30" s="6"/>
      <c r="Q30" s="6"/>
      <c r="R30" s="6"/>
      <c r="S30" s="6"/>
      <c r="T30" s="6"/>
      <c r="U30" s="6"/>
      <c r="V30" s="21"/>
      <c r="W30" s="35"/>
      <c r="X30" s="50"/>
    </row>
    <row r="31" spans="1:24" ht="21" customHeight="1">
      <c r="A31" s="10" t="s">
        <v>36</v>
      </c>
      <c r="B31" s="11">
        <v>1.2731481481481481E-2</v>
      </c>
      <c r="C31" s="11"/>
      <c r="D31" s="11">
        <f>B31*E31</f>
        <v>7.4071759259259256E-3</v>
      </c>
      <c r="E31" s="12">
        <v>0.58179999999999998</v>
      </c>
      <c r="F31" s="11">
        <f>C31/4</f>
        <v>0</v>
      </c>
      <c r="G31" s="11">
        <f>D31/7.5</f>
        <v>9.8762345679012349E-4</v>
      </c>
      <c r="H31" s="11">
        <f>B31/12.5</f>
        <v>1.0185185185185184E-3</v>
      </c>
      <c r="I31" s="11">
        <f>G31/0.93</f>
        <v>1.0619607062259391E-3</v>
      </c>
      <c r="J31" s="11">
        <f>G31/0.92</f>
        <v>1.073503757380569E-3</v>
      </c>
      <c r="K31" s="11">
        <f>G31/0.88</f>
        <v>1.1222993827160494E-3</v>
      </c>
      <c r="L31" s="11">
        <f>G31/0.84</f>
        <v>1.1757422104644328E-3</v>
      </c>
      <c r="M31" s="25">
        <f>WO2025Jan710814161822242830323438404244464854565862646668707274766812[[#This Row],[Thresh]]</f>
        <v>1.1222993827160494E-3</v>
      </c>
      <c r="N31" s="28">
        <f>WO2025Jan710814161822242830323438404244464854565862646668707274766812[[#This Row],[Thresh]]*3</f>
        <v>3.3668981481481484E-3</v>
      </c>
      <c r="O31" s="25">
        <f>WO2025Jan710814161822242830323438404244464854565862646668707274766812[[#This Row],[VO2]]</f>
        <v>9.8762345679012349E-4</v>
      </c>
      <c r="P31" s="28"/>
      <c r="Q31" s="25"/>
      <c r="R31" s="25"/>
      <c r="S31" s="25"/>
      <c r="T31" s="28"/>
      <c r="U31" s="11"/>
      <c r="V31" s="36"/>
      <c r="W31" s="15" t="s">
        <v>48</v>
      </c>
      <c r="X31" s="50" t="s">
        <v>326</v>
      </c>
    </row>
    <row r="32" spans="1:24" ht="21" customHeight="1">
      <c r="A32" s="10" t="s">
        <v>50</v>
      </c>
      <c r="B32" s="11">
        <v>1.3020833333333334E-2</v>
      </c>
      <c r="C32" s="11">
        <v>3.6458333333333334E-3</v>
      </c>
      <c r="D32" s="11">
        <f>B32*E32</f>
        <v>7.5755208333333334E-3</v>
      </c>
      <c r="E32" s="12">
        <v>0.58179999999999998</v>
      </c>
      <c r="F32" s="11">
        <f>C32/4</f>
        <v>9.1145833333333335E-4</v>
      </c>
      <c r="G32" s="11">
        <f>D32/7.5</f>
        <v>1.0100694444444445E-3</v>
      </c>
      <c r="H32" s="11">
        <f>B32/12.5</f>
        <v>1.0416666666666667E-3</v>
      </c>
      <c r="I32" s="11">
        <f>G32/0.93</f>
        <v>1.0860961768219832E-3</v>
      </c>
      <c r="J32" s="11">
        <f>G32/0.92</f>
        <v>1.0979015700483092E-3</v>
      </c>
      <c r="K32" s="11">
        <f>G32/0.88</f>
        <v>1.1478061868686869E-3</v>
      </c>
      <c r="L32" s="11">
        <f>G32/0.84</f>
        <v>1.2024636243386244E-3</v>
      </c>
      <c r="M32" s="25">
        <f>WO2025Jan710814161822242830323438404244464854565862646668707274766812[[#This Row],[Thresh]]</f>
        <v>1.1478061868686869E-3</v>
      </c>
      <c r="N32" s="28">
        <f>WO2025Jan710814161822242830323438404244464854565862646668707274766812[[#This Row],[Thresh]]*3</f>
        <v>3.4434185606060609E-3</v>
      </c>
      <c r="O32" s="25">
        <f>WO2025Jan710814161822242830323438404244464854565862646668707274766812[[#This Row],[VO2]]</f>
        <v>1.0100694444444445E-3</v>
      </c>
      <c r="P32" s="28"/>
      <c r="Q32" s="25"/>
      <c r="R32" s="25"/>
      <c r="S32" s="25"/>
      <c r="T32" s="28"/>
      <c r="U32" s="11"/>
      <c r="V32" s="36"/>
      <c r="W32" s="15" t="s">
        <v>48</v>
      </c>
      <c r="X32" s="50"/>
    </row>
    <row r="33" spans="1:24" ht="21" customHeight="1">
      <c r="A33" s="10" t="s">
        <v>74</v>
      </c>
      <c r="B33" s="11">
        <v>1.3020833333333334E-2</v>
      </c>
      <c r="C33" s="11">
        <v>3.7037037037037038E-3</v>
      </c>
      <c r="D33" s="11">
        <f>B33*E33</f>
        <v>7.5755208333333334E-3</v>
      </c>
      <c r="E33" s="12">
        <v>0.58179999999999998</v>
      </c>
      <c r="F33" s="11">
        <f>C33/4</f>
        <v>9.2592592592592596E-4</v>
      </c>
      <c r="G33" s="11">
        <f>D33/7.5</f>
        <v>1.0100694444444445E-3</v>
      </c>
      <c r="H33" s="11">
        <f>B33/12.5</f>
        <v>1.0416666666666667E-3</v>
      </c>
      <c r="I33" s="11">
        <f>G33/0.93</f>
        <v>1.0860961768219832E-3</v>
      </c>
      <c r="J33" s="11">
        <f>G33/0.92</f>
        <v>1.0979015700483092E-3</v>
      </c>
      <c r="K33" s="11">
        <f>G33/0.88</f>
        <v>1.1478061868686869E-3</v>
      </c>
      <c r="L33" s="11">
        <f>G33/0.84</f>
        <v>1.2024636243386244E-3</v>
      </c>
      <c r="M33" s="25">
        <f>WO2025Jan710814161822242830323438404244464854565862646668707274766812[[#This Row],[Thresh]]</f>
        <v>1.1478061868686869E-3</v>
      </c>
      <c r="N33" s="28">
        <f>WO2025Jan710814161822242830323438404244464854565862646668707274766812[[#This Row],[Thresh]]*3</f>
        <v>3.4434185606060609E-3</v>
      </c>
      <c r="O33" s="25">
        <f>WO2025Jan710814161822242830323438404244464854565862646668707274766812[[#This Row],[VO2]]</f>
        <v>1.0100694444444445E-3</v>
      </c>
      <c r="P33" s="28"/>
      <c r="Q33" s="25"/>
      <c r="R33" s="25"/>
      <c r="S33" s="25"/>
      <c r="T33" s="28"/>
      <c r="U33" s="11"/>
      <c r="V33" s="36"/>
      <c r="W33" s="15" t="s">
        <v>48</v>
      </c>
      <c r="X33" s="50"/>
    </row>
    <row r="34" spans="1:24" ht="21" customHeight="1">
      <c r="A34" s="10" t="s">
        <v>47</v>
      </c>
      <c r="B34" s="11">
        <v>1.3020833333333334E-2</v>
      </c>
      <c r="C34" s="11">
        <v>3.7037037037037038E-3</v>
      </c>
      <c r="D34" s="11">
        <f>B34*E34</f>
        <v>7.5755208333333334E-3</v>
      </c>
      <c r="E34" s="12">
        <v>0.58179999999999998</v>
      </c>
      <c r="F34" s="11">
        <f>C34/4</f>
        <v>9.2592592592592596E-4</v>
      </c>
      <c r="G34" s="11">
        <f>D34/7.5</f>
        <v>1.0100694444444445E-3</v>
      </c>
      <c r="H34" s="11">
        <f>B34/12.5</f>
        <v>1.0416666666666667E-3</v>
      </c>
      <c r="I34" s="11">
        <f>G34/0.93</f>
        <v>1.0860961768219832E-3</v>
      </c>
      <c r="J34" s="11">
        <f>G34/0.92</f>
        <v>1.0979015700483092E-3</v>
      </c>
      <c r="K34" s="11">
        <f>G34/0.88</f>
        <v>1.1478061868686869E-3</v>
      </c>
      <c r="L34" s="11">
        <f>G34/0.84</f>
        <v>1.2024636243386244E-3</v>
      </c>
      <c r="M34" s="25">
        <f>WO2025Jan710814161822242830323438404244464854565862646668707274766812[[#This Row],[Thresh]]</f>
        <v>1.1478061868686869E-3</v>
      </c>
      <c r="N34" s="28">
        <f>WO2025Jan710814161822242830323438404244464854565862646668707274766812[[#This Row],[Thresh]]*3</f>
        <v>3.4434185606060609E-3</v>
      </c>
      <c r="O34" s="25">
        <f>WO2025Jan710814161822242830323438404244464854565862646668707274766812[[#This Row],[VO2]]</f>
        <v>1.0100694444444445E-3</v>
      </c>
      <c r="P34" s="28"/>
      <c r="Q34" s="25"/>
      <c r="R34" s="25"/>
      <c r="S34" s="25"/>
      <c r="T34" s="28"/>
      <c r="U34" s="11"/>
      <c r="V34" s="36"/>
      <c r="W34" s="15" t="s">
        <v>48</v>
      </c>
      <c r="X34" s="50"/>
    </row>
    <row r="35" spans="1:24" ht="21" customHeight="1">
      <c r="A35" s="10" t="s">
        <v>198</v>
      </c>
      <c r="B35" s="11">
        <v>1.4583333333333334E-2</v>
      </c>
      <c r="C35" s="11">
        <v>4.1666666666666666E-3</v>
      </c>
      <c r="D35" s="11">
        <f>B35*E35</f>
        <v>8.4845833333333336E-3</v>
      </c>
      <c r="E35" s="12">
        <v>0.58179999999999998</v>
      </c>
      <c r="F35" s="11">
        <f>C35/4</f>
        <v>1.0416666666666667E-3</v>
      </c>
      <c r="G35" s="11">
        <f>D35/7.5</f>
        <v>1.1312777777777777E-3</v>
      </c>
      <c r="H35" s="11">
        <f>B35/12.5</f>
        <v>1.1666666666666668E-3</v>
      </c>
      <c r="I35" s="11">
        <f>G35/0.93</f>
        <v>1.2164277180406211E-3</v>
      </c>
      <c r="J35" s="11">
        <f>G35/0.92</f>
        <v>1.2296497584541061E-3</v>
      </c>
      <c r="K35" s="11">
        <f>G35/0.88</f>
        <v>1.2855429292929293E-3</v>
      </c>
      <c r="L35" s="11">
        <f>G35/0.84</f>
        <v>1.3467592592592591E-3</v>
      </c>
      <c r="M35" s="25">
        <f>WO2025Jan710814161822242830323438404244464854565862646668707274766812[[#This Row],[Thresh]]</f>
        <v>1.2855429292929293E-3</v>
      </c>
      <c r="N35" s="28">
        <f>WO2025Jan710814161822242830323438404244464854565862646668707274766812[[#This Row],[Thresh]]*3</f>
        <v>3.8566287878787878E-3</v>
      </c>
      <c r="O35" s="25">
        <f>WO2025Jan710814161822242830323438404244464854565862646668707274766812[[#This Row],[VO2]]</f>
        <v>1.1312777777777777E-3</v>
      </c>
      <c r="P35" s="28"/>
      <c r="Q35" s="25"/>
      <c r="R35" s="25"/>
      <c r="S35" s="25"/>
      <c r="T35" s="28"/>
      <c r="U35" s="11"/>
      <c r="V35" s="36"/>
      <c r="W35" s="15" t="s">
        <v>48</v>
      </c>
      <c r="X35" s="50"/>
    </row>
    <row r="36" spans="1:24" ht="21" customHeight="1">
      <c r="A36" s="10"/>
      <c r="B36" s="11"/>
      <c r="C36" s="11"/>
      <c r="D36" s="11"/>
      <c r="E36" s="12"/>
      <c r="F36" s="11"/>
      <c r="G36" s="11"/>
      <c r="H36" s="11"/>
      <c r="I36" s="11"/>
      <c r="J36" s="11"/>
      <c r="K36" s="11"/>
      <c r="L36" s="11"/>
      <c r="M36" s="25"/>
      <c r="N36" s="28"/>
      <c r="O36" s="25"/>
      <c r="P36" s="28"/>
      <c r="Q36" s="25"/>
      <c r="R36" s="11"/>
      <c r="S36" s="14"/>
      <c r="T36" s="11"/>
      <c r="U36" s="11"/>
      <c r="V36" s="17"/>
      <c r="W36" s="18"/>
      <c r="X36" s="50"/>
    </row>
    <row r="37" spans="1:24" ht="21" customHeight="1">
      <c r="A37" s="19"/>
      <c r="B37" s="6"/>
      <c r="C37" s="6"/>
      <c r="D37" s="6"/>
      <c r="E37" s="20"/>
      <c r="F37" s="6"/>
      <c r="G37" s="6"/>
      <c r="H37" s="6"/>
      <c r="I37" s="6"/>
      <c r="J37" s="6"/>
      <c r="K37" s="6"/>
      <c r="L37" s="6"/>
      <c r="M37" s="6" t="s">
        <v>172</v>
      </c>
      <c r="N37" s="6"/>
      <c r="O37" s="6"/>
      <c r="P37" s="6"/>
      <c r="Q37" s="6"/>
      <c r="R37" s="6"/>
      <c r="S37" s="6"/>
      <c r="T37" s="6"/>
      <c r="U37" s="6"/>
      <c r="V37" s="21"/>
      <c r="W37" s="43"/>
      <c r="X37" s="50"/>
    </row>
    <row r="38" spans="1:24" ht="21" customHeight="1">
      <c r="A38" s="10" t="s">
        <v>68</v>
      </c>
      <c r="B38" s="11">
        <v>1.4236111111111111E-2</v>
      </c>
      <c r="C38" s="11"/>
      <c r="D38" s="11">
        <f>B38*E38</f>
        <v>8.2825694444444448E-3</v>
      </c>
      <c r="E38" s="12">
        <v>0.58179999999999998</v>
      </c>
      <c r="F38" s="11">
        <f>C38/4</f>
        <v>0</v>
      </c>
      <c r="G38" s="11">
        <f>D38/7.5</f>
        <v>1.1043425925925927E-3</v>
      </c>
      <c r="H38" s="11">
        <f>B38/12.5</f>
        <v>1.1388888888888889E-3</v>
      </c>
      <c r="I38" s="11">
        <f>G38/0.93</f>
        <v>1.1874651533253684E-3</v>
      </c>
      <c r="J38" s="11">
        <f>G38/0.92</f>
        <v>1.2003723832528181E-3</v>
      </c>
      <c r="K38" s="11">
        <f>G38/0.88</f>
        <v>1.2549347643097644E-3</v>
      </c>
      <c r="L38" s="11">
        <f>G38/0.84</f>
        <v>1.3146935626102295E-3</v>
      </c>
      <c r="M38" s="25">
        <f>WO2025Jan710814161822242830323438404244464854565862646668707274766812[[#This Row],[Thresh]]</f>
        <v>1.2549347643097644E-3</v>
      </c>
      <c r="N38" s="28"/>
      <c r="O38" s="25"/>
      <c r="P38" s="28"/>
      <c r="Q38" s="25"/>
      <c r="R38" s="28"/>
      <c r="S38" s="11"/>
      <c r="T38" s="11"/>
      <c r="U38" s="11"/>
      <c r="V38" s="11"/>
      <c r="W38" s="15" t="s">
        <v>213</v>
      </c>
      <c r="X38" s="50"/>
    </row>
    <row r="39" spans="1:24" ht="21" customHeight="1">
      <c r="A39" s="10" t="s">
        <v>73</v>
      </c>
      <c r="B39" s="11">
        <v>1.4236111111111111E-2</v>
      </c>
      <c r="C39" s="11">
        <v>4.3981481481481484E-3</v>
      </c>
      <c r="D39" s="11">
        <f>B39*E39</f>
        <v>8.2825694444444448E-3</v>
      </c>
      <c r="E39" s="12">
        <v>0.58179999999999998</v>
      </c>
      <c r="F39" s="11">
        <f>C39/4</f>
        <v>1.0995370370370371E-3</v>
      </c>
      <c r="G39" s="11">
        <f>D39/7.5</f>
        <v>1.1043425925925927E-3</v>
      </c>
      <c r="H39" s="11">
        <f>B39/12.5</f>
        <v>1.1388888888888889E-3</v>
      </c>
      <c r="I39" s="11">
        <f>G39/0.93</f>
        <v>1.1874651533253684E-3</v>
      </c>
      <c r="J39" s="11">
        <f>G39/0.92</f>
        <v>1.2003723832528181E-3</v>
      </c>
      <c r="K39" s="11">
        <f>G39/0.88</f>
        <v>1.2549347643097644E-3</v>
      </c>
      <c r="L39" s="11">
        <f>G39/0.84</f>
        <v>1.3146935626102295E-3</v>
      </c>
      <c r="M39" s="25">
        <f>WO2025Jan710814161822242830323438404244464854565862646668707274766812[[#This Row],[Thresh]]</f>
        <v>1.2549347643097644E-3</v>
      </c>
      <c r="N39" s="28"/>
      <c r="O39" s="25"/>
      <c r="P39" s="25"/>
      <c r="Q39" s="25"/>
      <c r="R39" s="25"/>
      <c r="S39" s="28"/>
      <c r="T39" s="28"/>
      <c r="U39" s="28"/>
      <c r="V39" s="28"/>
      <c r="W39" s="15" t="s">
        <v>213</v>
      </c>
      <c r="X39" s="50"/>
    </row>
    <row r="40" spans="1:24" ht="21" customHeight="1">
      <c r="A40" s="10" t="s">
        <v>76</v>
      </c>
      <c r="B40" s="11">
        <v>1.4236111111111111E-2</v>
      </c>
      <c r="C40" s="11"/>
      <c r="D40" s="11">
        <f t="shared" ref="D40" si="16">B40*E40</f>
        <v>8.2825694444444448E-3</v>
      </c>
      <c r="E40" s="12">
        <v>0.58179999999999998</v>
      </c>
      <c r="F40" s="11">
        <f t="shared" ref="F40" si="17">C40/4</f>
        <v>0</v>
      </c>
      <c r="G40" s="11">
        <f t="shared" ref="G40" si="18">D40/7.5</f>
        <v>1.1043425925925927E-3</v>
      </c>
      <c r="H40" s="11">
        <f t="shared" ref="H40" si="19">B40/12.5</f>
        <v>1.1388888888888889E-3</v>
      </c>
      <c r="I40" s="11">
        <f t="shared" ref="I40" si="20">G40/0.93</f>
        <v>1.1874651533253684E-3</v>
      </c>
      <c r="J40" s="11">
        <f t="shared" ref="J40" si="21">G40/0.92</f>
        <v>1.2003723832528181E-3</v>
      </c>
      <c r="K40" s="11">
        <f t="shared" ref="K40" si="22">G40/0.88</f>
        <v>1.2549347643097644E-3</v>
      </c>
      <c r="L40" s="11">
        <f t="shared" ref="L40" si="23">G40/0.84</f>
        <v>1.3146935626102295E-3</v>
      </c>
      <c r="M40" s="25">
        <f>WO2025Jan710814161822242830323438404244464854565862646668707274766812[[#This Row],[Thresh]]</f>
        <v>1.2549347643097644E-3</v>
      </c>
      <c r="N40" s="28"/>
      <c r="O40" s="25"/>
      <c r="P40" s="25"/>
      <c r="Q40" s="25"/>
      <c r="R40" s="25"/>
      <c r="S40" s="28"/>
      <c r="T40" s="28"/>
      <c r="U40" s="28"/>
      <c r="V40" s="28"/>
      <c r="W40" s="15" t="s">
        <v>213</v>
      </c>
      <c r="X40" s="50"/>
    </row>
    <row r="41" spans="1:24" ht="21" customHeight="1">
      <c r="A41" s="10" t="s">
        <v>61</v>
      </c>
      <c r="B41" s="11">
        <v>1.4930555555555556E-2</v>
      </c>
      <c r="C41" s="11">
        <v>4.3981481481481484E-3</v>
      </c>
      <c r="D41" s="11">
        <f>B41*E41</f>
        <v>8.6865972222222223E-3</v>
      </c>
      <c r="E41" s="12">
        <v>0.58179999999999998</v>
      </c>
      <c r="F41" s="11">
        <f>C41/4</f>
        <v>1.0995370370370371E-3</v>
      </c>
      <c r="G41" s="11">
        <f>D41/7.5</f>
        <v>1.1582129629629629E-3</v>
      </c>
      <c r="H41" s="11">
        <f>B41/12.5</f>
        <v>1.1944444444444446E-3</v>
      </c>
      <c r="I41" s="11">
        <f>G41/0.93</f>
        <v>1.2453902827558739E-3</v>
      </c>
      <c r="J41" s="11">
        <f>G41/0.92</f>
        <v>1.2589271336553944E-3</v>
      </c>
      <c r="K41" s="11">
        <f>G41/0.88</f>
        <v>1.3161510942760941E-3</v>
      </c>
      <c r="L41" s="11">
        <f>G41/0.84</f>
        <v>1.3788249559082892E-3</v>
      </c>
      <c r="M41" s="25">
        <f>WO2025Jan710814161822242830323438404244464854565862646668707274766812[[#This Row],[Thresh]]</f>
        <v>1.3161510942760941E-3</v>
      </c>
      <c r="N41" s="28"/>
      <c r="O41" s="25"/>
      <c r="P41" s="25"/>
      <c r="Q41" s="25"/>
      <c r="R41" s="25"/>
      <c r="S41" s="28"/>
      <c r="T41" s="28"/>
      <c r="U41" s="28"/>
      <c r="V41" s="28"/>
      <c r="W41" s="15" t="s">
        <v>213</v>
      </c>
      <c r="X41" s="50" t="s">
        <v>233</v>
      </c>
    </row>
    <row r="42" spans="1:24" ht="21" customHeight="1">
      <c r="A42" s="39"/>
      <c r="B42" s="40"/>
      <c r="C42" s="40"/>
      <c r="D42" s="40"/>
      <c r="E42" s="41"/>
      <c r="F42" s="40"/>
      <c r="G42" s="40"/>
      <c r="H42" s="40"/>
      <c r="I42" s="40"/>
      <c r="J42" s="40"/>
      <c r="K42" s="40"/>
      <c r="L42" s="40"/>
      <c r="M42" s="40"/>
      <c r="N42" s="40"/>
      <c r="O42" s="40"/>
      <c r="P42" s="40"/>
      <c r="Q42" s="40"/>
      <c r="R42" s="40"/>
      <c r="S42" s="40"/>
      <c r="T42" s="40"/>
      <c r="U42" s="40"/>
      <c r="V42" s="40"/>
      <c r="W42" s="42"/>
      <c r="X42" s="50"/>
    </row>
    <row r="43" spans="1:24" ht="21" customHeight="1">
      <c r="A43" s="19"/>
      <c r="B43" s="6"/>
      <c r="C43" s="6"/>
      <c r="D43" s="6"/>
      <c r="E43" s="20"/>
      <c r="F43" s="6"/>
      <c r="G43" s="6"/>
      <c r="H43" s="6"/>
      <c r="I43" s="6"/>
      <c r="J43" s="6"/>
      <c r="K43" s="6"/>
      <c r="L43" s="6"/>
      <c r="M43" s="6"/>
      <c r="N43" s="6"/>
      <c r="O43" s="6"/>
      <c r="P43" s="6"/>
      <c r="Q43" s="6"/>
      <c r="R43" s="6"/>
      <c r="S43" s="6"/>
      <c r="T43" s="6"/>
      <c r="U43" s="6"/>
      <c r="V43" s="6"/>
      <c r="W43" s="35"/>
      <c r="X43" s="50"/>
    </row>
    <row r="44" spans="1:24" ht="21" customHeight="1">
      <c r="A44" s="10" t="s">
        <v>57</v>
      </c>
      <c r="B44" s="11"/>
      <c r="C44" s="11"/>
      <c r="D44" s="11"/>
      <c r="E44" s="12"/>
      <c r="F44" s="11"/>
      <c r="G44" s="11"/>
      <c r="H44" s="11"/>
      <c r="I44" s="11"/>
      <c r="J44" s="11"/>
      <c r="K44" s="11"/>
      <c r="L44" s="11"/>
      <c r="M44" s="25"/>
      <c r="N44" s="28"/>
      <c r="O44" s="25"/>
      <c r="P44" s="28"/>
      <c r="Q44" s="25"/>
      <c r="R44" s="28"/>
      <c r="S44" s="28"/>
      <c r="T44" s="11"/>
      <c r="U44" s="11"/>
      <c r="V44" s="11"/>
      <c r="W44" s="15" t="s">
        <v>52</v>
      </c>
      <c r="X44" s="50"/>
    </row>
    <row r="45" spans="1:24" ht="21" customHeight="1">
      <c r="A45" s="10" t="s">
        <v>164</v>
      </c>
      <c r="B45" s="11">
        <v>1.1342592592592593E-2</v>
      </c>
      <c r="C45" s="11">
        <v>3.2407407407407406E-3</v>
      </c>
      <c r="D45" s="11">
        <f>B45*E45</f>
        <v>6.5991203703703706E-3</v>
      </c>
      <c r="E45" s="12">
        <v>0.58179999999999998</v>
      </c>
      <c r="F45" s="11">
        <f>C45/4</f>
        <v>8.1018518518518516E-4</v>
      </c>
      <c r="G45" s="11">
        <f>D45/7.5</f>
        <v>8.7988271604938278E-4</v>
      </c>
      <c r="H45" s="11">
        <f>B45/12.5</f>
        <v>9.0740740740740745E-4</v>
      </c>
      <c r="I45" s="11">
        <f>G45/0.93</f>
        <v>9.4611044736492766E-4</v>
      </c>
      <c r="J45" s="11">
        <f>G45/0.92</f>
        <v>9.5639425657541603E-4</v>
      </c>
      <c r="K45" s="11">
        <f>G45/0.88</f>
        <v>9.9986672278338943E-4</v>
      </c>
      <c r="L45" s="11">
        <f>G45/0.84</f>
        <v>1.0474794238683129E-3</v>
      </c>
      <c r="M45" s="25"/>
      <c r="N45" s="28"/>
      <c r="O45" s="25"/>
      <c r="P45" s="28"/>
      <c r="Q45" s="28"/>
      <c r="R45" s="11"/>
      <c r="S45" s="14"/>
      <c r="T45" s="14"/>
      <c r="U45" s="26"/>
      <c r="V45" s="28"/>
      <c r="W45" s="27" t="s">
        <v>52</v>
      </c>
      <c r="X45" s="50"/>
    </row>
    <row r="46" spans="1:24" ht="21" customHeight="1">
      <c r="A46" s="10" t="s">
        <v>108</v>
      </c>
      <c r="B46" s="11">
        <v>1.0763888888888891E-2</v>
      </c>
      <c r="C46" s="11">
        <v>3.0671296296296297E-3</v>
      </c>
      <c r="D46" s="11">
        <f>B46*E46</f>
        <v>6.2624305555555567E-3</v>
      </c>
      <c r="E46" s="12">
        <v>0.58179999999999998</v>
      </c>
      <c r="F46" s="11">
        <f>C46/4</f>
        <v>7.6678240740740743E-4</v>
      </c>
      <c r="G46" s="11">
        <f>D46/7.5</f>
        <v>8.3499074074074085E-4</v>
      </c>
      <c r="H46" s="11">
        <f>B46/12.5</f>
        <v>8.6111111111111121E-4</v>
      </c>
      <c r="I46" s="11">
        <f>G46/0.93</f>
        <v>8.9783950617283953E-4</v>
      </c>
      <c r="J46" s="11">
        <f>G46/0.92</f>
        <v>9.0759863123993567E-4</v>
      </c>
      <c r="K46" s="11">
        <f>G46/0.88</f>
        <v>9.4885311447811464E-4</v>
      </c>
      <c r="L46" s="11">
        <f>G46/0.84</f>
        <v>9.9403659611992969E-4</v>
      </c>
      <c r="M46" s="25"/>
      <c r="N46" s="28"/>
      <c r="O46" s="25"/>
      <c r="P46" s="28"/>
      <c r="Q46" s="25"/>
      <c r="R46" s="28"/>
      <c r="S46" s="25"/>
      <c r="T46" s="25"/>
      <c r="U46" s="28"/>
      <c r="V46" s="28"/>
      <c r="W46" s="15" t="s">
        <v>52</v>
      </c>
      <c r="X46" s="50"/>
    </row>
    <row r="47" spans="1:24" ht="21" customHeight="1">
      <c r="A47" s="10" t="s">
        <v>105</v>
      </c>
      <c r="B47" s="11">
        <v>1.0648148148148148E-2</v>
      </c>
      <c r="C47" s="11">
        <v>2.9745370370370373E-3</v>
      </c>
      <c r="D47" s="11">
        <f>B47*E47</f>
        <v>6.1950925925925923E-3</v>
      </c>
      <c r="E47" s="12">
        <v>0.58179999999999998</v>
      </c>
      <c r="F47" s="11">
        <f>C47/4</f>
        <v>7.4363425925925931E-4</v>
      </c>
      <c r="G47" s="11">
        <f>D47/7.5</f>
        <v>8.2601234567901232E-4</v>
      </c>
      <c r="H47" s="11">
        <f>B47/12.5</f>
        <v>8.5185185185185179E-4</v>
      </c>
      <c r="I47" s="11">
        <f>G47/0.93</f>
        <v>8.8818531793442184E-4</v>
      </c>
      <c r="J47" s="11">
        <f>G47/0.92</f>
        <v>8.9783950617283942E-4</v>
      </c>
      <c r="K47" s="11">
        <f>G47/0.88</f>
        <v>9.3865039281705945E-4</v>
      </c>
      <c r="L47" s="11">
        <f>G47/0.84</f>
        <v>9.833480305702527E-4</v>
      </c>
      <c r="M47" s="37"/>
      <c r="N47" s="28"/>
      <c r="O47" s="25"/>
      <c r="P47" s="25"/>
      <c r="Q47" s="25"/>
      <c r="R47" s="25"/>
      <c r="S47" s="25"/>
      <c r="T47" s="25"/>
      <c r="U47" s="28"/>
      <c r="V47" s="25"/>
      <c r="W47" s="15" t="s">
        <v>52</v>
      </c>
      <c r="X47" s="50"/>
    </row>
    <row r="48" spans="1:24" ht="21" customHeight="1">
      <c r="A48" s="10"/>
      <c r="B48" s="11"/>
      <c r="C48" s="11"/>
      <c r="D48" s="11"/>
      <c r="E48" s="12"/>
      <c r="F48" s="11"/>
      <c r="G48" s="11"/>
      <c r="H48" s="11"/>
      <c r="I48" s="11"/>
      <c r="J48" s="11"/>
      <c r="K48" s="11"/>
      <c r="L48" s="11"/>
      <c r="M48" s="14"/>
      <c r="N48" s="11"/>
      <c r="O48" s="14"/>
      <c r="P48" s="11"/>
      <c r="Q48" s="14"/>
      <c r="R48" s="11"/>
      <c r="S48" s="14"/>
      <c r="T48" s="14"/>
      <c r="U48" s="14"/>
      <c r="V48" s="11"/>
      <c r="W48" s="15"/>
      <c r="X48" s="50"/>
    </row>
    <row r="49" spans="1:24" ht="21" customHeight="1">
      <c r="A49" s="10"/>
      <c r="B49" s="11"/>
      <c r="C49" s="11"/>
      <c r="D49" s="11"/>
      <c r="E49" s="12"/>
      <c r="F49" s="11"/>
      <c r="G49" s="11"/>
      <c r="H49" s="11"/>
      <c r="I49" s="11"/>
      <c r="J49" s="11"/>
      <c r="K49" s="11"/>
      <c r="L49" s="11"/>
      <c r="M49" s="14"/>
      <c r="O49" s="14"/>
      <c r="P49" s="11"/>
      <c r="Q49" s="14"/>
      <c r="R49" s="11"/>
      <c r="S49" s="14"/>
      <c r="T49" s="14"/>
      <c r="U49" s="14"/>
      <c r="V49" s="11"/>
      <c r="W49" s="15"/>
      <c r="X49" s="50"/>
    </row>
    <row r="50" spans="1:24" ht="21" customHeight="1">
      <c r="A50" s="10"/>
      <c r="B50" s="11"/>
      <c r="C50" s="11"/>
      <c r="D50" s="11"/>
      <c r="E50" s="12"/>
      <c r="F50" s="11"/>
      <c r="G50" s="11"/>
      <c r="H50" s="11"/>
      <c r="I50" s="11"/>
      <c r="J50" s="11"/>
      <c r="K50" s="11"/>
      <c r="L50" s="11"/>
      <c r="M50" s="13"/>
      <c r="N50" s="11"/>
      <c r="O50" s="11"/>
      <c r="P50" s="11"/>
      <c r="Q50" s="14"/>
      <c r="R50" s="11"/>
      <c r="S50" s="14"/>
      <c r="T50" s="14"/>
      <c r="U50" s="14"/>
      <c r="V50" s="17"/>
      <c r="W50" s="18"/>
      <c r="X50" s="50"/>
    </row>
    <row r="51" spans="1:24" ht="21" customHeight="1">
      <c r="A51" s="10"/>
      <c r="B51" s="11"/>
      <c r="C51" s="11"/>
      <c r="D51" s="11"/>
      <c r="E51" s="12"/>
      <c r="F51" s="11"/>
      <c r="G51" s="11"/>
      <c r="H51" s="11"/>
      <c r="I51" s="11"/>
      <c r="J51" s="11"/>
      <c r="K51" s="11"/>
      <c r="L51" s="11"/>
      <c r="M51" s="13"/>
      <c r="N51" s="11"/>
      <c r="O51" s="11"/>
      <c r="P51" s="11"/>
      <c r="Q51" s="14"/>
      <c r="R51" s="11"/>
      <c r="S51" s="14"/>
      <c r="T51" s="14"/>
      <c r="U51" s="14"/>
      <c r="V51" s="17"/>
      <c r="W51" s="18"/>
      <c r="X51" s="52"/>
    </row>
    <row r="52" spans="1:24" ht="21" customHeight="1">
      <c r="A52" s="10"/>
      <c r="B52" s="11"/>
      <c r="C52" s="11"/>
      <c r="D52" s="11"/>
      <c r="E52" s="12"/>
      <c r="F52" s="11"/>
      <c r="G52" s="11"/>
      <c r="H52" s="11"/>
      <c r="I52" s="11"/>
      <c r="J52" s="11"/>
      <c r="K52" s="11"/>
      <c r="L52" s="11"/>
      <c r="M52" s="14"/>
      <c r="N52" s="11"/>
      <c r="O52" s="14"/>
      <c r="P52" s="11"/>
      <c r="Q52" s="14"/>
      <c r="R52" s="11"/>
      <c r="S52" s="14"/>
      <c r="T52" s="14"/>
      <c r="U52" s="14"/>
      <c r="V52" s="11"/>
      <c r="W52" s="15"/>
      <c r="X52" s="52"/>
    </row>
    <row r="53" spans="1:24" ht="21" customHeight="1">
      <c r="A53" s="10"/>
      <c r="B53" s="11"/>
      <c r="C53" s="11"/>
      <c r="D53" s="11"/>
      <c r="E53" s="12"/>
      <c r="F53" s="11"/>
      <c r="G53" s="11"/>
      <c r="H53" s="11"/>
      <c r="I53" s="11"/>
      <c r="J53" s="11"/>
      <c r="K53" s="11"/>
      <c r="L53" s="17"/>
      <c r="M53" s="14"/>
      <c r="N53" s="11"/>
      <c r="O53" s="11"/>
      <c r="P53" s="11"/>
      <c r="Q53" s="14"/>
      <c r="R53" s="11"/>
      <c r="S53" s="14"/>
      <c r="T53" s="11"/>
      <c r="U53" s="11"/>
      <c r="V53" s="11"/>
      <c r="W53" s="15"/>
      <c r="X53" s="52"/>
    </row>
    <row r="54" spans="1:24" ht="21" customHeight="1">
      <c r="A54" s="10"/>
      <c r="B54" s="11"/>
      <c r="C54" s="11"/>
      <c r="D54" s="11"/>
      <c r="E54" s="12"/>
      <c r="F54" s="11"/>
      <c r="G54" s="11"/>
      <c r="H54" s="11"/>
      <c r="I54" s="11"/>
      <c r="J54" s="11"/>
      <c r="K54" s="11"/>
      <c r="L54" s="11"/>
      <c r="M54" s="13"/>
      <c r="N54" s="11"/>
      <c r="O54" s="11"/>
      <c r="P54" s="11"/>
      <c r="Q54" s="14"/>
      <c r="R54" s="11"/>
      <c r="S54" s="14"/>
      <c r="T54" s="14"/>
      <c r="U54" s="14"/>
      <c r="V54" s="17"/>
      <c r="W54" s="18"/>
      <c r="X54" s="52"/>
    </row>
    <row r="55" spans="1:24" ht="21" customHeight="1">
      <c r="A55" s="10"/>
      <c r="B55" s="11"/>
      <c r="C55" s="11"/>
      <c r="D55" s="11"/>
      <c r="E55" s="12"/>
      <c r="F55" s="11"/>
      <c r="G55" s="11"/>
      <c r="H55" s="11"/>
      <c r="I55" s="11"/>
      <c r="J55" s="11"/>
      <c r="K55" s="11"/>
      <c r="L55" s="11"/>
      <c r="M55" s="13"/>
      <c r="N55" s="11"/>
      <c r="O55" s="14"/>
      <c r="P55" s="11"/>
      <c r="Q55" s="14"/>
      <c r="R55" s="11"/>
      <c r="S55" s="14"/>
      <c r="T55" s="14"/>
      <c r="U55" s="14"/>
      <c r="V55" s="11"/>
      <c r="W55" s="18"/>
      <c r="X55" s="52"/>
    </row>
    <row r="56" spans="1:24" ht="21" customHeight="1">
      <c r="A56" s="10"/>
      <c r="B56" s="11"/>
      <c r="C56" s="11"/>
      <c r="D56" s="11"/>
      <c r="E56" s="12"/>
      <c r="F56" s="11"/>
      <c r="G56" s="11"/>
      <c r="H56" s="11"/>
      <c r="I56" s="11"/>
      <c r="J56" s="11"/>
      <c r="K56" s="11"/>
      <c r="L56" s="11"/>
      <c r="M56" s="13"/>
      <c r="N56" s="11"/>
      <c r="O56" s="11"/>
      <c r="P56" s="11"/>
      <c r="Q56" s="14"/>
      <c r="R56" s="11"/>
      <c r="S56" s="14"/>
      <c r="T56" s="14"/>
      <c r="U56" s="14"/>
      <c r="V56" s="17"/>
      <c r="W56" s="18"/>
      <c r="X56" s="52"/>
    </row>
    <row r="57" spans="1:24" ht="21" customHeight="1" thickBot="1">
      <c r="A57" s="10"/>
      <c r="B57" s="11"/>
      <c r="C57" s="11"/>
      <c r="D57" s="11"/>
      <c r="E57" s="12"/>
      <c r="F57" s="11"/>
      <c r="G57" s="11"/>
      <c r="H57" s="11"/>
      <c r="I57" s="11"/>
      <c r="J57" s="11"/>
      <c r="K57" s="11"/>
      <c r="L57" s="11"/>
      <c r="M57" s="13"/>
      <c r="N57" s="11"/>
      <c r="O57" s="11"/>
      <c r="P57" s="11"/>
      <c r="Q57" s="14"/>
      <c r="R57" s="11"/>
      <c r="S57" s="14"/>
      <c r="T57" s="14"/>
      <c r="U57" s="14"/>
      <c r="V57" s="17"/>
      <c r="W57" s="18"/>
      <c r="X57" s="52"/>
    </row>
    <row r="58" spans="1:24" ht="20.45" customHeight="1">
      <c r="A58" s="1" t="s">
        <v>321</v>
      </c>
      <c r="B58" s="2" t="s">
        <v>1</v>
      </c>
      <c r="C58" s="2" t="s">
        <v>2</v>
      </c>
      <c r="D58" s="2" t="s">
        <v>3</v>
      </c>
      <c r="E58" s="3" t="s">
        <v>4</v>
      </c>
      <c r="F58" s="2" t="s">
        <v>5</v>
      </c>
      <c r="G58" s="2" t="s">
        <v>6</v>
      </c>
      <c r="H58" s="2" t="s">
        <v>7</v>
      </c>
      <c r="I58" s="4" t="s">
        <v>8</v>
      </c>
      <c r="J58" s="2" t="s">
        <v>9</v>
      </c>
      <c r="K58" s="2" t="s">
        <v>10</v>
      </c>
      <c r="L58" s="2" t="s">
        <v>11</v>
      </c>
      <c r="M58" s="5" t="s">
        <v>12</v>
      </c>
      <c r="N58" s="6" t="s">
        <v>327</v>
      </c>
      <c r="O58" s="7" t="s">
        <v>158</v>
      </c>
      <c r="P58" s="8" t="s">
        <v>209</v>
      </c>
      <c r="Q58" s="8" t="s">
        <v>147</v>
      </c>
      <c r="R58" s="7" t="s">
        <v>148</v>
      </c>
      <c r="S58" s="7" t="s">
        <v>149</v>
      </c>
      <c r="T58" s="7" t="s">
        <v>77</v>
      </c>
      <c r="U58" s="8" t="s">
        <v>20</v>
      </c>
      <c r="V58" s="8" t="s">
        <v>21</v>
      </c>
      <c r="W58" s="24" t="s">
        <v>22</v>
      </c>
      <c r="X58" s="52" t="s">
        <v>328</v>
      </c>
    </row>
    <row r="59" spans="1:24" ht="20.45" customHeight="1">
      <c r="A59" s="10" t="s">
        <v>79</v>
      </c>
      <c r="B59" s="11">
        <v>9.8379629629629633E-3</v>
      </c>
      <c r="C59" s="11">
        <v>2.9745370370370373E-3</v>
      </c>
      <c r="D59" s="11">
        <f>B59*E59</f>
        <v>5.7237268518518522E-3</v>
      </c>
      <c r="E59" s="12">
        <v>0.58179999999999998</v>
      </c>
      <c r="F59" s="11">
        <f>C59/4</f>
        <v>7.4363425925925931E-4</v>
      </c>
      <c r="G59" s="11">
        <f>D59/7.5</f>
        <v>7.6316358024691364E-4</v>
      </c>
      <c r="H59" s="11">
        <f>B59/12.5</f>
        <v>7.8703703703703705E-4</v>
      </c>
      <c r="I59" s="11">
        <f>G59/0.93</f>
        <v>8.2060600026549854E-4</v>
      </c>
      <c r="J59" s="11">
        <f>G59/0.92</f>
        <v>8.29525630703167E-4</v>
      </c>
      <c r="K59" s="11">
        <f>G59/0.88</f>
        <v>8.6723134118967459E-4</v>
      </c>
      <c r="L59" s="11">
        <f>G59/0.84</f>
        <v>9.085280717225163E-4</v>
      </c>
      <c r="M59" s="25">
        <f>WO2025Jan7men11915171923252931333539414345474955575963656769717375777913[[#This Row],[Thresh]]</f>
        <v>8.6723134118967459E-4</v>
      </c>
      <c r="N59" s="28">
        <f>WO2025Jan7men11915171923252931333539414345474955575963656769717375777913[[#This Row],[Thresh]]*4</f>
        <v>3.4689253647586984E-3</v>
      </c>
      <c r="O59" s="25">
        <f>WO2025Jan7men11915171923252931333539414345474955575963656769717375777913[[#This Row],[VO2]]</f>
        <v>7.6316358024691364E-4</v>
      </c>
      <c r="P59" s="25"/>
      <c r="Q59" s="25"/>
      <c r="R59" s="28"/>
      <c r="S59" s="25"/>
      <c r="T59" s="25"/>
      <c r="U59" s="28"/>
      <c r="V59" s="25"/>
      <c r="W59" s="15" t="s">
        <v>26</v>
      </c>
      <c r="X59" s="52"/>
    </row>
    <row r="60" spans="1:24" ht="20.45" customHeight="1">
      <c r="A60" s="10" t="s">
        <v>80</v>
      </c>
      <c r="B60" s="11">
        <v>9.8379629629629633E-3</v>
      </c>
      <c r="C60" s="11">
        <v>2.8587962962962963E-3</v>
      </c>
      <c r="D60" s="11">
        <f>B60*E60</f>
        <v>5.7237268518518522E-3</v>
      </c>
      <c r="E60" s="12">
        <v>0.58179999999999998</v>
      </c>
      <c r="F60" s="11">
        <f>C60/4</f>
        <v>7.1469907407407409E-4</v>
      </c>
      <c r="G60" s="11">
        <f>D60/7.5</f>
        <v>7.6316358024691364E-4</v>
      </c>
      <c r="H60" s="11">
        <f>B60/12.5</f>
        <v>7.8703703703703705E-4</v>
      </c>
      <c r="I60" s="11">
        <f>G60/0.93</f>
        <v>8.2060600026549854E-4</v>
      </c>
      <c r="J60" s="11">
        <f>G60/0.92</f>
        <v>8.29525630703167E-4</v>
      </c>
      <c r="K60" s="11">
        <f>G60/0.88</f>
        <v>8.6723134118967459E-4</v>
      </c>
      <c r="L60" s="11">
        <f>G60/0.84</f>
        <v>9.085280717225163E-4</v>
      </c>
      <c r="M60" s="25">
        <f>WO2025Jan7men11915171923252931333539414345474955575963656769717375777913[[#This Row],[Thresh]]</f>
        <v>8.6723134118967459E-4</v>
      </c>
      <c r="N60" s="28">
        <f>WO2025Jan7men11915171923252931333539414345474955575963656769717375777913[[#This Row],[Thresh]]*4</f>
        <v>3.4689253647586984E-3</v>
      </c>
      <c r="O60" s="25">
        <f>WO2025Jan7men11915171923252931333539414345474955575963656769717375777913[[#This Row],[VO2]]</f>
        <v>7.6316358024691364E-4</v>
      </c>
      <c r="P60" s="25"/>
      <c r="Q60" s="25"/>
      <c r="R60" s="25"/>
      <c r="S60" s="25"/>
      <c r="T60" s="25"/>
      <c r="U60" s="28"/>
      <c r="V60" s="25"/>
      <c r="W60" s="15" t="s">
        <v>35</v>
      </c>
      <c r="X60" s="52"/>
    </row>
    <row r="61" spans="1:24" ht="20.45" customHeight="1">
      <c r="A61" s="10" t="s">
        <v>109</v>
      </c>
      <c r="B61" s="11">
        <v>9.8379629629629633E-3</v>
      </c>
      <c r="C61" s="11">
        <v>2.9745370370370373E-3</v>
      </c>
      <c r="D61" s="11">
        <f>B61*E61</f>
        <v>5.7237268518518522E-3</v>
      </c>
      <c r="E61" s="12">
        <v>0.58179999999999998</v>
      </c>
      <c r="F61" s="11">
        <f>C61/4</f>
        <v>7.4363425925925931E-4</v>
      </c>
      <c r="G61" s="11">
        <f>D61/7.5</f>
        <v>7.6316358024691364E-4</v>
      </c>
      <c r="H61" s="11">
        <f>B61/12.5</f>
        <v>7.8703703703703705E-4</v>
      </c>
      <c r="I61" s="11">
        <f>G61/0.93</f>
        <v>8.2060600026549854E-4</v>
      </c>
      <c r="J61" s="11">
        <f>G61/0.92</f>
        <v>8.29525630703167E-4</v>
      </c>
      <c r="K61" s="11">
        <f>G61/0.88</f>
        <v>8.6723134118967459E-4</v>
      </c>
      <c r="L61" s="11">
        <f>G61/0.84</f>
        <v>9.085280717225163E-4</v>
      </c>
      <c r="M61" s="25">
        <f>WO2025Jan7men11915171923252931333539414345474955575963656769717375777913[[#This Row],[Thresh]]</f>
        <v>8.6723134118967459E-4</v>
      </c>
      <c r="N61" s="28">
        <f>WO2025Jan7men11915171923252931333539414345474955575963656769717375777913[[#This Row],[Thresh]]*4</f>
        <v>3.4689253647586984E-3</v>
      </c>
      <c r="O61" s="25">
        <f>WO2025Jan7men11915171923252931333539414345474955575963656769717375777913[[#This Row],[VO2]]</f>
        <v>7.6316358024691364E-4</v>
      </c>
      <c r="P61" s="25"/>
      <c r="Q61" s="25"/>
      <c r="R61" s="28"/>
      <c r="S61" s="25"/>
      <c r="T61" s="25"/>
      <c r="U61" s="28"/>
      <c r="V61" s="25"/>
      <c r="W61" s="15" t="s">
        <v>26</v>
      </c>
      <c r="X61" s="52"/>
    </row>
    <row r="62" spans="1:24" ht="20.45" customHeight="1">
      <c r="A62" s="10" t="s">
        <v>81</v>
      </c>
      <c r="B62" s="11">
        <v>9.9537037037037042E-3</v>
      </c>
      <c r="C62" s="11">
        <v>2.9745370370370373E-3</v>
      </c>
      <c r="D62" s="11">
        <f>B62*E62</f>
        <v>5.7910648148148149E-3</v>
      </c>
      <c r="E62" s="12">
        <v>0.58179999999999998</v>
      </c>
      <c r="F62" s="11">
        <f>C62/4</f>
        <v>7.4363425925925931E-4</v>
      </c>
      <c r="G62" s="11">
        <f>D62/7.5</f>
        <v>7.7214197530864196E-4</v>
      </c>
      <c r="H62" s="11">
        <f>B62/12.5</f>
        <v>7.9629629629629636E-4</v>
      </c>
      <c r="I62" s="11">
        <f>G62/0.93</f>
        <v>8.3026018850391602E-4</v>
      </c>
      <c r="J62" s="11">
        <f>G62/0.92</f>
        <v>8.3928475577026292E-4</v>
      </c>
      <c r="K62" s="11">
        <f>G62/0.88</f>
        <v>8.7743406285072947E-4</v>
      </c>
      <c r="L62" s="11">
        <f>G62/0.84</f>
        <v>9.1921663727219285E-4</v>
      </c>
      <c r="M62" s="25">
        <f>WO2025Jan7men11915171923252931333539414345474955575963656769717375777913[[#This Row],[Thresh]]</f>
        <v>8.7743406285072947E-4</v>
      </c>
      <c r="N62" s="28">
        <f>WO2025Jan7men11915171923252931333539414345474955575963656769717375777913[[#This Row],[Thresh]]*4</f>
        <v>3.5097362514029179E-3</v>
      </c>
      <c r="O62" s="25">
        <f>WO2025Jan7men11915171923252931333539414345474955575963656769717375777913[[#This Row],[VO2]]</f>
        <v>7.7214197530864196E-4</v>
      </c>
      <c r="P62" s="25"/>
      <c r="Q62" s="25"/>
      <c r="R62" s="28"/>
      <c r="S62" s="25"/>
      <c r="T62" s="25"/>
      <c r="U62" s="28"/>
      <c r="V62" s="25"/>
      <c r="W62" s="15" t="s">
        <v>26</v>
      </c>
      <c r="X62" s="52"/>
    </row>
    <row r="63" spans="1:24" ht="20.45" customHeight="1">
      <c r="A63" s="10" t="s">
        <v>82</v>
      </c>
      <c r="B63" s="11">
        <v>9.9537037037037042E-3</v>
      </c>
      <c r="C63" s="11">
        <v>2.8935185185185188E-3</v>
      </c>
      <c r="D63" s="11">
        <f>B63*E63</f>
        <v>5.7910648148148149E-3</v>
      </c>
      <c r="E63" s="12">
        <v>0.58179999999999998</v>
      </c>
      <c r="F63" s="11">
        <f>C63/4</f>
        <v>7.233796296296297E-4</v>
      </c>
      <c r="G63" s="11">
        <f>D63/7.5</f>
        <v>7.7214197530864196E-4</v>
      </c>
      <c r="H63" s="11">
        <f>B63/12.5</f>
        <v>7.9629629629629636E-4</v>
      </c>
      <c r="I63" s="11">
        <f>G63/0.93</f>
        <v>8.3026018850391602E-4</v>
      </c>
      <c r="J63" s="11">
        <f>G63/0.92</f>
        <v>8.3928475577026292E-4</v>
      </c>
      <c r="K63" s="11">
        <f>G63/0.88</f>
        <v>8.7743406285072947E-4</v>
      </c>
      <c r="L63" s="11">
        <f>G63/0.84</f>
        <v>9.1921663727219285E-4</v>
      </c>
      <c r="M63" s="25">
        <f>WO2025Jan7men11915171923252931333539414345474955575963656769717375777913[[#This Row],[Thresh]]</f>
        <v>8.7743406285072947E-4</v>
      </c>
      <c r="N63" s="28">
        <f>WO2025Jan7men11915171923252931333539414345474955575963656769717375777913[[#This Row],[Thresh]]*4</f>
        <v>3.5097362514029179E-3</v>
      </c>
      <c r="O63" s="25">
        <f>WO2025Jan7men11915171923252931333539414345474955575963656769717375777913[[#This Row],[VO2]]</f>
        <v>7.7214197530864196E-4</v>
      </c>
      <c r="P63" s="25"/>
      <c r="Q63" s="25"/>
      <c r="R63" s="25"/>
      <c r="S63" s="25"/>
      <c r="T63" s="25"/>
      <c r="U63" s="28"/>
      <c r="V63" s="25"/>
      <c r="W63" s="15" t="s">
        <v>26</v>
      </c>
      <c r="X63" s="52"/>
    </row>
    <row r="64" spans="1:24" ht="20.45" customHeight="1">
      <c r="A64" s="10" t="s">
        <v>84</v>
      </c>
      <c r="B64" s="11">
        <v>1.0069444444444445E-2</v>
      </c>
      <c r="C64" s="11">
        <v>3.0092592592592593E-3</v>
      </c>
      <c r="D64" s="11">
        <f t="shared" ref="D64:D86" si="24">B64*E64</f>
        <v>5.8584027777777783E-3</v>
      </c>
      <c r="E64" s="12">
        <v>0.58179999999999998</v>
      </c>
      <c r="F64" s="11">
        <f t="shared" ref="F64:F86" si="25">C64/4</f>
        <v>7.5231481481481482E-4</v>
      </c>
      <c r="G64" s="11">
        <f t="shared" ref="G64:G86" si="26">D64/7.5</f>
        <v>7.811203703703705E-4</v>
      </c>
      <c r="H64" s="11">
        <f t="shared" ref="H64:H86" si="27">B64/12.5</f>
        <v>8.0555555555555556E-4</v>
      </c>
      <c r="I64" s="11">
        <f t="shared" ref="I64:I86" si="28">G64/0.93</f>
        <v>8.3991437674233382E-4</v>
      </c>
      <c r="J64" s="11">
        <f t="shared" ref="J64:J86" si="29">G64/0.92</f>
        <v>8.4904388083735917E-4</v>
      </c>
      <c r="K64" s="11">
        <f t="shared" ref="K64:K86" si="30">G64/0.88</f>
        <v>8.8763678451178466E-4</v>
      </c>
      <c r="L64" s="11">
        <f t="shared" ref="L64:L86" si="31">G64/0.84</f>
        <v>9.2990520282186973E-4</v>
      </c>
      <c r="M64" s="25">
        <f>WO2025Jan7men11915171923252931333539414345474955575963656769717375777913[[#This Row],[Thresh]]</f>
        <v>8.8763678451178466E-4</v>
      </c>
      <c r="N64" s="28">
        <f>WO2025Jan7men11915171923252931333539414345474955575963656769717375777913[[#This Row],[Thresh]]*4</f>
        <v>3.5505471380471386E-3</v>
      </c>
      <c r="O64" s="25">
        <f>WO2025Jan7men11915171923252931333539414345474955575963656769717375777913[[#This Row],[VO2]]</f>
        <v>7.811203703703705E-4</v>
      </c>
      <c r="P64" s="25"/>
      <c r="Q64" s="25"/>
      <c r="R64" s="25"/>
      <c r="S64" s="25"/>
      <c r="T64" s="25"/>
      <c r="U64" s="28"/>
      <c r="V64" s="25"/>
      <c r="W64" s="15" t="s">
        <v>26</v>
      </c>
      <c r="X64" s="52"/>
    </row>
    <row r="65" spans="1:24" ht="20.45" customHeight="1">
      <c r="A65" s="10" t="s">
        <v>110</v>
      </c>
      <c r="B65" s="11">
        <v>1.0069444444444445E-2</v>
      </c>
      <c r="C65" s="11">
        <v>2.8935185185185184E-3</v>
      </c>
      <c r="D65" s="11">
        <f>B65*E65</f>
        <v>5.8584027777777783E-3</v>
      </c>
      <c r="E65" s="12">
        <v>0.58179999999999998</v>
      </c>
      <c r="F65" s="11">
        <f>C65/4</f>
        <v>7.2337962962962959E-4</v>
      </c>
      <c r="G65" s="11">
        <f>D65/7.5</f>
        <v>7.811203703703705E-4</v>
      </c>
      <c r="H65" s="11">
        <f>B65/12.5</f>
        <v>8.0555555555555556E-4</v>
      </c>
      <c r="I65" s="11">
        <f>G65/0.93</f>
        <v>8.3991437674233382E-4</v>
      </c>
      <c r="J65" s="11">
        <f>G65/0.92</f>
        <v>8.4904388083735917E-4</v>
      </c>
      <c r="K65" s="11">
        <f>G65/0.88</f>
        <v>8.8763678451178466E-4</v>
      </c>
      <c r="L65" s="11">
        <f>G65/0.84</f>
        <v>9.2990520282186973E-4</v>
      </c>
      <c r="M65" s="25">
        <f>WO2025Jan7men11915171923252931333539414345474955575963656769717375777913[[#This Row],[Thresh]]</f>
        <v>8.8763678451178466E-4</v>
      </c>
      <c r="N65" s="28">
        <f>WO2025Jan7men11915171923252931333539414345474955575963656769717375777913[[#This Row],[Thresh]]*4</f>
        <v>3.5505471380471386E-3</v>
      </c>
      <c r="O65" s="25">
        <f>WO2025Jan7men11915171923252931333539414345474955575963656769717375777913[[#This Row],[VO2]]</f>
        <v>7.811203703703705E-4</v>
      </c>
      <c r="P65" s="25"/>
      <c r="Q65" s="25"/>
      <c r="R65" s="25"/>
      <c r="S65" s="25"/>
      <c r="T65" s="25"/>
      <c r="U65" s="28"/>
      <c r="V65" s="25"/>
      <c r="W65" s="15" t="s">
        <v>35</v>
      </c>
      <c r="X65" s="52"/>
    </row>
    <row r="66" spans="1:24" ht="20.45" customHeight="1">
      <c r="A66" s="10" t="s">
        <v>95</v>
      </c>
      <c r="B66" s="11">
        <v>1.0243055555555556E-2</v>
      </c>
      <c r="C66" s="11">
        <v>2.9513888888888888E-3</v>
      </c>
      <c r="D66" s="11">
        <f>B66*E66</f>
        <v>5.9594097222222218E-3</v>
      </c>
      <c r="E66" s="12">
        <v>0.58179999999999998</v>
      </c>
      <c r="F66" s="11">
        <f>C66/4</f>
        <v>7.378472222222222E-4</v>
      </c>
      <c r="G66" s="11">
        <f>D66/7.5</f>
        <v>7.9458796296296287E-4</v>
      </c>
      <c r="H66" s="11">
        <f>B66/12.5</f>
        <v>8.1944444444444447E-4</v>
      </c>
      <c r="I66" s="11">
        <f>G66/0.93</f>
        <v>8.5439565909996003E-4</v>
      </c>
      <c r="J66" s="11">
        <f>G66/0.92</f>
        <v>8.636825684380031E-4</v>
      </c>
      <c r="K66" s="11">
        <f>G66/0.88</f>
        <v>9.0294086700336686E-4</v>
      </c>
      <c r="L66" s="11">
        <f>G66/0.84</f>
        <v>9.4593805114638445E-4</v>
      </c>
      <c r="M66" s="25">
        <f>WO2025Jan7men11915171923252931333539414345474955575963656769717375777913[[#This Row],[Thresh]]</f>
        <v>9.0294086700336686E-4</v>
      </c>
      <c r="N66" s="28">
        <f>WO2025Jan7men11915171923252931333539414345474955575963656769717375777913[[#This Row],[Thresh]]*4</f>
        <v>3.6117634680134674E-3</v>
      </c>
      <c r="O66" s="25">
        <f>WO2025Jan7men11915171923252931333539414345474955575963656769717375777913[[#This Row],[VO2]]</f>
        <v>7.9458796296296287E-4</v>
      </c>
      <c r="P66" s="25"/>
      <c r="Q66" s="25"/>
      <c r="R66" s="28"/>
      <c r="S66" s="25"/>
      <c r="T66" s="28"/>
      <c r="U66" s="28"/>
      <c r="V66" s="25"/>
      <c r="W66" s="15" t="s">
        <v>35</v>
      </c>
      <c r="X66" s="52"/>
    </row>
    <row r="67" spans="1:24" ht="20.45" customHeight="1">
      <c r="A67" s="10" t="s">
        <v>83</v>
      </c>
      <c r="B67" s="11">
        <v>1.0243055555555556E-2</v>
      </c>
      <c r="C67" s="11">
        <v>3.0671296296296297E-3</v>
      </c>
      <c r="D67" s="11">
        <f t="shared" si="24"/>
        <v>5.9594097222222218E-3</v>
      </c>
      <c r="E67" s="12">
        <v>0.58179999999999998</v>
      </c>
      <c r="F67" s="11">
        <f t="shared" si="25"/>
        <v>7.6678240740740743E-4</v>
      </c>
      <c r="G67" s="11">
        <f t="shared" si="26"/>
        <v>7.9458796296296287E-4</v>
      </c>
      <c r="H67" s="11">
        <f t="shared" si="27"/>
        <v>8.1944444444444447E-4</v>
      </c>
      <c r="I67" s="11">
        <f t="shared" si="28"/>
        <v>8.5439565909996003E-4</v>
      </c>
      <c r="J67" s="11">
        <f t="shared" si="29"/>
        <v>8.636825684380031E-4</v>
      </c>
      <c r="K67" s="11">
        <f t="shared" si="30"/>
        <v>9.0294086700336686E-4</v>
      </c>
      <c r="L67" s="11">
        <f t="shared" si="31"/>
        <v>9.4593805114638445E-4</v>
      </c>
      <c r="M67" s="25">
        <f>WO2025Jan7men11915171923252931333539414345474955575963656769717375777913[[#This Row],[Thresh]]</f>
        <v>9.0294086700336686E-4</v>
      </c>
      <c r="N67" s="28">
        <f>WO2025Jan7men11915171923252931333539414345474955575963656769717375777913[[#This Row],[Thresh]]*4</f>
        <v>3.6117634680134674E-3</v>
      </c>
      <c r="O67" s="25">
        <f>WO2025Jan7men11915171923252931333539414345474955575963656769717375777913[[#This Row],[VO2]]</f>
        <v>7.9458796296296287E-4</v>
      </c>
      <c r="P67" s="25"/>
      <c r="Q67" s="25"/>
      <c r="R67" s="28"/>
      <c r="S67" s="25"/>
      <c r="T67" s="25"/>
      <c r="U67" s="28"/>
      <c r="V67" s="28"/>
      <c r="W67" s="15" t="s">
        <v>26</v>
      </c>
      <c r="X67" s="52"/>
    </row>
    <row r="68" spans="1:24" ht="20.45" customHeight="1">
      <c r="A68" s="10" t="s">
        <v>112</v>
      </c>
      <c r="B68" s="11">
        <v>1.0243055555555556E-2</v>
      </c>
      <c r="C68" s="11">
        <v>2.8587962962962963E-3</v>
      </c>
      <c r="D68" s="11">
        <f t="shared" si="24"/>
        <v>5.9594097222222218E-3</v>
      </c>
      <c r="E68" s="12">
        <v>0.58179999999999998</v>
      </c>
      <c r="F68" s="11">
        <f t="shared" si="25"/>
        <v>7.1469907407407409E-4</v>
      </c>
      <c r="G68" s="11">
        <f t="shared" si="26"/>
        <v>7.9458796296296287E-4</v>
      </c>
      <c r="H68" s="11">
        <f t="shared" si="27"/>
        <v>8.1944444444444447E-4</v>
      </c>
      <c r="I68" s="11">
        <f t="shared" si="28"/>
        <v>8.5439565909996003E-4</v>
      </c>
      <c r="J68" s="11">
        <f t="shared" si="29"/>
        <v>8.636825684380031E-4</v>
      </c>
      <c r="K68" s="11">
        <f t="shared" si="30"/>
        <v>9.0294086700336686E-4</v>
      </c>
      <c r="L68" s="11">
        <f t="shared" si="31"/>
        <v>9.4593805114638445E-4</v>
      </c>
      <c r="M68" s="25">
        <f>WO2025Jan7men11915171923252931333539414345474955575963656769717375777913[[#This Row],[Thresh]]</f>
        <v>9.0294086700336686E-4</v>
      </c>
      <c r="N68" s="28">
        <f>WO2025Jan7men11915171923252931333539414345474955575963656769717375777913[[#This Row],[Thresh]]*4</f>
        <v>3.6117634680134674E-3</v>
      </c>
      <c r="O68" s="25">
        <f>WO2025Jan7men11915171923252931333539414345474955575963656769717375777913[[#This Row],[VO2]]</f>
        <v>7.9458796296296287E-4</v>
      </c>
      <c r="P68" s="25"/>
      <c r="Q68" s="25"/>
      <c r="R68" s="25"/>
      <c r="S68" s="25"/>
      <c r="T68" s="25"/>
      <c r="U68" s="28"/>
      <c r="V68" s="25"/>
      <c r="W68" s="15" t="s">
        <v>26</v>
      </c>
      <c r="X68" s="52" t="s">
        <v>329</v>
      </c>
    </row>
    <row r="69" spans="1:24" ht="20.45" customHeight="1">
      <c r="A69" s="10" t="s">
        <v>93</v>
      </c>
      <c r="B69" s="11">
        <v>1.0243055555555556E-2</v>
      </c>
      <c r="C69" s="11"/>
      <c r="D69" s="11">
        <f t="shared" si="24"/>
        <v>5.9594097222222218E-3</v>
      </c>
      <c r="E69" s="12">
        <v>0.58179999999999998</v>
      </c>
      <c r="F69" s="11">
        <f t="shared" si="25"/>
        <v>0</v>
      </c>
      <c r="G69" s="11">
        <f t="shared" si="26"/>
        <v>7.9458796296296287E-4</v>
      </c>
      <c r="H69" s="11">
        <f t="shared" si="27"/>
        <v>8.1944444444444447E-4</v>
      </c>
      <c r="I69" s="11">
        <f t="shared" si="28"/>
        <v>8.5439565909996003E-4</v>
      </c>
      <c r="J69" s="11">
        <f t="shared" si="29"/>
        <v>8.636825684380031E-4</v>
      </c>
      <c r="K69" s="11">
        <f t="shared" si="30"/>
        <v>9.0294086700336686E-4</v>
      </c>
      <c r="L69" s="11">
        <f t="shared" si="31"/>
        <v>9.4593805114638445E-4</v>
      </c>
      <c r="M69" s="25">
        <f>WO2025Jan7men11915171923252931333539414345474955575963656769717375777913[[#This Row],[Thresh]]</f>
        <v>9.0294086700336686E-4</v>
      </c>
      <c r="N69" s="28">
        <f>WO2025Jan7men11915171923252931333539414345474955575963656769717375777913[[#This Row],[Thresh]]*4</f>
        <v>3.6117634680134674E-3</v>
      </c>
      <c r="O69" s="25">
        <f>WO2025Jan7men11915171923252931333539414345474955575963656769717375777913[[#This Row],[VO2]]</f>
        <v>7.9458796296296287E-4</v>
      </c>
      <c r="P69" s="25"/>
      <c r="Q69" s="25"/>
      <c r="R69" s="28"/>
      <c r="S69" s="25"/>
      <c r="T69" s="25"/>
      <c r="U69" s="28"/>
      <c r="V69" s="28"/>
      <c r="W69" s="27" t="s">
        <v>26</v>
      </c>
      <c r="X69" s="52"/>
    </row>
    <row r="70" spans="1:24" ht="20.45" customHeight="1">
      <c r="A70" s="10" t="s">
        <v>116</v>
      </c>
      <c r="B70" s="11">
        <v>1.0243055555555556E-2</v>
      </c>
      <c r="C70" s="11">
        <v>2.9513888888888888E-3</v>
      </c>
      <c r="D70" s="11">
        <f>B70*E70</f>
        <v>5.9594097222222218E-3</v>
      </c>
      <c r="E70" s="12">
        <v>0.58179999999999998</v>
      </c>
      <c r="F70" s="11">
        <f>C70/4</f>
        <v>7.378472222222222E-4</v>
      </c>
      <c r="G70" s="11">
        <f>D70/7.5</f>
        <v>7.9458796296296287E-4</v>
      </c>
      <c r="H70" s="11">
        <f>B70/12.5</f>
        <v>8.1944444444444447E-4</v>
      </c>
      <c r="I70" s="11">
        <f>G70/0.93</f>
        <v>8.5439565909996003E-4</v>
      </c>
      <c r="J70" s="11">
        <f>G70/0.92</f>
        <v>8.636825684380031E-4</v>
      </c>
      <c r="K70" s="11">
        <f>G70/0.88</f>
        <v>9.0294086700336686E-4</v>
      </c>
      <c r="L70" s="17">
        <f>G70/0.84</f>
        <v>9.4593805114638445E-4</v>
      </c>
      <c r="M70" s="25">
        <f>WO2025Jan7men11915171923252931333539414345474955575963656769717375777913[[#This Row],[Thresh]]</f>
        <v>9.0294086700336686E-4</v>
      </c>
      <c r="N70" s="28">
        <f>WO2025Jan7men11915171923252931333539414345474955575963656769717375777913[[#This Row],[Thresh]]*4</f>
        <v>3.6117634680134674E-3</v>
      </c>
      <c r="O70" s="25">
        <f>WO2025Jan7men11915171923252931333539414345474955575963656769717375777913[[#This Row],[VO2]]</f>
        <v>7.9458796296296287E-4</v>
      </c>
      <c r="P70" s="25"/>
      <c r="Q70" s="25"/>
      <c r="R70" s="25"/>
      <c r="S70" s="25"/>
      <c r="T70" s="25"/>
      <c r="U70" s="28"/>
      <c r="V70" s="25"/>
      <c r="W70" s="15" t="s">
        <v>35</v>
      </c>
      <c r="X70" s="52"/>
    </row>
    <row r="71" spans="1:24" ht="20.45" customHeight="1">
      <c r="A71" s="10" t="s">
        <v>92</v>
      </c>
      <c r="B71" s="11">
        <v>1.0300925925925925E-2</v>
      </c>
      <c r="C71" s="11">
        <v>2.9745370370370373E-3</v>
      </c>
      <c r="D71" s="11">
        <f>B71*E71</f>
        <v>5.9930787037037027E-3</v>
      </c>
      <c r="E71" s="12">
        <v>0.58179999999999998</v>
      </c>
      <c r="F71" s="11">
        <f>C71/4</f>
        <v>7.4363425925925931E-4</v>
      </c>
      <c r="G71" s="11">
        <f>D71/7.5</f>
        <v>7.9907716049382703E-4</v>
      </c>
      <c r="H71" s="11">
        <f>B71/12.5</f>
        <v>8.2407407407407397E-4</v>
      </c>
      <c r="I71" s="11">
        <f>G71/0.93</f>
        <v>8.5922275321916877E-4</v>
      </c>
      <c r="J71" s="11">
        <f>G71/0.92</f>
        <v>8.6856213097155112E-4</v>
      </c>
      <c r="K71" s="11">
        <f>G71/0.88</f>
        <v>9.080422278338944E-4</v>
      </c>
      <c r="L71" s="11">
        <f>G71/0.84</f>
        <v>9.5128233392122272E-4</v>
      </c>
      <c r="M71" s="25">
        <f>WO2025Jan7men11915171923252931333539414345474955575963656769717375777913[[#This Row],[Thresh]]</f>
        <v>9.080422278338944E-4</v>
      </c>
      <c r="N71" s="28">
        <f>WO2025Jan7men11915171923252931333539414345474955575963656769717375777913[[#This Row],[Thresh]]*4</f>
        <v>3.6321689113355776E-3</v>
      </c>
      <c r="O71" s="25">
        <f>WO2025Jan7men11915171923252931333539414345474955575963656769717375777913[[#This Row],[VO2]]</f>
        <v>7.9907716049382703E-4</v>
      </c>
      <c r="P71" s="25"/>
      <c r="Q71" s="25"/>
      <c r="R71" s="25"/>
      <c r="S71" s="25"/>
      <c r="T71" s="25"/>
      <c r="U71" s="28"/>
      <c r="V71" s="25"/>
      <c r="W71" s="15" t="s">
        <v>35</v>
      </c>
      <c r="X71" s="52"/>
    </row>
    <row r="72" spans="1:24" ht="20.45" customHeight="1">
      <c r="A72" s="10" t="s">
        <v>86</v>
      </c>
      <c r="B72" s="11">
        <v>1.0300925925925925E-2</v>
      </c>
      <c r="C72" s="11">
        <v>3.0671296296296297E-3</v>
      </c>
      <c r="D72" s="11">
        <f t="shared" si="24"/>
        <v>5.9930787037037027E-3</v>
      </c>
      <c r="E72" s="12">
        <v>0.58179999999999998</v>
      </c>
      <c r="F72" s="11">
        <f t="shared" si="25"/>
        <v>7.6678240740740743E-4</v>
      </c>
      <c r="G72" s="11">
        <f t="shared" si="26"/>
        <v>7.9907716049382703E-4</v>
      </c>
      <c r="H72" s="11">
        <f t="shared" si="27"/>
        <v>8.2407407407407397E-4</v>
      </c>
      <c r="I72" s="11">
        <f t="shared" si="28"/>
        <v>8.5922275321916877E-4</v>
      </c>
      <c r="J72" s="11">
        <f t="shared" si="29"/>
        <v>8.6856213097155112E-4</v>
      </c>
      <c r="K72" s="11">
        <f t="shared" si="30"/>
        <v>9.080422278338944E-4</v>
      </c>
      <c r="L72" s="11">
        <f t="shared" si="31"/>
        <v>9.5128233392122272E-4</v>
      </c>
      <c r="M72" s="25">
        <f>WO2025Jan7men11915171923252931333539414345474955575963656769717375777913[[#This Row],[Thresh]]</f>
        <v>9.080422278338944E-4</v>
      </c>
      <c r="N72" s="28">
        <f>WO2025Jan7men11915171923252931333539414345474955575963656769717375777913[[#This Row],[Thresh]]*4</f>
        <v>3.6321689113355776E-3</v>
      </c>
      <c r="O72" s="25">
        <f>WO2025Jan7men11915171923252931333539414345474955575963656769717375777913[[#This Row],[VO2]]</f>
        <v>7.9907716049382703E-4</v>
      </c>
      <c r="P72" s="25"/>
      <c r="Q72" s="25"/>
      <c r="R72" s="25"/>
      <c r="S72" s="25"/>
      <c r="T72" s="25"/>
      <c r="U72" s="28"/>
      <c r="V72" s="25"/>
      <c r="W72" s="15" t="s">
        <v>35</v>
      </c>
      <c r="X72" s="52"/>
    </row>
    <row r="73" spans="1:24" ht="20.45" customHeight="1">
      <c r="A73" s="10" t="s">
        <v>85</v>
      </c>
      <c r="B73" s="11">
        <v>1.0300925925925925E-2</v>
      </c>
      <c r="C73" s="11">
        <v>3.0671296296296297E-3</v>
      </c>
      <c r="D73" s="11">
        <f t="shared" ref="D73:D81" si="32">B73*E73</f>
        <v>5.9930787037037027E-3</v>
      </c>
      <c r="E73" s="12">
        <v>0.58179999999999998</v>
      </c>
      <c r="F73" s="11">
        <f t="shared" ref="F73:F81" si="33">C73/4</f>
        <v>7.6678240740740743E-4</v>
      </c>
      <c r="G73" s="11">
        <f t="shared" ref="G73:G81" si="34">D73/7.5</f>
        <v>7.9907716049382703E-4</v>
      </c>
      <c r="H73" s="11">
        <f t="shared" ref="H73:H81" si="35">B73/12.5</f>
        <v>8.2407407407407397E-4</v>
      </c>
      <c r="I73" s="11">
        <f t="shared" ref="I73:I81" si="36">G73/0.93</f>
        <v>8.5922275321916877E-4</v>
      </c>
      <c r="J73" s="11">
        <f t="shared" ref="J73:J81" si="37">G73/0.92</f>
        <v>8.6856213097155112E-4</v>
      </c>
      <c r="K73" s="11">
        <f t="shared" ref="K73:K81" si="38">G73/0.88</f>
        <v>9.080422278338944E-4</v>
      </c>
      <c r="L73" s="17">
        <f t="shared" ref="L73:L81" si="39">G73/0.84</f>
        <v>9.5128233392122272E-4</v>
      </c>
      <c r="M73" s="25">
        <f>WO2025Jan7men11915171923252931333539414345474955575963656769717375777913[[#This Row],[Thresh]]</f>
        <v>9.080422278338944E-4</v>
      </c>
      <c r="N73" s="28">
        <f>WO2025Jan7men11915171923252931333539414345474955575963656769717375777913[[#This Row],[Thresh]]*4</f>
        <v>3.6321689113355776E-3</v>
      </c>
      <c r="O73" s="25">
        <f>WO2025Jan7men11915171923252931333539414345474955575963656769717375777913[[#This Row],[VO2]]</f>
        <v>7.9907716049382703E-4</v>
      </c>
      <c r="P73" s="25"/>
      <c r="Q73" s="25"/>
      <c r="R73" s="25"/>
      <c r="S73" s="25"/>
      <c r="T73" s="25"/>
      <c r="U73" s="28"/>
      <c r="V73" s="25"/>
      <c r="W73" s="15" t="s">
        <v>26</v>
      </c>
      <c r="X73" s="52"/>
    </row>
    <row r="74" spans="1:24" ht="20.45" customHeight="1">
      <c r="A74" s="10" t="s">
        <v>111</v>
      </c>
      <c r="B74" s="11">
        <v>1.0300925925925925E-2</v>
      </c>
      <c r="C74" s="11">
        <v>3.0092592592592588E-3</v>
      </c>
      <c r="D74" s="11">
        <f t="shared" si="32"/>
        <v>5.9930787037037027E-3</v>
      </c>
      <c r="E74" s="12">
        <v>0.58179999999999998</v>
      </c>
      <c r="F74" s="11">
        <f t="shared" si="33"/>
        <v>7.5231481481481471E-4</v>
      </c>
      <c r="G74" s="11">
        <f t="shared" si="34"/>
        <v>7.9907716049382703E-4</v>
      </c>
      <c r="H74" s="11">
        <f t="shared" si="35"/>
        <v>8.2407407407407397E-4</v>
      </c>
      <c r="I74" s="11">
        <f t="shared" si="36"/>
        <v>8.5922275321916877E-4</v>
      </c>
      <c r="J74" s="11">
        <f t="shared" si="37"/>
        <v>8.6856213097155112E-4</v>
      </c>
      <c r="K74" s="11">
        <f t="shared" si="38"/>
        <v>9.080422278338944E-4</v>
      </c>
      <c r="L74" s="11">
        <f t="shared" si="39"/>
        <v>9.5128233392122272E-4</v>
      </c>
      <c r="M74" s="25">
        <f>WO2025Jan7men11915171923252931333539414345474955575963656769717375777913[[#This Row],[Thresh]]</f>
        <v>9.080422278338944E-4</v>
      </c>
      <c r="N74" s="28">
        <f>WO2025Jan7men11915171923252931333539414345474955575963656769717375777913[[#This Row],[Thresh]]*4</f>
        <v>3.6321689113355776E-3</v>
      </c>
      <c r="O74" s="25">
        <f>WO2025Jan7men11915171923252931333539414345474955575963656769717375777913[[#This Row],[VO2]]</f>
        <v>7.9907716049382703E-4</v>
      </c>
      <c r="P74" s="25"/>
      <c r="Q74" s="25"/>
      <c r="R74" s="25"/>
      <c r="S74" s="25"/>
      <c r="T74" s="25"/>
      <c r="U74" s="28"/>
      <c r="V74" s="25"/>
      <c r="W74" s="15" t="s">
        <v>35</v>
      </c>
      <c r="X74" s="52"/>
    </row>
    <row r="75" spans="1:24" ht="20.45" customHeight="1">
      <c r="A75" s="10" t="s">
        <v>117</v>
      </c>
      <c r="B75" s="11">
        <v>1.0416666666666666E-2</v>
      </c>
      <c r="C75" s="11">
        <v>3.0671296296296297E-3</v>
      </c>
      <c r="D75" s="11">
        <f t="shared" si="32"/>
        <v>6.0604166666666662E-3</v>
      </c>
      <c r="E75" s="12">
        <v>0.58179999999999998</v>
      </c>
      <c r="F75" s="11">
        <f t="shared" si="33"/>
        <v>7.6678240740740743E-4</v>
      </c>
      <c r="G75" s="11">
        <f t="shared" si="34"/>
        <v>8.0805555555555546E-4</v>
      </c>
      <c r="H75" s="11">
        <f t="shared" si="35"/>
        <v>8.3333333333333328E-4</v>
      </c>
      <c r="I75" s="11">
        <f t="shared" si="36"/>
        <v>8.6887694145758646E-4</v>
      </c>
      <c r="J75" s="11">
        <f t="shared" si="37"/>
        <v>8.7832125603864715E-4</v>
      </c>
      <c r="K75" s="11">
        <f t="shared" si="38"/>
        <v>9.1824494949494938E-4</v>
      </c>
      <c r="L75" s="11">
        <f t="shared" si="39"/>
        <v>9.6197089947089938E-4</v>
      </c>
      <c r="M75" s="25">
        <f>WO2025Jan7men11915171923252931333539414345474955575963656769717375777913[[#This Row],[Thresh]]</f>
        <v>9.1824494949494938E-4</v>
      </c>
      <c r="N75" s="28">
        <f>WO2025Jan7men11915171923252931333539414345474955575963656769717375777913[[#This Row],[Thresh]]*4</f>
        <v>3.6729797979797975E-3</v>
      </c>
      <c r="O75" s="25">
        <f>WO2025Jan7men11915171923252931333539414345474955575963656769717375777913[[#This Row],[VO2]]</f>
        <v>8.0805555555555546E-4</v>
      </c>
      <c r="P75" s="25"/>
      <c r="Q75" s="25"/>
      <c r="R75" s="28"/>
      <c r="S75" s="25"/>
      <c r="T75" s="25"/>
      <c r="U75" s="28"/>
      <c r="V75" s="25"/>
      <c r="W75" s="15" t="s">
        <v>35</v>
      </c>
      <c r="X75" s="52"/>
    </row>
    <row r="76" spans="1:24" ht="20.45" customHeight="1">
      <c r="A76" s="10" t="s">
        <v>115</v>
      </c>
      <c r="B76" s="11">
        <v>1.0416666666666666E-2</v>
      </c>
      <c r="C76" s="11"/>
      <c r="D76" s="11">
        <f t="shared" si="32"/>
        <v>6.0604166666666662E-3</v>
      </c>
      <c r="E76" s="12">
        <v>0.58179999999999998</v>
      </c>
      <c r="F76" s="11">
        <f t="shared" si="33"/>
        <v>0</v>
      </c>
      <c r="G76" s="11">
        <f t="shared" si="34"/>
        <v>8.0805555555555546E-4</v>
      </c>
      <c r="H76" s="11">
        <f t="shared" si="35"/>
        <v>8.3333333333333328E-4</v>
      </c>
      <c r="I76" s="11">
        <f t="shared" si="36"/>
        <v>8.6887694145758646E-4</v>
      </c>
      <c r="J76" s="11">
        <f t="shared" si="37"/>
        <v>8.7832125603864715E-4</v>
      </c>
      <c r="K76" s="11">
        <f t="shared" si="38"/>
        <v>9.1824494949494938E-4</v>
      </c>
      <c r="L76" s="11">
        <f t="shared" si="39"/>
        <v>9.6197089947089938E-4</v>
      </c>
      <c r="M76" s="25">
        <f>WO2025Jan7men11915171923252931333539414345474955575963656769717375777913[[#This Row],[Thresh]]</f>
        <v>9.1824494949494938E-4</v>
      </c>
      <c r="N76" s="28">
        <f>WO2025Jan7men11915171923252931333539414345474955575963656769717375777913[[#This Row],[Thresh]]*4</f>
        <v>3.6729797979797975E-3</v>
      </c>
      <c r="O76" s="25">
        <f>WO2025Jan7men11915171923252931333539414345474955575963656769717375777913[[#This Row],[VO2]]</f>
        <v>8.0805555555555546E-4</v>
      </c>
      <c r="P76" s="25"/>
      <c r="Q76" s="25"/>
      <c r="R76" s="28"/>
      <c r="S76" s="25"/>
      <c r="T76" s="25"/>
      <c r="U76" s="28"/>
      <c r="V76" s="28"/>
      <c r="W76" s="27" t="s">
        <v>35</v>
      </c>
      <c r="X76" s="52"/>
    </row>
    <row r="77" spans="1:24" ht="20.45" customHeight="1">
      <c r="A77" s="10" t="s">
        <v>94</v>
      </c>
      <c r="B77" s="11">
        <v>1.0416666666666666E-2</v>
      </c>
      <c r="C77" s="11">
        <v>2.8935185185185188E-3</v>
      </c>
      <c r="D77" s="11">
        <f t="shared" si="32"/>
        <v>6.0604166666666662E-3</v>
      </c>
      <c r="E77" s="12">
        <v>0.58179999999999998</v>
      </c>
      <c r="F77" s="11">
        <f t="shared" si="33"/>
        <v>7.233796296296297E-4</v>
      </c>
      <c r="G77" s="11">
        <f t="shared" si="34"/>
        <v>8.0805555555555546E-4</v>
      </c>
      <c r="H77" s="11">
        <f t="shared" si="35"/>
        <v>8.3333333333333328E-4</v>
      </c>
      <c r="I77" s="11">
        <f t="shared" si="36"/>
        <v>8.6887694145758646E-4</v>
      </c>
      <c r="J77" s="11">
        <f t="shared" si="37"/>
        <v>8.7832125603864715E-4</v>
      </c>
      <c r="K77" s="11">
        <f t="shared" si="38"/>
        <v>9.1824494949494938E-4</v>
      </c>
      <c r="L77" s="17">
        <f t="shared" si="39"/>
        <v>9.6197089947089938E-4</v>
      </c>
      <c r="M77" s="25">
        <f>WO2025Jan7men11915171923252931333539414345474955575963656769717375777913[[#This Row],[Thresh]]</f>
        <v>9.1824494949494938E-4</v>
      </c>
      <c r="N77" s="28">
        <f>WO2025Jan7men11915171923252931333539414345474955575963656769717375777913[[#This Row],[Thresh]]*4</f>
        <v>3.6729797979797975E-3</v>
      </c>
      <c r="O77" s="25">
        <f>WO2025Jan7men11915171923252931333539414345474955575963656769717375777913[[#This Row],[VO2]]</f>
        <v>8.0805555555555546E-4</v>
      </c>
      <c r="P77" s="25"/>
      <c r="Q77" s="25"/>
      <c r="R77" s="25"/>
      <c r="S77" s="25"/>
      <c r="T77" s="25"/>
      <c r="U77" s="28"/>
      <c r="V77" s="25"/>
      <c r="W77" s="15" t="s">
        <v>35</v>
      </c>
      <c r="X77" s="52"/>
    </row>
    <row r="78" spans="1:24" ht="20.45" customHeight="1">
      <c r="A78" s="10" t="s">
        <v>119</v>
      </c>
      <c r="B78" s="11">
        <v>1.0416666666666666E-2</v>
      </c>
      <c r="C78" s="11"/>
      <c r="D78" s="11">
        <f t="shared" si="32"/>
        <v>6.0604166666666662E-3</v>
      </c>
      <c r="E78" s="12">
        <v>0.58179999999999998</v>
      </c>
      <c r="F78" s="11">
        <f t="shared" si="33"/>
        <v>0</v>
      </c>
      <c r="G78" s="11">
        <f t="shared" si="34"/>
        <v>8.0805555555555546E-4</v>
      </c>
      <c r="H78" s="11">
        <f t="shared" si="35"/>
        <v>8.3333333333333328E-4</v>
      </c>
      <c r="I78" s="11">
        <f t="shared" si="36"/>
        <v>8.6887694145758646E-4</v>
      </c>
      <c r="J78" s="11">
        <f t="shared" si="37"/>
        <v>8.7832125603864715E-4</v>
      </c>
      <c r="K78" s="11">
        <f t="shared" si="38"/>
        <v>9.1824494949494938E-4</v>
      </c>
      <c r="L78" s="11">
        <f t="shared" si="39"/>
        <v>9.6197089947089938E-4</v>
      </c>
      <c r="M78" s="25">
        <f>WO2025Jan7men11915171923252931333539414345474955575963656769717375777913[[#This Row],[Thresh]]</f>
        <v>9.1824494949494938E-4</v>
      </c>
      <c r="N78" s="28">
        <f>WO2025Jan7men11915171923252931333539414345474955575963656769717375777913[[#This Row],[Thresh]]*4</f>
        <v>3.6729797979797975E-3</v>
      </c>
      <c r="O78" s="25">
        <f>WO2025Jan7men11915171923252931333539414345474955575963656769717375777913[[#This Row],[VO2]]</f>
        <v>8.0805555555555546E-4</v>
      </c>
      <c r="P78" s="25"/>
      <c r="Q78" s="25"/>
      <c r="R78" s="26"/>
      <c r="S78" s="14"/>
      <c r="T78" s="14"/>
      <c r="U78" s="26"/>
      <c r="V78" s="28"/>
      <c r="W78" s="27" t="s">
        <v>35</v>
      </c>
      <c r="X78" s="52" t="s">
        <v>330</v>
      </c>
    </row>
    <row r="79" spans="1:24" ht="20.45" customHeight="1">
      <c r="A79" s="10" t="s">
        <v>118</v>
      </c>
      <c r="B79" s="11">
        <v>1.0416666666666666E-2</v>
      </c>
      <c r="C79" s="11">
        <v>3.0671296296296297E-3</v>
      </c>
      <c r="D79" s="11">
        <f t="shared" si="32"/>
        <v>6.0604166666666662E-3</v>
      </c>
      <c r="E79" s="12">
        <v>0.58179999999999998</v>
      </c>
      <c r="F79" s="11">
        <f t="shared" si="33"/>
        <v>7.6678240740740743E-4</v>
      </c>
      <c r="G79" s="11">
        <f t="shared" si="34"/>
        <v>8.0805555555555546E-4</v>
      </c>
      <c r="H79" s="11">
        <f t="shared" si="35"/>
        <v>8.3333333333333328E-4</v>
      </c>
      <c r="I79" s="11">
        <f t="shared" si="36"/>
        <v>8.6887694145758646E-4</v>
      </c>
      <c r="J79" s="11">
        <f t="shared" si="37"/>
        <v>8.7832125603864715E-4</v>
      </c>
      <c r="K79" s="11">
        <f t="shared" si="38"/>
        <v>9.1824494949494938E-4</v>
      </c>
      <c r="L79" s="11">
        <f t="shared" si="39"/>
        <v>9.6197089947089938E-4</v>
      </c>
      <c r="M79" s="25">
        <f>WO2025Jan7men11915171923252931333539414345474955575963656769717375777913[[#This Row],[Thresh]]</f>
        <v>9.1824494949494938E-4</v>
      </c>
      <c r="N79" s="28">
        <f>WO2025Jan7men11915171923252931333539414345474955575963656769717375777913[[#This Row],[Thresh]]*4</f>
        <v>3.6729797979797975E-3</v>
      </c>
      <c r="O79" s="25">
        <f>WO2025Jan7men11915171923252931333539414345474955575963656769717375777913[[#This Row],[VO2]]</f>
        <v>8.0805555555555546E-4</v>
      </c>
      <c r="P79" s="25"/>
      <c r="Q79" s="25"/>
      <c r="R79" s="28"/>
      <c r="S79" s="25"/>
      <c r="T79" s="25"/>
      <c r="U79" s="28"/>
      <c r="V79" s="25"/>
      <c r="W79" s="15" t="s">
        <v>26</v>
      </c>
      <c r="X79" s="52"/>
    </row>
    <row r="80" spans="1:24" ht="20.45" customHeight="1">
      <c r="A80" s="10" t="s">
        <v>106</v>
      </c>
      <c r="B80" s="11">
        <v>1.0532407407407407E-2</v>
      </c>
      <c r="C80" s="11">
        <v>2.9745370370370373E-3</v>
      </c>
      <c r="D80" s="11">
        <f t="shared" si="32"/>
        <v>6.1277546296296288E-3</v>
      </c>
      <c r="E80" s="12">
        <v>0.58179999999999998</v>
      </c>
      <c r="F80" s="11">
        <f t="shared" si="33"/>
        <v>7.4363425925925931E-4</v>
      </c>
      <c r="G80" s="11">
        <f t="shared" si="34"/>
        <v>8.1703395061728389E-4</v>
      </c>
      <c r="H80" s="11">
        <f t="shared" si="35"/>
        <v>8.4259259259259259E-4</v>
      </c>
      <c r="I80" s="11">
        <f t="shared" si="36"/>
        <v>8.7853112969600415E-4</v>
      </c>
      <c r="J80" s="11">
        <f t="shared" si="37"/>
        <v>8.8808038110574329E-4</v>
      </c>
      <c r="K80" s="11">
        <f t="shared" si="38"/>
        <v>9.2844767115600447E-4</v>
      </c>
      <c r="L80" s="11">
        <f t="shared" si="39"/>
        <v>9.7265946502057604E-4</v>
      </c>
      <c r="M80" s="25">
        <f>WO2025Jan7men11915171923252931333539414345474955575963656769717375777913[[#This Row],[Thresh]]</f>
        <v>9.2844767115600447E-4</v>
      </c>
      <c r="N80" s="28">
        <f>WO2025Jan7men11915171923252931333539414345474955575963656769717375777913[[#This Row],[Thresh]]*4</f>
        <v>3.7137906846240179E-3</v>
      </c>
      <c r="O80" s="25">
        <f>WO2025Jan7men11915171923252931333539414345474955575963656769717375777913[[#This Row],[VO2]]</f>
        <v>8.1703395061728389E-4</v>
      </c>
      <c r="P80" s="25"/>
      <c r="Q80" s="25"/>
      <c r="R80" s="25"/>
      <c r="S80" s="25"/>
      <c r="T80" s="25"/>
      <c r="U80" s="28"/>
      <c r="V80" s="25"/>
      <c r="W80" s="15" t="s">
        <v>35</v>
      </c>
      <c r="X80" s="52"/>
    </row>
    <row r="81" spans="1:24" ht="20.45" customHeight="1">
      <c r="A81" s="10" t="s">
        <v>120</v>
      </c>
      <c r="B81" s="11">
        <v>1.0532407407407407E-2</v>
      </c>
      <c r="C81" s="11">
        <v>3.1250000000000002E-3</v>
      </c>
      <c r="D81" s="11">
        <f t="shared" si="32"/>
        <v>6.1277546296296288E-3</v>
      </c>
      <c r="E81" s="12">
        <v>0.58179999999999998</v>
      </c>
      <c r="F81" s="11">
        <f t="shared" si="33"/>
        <v>7.8125000000000004E-4</v>
      </c>
      <c r="G81" s="11">
        <f t="shared" si="34"/>
        <v>8.1703395061728389E-4</v>
      </c>
      <c r="H81" s="11">
        <f t="shared" si="35"/>
        <v>8.4259259259259259E-4</v>
      </c>
      <c r="I81" s="11">
        <f t="shared" si="36"/>
        <v>8.7853112969600415E-4</v>
      </c>
      <c r="J81" s="11">
        <f t="shared" si="37"/>
        <v>8.8808038110574329E-4</v>
      </c>
      <c r="K81" s="11">
        <f t="shared" si="38"/>
        <v>9.2844767115600447E-4</v>
      </c>
      <c r="L81" s="11">
        <f t="shared" si="39"/>
        <v>9.7265946502057604E-4</v>
      </c>
      <c r="M81" s="25">
        <f>WO2025Jan7men11915171923252931333539414345474955575963656769717375777913[[#This Row],[Thresh]]</f>
        <v>9.2844767115600447E-4</v>
      </c>
      <c r="N81" s="28">
        <f>WO2025Jan7men11915171923252931333539414345474955575963656769717375777913[[#This Row],[Thresh]]*4</f>
        <v>3.7137906846240179E-3</v>
      </c>
      <c r="O81" s="25">
        <f>WO2025Jan7men11915171923252931333539414345474955575963656769717375777913[[#This Row],[VO2]]</f>
        <v>8.1703395061728389E-4</v>
      </c>
      <c r="P81" s="25"/>
      <c r="Q81" s="25"/>
      <c r="R81" s="28"/>
      <c r="S81" s="25"/>
      <c r="T81" s="25"/>
      <c r="U81" s="28"/>
      <c r="V81" s="25"/>
      <c r="W81" s="15" t="s">
        <v>35</v>
      </c>
      <c r="X81" s="52"/>
    </row>
    <row r="82" spans="1:24" ht="20.45" customHeight="1">
      <c r="A82" s="10" t="s">
        <v>87</v>
      </c>
      <c r="B82" s="11">
        <v>1.0532407407407407E-2</v>
      </c>
      <c r="C82" s="11">
        <v>2.9745370370370373E-3</v>
      </c>
      <c r="D82" s="11">
        <f t="shared" si="24"/>
        <v>6.1277546296296288E-3</v>
      </c>
      <c r="E82" s="12">
        <v>0.58179999999999998</v>
      </c>
      <c r="F82" s="11">
        <f t="shared" si="25"/>
        <v>7.4363425925925931E-4</v>
      </c>
      <c r="G82" s="11">
        <f t="shared" si="26"/>
        <v>8.1703395061728389E-4</v>
      </c>
      <c r="H82" s="11">
        <f t="shared" si="27"/>
        <v>8.4259259259259259E-4</v>
      </c>
      <c r="I82" s="11">
        <f t="shared" si="28"/>
        <v>8.7853112969600415E-4</v>
      </c>
      <c r="J82" s="11">
        <f t="shared" si="29"/>
        <v>8.8808038110574329E-4</v>
      </c>
      <c r="K82" s="11">
        <f t="shared" si="30"/>
        <v>9.2844767115600447E-4</v>
      </c>
      <c r="L82" s="11">
        <f t="shared" si="31"/>
        <v>9.7265946502057604E-4</v>
      </c>
      <c r="M82" s="25">
        <f>WO2025Jan7men11915171923252931333539414345474955575963656769717375777913[[#This Row],[Thresh]]</f>
        <v>9.2844767115600447E-4</v>
      </c>
      <c r="N82" s="28">
        <f>WO2025Jan7men11915171923252931333539414345474955575963656769717375777913[[#This Row],[Thresh]]*4</f>
        <v>3.7137906846240179E-3</v>
      </c>
      <c r="O82" s="25">
        <f>WO2025Jan7men11915171923252931333539414345474955575963656769717375777913[[#This Row],[VO2]]</f>
        <v>8.1703395061728389E-4</v>
      </c>
      <c r="P82" s="25"/>
      <c r="Q82" s="25"/>
      <c r="R82" s="25"/>
      <c r="S82" s="25"/>
      <c r="T82" s="25"/>
      <c r="U82" s="28"/>
      <c r="V82" s="25"/>
      <c r="W82" s="15" t="s">
        <v>26</v>
      </c>
      <c r="X82" s="52"/>
    </row>
    <row r="83" spans="1:24" ht="20.45" customHeight="1">
      <c r="A83" s="10" t="s">
        <v>122</v>
      </c>
      <c r="B83" s="11">
        <v>1.0532407407407407E-2</v>
      </c>
      <c r="C83" s="11">
        <v>3.0671296296296297E-3</v>
      </c>
      <c r="D83" s="11">
        <f>B83*E83</f>
        <v>6.1277546296296288E-3</v>
      </c>
      <c r="E83" s="12">
        <v>0.58179999999999998</v>
      </c>
      <c r="F83" s="11">
        <f>C83/4</f>
        <v>7.6678240740740743E-4</v>
      </c>
      <c r="G83" s="11">
        <f>D83/7.5</f>
        <v>8.1703395061728389E-4</v>
      </c>
      <c r="H83" s="11">
        <f>B83/12.5</f>
        <v>8.4259259259259259E-4</v>
      </c>
      <c r="I83" s="11">
        <f>G83/0.93</f>
        <v>8.7853112969600415E-4</v>
      </c>
      <c r="J83" s="11">
        <f>G83/0.92</f>
        <v>8.8808038110574329E-4</v>
      </c>
      <c r="K83" s="11">
        <f>G83/0.88</f>
        <v>9.2844767115600447E-4</v>
      </c>
      <c r="L83" s="11">
        <f>G83/0.84</f>
        <v>9.7265946502057604E-4</v>
      </c>
      <c r="M83" s="25">
        <f>WO2025Jan7men11915171923252931333539414345474955575963656769717375777913[[#This Row],[Thresh]]</f>
        <v>9.2844767115600447E-4</v>
      </c>
      <c r="N83" s="28">
        <f>WO2025Jan7men11915171923252931333539414345474955575963656769717375777913[[#This Row],[Thresh]]*4</f>
        <v>3.7137906846240179E-3</v>
      </c>
      <c r="O83" s="25">
        <f>WO2025Jan7men11915171923252931333539414345474955575963656769717375777913[[#This Row],[VO2]]</f>
        <v>8.1703395061728389E-4</v>
      </c>
      <c r="P83" s="25"/>
      <c r="Q83" s="25"/>
      <c r="R83" s="28"/>
      <c r="S83" s="25"/>
      <c r="T83" s="25"/>
      <c r="U83" s="28"/>
      <c r="V83" s="25"/>
      <c r="W83" s="15" t="s">
        <v>35</v>
      </c>
      <c r="X83" s="52"/>
    </row>
    <row r="84" spans="1:24" ht="20.45" customHeight="1">
      <c r="A84" s="10" t="s">
        <v>123</v>
      </c>
      <c r="B84" s="11">
        <v>1.0590277777777778E-2</v>
      </c>
      <c r="C84" s="11">
        <v>3.1828703703703702E-3</v>
      </c>
      <c r="D84" s="11">
        <f>B84*E84</f>
        <v>6.1614236111111114E-3</v>
      </c>
      <c r="E84" s="12">
        <v>0.58179999999999998</v>
      </c>
      <c r="F84" s="11">
        <f>C84/4</f>
        <v>7.9571759259259255E-4</v>
      </c>
      <c r="G84" s="11">
        <f>D84/7.5</f>
        <v>8.2152314814814816E-4</v>
      </c>
      <c r="H84" s="11">
        <f>B84/12.5</f>
        <v>8.472222222222223E-4</v>
      </c>
      <c r="I84" s="11">
        <f>G84/0.93</f>
        <v>8.8335822381521299E-4</v>
      </c>
      <c r="J84" s="11">
        <f>G84/0.92</f>
        <v>8.9295994363929141E-4</v>
      </c>
      <c r="K84" s="11">
        <f>G84/0.88</f>
        <v>9.3354903198653201E-4</v>
      </c>
      <c r="L84" s="11">
        <f>G84/0.84</f>
        <v>9.7800374779541442E-4</v>
      </c>
      <c r="M84" s="25">
        <f>WO2025Jan7men11915171923252931333539414345474955575963656769717375777913[[#This Row],[Thresh]]</f>
        <v>9.3354903198653201E-4</v>
      </c>
      <c r="N84" s="28">
        <f>WO2025Jan7men11915171923252931333539414345474955575963656769717375777913[[#This Row],[Thresh]]*4</f>
        <v>3.734196127946128E-3</v>
      </c>
      <c r="O84" s="25">
        <f>WO2025Jan7men11915171923252931333539414345474955575963656769717375777913[[#This Row],[VO2]]</f>
        <v>8.2152314814814816E-4</v>
      </c>
      <c r="P84" s="25"/>
      <c r="Q84" s="25"/>
      <c r="R84" s="25"/>
      <c r="S84" s="25"/>
      <c r="T84" s="25"/>
      <c r="U84" s="28"/>
      <c r="V84" s="28"/>
      <c r="W84" s="15" t="s">
        <v>26</v>
      </c>
      <c r="X84" s="52"/>
    </row>
    <row r="85" spans="1:24" ht="20.45" customHeight="1">
      <c r="A85" s="10" t="s">
        <v>88</v>
      </c>
      <c r="B85" s="11">
        <v>1.0590277777777778E-2</v>
      </c>
      <c r="C85" s="11">
        <v>3.0671296296296297E-3</v>
      </c>
      <c r="D85" s="11">
        <f>B85*E85</f>
        <v>6.1614236111111114E-3</v>
      </c>
      <c r="E85" s="12">
        <v>0.58179999999999998</v>
      </c>
      <c r="F85" s="11">
        <f>C85/4</f>
        <v>7.6678240740740743E-4</v>
      </c>
      <c r="G85" s="11">
        <f>D85/7.5</f>
        <v>8.2152314814814816E-4</v>
      </c>
      <c r="H85" s="11">
        <f>B85/12.5</f>
        <v>8.472222222222223E-4</v>
      </c>
      <c r="I85" s="11">
        <f>G85/0.93</f>
        <v>8.8335822381521299E-4</v>
      </c>
      <c r="J85" s="11">
        <f>G85/0.92</f>
        <v>8.9295994363929141E-4</v>
      </c>
      <c r="K85" s="11">
        <f>G85/0.88</f>
        <v>9.3354903198653201E-4</v>
      </c>
      <c r="L85" s="11">
        <f>G85/0.84</f>
        <v>9.7800374779541442E-4</v>
      </c>
      <c r="M85" s="25">
        <f>WO2025Jan7men11915171923252931333539414345474955575963656769717375777913[[#This Row],[Thresh]]</f>
        <v>9.3354903198653201E-4</v>
      </c>
      <c r="N85" s="28">
        <f>WO2025Jan7men11915171923252931333539414345474955575963656769717375777913[[#This Row],[Thresh]]*4</f>
        <v>3.734196127946128E-3</v>
      </c>
      <c r="O85" s="25">
        <f>WO2025Jan7men11915171923252931333539414345474955575963656769717375777913[[#This Row],[VO2]]</f>
        <v>8.2152314814814816E-4</v>
      </c>
      <c r="P85" s="25"/>
      <c r="Q85" s="25"/>
      <c r="R85" s="28"/>
      <c r="S85" s="25"/>
      <c r="T85" s="25"/>
      <c r="U85" s="28"/>
      <c r="V85" s="44"/>
      <c r="W85" s="28" t="s">
        <v>26</v>
      </c>
      <c r="X85" s="52"/>
    </row>
    <row r="86" spans="1:24" ht="20.45" customHeight="1" thickBot="1">
      <c r="A86" s="10" t="s">
        <v>91</v>
      </c>
      <c r="B86" s="11">
        <v>1.0590277777777778E-2</v>
      </c>
      <c r="C86" s="11">
        <v>3.1249999999999997E-3</v>
      </c>
      <c r="D86" s="11">
        <f t="shared" si="24"/>
        <v>6.1614236111111114E-3</v>
      </c>
      <c r="E86" s="12">
        <v>0.58179999999999998</v>
      </c>
      <c r="F86" s="11">
        <f t="shared" si="25"/>
        <v>7.8124999999999993E-4</v>
      </c>
      <c r="G86" s="11">
        <f t="shared" si="26"/>
        <v>8.2152314814814816E-4</v>
      </c>
      <c r="H86" s="11">
        <f t="shared" si="27"/>
        <v>8.472222222222223E-4</v>
      </c>
      <c r="I86" s="11">
        <f t="shared" si="28"/>
        <v>8.8335822381521299E-4</v>
      </c>
      <c r="J86" s="11">
        <f t="shared" si="29"/>
        <v>8.9295994363929141E-4</v>
      </c>
      <c r="K86" s="11">
        <f t="shared" si="30"/>
        <v>9.3354903198653201E-4</v>
      </c>
      <c r="L86" s="11">
        <f t="shared" si="31"/>
        <v>9.7800374779541442E-4</v>
      </c>
      <c r="M86" s="25">
        <f>WO2025Jan7men11915171923252931333539414345474955575963656769717375777913[[#This Row],[Thresh]]</f>
        <v>9.3354903198653201E-4</v>
      </c>
      <c r="N86" s="28">
        <f>WO2025Jan7men11915171923252931333539414345474955575963656769717375777913[[#This Row],[Thresh]]*4</f>
        <v>3.734196127946128E-3</v>
      </c>
      <c r="O86" s="25">
        <f>WO2025Jan7men11915171923252931333539414345474955575963656769717375777913[[#This Row],[VO2]]</f>
        <v>8.2152314814814816E-4</v>
      </c>
      <c r="P86" s="25"/>
      <c r="Q86" s="25"/>
      <c r="R86" s="28"/>
      <c r="S86" s="25"/>
      <c r="T86" s="25"/>
      <c r="U86" s="28"/>
      <c r="V86" s="25"/>
      <c r="W86" s="15" t="s">
        <v>26</v>
      </c>
      <c r="X86" s="52"/>
    </row>
    <row r="87" spans="1:24" ht="20.45" customHeight="1">
      <c r="A87" s="1" t="s">
        <v>321</v>
      </c>
      <c r="B87" s="6"/>
      <c r="C87" s="6"/>
      <c r="D87" s="6"/>
      <c r="E87" s="20"/>
      <c r="F87" s="6"/>
      <c r="G87" s="6"/>
      <c r="H87" s="6"/>
      <c r="I87" s="6"/>
      <c r="J87" s="6"/>
      <c r="K87" s="6"/>
      <c r="L87" s="6"/>
      <c r="M87" s="6" t="s">
        <v>12</v>
      </c>
      <c r="N87" s="6" t="s">
        <v>327</v>
      </c>
      <c r="O87" s="6" t="s">
        <v>158</v>
      </c>
      <c r="P87" s="6"/>
      <c r="Q87" s="22"/>
      <c r="R87" s="6"/>
      <c r="S87" s="6"/>
      <c r="T87" s="6"/>
      <c r="U87" s="6"/>
      <c r="V87" s="23"/>
      <c r="W87" s="35"/>
      <c r="X87" s="52"/>
    </row>
    <row r="88" spans="1:24" ht="20.45" customHeight="1">
      <c r="A88" s="10" t="s">
        <v>129</v>
      </c>
      <c r="B88" s="11">
        <v>1.0590277777777778E-2</v>
      </c>
      <c r="C88" s="11">
        <v>3.0092592592592593E-3</v>
      </c>
      <c r="D88" s="11">
        <f t="shared" ref="D88:D94" si="40">B88*E88</f>
        <v>6.1614236111111114E-3</v>
      </c>
      <c r="E88" s="12">
        <v>0.58179999999999998</v>
      </c>
      <c r="F88" s="11">
        <f t="shared" ref="F88:F94" si="41">C88/4</f>
        <v>7.5231481481481482E-4</v>
      </c>
      <c r="G88" s="11">
        <f t="shared" ref="G88:G94" si="42">D88/7.5</f>
        <v>8.2152314814814816E-4</v>
      </c>
      <c r="H88" s="11">
        <f t="shared" ref="H88:H94" si="43">B88/12.5</f>
        <v>8.472222222222223E-4</v>
      </c>
      <c r="I88" s="11">
        <f t="shared" ref="I88:I94" si="44">G88/0.93</f>
        <v>8.8335822381521299E-4</v>
      </c>
      <c r="J88" s="11">
        <f t="shared" ref="J88:J94" si="45">G88/0.92</f>
        <v>8.9295994363929141E-4</v>
      </c>
      <c r="K88" s="11">
        <f t="shared" ref="K88:K94" si="46">G88/0.88</f>
        <v>9.3354903198653201E-4</v>
      </c>
      <c r="L88" s="11">
        <f t="shared" ref="L88:L94" si="47">G88/0.84</f>
        <v>9.7800374779541442E-4</v>
      </c>
      <c r="M88" s="25">
        <f>WO2025Jan7men11915171923252931333539414345474955575963656769717375777913[[#This Row],[Thresh]]</f>
        <v>9.3354903198653201E-4</v>
      </c>
      <c r="N88" s="28">
        <f>WO2025Jan7men11915171923252931333539414345474955575963656769717375777913[[#This Row],[Thresh]]*4</f>
        <v>3.734196127946128E-3</v>
      </c>
      <c r="O88" s="25">
        <f>WO2025Jan7men11915171923252931333539414345474955575963656769717375777913[[#This Row],[VO2]]</f>
        <v>8.2152314814814816E-4</v>
      </c>
      <c r="P88" s="25"/>
      <c r="Q88" s="25"/>
      <c r="R88" s="25"/>
      <c r="S88" s="25"/>
      <c r="T88" s="25"/>
      <c r="U88" s="28"/>
      <c r="V88" s="25"/>
      <c r="W88" s="15" t="s">
        <v>35</v>
      </c>
      <c r="X88" s="52" t="s">
        <v>331</v>
      </c>
    </row>
    <row r="89" spans="1:24" ht="20.45" customHeight="1">
      <c r="A89" s="10" t="s">
        <v>121</v>
      </c>
      <c r="B89" s="11">
        <v>1.0590277777777778E-2</v>
      </c>
      <c r="C89" s="11"/>
      <c r="D89" s="11">
        <f t="shared" si="40"/>
        <v>6.1614236111111114E-3</v>
      </c>
      <c r="E89" s="12">
        <v>0.58179999999999998</v>
      </c>
      <c r="F89" s="11">
        <f t="shared" si="41"/>
        <v>0</v>
      </c>
      <c r="G89" s="11">
        <f t="shared" si="42"/>
        <v>8.2152314814814816E-4</v>
      </c>
      <c r="H89" s="11">
        <f t="shared" si="43"/>
        <v>8.472222222222223E-4</v>
      </c>
      <c r="I89" s="11">
        <f t="shared" si="44"/>
        <v>8.8335822381521299E-4</v>
      </c>
      <c r="J89" s="11">
        <f t="shared" si="45"/>
        <v>8.9295994363929141E-4</v>
      </c>
      <c r="K89" s="11">
        <f t="shared" si="46"/>
        <v>9.3354903198653201E-4</v>
      </c>
      <c r="L89" s="11">
        <f t="shared" si="47"/>
        <v>9.7800374779541442E-4</v>
      </c>
      <c r="M89" s="25">
        <f>WO2025Jan7men11915171923252931333539414345474955575963656769717375777913[[#This Row],[Thresh]]</f>
        <v>9.3354903198653201E-4</v>
      </c>
      <c r="N89" s="28">
        <f>WO2025Jan7men11915171923252931333539414345474955575963656769717375777913[[#This Row],[Thresh]]*4</f>
        <v>3.734196127946128E-3</v>
      </c>
      <c r="O89" s="25">
        <f>WO2025Jan7men11915171923252931333539414345474955575963656769717375777913[[#This Row],[VO2]]</f>
        <v>8.2152314814814816E-4</v>
      </c>
      <c r="P89" s="25"/>
      <c r="Q89" s="25"/>
      <c r="R89" s="26"/>
      <c r="S89" s="14"/>
      <c r="T89" s="14"/>
      <c r="U89" s="26"/>
      <c r="V89" s="28"/>
      <c r="W89" s="27" t="s">
        <v>35</v>
      </c>
      <c r="X89" s="52"/>
    </row>
    <row r="90" spans="1:24" ht="20.45" customHeight="1">
      <c r="A90" s="10" t="s">
        <v>90</v>
      </c>
      <c r="B90" s="11">
        <v>1.0648148148148148E-2</v>
      </c>
      <c r="C90" s="11">
        <v>3.0671296296296297E-3</v>
      </c>
      <c r="D90" s="11">
        <f t="shared" si="40"/>
        <v>6.1950925925925923E-3</v>
      </c>
      <c r="E90" s="12">
        <v>0.58179999999999998</v>
      </c>
      <c r="F90" s="11">
        <f t="shared" si="41"/>
        <v>7.6678240740740743E-4</v>
      </c>
      <c r="G90" s="11">
        <f t="shared" si="42"/>
        <v>8.2601234567901232E-4</v>
      </c>
      <c r="H90" s="11">
        <f t="shared" si="43"/>
        <v>8.5185185185185179E-4</v>
      </c>
      <c r="I90" s="11">
        <f t="shared" si="44"/>
        <v>8.8818531793442184E-4</v>
      </c>
      <c r="J90" s="11">
        <f t="shared" si="45"/>
        <v>8.9783950617283942E-4</v>
      </c>
      <c r="K90" s="11">
        <f t="shared" si="46"/>
        <v>9.3865039281705945E-4</v>
      </c>
      <c r="L90" s="17">
        <f t="shared" si="47"/>
        <v>9.833480305702527E-4</v>
      </c>
      <c r="M90" s="25">
        <f>WO2025Jan7men11915171923252931333539414345474955575963656769717375777913[[#This Row],[Thresh]]</f>
        <v>9.3865039281705945E-4</v>
      </c>
      <c r="N90" s="28">
        <f>WO2025Jan7men11915171923252931333539414345474955575963656769717375777913[[#This Row],[Thresh]]*4</f>
        <v>3.7546015712682378E-3</v>
      </c>
      <c r="O90" s="25">
        <f>WO2025Jan7men11915171923252931333539414345474955575963656769717375777913[[#This Row],[VO2]]</f>
        <v>8.2601234567901232E-4</v>
      </c>
      <c r="P90" s="25"/>
      <c r="Q90" s="25"/>
      <c r="R90" s="25"/>
      <c r="S90" s="25"/>
      <c r="T90" s="25"/>
      <c r="U90" s="28"/>
      <c r="V90" s="25"/>
      <c r="W90" s="15" t="s">
        <v>35</v>
      </c>
      <c r="X90" s="52"/>
    </row>
    <row r="91" spans="1:24" ht="20.45" customHeight="1">
      <c r="A91" s="10" t="s">
        <v>125</v>
      </c>
      <c r="B91" s="11">
        <v>1.0648148148148148E-2</v>
      </c>
      <c r="C91" s="11"/>
      <c r="D91" s="11">
        <f t="shared" si="40"/>
        <v>6.1950925925925923E-3</v>
      </c>
      <c r="E91" s="12">
        <v>0.58179999999999998</v>
      </c>
      <c r="F91" s="11">
        <f t="shared" si="41"/>
        <v>0</v>
      </c>
      <c r="G91" s="11">
        <f t="shared" si="42"/>
        <v>8.2601234567901232E-4</v>
      </c>
      <c r="H91" s="11">
        <f t="shared" si="43"/>
        <v>8.5185185185185179E-4</v>
      </c>
      <c r="I91" s="11">
        <f t="shared" si="44"/>
        <v>8.8818531793442184E-4</v>
      </c>
      <c r="J91" s="11">
        <f t="shared" si="45"/>
        <v>8.9783950617283942E-4</v>
      </c>
      <c r="K91" s="11">
        <f t="shared" si="46"/>
        <v>9.3865039281705945E-4</v>
      </c>
      <c r="L91" s="11">
        <f t="shared" si="47"/>
        <v>9.833480305702527E-4</v>
      </c>
      <c r="M91" s="25">
        <f>WO2025Jan7men11915171923252931333539414345474955575963656769717375777913[[#This Row],[Thresh]]</f>
        <v>9.3865039281705945E-4</v>
      </c>
      <c r="N91" s="28">
        <f>WO2025Jan7men11915171923252931333539414345474955575963656769717375777913[[#This Row],[Thresh]]*4</f>
        <v>3.7546015712682378E-3</v>
      </c>
      <c r="O91" s="25">
        <f>WO2025Jan7men11915171923252931333539414345474955575963656769717375777913[[#This Row],[VO2]]</f>
        <v>8.2601234567901232E-4</v>
      </c>
      <c r="P91" s="25"/>
      <c r="Q91" s="25"/>
      <c r="R91" s="28"/>
      <c r="S91" s="25"/>
      <c r="T91" s="25"/>
      <c r="U91" s="28"/>
      <c r="V91" s="28"/>
      <c r="W91" s="15" t="s">
        <v>35</v>
      </c>
      <c r="X91" s="52"/>
    </row>
    <row r="92" spans="1:24" ht="20.45" customHeight="1">
      <c r="A92" s="10" t="s">
        <v>264</v>
      </c>
      <c r="B92" s="11">
        <v>1.0648148148148148E-2</v>
      </c>
      <c r="C92" s="11"/>
      <c r="D92" s="11">
        <f t="shared" si="40"/>
        <v>6.1950925925925923E-3</v>
      </c>
      <c r="E92" s="12">
        <v>0.58179999999999998</v>
      </c>
      <c r="F92" s="11">
        <f t="shared" si="41"/>
        <v>0</v>
      </c>
      <c r="G92" s="11">
        <f t="shared" si="42"/>
        <v>8.2601234567901232E-4</v>
      </c>
      <c r="H92" s="11">
        <f t="shared" si="43"/>
        <v>8.5185185185185179E-4</v>
      </c>
      <c r="I92" s="11">
        <f t="shared" si="44"/>
        <v>8.8818531793442184E-4</v>
      </c>
      <c r="J92" s="11">
        <f t="shared" si="45"/>
        <v>8.9783950617283942E-4</v>
      </c>
      <c r="K92" s="11">
        <f t="shared" si="46"/>
        <v>9.3865039281705945E-4</v>
      </c>
      <c r="L92" s="11">
        <f t="shared" si="47"/>
        <v>9.833480305702527E-4</v>
      </c>
      <c r="M92" s="25">
        <f>WO2025Jan7men11915171923252931333539414345474955575963656769717375777913[[#This Row],[Thresh]]</f>
        <v>9.3865039281705945E-4</v>
      </c>
      <c r="N92" s="28">
        <f>WO2025Jan7men11915171923252931333539414345474955575963656769717375777913[[#This Row],[Thresh]]*4</f>
        <v>3.7546015712682378E-3</v>
      </c>
      <c r="O92" s="25">
        <f>WO2025Jan7men11915171923252931333539414345474955575963656769717375777913[[#This Row],[VO2]]</f>
        <v>8.2601234567901232E-4</v>
      </c>
      <c r="P92" s="25"/>
      <c r="Q92" s="25"/>
      <c r="R92" s="26"/>
      <c r="S92" s="14"/>
      <c r="T92" s="14"/>
      <c r="U92" s="26"/>
      <c r="V92" s="28"/>
      <c r="W92" s="27" t="s">
        <v>35</v>
      </c>
      <c r="X92" s="52"/>
    </row>
    <row r="93" spans="1:24" ht="20.45" customHeight="1">
      <c r="A93" s="10" t="s">
        <v>126</v>
      </c>
      <c r="B93" s="11">
        <v>1.0648148148148148E-2</v>
      </c>
      <c r="C93" s="11"/>
      <c r="D93" s="11">
        <f t="shared" si="40"/>
        <v>6.1950925925925923E-3</v>
      </c>
      <c r="E93" s="12">
        <v>0.58179999999999998</v>
      </c>
      <c r="F93" s="11">
        <f t="shared" si="41"/>
        <v>0</v>
      </c>
      <c r="G93" s="11">
        <f t="shared" si="42"/>
        <v>8.2601234567901232E-4</v>
      </c>
      <c r="H93" s="11">
        <f t="shared" si="43"/>
        <v>8.5185185185185179E-4</v>
      </c>
      <c r="I93" s="11">
        <f t="shared" si="44"/>
        <v>8.8818531793442184E-4</v>
      </c>
      <c r="J93" s="11">
        <f t="shared" si="45"/>
        <v>8.9783950617283942E-4</v>
      </c>
      <c r="K93" s="11">
        <f t="shared" si="46"/>
        <v>9.3865039281705945E-4</v>
      </c>
      <c r="L93" s="11">
        <f t="shared" si="47"/>
        <v>9.833480305702527E-4</v>
      </c>
      <c r="M93" s="25">
        <f>WO2025Jan7men11915171923252931333539414345474955575963656769717375777913[[#This Row],[Thresh]]</f>
        <v>9.3865039281705945E-4</v>
      </c>
      <c r="N93" s="28">
        <f>WO2025Jan7men11915171923252931333539414345474955575963656769717375777913[[#This Row],[Thresh]]*4</f>
        <v>3.7546015712682378E-3</v>
      </c>
      <c r="O93" s="25">
        <f>WO2025Jan7men11915171923252931333539414345474955575963656769717375777913[[#This Row],[VO2]]</f>
        <v>8.2601234567901232E-4</v>
      </c>
      <c r="P93" s="25"/>
      <c r="Q93" s="25"/>
      <c r="R93" s="28"/>
      <c r="S93" s="25"/>
      <c r="T93" s="25"/>
      <c r="U93" s="28"/>
      <c r="V93" s="28"/>
      <c r="W93" s="27" t="s">
        <v>35</v>
      </c>
      <c r="X93" s="52"/>
    </row>
    <row r="94" spans="1:24" ht="20.45" customHeight="1">
      <c r="A94" s="10" t="s">
        <v>124</v>
      </c>
      <c r="B94" s="11">
        <v>1.0648148148148148E-2</v>
      </c>
      <c r="C94" s="11"/>
      <c r="D94" s="11">
        <f t="shared" si="40"/>
        <v>6.1950925925925923E-3</v>
      </c>
      <c r="E94" s="12">
        <v>0.58179999999999998</v>
      </c>
      <c r="F94" s="11">
        <f t="shared" si="41"/>
        <v>0</v>
      </c>
      <c r="G94" s="11">
        <f t="shared" si="42"/>
        <v>8.2601234567901232E-4</v>
      </c>
      <c r="H94" s="11">
        <f t="shared" si="43"/>
        <v>8.5185185185185179E-4</v>
      </c>
      <c r="I94" s="11">
        <f t="shared" si="44"/>
        <v>8.8818531793442184E-4</v>
      </c>
      <c r="J94" s="11">
        <f t="shared" si="45"/>
        <v>8.9783950617283942E-4</v>
      </c>
      <c r="K94" s="11">
        <f t="shared" si="46"/>
        <v>9.3865039281705945E-4</v>
      </c>
      <c r="L94" s="11">
        <f t="shared" si="47"/>
        <v>9.833480305702527E-4</v>
      </c>
      <c r="M94" s="25">
        <f>WO2025Jan7men11915171923252931333539414345474955575963656769717375777913[[#This Row],[Thresh]]</f>
        <v>9.3865039281705945E-4</v>
      </c>
      <c r="N94" s="28">
        <f>WO2025Jan7men11915171923252931333539414345474955575963656769717375777913[[#This Row],[Thresh]]*4</f>
        <v>3.7546015712682378E-3</v>
      </c>
      <c r="O94" s="25">
        <f>WO2025Jan7men11915171923252931333539414345474955575963656769717375777913[[#This Row],[VO2]]</f>
        <v>8.2601234567901232E-4</v>
      </c>
      <c r="P94" s="25"/>
      <c r="Q94" s="25"/>
      <c r="R94" s="26"/>
      <c r="S94" s="14"/>
      <c r="T94" s="14"/>
      <c r="U94" s="26"/>
      <c r="V94" s="28"/>
      <c r="W94" s="27" t="s">
        <v>35</v>
      </c>
      <c r="X94" s="52"/>
    </row>
    <row r="95" spans="1:24" ht="20.45" customHeight="1">
      <c r="A95" s="10" t="s">
        <v>127</v>
      </c>
      <c r="B95" s="11">
        <v>1.0763888888888891E-2</v>
      </c>
      <c r="C95" s="11"/>
      <c r="D95" s="11">
        <f t="shared" ref="D95:D96" si="48">B95*E95</f>
        <v>6.2624305555555567E-3</v>
      </c>
      <c r="E95" s="12">
        <v>0.58179999999999998</v>
      </c>
      <c r="F95" s="11">
        <f t="shared" ref="F95:F96" si="49">C95/4</f>
        <v>0</v>
      </c>
      <c r="G95" s="11">
        <f t="shared" ref="G95:G96" si="50">D95/7.5</f>
        <v>8.3499074074074085E-4</v>
      </c>
      <c r="H95" s="11">
        <f t="shared" ref="H95:H96" si="51">B95/12.5</f>
        <v>8.6111111111111121E-4</v>
      </c>
      <c r="I95" s="11">
        <f t="shared" ref="I95:I96" si="52">G95/0.93</f>
        <v>8.9783950617283953E-4</v>
      </c>
      <c r="J95" s="11">
        <f t="shared" ref="J95:J96" si="53">G95/0.92</f>
        <v>9.0759863123993567E-4</v>
      </c>
      <c r="K95" s="11">
        <f t="shared" ref="K95:K96" si="54">G95/0.88</f>
        <v>9.4885311447811464E-4</v>
      </c>
      <c r="L95" s="11">
        <f t="shared" ref="L95:L96" si="55">G95/0.84</f>
        <v>9.9403659611992969E-4</v>
      </c>
      <c r="M95" s="25">
        <f>WO2025Jan7men11915171923252931333539414345474955575963656769717375777913[[#This Row],[Thresh]]</f>
        <v>9.4885311447811464E-4</v>
      </c>
      <c r="N95" s="28">
        <f>WO2025Jan7men11915171923252931333539414345474955575963656769717375777913[[#This Row],[Thresh]]*4</f>
        <v>3.7954124579124586E-3</v>
      </c>
      <c r="O95" s="25">
        <f>WO2025Jan7men11915171923252931333539414345474955575963656769717375777913[[#This Row],[VO2]]</f>
        <v>8.3499074074074085E-4</v>
      </c>
      <c r="P95" s="25"/>
      <c r="Q95" s="25"/>
      <c r="R95" s="28"/>
      <c r="S95" s="25"/>
      <c r="T95" s="25"/>
      <c r="U95" s="28"/>
      <c r="V95" s="48" t="s">
        <v>332</v>
      </c>
      <c r="W95" s="15" t="s">
        <v>35</v>
      </c>
      <c r="X95" s="52"/>
    </row>
    <row r="96" spans="1:24" ht="20.45" customHeight="1">
      <c r="A96" s="10" t="s">
        <v>131</v>
      </c>
      <c r="B96" s="11">
        <v>1.0763888888888891E-2</v>
      </c>
      <c r="C96" s="11">
        <v>3.1828703703703702E-3</v>
      </c>
      <c r="D96" s="11">
        <f t="shared" si="48"/>
        <v>6.2624305555555567E-3</v>
      </c>
      <c r="E96" s="12">
        <v>0.58179999999999998</v>
      </c>
      <c r="F96" s="11">
        <f t="shared" si="49"/>
        <v>7.9571759259259255E-4</v>
      </c>
      <c r="G96" s="11">
        <f t="shared" si="50"/>
        <v>8.3499074074074085E-4</v>
      </c>
      <c r="H96" s="11">
        <f t="shared" si="51"/>
        <v>8.6111111111111121E-4</v>
      </c>
      <c r="I96" s="11">
        <f t="shared" si="52"/>
        <v>8.9783950617283953E-4</v>
      </c>
      <c r="J96" s="11">
        <f t="shared" si="53"/>
        <v>9.0759863123993567E-4</v>
      </c>
      <c r="K96" s="11">
        <f t="shared" si="54"/>
        <v>9.4885311447811464E-4</v>
      </c>
      <c r="L96" s="11">
        <f t="shared" si="55"/>
        <v>9.9403659611992969E-4</v>
      </c>
      <c r="M96" s="25">
        <f>WO2025Jan7men11915171923252931333539414345474955575963656769717375777913[[#This Row],[Thresh]]</f>
        <v>9.4885311447811464E-4</v>
      </c>
      <c r="N96" s="28">
        <f>WO2025Jan7men11915171923252931333539414345474955575963656769717375777913[[#This Row],[Thresh]]*4</f>
        <v>3.7954124579124586E-3</v>
      </c>
      <c r="O96" s="25">
        <f>WO2025Jan7men11915171923252931333539414345474955575963656769717375777913[[#This Row],[VO2]]</f>
        <v>8.3499074074074085E-4</v>
      </c>
      <c r="P96" s="25"/>
      <c r="Q96" s="25"/>
      <c r="R96" s="28"/>
      <c r="S96" s="25"/>
      <c r="T96" s="25"/>
      <c r="U96" s="28"/>
      <c r="V96" s="28"/>
      <c r="W96" s="15" t="s">
        <v>26</v>
      </c>
      <c r="X96" s="52"/>
    </row>
    <row r="97" spans="1:24" ht="20.45" customHeight="1">
      <c r="A97" s="10" t="s">
        <v>130</v>
      </c>
      <c r="B97" s="11">
        <v>1.0763888888888891E-2</v>
      </c>
      <c r="C97" s="11">
        <v>3.1828703703703702E-3</v>
      </c>
      <c r="D97" s="11">
        <f>B97*E97</f>
        <v>6.2624305555555567E-3</v>
      </c>
      <c r="E97" s="12">
        <v>0.58179999999999998</v>
      </c>
      <c r="F97" s="11">
        <f>C97/4</f>
        <v>7.9571759259259255E-4</v>
      </c>
      <c r="G97" s="11">
        <f>D97/7.5</f>
        <v>8.3499074074074085E-4</v>
      </c>
      <c r="H97" s="11">
        <f>B97/12.5</f>
        <v>8.6111111111111121E-4</v>
      </c>
      <c r="I97" s="11">
        <f>G97/0.93</f>
        <v>8.9783950617283953E-4</v>
      </c>
      <c r="J97" s="11">
        <f>G97/0.92</f>
        <v>9.0759863123993567E-4</v>
      </c>
      <c r="K97" s="11">
        <f>G97/0.88</f>
        <v>9.4885311447811464E-4</v>
      </c>
      <c r="L97" s="11">
        <f>G97/0.84</f>
        <v>9.9403659611992969E-4</v>
      </c>
      <c r="M97" s="25">
        <f>WO2025Jan7men11915171923252931333539414345474955575963656769717375777913[[#This Row],[Thresh]]</f>
        <v>9.4885311447811464E-4</v>
      </c>
      <c r="N97" s="28">
        <f>WO2025Jan7men11915171923252931333539414345474955575963656769717375777913[[#This Row],[Thresh]]*4</f>
        <v>3.7954124579124586E-3</v>
      </c>
      <c r="O97" s="25">
        <f>WO2025Jan7men11915171923252931333539414345474955575963656769717375777913[[#This Row],[VO2]]</f>
        <v>8.3499074074074085E-4</v>
      </c>
      <c r="P97" s="25"/>
      <c r="Q97" s="25"/>
      <c r="R97" s="28"/>
      <c r="S97" s="25"/>
      <c r="T97" s="25"/>
      <c r="U97" s="28"/>
      <c r="V97" s="48" t="s">
        <v>332</v>
      </c>
      <c r="W97" s="27" t="s">
        <v>35</v>
      </c>
      <c r="X97" s="52"/>
    </row>
    <row r="98" spans="1:24" ht="20.45" customHeight="1">
      <c r="A98" s="10" t="s">
        <v>114</v>
      </c>
      <c r="B98" s="11">
        <v>1.087962962962963E-2</v>
      </c>
      <c r="C98" s="11"/>
      <c r="D98" s="11">
        <f>B98*E98</f>
        <v>6.3297685185185184E-3</v>
      </c>
      <c r="E98" s="12">
        <v>0.58179999999999998</v>
      </c>
      <c r="F98" s="11">
        <f>C98/4</f>
        <v>0</v>
      </c>
      <c r="G98" s="11">
        <f>D98/7.5</f>
        <v>8.4396913580246917E-4</v>
      </c>
      <c r="H98" s="11">
        <f>B98/12.5</f>
        <v>8.7037037037037042E-4</v>
      </c>
      <c r="I98" s="11">
        <f>G98/0.93</f>
        <v>9.0749369441125711E-4</v>
      </c>
      <c r="J98" s="11">
        <f>G98/0.92</f>
        <v>9.173577563070317E-4</v>
      </c>
      <c r="K98" s="11">
        <f>G98/0.88</f>
        <v>9.5905583613916951E-4</v>
      </c>
      <c r="L98" s="11">
        <f>G98/0.84</f>
        <v>1.0047251616696062E-3</v>
      </c>
      <c r="M98" s="25">
        <f>WO2025Jan7men11915171923252931333539414345474955575963656769717375777913[[#This Row],[Thresh]]</f>
        <v>9.5905583613916951E-4</v>
      </c>
      <c r="N98" s="28">
        <f>WO2025Jan7men11915171923252931333539414345474955575963656769717375777913[[#This Row],[Thresh]]*4</f>
        <v>3.836223344556678E-3</v>
      </c>
      <c r="O98" s="25">
        <f>WO2025Jan7men11915171923252931333539414345474955575963656769717375777913[[#This Row],[VO2]]</f>
        <v>8.4396913580246917E-4</v>
      </c>
      <c r="P98" s="25"/>
      <c r="Q98" s="25"/>
      <c r="R98" s="28"/>
      <c r="S98" s="25"/>
      <c r="T98" s="25"/>
      <c r="U98" s="28"/>
      <c r="V98" s="28"/>
      <c r="W98" s="15" t="s">
        <v>35</v>
      </c>
      <c r="X98" s="50" t="s">
        <v>233</v>
      </c>
    </row>
    <row r="99" spans="1:24" ht="20.45" customHeight="1">
      <c r="A99" s="10" t="s">
        <v>137</v>
      </c>
      <c r="B99" s="11">
        <v>1.087962962962963E-2</v>
      </c>
      <c r="C99" s="11"/>
      <c r="D99" s="11">
        <f>B99*E99</f>
        <v>6.3297685185185184E-3</v>
      </c>
      <c r="E99" s="12">
        <v>0.58179999999999998</v>
      </c>
      <c r="F99" s="11">
        <f>C99/4</f>
        <v>0</v>
      </c>
      <c r="G99" s="11">
        <f>D99/7.5</f>
        <v>8.4396913580246917E-4</v>
      </c>
      <c r="H99" s="11">
        <f>B99/12.5</f>
        <v>8.7037037037037042E-4</v>
      </c>
      <c r="I99" s="11">
        <f>G99/0.93</f>
        <v>9.0749369441125711E-4</v>
      </c>
      <c r="J99" s="11">
        <f>G99/0.92</f>
        <v>9.173577563070317E-4</v>
      </c>
      <c r="K99" s="11">
        <f>G99/0.88</f>
        <v>9.5905583613916951E-4</v>
      </c>
      <c r="L99" s="11">
        <f>G99/0.84</f>
        <v>1.0047251616696062E-3</v>
      </c>
      <c r="M99" s="25">
        <f>WO2025Jan7men11915171923252931333539414345474955575963656769717375777913[[#This Row],[Thresh]]</f>
        <v>9.5905583613916951E-4</v>
      </c>
      <c r="N99" s="28">
        <f>WO2025Jan7men11915171923252931333539414345474955575963656769717375777913[[#This Row],[Thresh]]*4</f>
        <v>3.836223344556678E-3</v>
      </c>
      <c r="O99" s="25">
        <f>WO2025Jan7men11915171923252931333539414345474955575963656769717375777913[[#This Row],[VO2]]</f>
        <v>8.4396913580246917E-4</v>
      </c>
      <c r="P99" s="25"/>
      <c r="Q99" s="25"/>
      <c r="R99" s="28"/>
      <c r="S99" s="25"/>
      <c r="T99" s="25"/>
      <c r="U99" s="28"/>
      <c r="V99" s="28"/>
      <c r="W99" s="15" t="s">
        <v>35</v>
      </c>
      <c r="X99" s="50"/>
    </row>
    <row r="100" spans="1:24" ht="20.45" customHeight="1">
      <c r="A100" s="10" t="s">
        <v>132</v>
      </c>
      <c r="B100" s="11">
        <v>1.087962962962963E-2</v>
      </c>
      <c r="C100" s="11"/>
      <c r="D100" s="11">
        <f>B100*E100</f>
        <v>6.3297685185185184E-3</v>
      </c>
      <c r="E100" s="12">
        <v>0.58179999999999998</v>
      </c>
      <c r="F100" s="11">
        <f>C100/4</f>
        <v>0</v>
      </c>
      <c r="G100" s="11">
        <f>D100/7.5</f>
        <v>8.4396913580246917E-4</v>
      </c>
      <c r="H100" s="11">
        <f>B100/12.5</f>
        <v>8.7037037037037042E-4</v>
      </c>
      <c r="I100" s="11">
        <f>G100/0.93</f>
        <v>9.0749369441125711E-4</v>
      </c>
      <c r="J100" s="11">
        <f>G100/0.92</f>
        <v>9.173577563070317E-4</v>
      </c>
      <c r="K100" s="11">
        <f>G100/0.88</f>
        <v>9.5905583613916951E-4</v>
      </c>
      <c r="L100" s="11">
        <f>G100/0.84</f>
        <v>1.0047251616696062E-3</v>
      </c>
      <c r="M100" s="25">
        <f>WO2025Jan7men11915171923252931333539414345474955575963656769717375777913[[#This Row],[Thresh]]</f>
        <v>9.5905583613916951E-4</v>
      </c>
      <c r="N100" s="28">
        <f>WO2025Jan7men11915171923252931333539414345474955575963656769717375777913[[#This Row],[Thresh]]*4</f>
        <v>3.836223344556678E-3</v>
      </c>
      <c r="O100" s="25">
        <f>WO2025Jan7men11915171923252931333539414345474955575963656769717375777913[[#This Row],[VO2]]</f>
        <v>8.4396913580246917E-4</v>
      </c>
      <c r="P100" s="25"/>
      <c r="Q100" s="25"/>
      <c r="R100" s="26"/>
      <c r="S100" s="14"/>
      <c r="T100" s="14"/>
      <c r="U100" s="26"/>
      <c r="V100" s="28"/>
      <c r="W100" s="27" t="s">
        <v>35</v>
      </c>
      <c r="X100" s="50"/>
    </row>
    <row r="101" spans="1:24" ht="20.45" customHeight="1">
      <c r="A101" s="10" t="s">
        <v>133</v>
      </c>
      <c r="B101" s="11">
        <v>1.087962962962963E-2</v>
      </c>
      <c r="C101" s="11">
        <v>3.1250000000000002E-3</v>
      </c>
      <c r="D101" s="11">
        <f>B101*E101</f>
        <v>6.3297685185185184E-3</v>
      </c>
      <c r="E101" s="12">
        <v>0.58179999999999998</v>
      </c>
      <c r="F101" s="11">
        <f>C101/4</f>
        <v>7.8125000000000004E-4</v>
      </c>
      <c r="G101" s="11">
        <f>D101/7.5</f>
        <v>8.4396913580246917E-4</v>
      </c>
      <c r="H101" s="11">
        <f>B101/12.5</f>
        <v>8.7037037037037042E-4</v>
      </c>
      <c r="I101" s="11">
        <f>G101/0.93</f>
        <v>9.0749369441125711E-4</v>
      </c>
      <c r="J101" s="11">
        <f>G101/0.92</f>
        <v>9.173577563070317E-4</v>
      </c>
      <c r="K101" s="11">
        <f>G101/0.88</f>
        <v>9.5905583613916951E-4</v>
      </c>
      <c r="L101" s="11">
        <f>G101/0.84</f>
        <v>1.0047251616696062E-3</v>
      </c>
      <c r="M101" s="25">
        <f>WO2025Jan7men11915171923252931333539414345474955575963656769717375777913[[#This Row],[Thresh]]</f>
        <v>9.5905583613916951E-4</v>
      </c>
      <c r="N101" s="28">
        <f>WO2025Jan7men11915171923252931333539414345474955575963656769717375777913[[#This Row],[Thresh]]*4</f>
        <v>3.836223344556678E-3</v>
      </c>
      <c r="O101" s="25">
        <f>WO2025Jan7men11915171923252931333539414345474955575963656769717375777913[[#This Row],[VO2]]</f>
        <v>8.4396913580246917E-4</v>
      </c>
      <c r="P101" s="25"/>
      <c r="Q101" s="25"/>
      <c r="R101" s="25"/>
      <c r="S101" s="25"/>
      <c r="T101" s="25"/>
      <c r="U101" s="28"/>
      <c r="V101" s="25"/>
      <c r="W101" s="15" t="s">
        <v>35</v>
      </c>
      <c r="X101" s="50"/>
    </row>
    <row r="102" spans="1:24" ht="20.45" customHeight="1">
      <c r="A102" s="10" t="s">
        <v>113</v>
      </c>
      <c r="B102" s="11">
        <v>1.087962962962963E-2</v>
      </c>
      <c r="C102" s="11">
        <v>3.2986111111111111E-3</v>
      </c>
      <c r="D102" s="11">
        <f t="shared" ref="D102" si="56">B102*E102</f>
        <v>6.3297685185185184E-3</v>
      </c>
      <c r="E102" s="12">
        <v>0.58179999999999998</v>
      </c>
      <c r="F102" s="11">
        <f t="shared" ref="F102" si="57">C102/4</f>
        <v>8.2465277777777778E-4</v>
      </c>
      <c r="G102" s="11">
        <f t="shared" ref="G102" si="58">D102/7.5</f>
        <v>8.4396913580246917E-4</v>
      </c>
      <c r="H102" s="11">
        <f t="shared" ref="H102" si="59">B102/12.5</f>
        <v>8.7037037037037042E-4</v>
      </c>
      <c r="I102" s="11">
        <f t="shared" ref="I102" si="60">G102/0.93</f>
        <v>9.0749369441125711E-4</v>
      </c>
      <c r="J102" s="11">
        <f t="shared" ref="J102" si="61">G102/0.92</f>
        <v>9.173577563070317E-4</v>
      </c>
      <c r="K102" s="11">
        <f t="shared" ref="K102" si="62">G102/0.88</f>
        <v>9.5905583613916951E-4</v>
      </c>
      <c r="L102" s="11">
        <f t="shared" ref="L102" si="63">G102/0.84</f>
        <v>1.0047251616696062E-3</v>
      </c>
      <c r="M102" s="25">
        <f>WO2025Jan7men11915171923252931333539414345474955575963656769717375777913[[#This Row],[Thresh]]</f>
        <v>9.5905583613916951E-4</v>
      </c>
      <c r="N102" s="28">
        <f>WO2025Jan7men11915171923252931333539414345474955575963656769717375777913[[#This Row],[Thresh]]*4</f>
        <v>3.836223344556678E-3</v>
      </c>
      <c r="O102" s="25">
        <f>WO2025Jan7men11915171923252931333539414345474955575963656769717375777913[[#This Row],[VO2]]</f>
        <v>8.4396913580246917E-4</v>
      </c>
      <c r="P102" s="25"/>
      <c r="Q102" s="25"/>
      <c r="R102" s="28"/>
      <c r="S102" s="25"/>
      <c r="T102" s="25"/>
      <c r="U102" s="28"/>
      <c r="V102" s="25"/>
      <c r="W102" s="15" t="s">
        <v>35</v>
      </c>
      <c r="X102" s="50"/>
    </row>
    <row r="103" spans="1:24" ht="20.45" customHeight="1">
      <c r="A103" s="10" t="s">
        <v>128</v>
      </c>
      <c r="B103" s="11">
        <v>1.087962962962963E-2</v>
      </c>
      <c r="C103" s="11"/>
      <c r="D103" s="11">
        <f>B103*E103</f>
        <v>6.3297685185185184E-3</v>
      </c>
      <c r="E103" s="12">
        <v>0.58179999999999998</v>
      </c>
      <c r="F103" s="11">
        <f>C103/4</f>
        <v>0</v>
      </c>
      <c r="G103" s="11">
        <f>D103/7.5</f>
        <v>8.4396913580246917E-4</v>
      </c>
      <c r="H103" s="11">
        <f>B103/12.5</f>
        <v>8.7037037037037042E-4</v>
      </c>
      <c r="I103" s="11">
        <f>G103/0.93</f>
        <v>9.0749369441125711E-4</v>
      </c>
      <c r="J103" s="11">
        <f>G103/0.92</f>
        <v>9.173577563070317E-4</v>
      </c>
      <c r="K103" s="11">
        <f>G103/0.88</f>
        <v>9.5905583613916951E-4</v>
      </c>
      <c r="L103" s="11">
        <f>G103/0.84</f>
        <v>1.0047251616696062E-3</v>
      </c>
      <c r="M103" s="25">
        <f>WO2025Jan7men11915171923252931333539414345474955575963656769717375777913[[#This Row],[Thresh]]</f>
        <v>9.5905583613916951E-4</v>
      </c>
      <c r="N103" s="28">
        <f>WO2025Jan7men11915171923252931333539414345474955575963656769717375777913[[#This Row],[Thresh]]*4</f>
        <v>3.836223344556678E-3</v>
      </c>
      <c r="O103" s="25">
        <f>WO2025Jan7men11915171923252931333539414345474955575963656769717375777913[[#This Row],[VO2]]</f>
        <v>8.4396913580246917E-4</v>
      </c>
      <c r="P103" s="25"/>
      <c r="Q103" s="25"/>
      <c r="R103" s="26"/>
      <c r="S103" s="14"/>
      <c r="T103" s="14"/>
      <c r="U103" s="26"/>
      <c r="V103" s="28"/>
      <c r="W103" s="27" t="s">
        <v>35</v>
      </c>
      <c r="X103" s="50"/>
    </row>
    <row r="104" spans="1:24" ht="20.45" customHeight="1">
      <c r="A104" s="10" t="s">
        <v>136</v>
      </c>
      <c r="B104" s="11">
        <v>1.1111111111111112E-2</v>
      </c>
      <c r="C104" s="11">
        <v>3.1828703703703702E-3</v>
      </c>
      <c r="D104" s="11">
        <f>B104*E104</f>
        <v>6.4644444444444445E-3</v>
      </c>
      <c r="E104" s="12">
        <v>0.58179999999999998</v>
      </c>
      <c r="F104" s="11">
        <f>C104/4</f>
        <v>7.9571759259259255E-4</v>
      </c>
      <c r="G104" s="11">
        <f>D104/7.5</f>
        <v>8.6192592592592592E-4</v>
      </c>
      <c r="H104" s="11">
        <f>B104/12.5</f>
        <v>8.8888888888888893E-4</v>
      </c>
      <c r="I104" s="11">
        <f>G104/0.93</f>
        <v>9.2680207088809239E-4</v>
      </c>
      <c r="J104" s="11">
        <f>G104/0.92</f>
        <v>9.3687600644122375E-4</v>
      </c>
      <c r="K104" s="11">
        <f>G104/0.88</f>
        <v>9.7946127946127947E-4</v>
      </c>
      <c r="L104" s="11">
        <f>G104/0.84</f>
        <v>1.0261022927689596E-3</v>
      </c>
      <c r="M104" s="25">
        <f>WO2025Jan7men11915171923252931333539414345474955575963656769717375777913[[#This Row],[Thresh]]</f>
        <v>9.7946127946127947E-4</v>
      </c>
      <c r="N104" s="28">
        <f>WO2025Jan7men11915171923252931333539414345474955575963656769717375777913[[#This Row],[Thresh]]*4</f>
        <v>3.9178451178451179E-3</v>
      </c>
      <c r="O104" s="25">
        <f>WO2025Jan7men11915171923252931333539414345474955575963656769717375777913[[#This Row],[VO2]]</f>
        <v>8.6192592592592592E-4</v>
      </c>
      <c r="P104" s="25"/>
      <c r="Q104" s="25"/>
      <c r="R104" s="25"/>
      <c r="S104" s="25"/>
      <c r="T104" s="25"/>
      <c r="U104" s="28"/>
      <c r="V104" s="25"/>
      <c r="W104" s="15" t="s">
        <v>35</v>
      </c>
      <c r="X104" s="50"/>
    </row>
    <row r="105" spans="1:24" ht="20.45" customHeight="1">
      <c r="A105" s="10" t="s">
        <v>135</v>
      </c>
      <c r="B105" s="11">
        <v>1.1631944444444445E-2</v>
      </c>
      <c r="C105" s="11">
        <v>3.414351851851852E-3</v>
      </c>
      <c r="D105" s="11">
        <f>B105*E105</f>
        <v>6.7674652777777776E-3</v>
      </c>
      <c r="E105" s="12">
        <v>0.58179999999999998</v>
      </c>
      <c r="F105" s="11">
        <f>C105/4</f>
        <v>8.53587962962963E-4</v>
      </c>
      <c r="G105" s="11">
        <f>D105/7.5</f>
        <v>9.0232870370370369E-4</v>
      </c>
      <c r="H105" s="11">
        <f>B105/12.5</f>
        <v>9.3055555555555556E-4</v>
      </c>
      <c r="I105" s="11">
        <f>G105/0.93</f>
        <v>9.7024591796097167E-4</v>
      </c>
      <c r="J105" s="11">
        <f>G105/0.92</f>
        <v>9.8079206924315621E-4</v>
      </c>
      <c r="K105" s="11">
        <f>G105/0.88</f>
        <v>1.0253735269360269E-3</v>
      </c>
      <c r="L105" s="17">
        <f>G105/0.84</f>
        <v>1.0742008377425045E-3</v>
      </c>
      <c r="M105" s="25">
        <f>WO2025Jan7men11915171923252931333539414345474955575963656769717375777913[[#This Row],[Thresh]]</f>
        <v>1.0253735269360269E-3</v>
      </c>
      <c r="N105" s="28">
        <f>WO2025Jan7men11915171923252931333539414345474955575963656769717375777913[[#This Row],[Thresh]]*4</f>
        <v>4.1014941077441077E-3</v>
      </c>
      <c r="O105" s="25">
        <f>WO2025Jan7men11915171923252931333539414345474955575963656769717375777913[[#This Row],[VO2]]</f>
        <v>9.0232870370370369E-4</v>
      </c>
      <c r="P105" s="25"/>
      <c r="Q105" s="25"/>
      <c r="R105" s="28"/>
      <c r="S105" s="25"/>
      <c r="T105" s="25"/>
      <c r="U105" s="28"/>
      <c r="V105" s="44"/>
      <c r="W105" s="28" t="s">
        <v>26</v>
      </c>
      <c r="X105" s="50"/>
    </row>
    <row r="106" spans="1:24" ht="20.45" customHeight="1">
      <c r="A106" s="10"/>
      <c r="B106" s="11"/>
      <c r="C106" s="11"/>
      <c r="D106" s="11"/>
      <c r="E106" s="12"/>
      <c r="F106" s="11"/>
      <c r="G106" s="11"/>
      <c r="H106" s="11"/>
      <c r="I106" s="11"/>
      <c r="J106" s="11"/>
      <c r="K106" s="11"/>
      <c r="L106" s="11"/>
      <c r="M106" s="25"/>
      <c r="N106" s="28"/>
      <c r="O106" s="25"/>
      <c r="P106" s="28"/>
      <c r="Q106" s="25"/>
      <c r="R106" s="28"/>
      <c r="S106" s="25"/>
      <c r="T106" s="28"/>
      <c r="U106" s="28"/>
      <c r="V106" s="25"/>
      <c r="W106" s="15"/>
      <c r="X106" s="50"/>
    </row>
    <row r="107" spans="1:24" ht="20.45" customHeight="1">
      <c r="A107" s="19"/>
      <c r="B107" s="6"/>
      <c r="C107" s="6"/>
      <c r="D107" s="6"/>
      <c r="E107" s="20"/>
      <c r="F107" s="6"/>
      <c r="G107" s="6"/>
      <c r="H107" s="6"/>
      <c r="I107" s="6"/>
      <c r="J107" s="6"/>
      <c r="K107" s="6"/>
      <c r="L107" s="6"/>
      <c r="M107" s="6" t="s">
        <v>172</v>
      </c>
      <c r="N107" s="6"/>
      <c r="O107" s="6"/>
      <c r="P107" s="6"/>
      <c r="Q107" s="6"/>
      <c r="R107" s="6"/>
      <c r="S107" s="6"/>
      <c r="T107" s="6"/>
      <c r="U107" s="6"/>
      <c r="V107" s="23"/>
      <c r="W107" s="35"/>
      <c r="X107" s="50"/>
    </row>
    <row r="108" spans="1:24" ht="20.45" customHeight="1">
      <c r="A108" s="10" t="s">
        <v>107</v>
      </c>
      <c r="B108" s="11">
        <v>1.1111111111111112E-2</v>
      </c>
      <c r="C108" s="11">
        <v>3.2407407407407406E-3</v>
      </c>
      <c r="D108" s="11">
        <f>B108*E108</f>
        <v>6.4644444444444445E-3</v>
      </c>
      <c r="E108" s="12">
        <v>0.58179999999999998</v>
      </c>
      <c r="F108" s="11">
        <f>C108/4</f>
        <v>8.1018518518518516E-4</v>
      </c>
      <c r="G108" s="11">
        <f>D108/7.5</f>
        <v>8.6192592592592592E-4</v>
      </c>
      <c r="H108" s="11">
        <f>B108/12.5</f>
        <v>8.8888888888888893E-4</v>
      </c>
      <c r="I108" s="11">
        <f>G108/0.93</f>
        <v>9.2680207088809239E-4</v>
      </c>
      <c r="J108" s="11">
        <f>G108/0.92</f>
        <v>9.3687600644122375E-4</v>
      </c>
      <c r="K108" s="11">
        <f>G108/0.88</f>
        <v>9.7946127946127947E-4</v>
      </c>
      <c r="L108" s="11">
        <f>G108/0.84</f>
        <v>1.0261022927689596E-3</v>
      </c>
      <c r="M108" s="25">
        <f>WO2025Jan7men11915171923252931333539414345474955575963656769717375777913[[#This Row],[Thresh]]</f>
        <v>9.7946127946127947E-4</v>
      </c>
      <c r="N108" s="28"/>
      <c r="O108" s="25"/>
      <c r="P108" s="25"/>
      <c r="Q108" s="25"/>
      <c r="R108" s="28"/>
      <c r="S108" s="25"/>
      <c r="T108" s="25"/>
      <c r="U108" s="28"/>
      <c r="V108" s="28"/>
      <c r="W108" s="15" t="s">
        <v>213</v>
      </c>
      <c r="X108" s="52"/>
    </row>
    <row r="109" spans="1:24" ht="20.45" customHeight="1">
      <c r="A109" s="10" t="s">
        <v>134</v>
      </c>
      <c r="B109" s="11">
        <v>1.1458333333333333E-2</v>
      </c>
      <c r="C109" s="11"/>
      <c r="D109" s="11">
        <f>B109*E109</f>
        <v>6.6664583333333324E-3</v>
      </c>
      <c r="E109" s="12">
        <v>0.58179999999999998</v>
      </c>
      <c r="F109" s="11">
        <f>C109/4</f>
        <v>0</v>
      </c>
      <c r="G109" s="11">
        <f>D109/7.5</f>
        <v>8.8886111111111099E-4</v>
      </c>
      <c r="H109" s="11">
        <f>B109/12.5</f>
        <v>9.1666666666666665E-4</v>
      </c>
      <c r="I109" s="11">
        <f>G109/0.93</f>
        <v>9.5576463560334514E-4</v>
      </c>
      <c r="J109" s="11">
        <f>G109/0.92</f>
        <v>9.6615338164251195E-4</v>
      </c>
      <c r="K109" s="11">
        <f>G109/0.88</f>
        <v>1.0100694444444443E-3</v>
      </c>
      <c r="L109" s="11">
        <f>G109/0.84</f>
        <v>1.0581679894179892E-3</v>
      </c>
      <c r="M109" s="25">
        <v>9.7946127946127947E-4</v>
      </c>
      <c r="N109" s="28"/>
      <c r="P109" s="26"/>
      <c r="Q109" s="26"/>
      <c r="R109" s="26"/>
      <c r="S109" s="14"/>
      <c r="T109" s="14"/>
      <c r="U109" s="26"/>
      <c r="V109" s="28"/>
      <c r="W109" s="27" t="s">
        <v>213</v>
      </c>
      <c r="X109" s="52"/>
    </row>
    <row r="110" spans="1:24" ht="20.45" customHeight="1">
      <c r="A110" s="10"/>
      <c r="B110" s="11"/>
      <c r="C110" s="11"/>
      <c r="D110" s="11"/>
      <c r="E110" s="12"/>
      <c r="F110" s="11"/>
      <c r="G110" s="11"/>
      <c r="H110" s="11"/>
      <c r="I110" s="11"/>
      <c r="J110" s="11"/>
      <c r="K110" s="11"/>
      <c r="L110" s="11"/>
      <c r="M110" s="25"/>
      <c r="N110" s="28"/>
      <c r="O110" s="25"/>
      <c r="P110" s="25"/>
      <c r="Q110" s="25"/>
      <c r="R110" s="25"/>
      <c r="S110" s="25"/>
      <c r="T110" s="25"/>
      <c r="U110" s="28"/>
      <c r="V110" s="25"/>
      <c r="W110" s="15"/>
      <c r="X110" s="52"/>
    </row>
    <row r="111" spans="1:24" ht="20.45" customHeight="1">
      <c r="A111" s="10"/>
      <c r="B111" s="11"/>
      <c r="C111" s="11"/>
      <c r="D111" s="11"/>
      <c r="E111" s="12"/>
      <c r="F111" s="11"/>
      <c r="G111" s="11"/>
      <c r="H111" s="11"/>
      <c r="I111" s="11"/>
      <c r="J111" s="11"/>
      <c r="K111" s="11"/>
      <c r="L111" s="17"/>
      <c r="M111" s="11"/>
      <c r="N111" s="26"/>
      <c r="P111" s="26"/>
      <c r="Q111" s="26"/>
      <c r="R111" s="26"/>
      <c r="S111" s="14"/>
      <c r="T111" s="14"/>
      <c r="U111" s="26"/>
      <c r="V111" s="38"/>
      <c r="W111" s="31"/>
      <c r="X111" s="52"/>
    </row>
    <row r="112" spans="1:24" ht="20.45" customHeight="1">
      <c r="A112" s="10"/>
      <c r="B112" s="11"/>
      <c r="C112" s="11"/>
      <c r="D112" s="11"/>
      <c r="E112" s="12"/>
      <c r="F112" s="11"/>
      <c r="G112" s="11"/>
      <c r="H112" s="11"/>
      <c r="I112" s="11"/>
      <c r="J112" s="11"/>
      <c r="K112" s="11"/>
      <c r="L112" s="11"/>
      <c r="M112" s="25"/>
      <c r="N112" s="28"/>
      <c r="O112" s="25"/>
      <c r="P112" s="28"/>
      <c r="Q112" s="25"/>
      <c r="R112" s="28"/>
      <c r="S112" s="25"/>
      <c r="T112" s="25"/>
      <c r="U112" s="28"/>
      <c r="V112" s="25"/>
      <c r="W112" s="27"/>
      <c r="X112" s="52"/>
    </row>
    <row r="113" spans="1:24" ht="20.45" customHeight="1">
      <c r="A113" s="10"/>
      <c r="B113" s="11"/>
      <c r="C113" s="11"/>
      <c r="D113" s="11"/>
      <c r="E113" s="12"/>
      <c r="F113" s="11"/>
      <c r="G113" s="11"/>
      <c r="H113" s="11"/>
      <c r="I113" s="11"/>
      <c r="J113" s="11"/>
      <c r="K113" s="11"/>
      <c r="L113" s="11"/>
      <c r="M113" s="25"/>
      <c r="N113" s="28"/>
      <c r="O113" s="25"/>
      <c r="P113" s="25"/>
      <c r="Q113" s="25"/>
      <c r="R113" s="28"/>
      <c r="S113" s="25"/>
      <c r="T113" s="25"/>
      <c r="U113" s="28"/>
      <c r="V113" s="25"/>
      <c r="W113" s="15"/>
      <c r="X113" s="52"/>
    </row>
    <row r="114" spans="1:24" ht="20.45" customHeight="1">
      <c r="A114" s="10"/>
      <c r="B114" s="11"/>
      <c r="C114" s="11"/>
      <c r="D114" s="11"/>
      <c r="E114" s="12"/>
      <c r="F114" s="11"/>
      <c r="G114" s="11"/>
      <c r="H114" s="11"/>
      <c r="I114" s="11"/>
      <c r="J114" s="11"/>
      <c r="K114" s="11"/>
      <c r="L114" s="11"/>
      <c r="M114" s="25"/>
      <c r="N114" s="28"/>
      <c r="O114" s="25"/>
      <c r="P114" s="28"/>
      <c r="Q114" s="25"/>
      <c r="R114" s="28"/>
      <c r="S114" s="25"/>
      <c r="T114" s="25"/>
      <c r="U114" s="28"/>
      <c r="V114" s="28"/>
      <c r="W114" s="27"/>
      <c r="X114" s="52"/>
    </row>
    <row r="115" spans="1:24" ht="20.45" customHeight="1" thickBot="1">
      <c r="A115" s="10"/>
      <c r="B115" s="11"/>
      <c r="C115" s="11"/>
      <c r="D115" s="11"/>
      <c r="E115" s="12"/>
      <c r="F115" s="11"/>
      <c r="G115" s="11"/>
      <c r="H115" s="11"/>
      <c r="I115" s="11"/>
      <c r="J115" s="11"/>
      <c r="K115" s="11"/>
      <c r="L115" s="11"/>
      <c r="M115" s="25"/>
      <c r="N115" s="28"/>
      <c r="O115" s="25"/>
      <c r="P115" s="25"/>
      <c r="Q115" s="28"/>
      <c r="R115" s="28"/>
      <c r="S115" s="25"/>
      <c r="T115" s="25"/>
      <c r="U115" s="28"/>
      <c r="V115" s="28"/>
      <c r="W115" s="15"/>
      <c r="X115" s="52"/>
    </row>
    <row r="116" spans="1:24" ht="20.45" customHeight="1">
      <c r="A116" s="1" t="s">
        <v>321</v>
      </c>
      <c r="B116" s="6"/>
      <c r="C116" s="6"/>
      <c r="D116" s="6"/>
      <c r="E116" s="20"/>
      <c r="F116" s="6"/>
      <c r="G116" s="6"/>
      <c r="H116" s="6"/>
      <c r="I116" s="6"/>
      <c r="J116" s="6"/>
      <c r="K116" s="6"/>
      <c r="L116" s="6"/>
      <c r="M116" s="6" t="s">
        <v>12</v>
      </c>
      <c r="N116" s="6" t="s">
        <v>327</v>
      </c>
      <c r="O116" s="6"/>
      <c r="P116" s="6"/>
      <c r="Q116" s="22"/>
      <c r="R116" s="6"/>
      <c r="S116" s="6"/>
      <c r="T116" s="6"/>
      <c r="U116" s="6"/>
      <c r="V116" s="23"/>
      <c r="W116" s="35"/>
      <c r="X116" s="52"/>
    </row>
    <row r="117" spans="1:24" ht="20.45" customHeight="1">
      <c r="A117" s="10" t="s">
        <v>96</v>
      </c>
      <c r="B117" s="11">
        <v>1.0648148148148148E-2</v>
      </c>
      <c r="C117" s="11">
        <v>2.9513888888888888E-3</v>
      </c>
      <c r="D117" s="11">
        <f t="shared" ref="D117:D123" si="64">B117*E117</f>
        <v>6.1950925925925923E-3</v>
      </c>
      <c r="E117" s="12">
        <v>0.58179999999999998</v>
      </c>
      <c r="F117" s="11">
        <f t="shared" ref="F117:F123" si="65">C117/4</f>
        <v>7.378472222222222E-4</v>
      </c>
      <c r="G117" s="11">
        <f t="shared" ref="G117:G123" si="66">D117/7.5</f>
        <v>8.2601234567901232E-4</v>
      </c>
      <c r="H117" s="11">
        <f t="shared" ref="H117:H123" si="67">B117/12.5</f>
        <v>8.5185185185185179E-4</v>
      </c>
      <c r="I117" s="11">
        <f t="shared" ref="I117:I123" si="68">G117/0.93</f>
        <v>8.8818531793442184E-4</v>
      </c>
      <c r="J117" s="11">
        <f t="shared" ref="J117:J123" si="69">G117/0.92</f>
        <v>8.9783950617283942E-4</v>
      </c>
      <c r="K117" s="11">
        <f t="shared" ref="K117:K123" si="70">G117/0.88</f>
        <v>9.3865039281705945E-4</v>
      </c>
      <c r="L117" s="17">
        <f t="shared" ref="L117:L123" si="71">G117/0.84</f>
        <v>9.833480305702527E-4</v>
      </c>
      <c r="M117" s="25">
        <f>WO2025Jan7men11915171923252931333539414345474955575963656769717375777913[[#This Row],[Thresh]]</f>
        <v>9.3865039281705945E-4</v>
      </c>
      <c r="N117" s="28">
        <f>WO2025Jan7men11915171923252931333539414345474955575963656769717375777913[[#This Row],[Thresh]]*4</f>
        <v>3.7546015712682378E-3</v>
      </c>
      <c r="O117" s="25"/>
      <c r="P117" s="28"/>
      <c r="Q117" s="25"/>
      <c r="R117" s="28"/>
      <c r="S117" s="25"/>
      <c r="T117" s="28"/>
      <c r="U117" s="28"/>
      <c r="V117" s="25"/>
      <c r="W117" s="15" t="s">
        <v>48</v>
      </c>
      <c r="X117" s="52"/>
    </row>
    <row r="118" spans="1:24" ht="20.45" customHeight="1">
      <c r="A118" s="10" t="s">
        <v>97</v>
      </c>
      <c r="B118" s="11">
        <v>1.0763888888888889E-2</v>
      </c>
      <c r="C118" s="11">
        <v>2.9513888888888888E-3</v>
      </c>
      <c r="D118" s="11">
        <f>B118*E118</f>
        <v>6.2624305555555549E-3</v>
      </c>
      <c r="E118" s="12">
        <v>0.58179999999999998</v>
      </c>
      <c r="F118" s="11">
        <f>C118/4</f>
        <v>7.378472222222222E-4</v>
      </c>
      <c r="G118" s="11">
        <f>D118/7.5</f>
        <v>8.3499074074074064E-4</v>
      </c>
      <c r="H118" s="11">
        <f>B118/12.5</f>
        <v>8.611111111111111E-4</v>
      </c>
      <c r="I118" s="11">
        <f>G118/0.93</f>
        <v>8.9783950617283931E-4</v>
      </c>
      <c r="J118" s="11">
        <f>G118/0.92</f>
        <v>9.0759863123993545E-4</v>
      </c>
      <c r="K118" s="11">
        <f>G118/0.88</f>
        <v>9.4885311447811432E-4</v>
      </c>
      <c r="L118" s="11">
        <f>G118/0.84</f>
        <v>9.9403659611992947E-4</v>
      </c>
      <c r="M118" s="25">
        <f>WO2025Jan7men11915171923252931333539414345474955575963656769717375777913[[#This Row],[Thresh]]</f>
        <v>9.4885311447811432E-4</v>
      </c>
      <c r="N118" s="28">
        <f>WO2025Jan7men11915171923252931333539414345474955575963656769717375777913[[#This Row],[Thresh]]*4</f>
        <v>3.7954124579124573E-3</v>
      </c>
      <c r="O118" s="25"/>
      <c r="P118" s="28"/>
      <c r="Q118" s="25"/>
      <c r="R118" s="28"/>
      <c r="S118" s="25"/>
      <c r="T118" s="28"/>
      <c r="U118" s="28"/>
      <c r="V118" s="25"/>
      <c r="W118" s="15" t="s">
        <v>48</v>
      </c>
      <c r="X118" s="50"/>
    </row>
    <row r="119" spans="1:24" ht="20.45" customHeight="1">
      <c r="A119" s="10" t="s">
        <v>100</v>
      </c>
      <c r="B119" s="11">
        <v>1.087962962962963E-2</v>
      </c>
      <c r="C119" s="11">
        <v>3.0671296296296297E-3</v>
      </c>
      <c r="D119" s="11">
        <f>B119*E119</f>
        <v>6.3297685185185184E-3</v>
      </c>
      <c r="E119" s="12">
        <v>0.58179999999999998</v>
      </c>
      <c r="F119" s="11">
        <f>C119/4</f>
        <v>7.6678240740740743E-4</v>
      </c>
      <c r="G119" s="11">
        <f>D119/7.5</f>
        <v>8.4396913580246917E-4</v>
      </c>
      <c r="H119" s="11">
        <f>B119/12.5</f>
        <v>8.7037037037037042E-4</v>
      </c>
      <c r="I119" s="11">
        <f>G119/0.93</f>
        <v>9.0749369441125711E-4</v>
      </c>
      <c r="J119" s="11">
        <f>G119/0.92</f>
        <v>9.173577563070317E-4</v>
      </c>
      <c r="K119" s="11">
        <f>G119/0.88</f>
        <v>9.5905583613916951E-4</v>
      </c>
      <c r="L119" s="17">
        <f>G119/0.84</f>
        <v>1.0047251616696062E-3</v>
      </c>
      <c r="M119" s="25">
        <f>WO2025Jan7men11915171923252931333539414345474955575963656769717375777913[[#This Row],[Thresh]]</f>
        <v>9.5905583613916951E-4</v>
      </c>
      <c r="N119" s="28">
        <f>WO2025Jan7men11915171923252931333539414345474955575963656769717375777913[[#This Row],[Thresh]]*4</f>
        <v>3.836223344556678E-3</v>
      </c>
      <c r="O119" s="25"/>
      <c r="P119" s="28"/>
      <c r="Q119" s="25"/>
      <c r="R119" s="28"/>
      <c r="S119" s="25"/>
      <c r="T119" s="28"/>
      <c r="U119" s="28"/>
      <c r="V119" s="25"/>
      <c r="W119" s="15" t="s">
        <v>48</v>
      </c>
      <c r="X119" s="50"/>
    </row>
    <row r="120" spans="1:24" ht="20.45" customHeight="1">
      <c r="A120" s="10" t="s">
        <v>101</v>
      </c>
      <c r="B120" s="11">
        <v>1.1111111111111112E-2</v>
      </c>
      <c r="C120" s="11">
        <v>3.0671296296296297E-3</v>
      </c>
      <c r="D120" s="11">
        <f>B120*E120</f>
        <v>6.4644444444444445E-3</v>
      </c>
      <c r="E120" s="12">
        <v>0.58179999999999998</v>
      </c>
      <c r="F120" s="11">
        <f>C120/4</f>
        <v>7.6678240740740743E-4</v>
      </c>
      <c r="G120" s="11">
        <f>D120/7.5</f>
        <v>8.6192592592592592E-4</v>
      </c>
      <c r="H120" s="11">
        <f>B120/12.5</f>
        <v>8.8888888888888893E-4</v>
      </c>
      <c r="I120" s="11">
        <f>G120/0.93</f>
        <v>9.2680207088809239E-4</v>
      </c>
      <c r="J120" s="11">
        <f>G120/0.92</f>
        <v>9.3687600644122375E-4</v>
      </c>
      <c r="K120" s="11">
        <f>G120/0.88</f>
        <v>9.7946127946127947E-4</v>
      </c>
      <c r="L120" s="11">
        <f>G120/0.84</f>
        <v>1.0261022927689596E-3</v>
      </c>
      <c r="M120" s="25">
        <f>WO2025Jan7men11915171923252931333539414345474955575963656769717375777913[[#This Row],[Thresh]]</f>
        <v>9.7946127946127947E-4</v>
      </c>
      <c r="N120" s="28">
        <f>WO2025Jan7men11915171923252931333539414345474955575963656769717375777913[[#This Row],[Thresh]]*4</f>
        <v>3.9178451178451179E-3</v>
      </c>
      <c r="O120" s="25"/>
      <c r="P120" s="28"/>
      <c r="Q120" s="25"/>
      <c r="R120" s="28"/>
      <c r="S120" s="25"/>
      <c r="T120" s="28"/>
      <c r="U120" s="28"/>
      <c r="V120" s="25"/>
      <c r="W120" s="15" t="s">
        <v>48</v>
      </c>
      <c r="X120" s="50"/>
    </row>
    <row r="121" spans="1:24" ht="20.45" customHeight="1">
      <c r="A121" s="10" t="s">
        <v>98</v>
      </c>
      <c r="B121" s="11">
        <v>1.1111111111111112E-2</v>
      </c>
      <c r="C121" s="11"/>
      <c r="D121" s="11">
        <f>B121*E121</f>
        <v>6.4644444444444445E-3</v>
      </c>
      <c r="E121" s="12">
        <v>0.58179999999999998</v>
      </c>
      <c r="F121" s="11">
        <f>C121/4</f>
        <v>0</v>
      </c>
      <c r="G121" s="11">
        <f>D121/7.5</f>
        <v>8.6192592592592592E-4</v>
      </c>
      <c r="H121" s="11">
        <f>B121/12.5</f>
        <v>8.8888888888888893E-4</v>
      </c>
      <c r="I121" s="11">
        <f>G121/0.93</f>
        <v>9.2680207088809239E-4</v>
      </c>
      <c r="J121" s="11">
        <f>G121/0.92</f>
        <v>9.3687600644122375E-4</v>
      </c>
      <c r="K121" s="11">
        <f>G121/0.88</f>
        <v>9.7946127946127947E-4</v>
      </c>
      <c r="L121" s="11">
        <f>G121/0.84</f>
        <v>1.0261022927689596E-3</v>
      </c>
      <c r="M121" s="25">
        <f>WO2025Jan7men11915171923252931333539414345474955575963656769717375777913[[#This Row],[Thresh]]</f>
        <v>9.7946127946127947E-4</v>
      </c>
      <c r="N121" s="28">
        <f>WO2025Jan7men11915171923252931333539414345474955575963656769717375777913[[#This Row],[Thresh]]*4</f>
        <v>3.9178451178451179E-3</v>
      </c>
      <c r="O121" s="25"/>
      <c r="P121" s="28"/>
      <c r="Q121" s="25"/>
      <c r="R121" s="28"/>
      <c r="S121" s="25"/>
      <c r="T121" s="25"/>
      <c r="U121" s="28"/>
      <c r="V121" s="28"/>
      <c r="W121" s="27" t="s">
        <v>48</v>
      </c>
      <c r="X121" s="50"/>
    </row>
    <row r="122" spans="1:24" ht="20.45" customHeight="1">
      <c r="A122" s="10" t="s">
        <v>103</v>
      </c>
      <c r="B122" s="11">
        <v>1.1111111111111112E-2</v>
      </c>
      <c r="C122" s="11">
        <v>3.0671296296296297E-3</v>
      </c>
      <c r="D122" s="11">
        <f t="shared" si="64"/>
        <v>6.4644444444444445E-3</v>
      </c>
      <c r="E122" s="12">
        <v>0.58179999999999998</v>
      </c>
      <c r="F122" s="11">
        <f t="shared" si="65"/>
        <v>7.6678240740740743E-4</v>
      </c>
      <c r="G122" s="11">
        <f t="shared" si="66"/>
        <v>8.6192592592592592E-4</v>
      </c>
      <c r="H122" s="11">
        <f t="shared" si="67"/>
        <v>8.8888888888888893E-4</v>
      </c>
      <c r="I122" s="11">
        <f t="shared" si="68"/>
        <v>9.2680207088809239E-4</v>
      </c>
      <c r="J122" s="11">
        <f t="shared" si="69"/>
        <v>9.3687600644122375E-4</v>
      </c>
      <c r="K122" s="11">
        <f t="shared" si="70"/>
        <v>9.7946127946127947E-4</v>
      </c>
      <c r="L122" s="17">
        <f t="shared" si="71"/>
        <v>1.0261022927689596E-3</v>
      </c>
      <c r="M122" s="25">
        <f>WO2025Jan7men11915171923252931333539414345474955575963656769717375777913[[#This Row],[Thresh]]</f>
        <v>9.7946127946127947E-4</v>
      </c>
      <c r="N122" s="28">
        <f>WO2025Jan7men11915171923252931333539414345474955575963656769717375777913[[#This Row],[Thresh]]*4</f>
        <v>3.9178451178451179E-3</v>
      </c>
      <c r="O122" s="25"/>
      <c r="P122" s="28"/>
      <c r="Q122" s="25"/>
      <c r="R122" s="28"/>
      <c r="S122" s="25"/>
      <c r="T122" s="28"/>
      <c r="U122" s="28"/>
      <c r="V122" s="25"/>
      <c r="W122" s="15" t="s">
        <v>48</v>
      </c>
      <c r="X122" s="50"/>
    </row>
    <row r="123" spans="1:24" ht="20.45" customHeight="1">
      <c r="A123" s="10" t="s">
        <v>104</v>
      </c>
      <c r="B123" s="11">
        <v>1.1458333333333333E-2</v>
      </c>
      <c r="C123" s="11">
        <v>3.414351851851852E-3</v>
      </c>
      <c r="D123" s="11">
        <f t="shared" si="64"/>
        <v>6.6664583333333324E-3</v>
      </c>
      <c r="E123" s="12">
        <v>0.58179999999999998</v>
      </c>
      <c r="F123" s="11">
        <f t="shared" si="65"/>
        <v>8.53587962962963E-4</v>
      </c>
      <c r="G123" s="11">
        <f t="shared" si="66"/>
        <v>8.8886111111111099E-4</v>
      </c>
      <c r="H123" s="11">
        <f t="shared" si="67"/>
        <v>9.1666666666666665E-4</v>
      </c>
      <c r="I123" s="11">
        <f t="shared" si="68"/>
        <v>9.5576463560334514E-4</v>
      </c>
      <c r="J123" s="11">
        <f t="shared" si="69"/>
        <v>9.6615338164251195E-4</v>
      </c>
      <c r="K123" s="11">
        <f t="shared" si="70"/>
        <v>1.0100694444444443E-3</v>
      </c>
      <c r="L123" s="11">
        <f t="shared" si="71"/>
        <v>1.0581679894179892E-3</v>
      </c>
      <c r="M123" s="25">
        <f>WO2025Jan7men11915171923252931333539414345474955575963656769717375777913[[#This Row],[Thresh]]</f>
        <v>1.0100694444444443E-3</v>
      </c>
      <c r="N123" s="28">
        <f>WO2025Jan7men11915171923252931333539414345474955575963656769717375777913[[#This Row],[Thresh]]*4</f>
        <v>4.0402777777777772E-3</v>
      </c>
      <c r="O123" s="25"/>
      <c r="P123" s="28"/>
      <c r="Q123" s="25"/>
      <c r="R123" s="28"/>
      <c r="S123" s="25"/>
      <c r="T123" s="28"/>
      <c r="U123" s="28"/>
      <c r="V123" s="25"/>
      <c r="W123" s="15" t="s">
        <v>48</v>
      </c>
      <c r="X123" s="50"/>
    </row>
    <row r="124" spans="1:24" ht="20.45" customHeight="1">
      <c r="A124" s="10" t="s">
        <v>99</v>
      </c>
      <c r="B124" s="11">
        <v>1.1458333333333333E-2</v>
      </c>
      <c r="C124" s="11"/>
      <c r="D124" s="11">
        <f>B124*E124</f>
        <v>6.6664583333333324E-3</v>
      </c>
      <c r="E124" s="12">
        <v>0.58179999999999998</v>
      </c>
      <c r="F124" s="11">
        <f>C124/4</f>
        <v>0</v>
      </c>
      <c r="G124" s="11">
        <f>D124/7.5</f>
        <v>8.8886111111111099E-4</v>
      </c>
      <c r="H124" s="11">
        <f>B124/12.5</f>
        <v>9.1666666666666665E-4</v>
      </c>
      <c r="I124" s="11">
        <f>G124/0.93</f>
        <v>9.5576463560334514E-4</v>
      </c>
      <c r="J124" s="11">
        <f>G124/0.92</f>
        <v>9.6615338164251195E-4</v>
      </c>
      <c r="K124" s="11">
        <f>G124/0.88</f>
        <v>1.0100694444444443E-3</v>
      </c>
      <c r="L124" s="11">
        <f>G124/0.84</f>
        <v>1.0581679894179892E-3</v>
      </c>
      <c r="M124" s="25">
        <f>WO2025Jan7men11915171923252931333539414345474955575963656769717375777913[[#This Row],[Thresh]]</f>
        <v>1.0100694444444443E-3</v>
      </c>
      <c r="N124" s="28">
        <f>WO2025Jan7men11915171923252931333539414345474955575963656769717375777913[[#This Row],[Thresh]]*4</f>
        <v>4.0402777777777772E-3</v>
      </c>
      <c r="O124" s="25"/>
      <c r="P124" s="28"/>
      <c r="Q124" s="25"/>
      <c r="R124" s="28"/>
      <c r="S124" s="25"/>
      <c r="T124" s="25"/>
      <c r="U124" s="28"/>
      <c r="V124" s="28"/>
      <c r="W124" s="27" t="s">
        <v>48</v>
      </c>
      <c r="X124" s="50"/>
    </row>
    <row r="125" spans="1:24" ht="20.45" customHeight="1">
      <c r="A125" s="10" t="s">
        <v>102</v>
      </c>
      <c r="B125" s="11">
        <v>1.1458333333333333E-2</v>
      </c>
      <c r="C125" s="11"/>
      <c r="D125" s="11">
        <f>B125*E125</f>
        <v>6.6664583333333324E-3</v>
      </c>
      <c r="E125" s="12">
        <v>0.58179999999999998</v>
      </c>
      <c r="F125" s="11">
        <f>C125/4</f>
        <v>0</v>
      </c>
      <c r="G125" s="11">
        <f>D125/7.5</f>
        <v>8.8886111111111099E-4</v>
      </c>
      <c r="H125" s="11">
        <f>B125/12.5</f>
        <v>9.1666666666666665E-4</v>
      </c>
      <c r="I125" s="11">
        <f>G125/0.93</f>
        <v>9.5576463560334514E-4</v>
      </c>
      <c r="J125" s="11">
        <f>G125/0.92</f>
        <v>9.6615338164251195E-4</v>
      </c>
      <c r="K125" s="11">
        <f>G125/0.88</f>
        <v>1.0100694444444443E-3</v>
      </c>
      <c r="L125" s="11">
        <f>G125/0.84</f>
        <v>1.0581679894179892E-3</v>
      </c>
      <c r="M125" s="25">
        <f>WO2025Jan7men11915171923252931333539414345474955575963656769717375777913[[#This Row],[Thresh]]</f>
        <v>1.0100694444444443E-3</v>
      </c>
      <c r="N125" s="28">
        <f>WO2025Jan7men11915171923252931333539414345474955575963656769717375777913[[#This Row],[Thresh]]*4</f>
        <v>4.0402777777777772E-3</v>
      </c>
      <c r="O125" s="25"/>
      <c r="P125" s="26"/>
      <c r="Q125" s="26"/>
      <c r="R125" s="26"/>
      <c r="S125" s="14"/>
      <c r="T125" s="14"/>
      <c r="U125" s="26"/>
      <c r="V125" s="28"/>
      <c r="W125" s="27" t="s">
        <v>48</v>
      </c>
      <c r="X125" s="50"/>
    </row>
    <row r="126" spans="1:24" ht="20.45" customHeight="1">
      <c r="A126" s="10"/>
      <c r="B126" s="11"/>
      <c r="C126" s="11"/>
      <c r="D126" s="11"/>
      <c r="E126" s="12"/>
      <c r="F126" s="11"/>
      <c r="G126" s="11"/>
      <c r="H126" s="11"/>
      <c r="I126" s="11"/>
      <c r="J126" s="11"/>
      <c r="K126" s="11"/>
      <c r="L126" s="11"/>
      <c r="M126" s="25"/>
      <c r="N126" s="28"/>
      <c r="O126" s="25"/>
      <c r="P126" s="25"/>
      <c r="Q126" s="25"/>
      <c r="R126" s="25"/>
      <c r="S126" s="25"/>
      <c r="T126" s="25"/>
      <c r="U126" s="28"/>
      <c r="V126" s="25"/>
      <c r="W126" s="15"/>
      <c r="X126" s="50"/>
    </row>
    <row r="127" spans="1:24" ht="20.45" customHeight="1">
      <c r="A127" s="10"/>
      <c r="B127" s="11"/>
      <c r="C127" s="11"/>
      <c r="D127" s="11"/>
      <c r="E127" s="12"/>
      <c r="F127" s="11"/>
      <c r="G127" s="11"/>
      <c r="H127" s="11"/>
      <c r="I127" s="11"/>
      <c r="J127" s="11"/>
      <c r="K127" s="11"/>
      <c r="L127" s="11"/>
      <c r="M127" s="25"/>
      <c r="N127" s="28"/>
      <c r="O127" s="25"/>
      <c r="P127" s="25"/>
      <c r="Q127" s="25"/>
      <c r="R127" s="25"/>
      <c r="S127" s="25"/>
      <c r="T127" s="25"/>
      <c r="U127" s="28"/>
      <c r="V127" s="25"/>
      <c r="W127" s="15"/>
      <c r="X127" s="50"/>
    </row>
    <row r="128" spans="1:24" ht="20.45" customHeight="1">
      <c r="A128" s="10"/>
      <c r="B128" s="11"/>
      <c r="C128" s="11"/>
      <c r="D128" s="11"/>
      <c r="E128" s="12"/>
      <c r="F128" s="11"/>
      <c r="G128" s="11"/>
      <c r="H128" s="11"/>
      <c r="I128" s="11"/>
      <c r="J128" s="11"/>
      <c r="K128" s="11"/>
      <c r="L128" s="17"/>
      <c r="M128" s="11"/>
      <c r="N128" s="26"/>
      <c r="P128" s="26"/>
      <c r="Q128" s="26"/>
      <c r="R128" s="26"/>
      <c r="S128" s="14"/>
      <c r="T128" s="14"/>
      <c r="U128" s="26"/>
      <c r="V128" s="38"/>
      <c r="W128" s="31"/>
      <c r="X128" s="50"/>
    </row>
    <row r="129" spans="1:24" ht="20.45" customHeight="1">
      <c r="A129" s="10"/>
      <c r="B129" s="11"/>
      <c r="C129" s="11"/>
      <c r="D129" s="11"/>
      <c r="E129" s="12"/>
      <c r="F129" s="11"/>
      <c r="G129" s="11"/>
      <c r="H129" s="11"/>
      <c r="I129" s="11"/>
      <c r="J129" s="11"/>
      <c r="K129" s="11"/>
      <c r="L129" s="17"/>
      <c r="M129" s="11"/>
      <c r="N129" s="26"/>
      <c r="P129" s="26"/>
      <c r="Q129" s="26"/>
      <c r="R129" s="26"/>
      <c r="S129" s="14"/>
      <c r="T129" s="14"/>
      <c r="U129" s="26"/>
      <c r="V129" s="38"/>
      <c r="W129" s="31"/>
      <c r="X129" s="50"/>
    </row>
    <row r="130" spans="1:24" ht="20.45" customHeight="1">
      <c r="A130" s="10"/>
      <c r="B130" s="11"/>
      <c r="C130" s="11"/>
      <c r="D130" s="11"/>
      <c r="E130" s="12"/>
      <c r="F130" s="11"/>
      <c r="G130" s="11"/>
      <c r="H130" s="11"/>
      <c r="I130" s="11"/>
      <c r="J130" s="11"/>
      <c r="K130" s="11"/>
      <c r="L130" s="11"/>
      <c r="M130" s="25"/>
      <c r="N130" s="28"/>
      <c r="O130" s="25"/>
      <c r="P130" s="25"/>
      <c r="Q130" s="28"/>
      <c r="R130" s="28"/>
      <c r="S130" s="25"/>
      <c r="T130" s="25"/>
      <c r="U130" s="28"/>
      <c r="V130" s="25"/>
      <c r="W130" s="15"/>
      <c r="X130" s="50"/>
    </row>
    <row r="131" spans="1:24" ht="20.45" customHeight="1">
      <c r="A131" s="10"/>
      <c r="B131" s="11"/>
      <c r="C131" s="11"/>
      <c r="D131" s="11"/>
      <c r="E131" s="12"/>
      <c r="F131" s="11"/>
      <c r="G131" s="11"/>
      <c r="H131" s="11"/>
      <c r="I131" s="11"/>
      <c r="J131" s="11"/>
      <c r="K131" s="11"/>
      <c r="L131" s="11"/>
      <c r="M131" s="25"/>
      <c r="N131" s="28"/>
      <c r="O131" s="25"/>
      <c r="P131" s="25"/>
      <c r="Q131" s="25"/>
      <c r="R131" s="25"/>
      <c r="S131" s="25"/>
      <c r="T131" s="25"/>
      <c r="U131" s="28"/>
      <c r="V131" s="25"/>
      <c r="W131" s="15"/>
      <c r="X131" s="50"/>
    </row>
    <row r="132" spans="1:24" ht="20.45" customHeight="1">
      <c r="A132" s="10"/>
      <c r="B132" s="11"/>
      <c r="C132" s="11"/>
      <c r="D132" s="11"/>
      <c r="E132" s="12"/>
      <c r="F132" s="11"/>
      <c r="G132" s="11"/>
      <c r="H132" s="11"/>
      <c r="I132" s="11"/>
      <c r="J132" s="11"/>
      <c r="K132" s="11"/>
      <c r="L132" s="17"/>
      <c r="M132" s="25"/>
      <c r="N132" s="28"/>
      <c r="O132" s="25"/>
      <c r="P132" s="25"/>
      <c r="Q132" s="25"/>
      <c r="R132" s="25"/>
      <c r="S132" s="25"/>
      <c r="T132" s="25"/>
      <c r="U132" s="28"/>
      <c r="V132" s="25"/>
      <c r="W132" s="15"/>
      <c r="X132" s="50"/>
    </row>
    <row r="133" spans="1:24" ht="20.45" customHeight="1">
      <c r="A133" s="10"/>
      <c r="B133" s="11"/>
      <c r="C133" s="11"/>
      <c r="D133" s="11"/>
      <c r="E133" s="12"/>
      <c r="F133" s="11"/>
      <c r="G133" s="11"/>
      <c r="H133" s="11"/>
      <c r="I133" s="11"/>
      <c r="J133" s="11"/>
      <c r="K133" s="11"/>
      <c r="L133" s="11"/>
      <c r="M133" s="25"/>
      <c r="N133" s="28"/>
      <c r="O133" s="25"/>
      <c r="P133" s="25"/>
      <c r="Q133" s="25"/>
      <c r="R133" s="28"/>
      <c r="S133" s="25"/>
      <c r="T133" s="25"/>
      <c r="U133" s="28"/>
      <c r="V133" s="25"/>
      <c r="W133" s="15"/>
      <c r="X133" s="50"/>
    </row>
    <row r="134" spans="1:24" ht="20.45" customHeight="1">
      <c r="A134" s="10"/>
      <c r="B134" s="11"/>
      <c r="C134" s="11"/>
      <c r="D134" s="11"/>
      <c r="E134" s="12"/>
      <c r="F134" s="11"/>
      <c r="G134" s="11"/>
      <c r="H134" s="11"/>
      <c r="I134" s="11"/>
      <c r="J134" s="11"/>
      <c r="K134" s="11"/>
      <c r="L134" s="17"/>
      <c r="M134" s="25"/>
      <c r="N134" s="28"/>
      <c r="O134" s="25"/>
      <c r="P134" s="25"/>
      <c r="Q134" s="25"/>
      <c r="R134" s="25"/>
      <c r="S134" s="25"/>
      <c r="T134" s="25"/>
      <c r="U134" s="28"/>
      <c r="V134" s="25"/>
      <c r="W134" s="15"/>
      <c r="X134" s="50"/>
    </row>
    <row r="135" spans="1:24" ht="20.45" customHeight="1">
      <c r="A135" s="10"/>
      <c r="B135" s="11"/>
      <c r="C135" s="11"/>
      <c r="D135" s="11"/>
      <c r="E135" s="12"/>
      <c r="F135" s="11"/>
      <c r="G135" s="11"/>
      <c r="H135" s="11"/>
      <c r="I135" s="11"/>
      <c r="J135" s="11"/>
      <c r="K135" s="11"/>
      <c r="L135" s="11"/>
      <c r="M135" s="25"/>
      <c r="N135" s="28"/>
      <c r="O135" s="25"/>
      <c r="P135" s="25"/>
      <c r="Q135" s="25"/>
      <c r="R135" s="28"/>
      <c r="S135" s="25"/>
      <c r="T135" s="25"/>
      <c r="U135" s="28"/>
      <c r="V135" s="25"/>
      <c r="W135" s="15"/>
      <c r="X135" s="50"/>
    </row>
    <row r="136" spans="1:24" ht="20.45" customHeight="1">
      <c r="A136" s="10"/>
      <c r="B136" s="11"/>
      <c r="C136" s="11"/>
      <c r="D136" s="11"/>
      <c r="E136" s="12"/>
      <c r="F136" s="11"/>
      <c r="G136" s="11"/>
      <c r="H136" s="11"/>
      <c r="I136" s="11"/>
      <c r="J136" s="11"/>
      <c r="K136" s="11"/>
      <c r="L136" s="17"/>
      <c r="M136" s="25"/>
      <c r="N136" s="28"/>
      <c r="O136" s="25"/>
      <c r="P136" s="25"/>
      <c r="Q136" s="25"/>
      <c r="R136" s="28"/>
      <c r="S136" s="25"/>
      <c r="T136" s="25"/>
      <c r="U136" s="28"/>
      <c r="V136" s="25"/>
      <c r="W136" s="15"/>
      <c r="X136" s="50"/>
    </row>
    <row r="137" spans="1:24" ht="20.45" customHeight="1">
      <c r="A137" s="10"/>
      <c r="B137" s="11"/>
      <c r="C137" s="11"/>
      <c r="D137" s="11"/>
      <c r="E137" s="12"/>
      <c r="F137" s="11"/>
      <c r="G137" s="11"/>
      <c r="H137" s="11"/>
      <c r="I137" s="11"/>
      <c r="J137" s="11"/>
      <c r="K137" s="11"/>
      <c r="L137" s="11"/>
      <c r="M137" s="25"/>
      <c r="N137" s="28"/>
      <c r="O137" s="25"/>
      <c r="P137" s="25"/>
      <c r="Q137" s="28"/>
      <c r="R137" s="28"/>
      <c r="S137" s="25"/>
      <c r="T137" s="25"/>
      <c r="U137" s="28"/>
      <c r="V137" s="25"/>
      <c r="W137" s="15"/>
      <c r="X137" s="50"/>
    </row>
    <row r="138" spans="1:24" ht="20.45" customHeight="1">
      <c r="A138" s="10"/>
      <c r="B138" s="11"/>
      <c r="C138" s="11"/>
      <c r="D138" s="11"/>
      <c r="E138" s="12"/>
      <c r="F138" s="11"/>
      <c r="G138" s="11"/>
      <c r="H138" s="11"/>
      <c r="I138" s="11"/>
      <c r="J138" s="11"/>
      <c r="K138" s="11"/>
      <c r="L138" s="11"/>
      <c r="M138" s="25"/>
      <c r="N138" s="28"/>
      <c r="O138" s="25"/>
      <c r="P138" s="28"/>
      <c r="Q138" s="25"/>
      <c r="R138" s="28"/>
      <c r="S138" s="25"/>
      <c r="T138" s="28"/>
      <c r="U138" s="28"/>
      <c r="V138" s="25"/>
      <c r="W138" s="15"/>
      <c r="X138" s="51"/>
    </row>
    <row r="139" spans="1:24" ht="20.45" customHeight="1">
      <c r="A139" s="10"/>
      <c r="B139" s="11"/>
      <c r="C139" s="11"/>
      <c r="D139" s="11"/>
      <c r="E139" s="12"/>
      <c r="F139" s="11"/>
      <c r="G139" s="11"/>
      <c r="H139" s="11"/>
      <c r="I139" s="11"/>
      <c r="J139" s="11"/>
      <c r="K139" s="11"/>
      <c r="L139" s="11"/>
      <c r="M139" s="25"/>
      <c r="N139" s="28"/>
      <c r="O139" s="25"/>
      <c r="P139" s="25"/>
      <c r="Q139" s="25"/>
      <c r="R139" s="25"/>
      <c r="S139" s="25"/>
      <c r="T139" s="25"/>
      <c r="U139" s="28"/>
      <c r="V139" s="25"/>
      <c r="W139" s="15"/>
      <c r="X139" s="51"/>
    </row>
    <row r="140" spans="1:24" ht="20.45" customHeight="1">
      <c r="A140" s="10"/>
      <c r="B140" s="11"/>
      <c r="C140" s="11"/>
      <c r="D140" s="11"/>
      <c r="E140" s="12"/>
      <c r="F140" s="11"/>
      <c r="G140" s="11"/>
      <c r="H140" s="11"/>
      <c r="I140" s="11"/>
      <c r="J140" s="11"/>
      <c r="K140" s="11"/>
      <c r="L140" s="17"/>
      <c r="M140" s="25"/>
      <c r="N140" s="28"/>
      <c r="O140" s="25"/>
      <c r="P140" s="28"/>
      <c r="Q140" s="25"/>
      <c r="R140" s="28"/>
      <c r="S140" s="25"/>
      <c r="T140" s="25"/>
      <c r="U140" s="28"/>
      <c r="V140" s="28"/>
      <c r="W140" s="27"/>
      <c r="X140" s="51"/>
    </row>
    <row r="141" spans="1:24" ht="20.45" customHeight="1">
      <c r="A141" s="10"/>
      <c r="B141" s="11"/>
      <c r="C141" s="11"/>
      <c r="D141" s="11"/>
      <c r="E141" s="12"/>
      <c r="F141" s="11"/>
      <c r="G141" s="11"/>
      <c r="H141" s="11"/>
      <c r="I141" s="11"/>
      <c r="J141" s="11"/>
      <c r="K141" s="11"/>
      <c r="L141" s="11"/>
      <c r="M141" s="11"/>
      <c r="N141" s="26"/>
      <c r="P141" s="26"/>
      <c r="Q141" s="26"/>
      <c r="R141" s="26"/>
      <c r="S141" s="14"/>
      <c r="T141" s="14"/>
      <c r="U141" s="26"/>
      <c r="V141" s="28"/>
      <c r="W141" s="27"/>
      <c r="X141" s="51"/>
    </row>
    <row r="142" spans="1:24" ht="20.100000000000001" customHeight="1">
      <c r="A142" s="10"/>
      <c r="B142" s="11"/>
      <c r="C142" s="11"/>
      <c r="D142" s="11">
        <f>B142*E142</f>
        <v>0</v>
      </c>
      <c r="E142" s="12"/>
      <c r="F142" s="11">
        <f>C142/4</f>
        <v>0</v>
      </c>
      <c r="G142" s="11">
        <f>D142/7.5</f>
        <v>0</v>
      </c>
      <c r="H142" s="11">
        <f>B142/12.5</f>
        <v>0</v>
      </c>
      <c r="I142" s="11">
        <f>G142/0.93</f>
        <v>0</v>
      </c>
      <c r="J142" s="11">
        <f>G142/0.92</f>
        <v>0</v>
      </c>
      <c r="K142" s="11">
        <f>G142/0.88</f>
        <v>0</v>
      </c>
      <c r="L142" s="17">
        <f>G142/0.84</f>
        <v>0</v>
      </c>
      <c r="M142" s="11"/>
      <c r="N142" s="26"/>
      <c r="P142" s="26"/>
      <c r="Q142" s="26"/>
      <c r="R142" s="26"/>
      <c r="S142" s="14"/>
      <c r="T142" s="14"/>
      <c r="U142" s="26"/>
      <c r="V142" s="38"/>
      <c r="W142" s="31"/>
      <c r="X142" s="51"/>
    </row>
    <row r="143" spans="1:24" ht="20.100000000000001" customHeight="1">
      <c r="A143" s="10"/>
      <c r="B143" s="11"/>
      <c r="C143" s="11"/>
      <c r="D143" s="11">
        <f>B143*E143</f>
        <v>0</v>
      </c>
      <c r="E143" s="12"/>
      <c r="F143" s="11">
        <f>C143/4</f>
        <v>0</v>
      </c>
      <c r="G143" s="11">
        <f>D143/7.5</f>
        <v>0</v>
      </c>
      <c r="H143" s="11">
        <f>B143/12.5</f>
        <v>0</v>
      </c>
      <c r="I143" s="11">
        <f>G143/0.93</f>
        <v>0</v>
      </c>
      <c r="J143" s="11">
        <f>G143/0.92</f>
        <v>0</v>
      </c>
      <c r="K143" s="11">
        <f>G143/0.88</f>
        <v>0</v>
      </c>
      <c r="L143" s="17">
        <f>G143/0.84</f>
        <v>0</v>
      </c>
      <c r="M143" s="11"/>
      <c r="N143" s="26"/>
      <c r="P143" s="26"/>
      <c r="Q143" s="26"/>
      <c r="R143" s="26"/>
      <c r="S143" s="14"/>
      <c r="T143" s="14"/>
      <c r="U143" s="26"/>
      <c r="V143" s="38"/>
      <c r="W143" s="31"/>
      <c r="X143" s="51"/>
    </row>
    <row r="144" spans="1:24" ht="20.100000000000001" customHeight="1">
      <c r="A144" s="10"/>
      <c r="B144" s="11"/>
      <c r="C144" s="11"/>
      <c r="D144" s="11">
        <f>B144*E144</f>
        <v>0</v>
      </c>
      <c r="E144" s="12"/>
      <c r="F144" s="11">
        <f>C144/4</f>
        <v>0</v>
      </c>
      <c r="G144" s="11">
        <f>D144/7.5</f>
        <v>0</v>
      </c>
      <c r="H144" s="11">
        <f>B144/12.5</f>
        <v>0</v>
      </c>
      <c r="I144" s="11">
        <f>G144/0.93</f>
        <v>0</v>
      </c>
      <c r="J144" s="11">
        <f>G144/0.92</f>
        <v>0</v>
      </c>
      <c r="K144" s="11">
        <f>G144/0.88</f>
        <v>0</v>
      </c>
      <c r="L144" s="17">
        <f>G144/0.84</f>
        <v>0</v>
      </c>
      <c r="M144" s="11"/>
      <c r="N144" s="26"/>
      <c r="P144" s="26"/>
      <c r="Q144" s="26"/>
      <c r="R144" s="26"/>
      <c r="S144" s="14"/>
      <c r="T144" s="14"/>
      <c r="U144" s="26"/>
      <c r="V144" s="38"/>
      <c r="W144" s="31"/>
      <c r="X144" s="51"/>
    </row>
  </sheetData>
  <mergeCells count="15">
    <mergeCell ref="X118:X127"/>
    <mergeCell ref="X128:X137"/>
    <mergeCell ref="X138:X144"/>
    <mergeCell ref="X58:X67"/>
    <mergeCell ref="X68:X77"/>
    <mergeCell ref="X78:X87"/>
    <mergeCell ref="X88:X97"/>
    <mergeCell ref="X98:X107"/>
    <mergeCell ref="X108:X117"/>
    <mergeCell ref="X51:X57"/>
    <mergeCell ref="X1:X10"/>
    <mergeCell ref="X11:X20"/>
    <mergeCell ref="X21:X30"/>
    <mergeCell ref="X31:X40"/>
    <mergeCell ref="X41:X50"/>
  </mergeCells>
  <pageMargins left="0.25" right="0.25" top="0.25" bottom="0.25" header="0" footer="0"/>
  <pageSetup scale="95" fitToHeight="0" orientation="landscape" r:id="rId1"/>
  <tableParts count="2">
    <tablePart r:id="rId2"/>
    <tablePart r:id="rId3"/>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922E0-2730-407A-A930-DF4A718FC620}">
  <sheetPr>
    <pageSetUpPr fitToPage="1"/>
  </sheetPr>
  <dimension ref="A1:Z144"/>
  <sheetViews>
    <sheetView topLeftCell="A55" zoomScale="85" zoomScaleNormal="85" workbookViewId="0">
      <selection activeCell="O63" sqref="O63"/>
    </sheetView>
  </sheetViews>
  <sheetFormatPr defaultColWidth="8.7109375" defaultRowHeight="14.45"/>
  <cols>
    <col min="1" max="1" width="19.5703125" customWidth="1"/>
    <col min="2" max="2" width="8.7109375" style="29" hidden="1" customWidth="1"/>
    <col min="3" max="3" width="10.140625" hidden="1" customWidth="1"/>
    <col min="4" max="4" width="8.7109375" style="29" hidden="1" customWidth="1"/>
    <col min="5" max="5" width="9.28515625" hidden="1" customWidth="1"/>
    <col min="6" max="6" width="8.7109375" hidden="1" customWidth="1"/>
    <col min="7" max="7" width="9.28515625" hidden="1" customWidth="1"/>
    <col min="8" max="9" width="8.7109375" hidden="1" customWidth="1"/>
    <col min="10" max="10" width="10.7109375" hidden="1" customWidth="1"/>
    <col min="11" max="11" width="11.42578125" hidden="1" customWidth="1"/>
    <col min="12" max="12" width="6.140625" hidden="1" customWidth="1"/>
    <col min="13" max="13" width="8.7109375" customWidth="1"/>
    <col min="14" max="19" width="10.140625" customWidth="1"/>
    <col min="20" max="22" width="8.7109375" customWidth="1"/>
    <col min="23" max="23" width="3.42578125" customWidth="1"/>
    <col min="24" max="24" width="20.42578125" customWidth="1"/>
    <col min="25" max="25" width="12.28515625" bestFit="1" customWidth="1"/>
    <col min="26" max="27" width="12.85546875" bestFit="1" customWidth="1"/>
  </cols>
  <sheetData>
    <row r="1" spans="1:26" ht="14.45" customHeight="1">
      <c r="A1" s="1" t="s">
        <v>333</v>
      </c>
      <c r="B1" s="2" t="s">
        <v>1</v>
      </c>
      <c r="C1" s="2" t="s">
        <v>2</v>
      </c>
      <c r="D1" s="2" t="s">
        <v>3</v>
      </c>
      <c r="E1" s="3" t="s">
        <v>4</v>
      </c>
      <c r="F1" s="2" t="s">
        <v>5</v>
      </c>
      <c r="G1" s="2" t="s">
        <v>6</v>
      </c>
      <c r="H1" s="2" t="s">
        <v>7</v>
      </c>
      <c r="I1" s="4" t="s">
        <v>8</v>
      </c>
      <c r="J1" s="2" t="s">
        <v>9</v>
      </c>
      <c r="K1" s="2" t="s">
        <v>10</v>
      </c>
      <c r="L1" s="2" t="s">
        <v>11</v>
      </c>
      <c r="M1" s="6" t="s">
        <v>12</v>
      </c>
      <c r="N1" s="6" t="s">
        <v>145</v>
      </c>
      <c r="O1" s="7" t="s">
        <v>208</v>
      </c>
      <c r="P1" s="8" t="s">
        <v>209</v>
      </c>
      <c r="Q1" s="8" t="s">
        <v>147</v>
      </c>
      <c r="R1" s="7" t="s">
        <v>148</v>
      </c>
      <c r="S1" s="7" t="s">
        <v>149</v>
      </c>
      <c r="T1" s="7" t="s">
        <v>77</v>
      </c>
      <c r="U1" s="8" t="s">
        <v>20</v>
      </c>
      <c r="V1" s="7" t="s">
        <v>21</v>
      </c>
      <c r="W1" s="9" t="s">
        <v>22</v>
      </c>
      <c r="X1" s="52" t="s">
        <v>334</v>
      </c>
    </row>
    <row r="2" spans="1:26" ht="21" customHeight="1">
      <c r="A2" s="10" t="s">
        <v>28</v>
      </c>
      <c r="B2" s="11">
        <v>1.2500000000000001E-2</v>
      </c>
      <c r="C2" s="11">
        <v>3.9351851851851857E-3</v>
      </c>
      <c r="D2" s="11">
        <f>B2*E2</f>
        <v>7.2725000000000003E-3</v>
      </c>
      <c r="E2" s="12">
        <v>0.58179999999999998</v>
      </c>
      <c r="F2" s="11">
        <f>C2/4</f>
        <v>9.8379629629629642E-4</v>
      </c>
      <c r="G2" s="11">
        <f>D2/7.5</f>
        <v>9.6966666666666675E-4</v>
      </c>
      <c r="H2" s="11">
        <f>B2/12.5</f>
        <v>1E-3</v>
      </c>
      <c r="I2" s="11">
        <f>G2/0.93</f>
        <v>1.0426523297491039E-3</v>
      </c>
      <c r="J2" s="11">
        <f>G2/0.92</f>
        <v>1.0539855072463768E-3</v>
      </c>
      <c r="K2" s="11">
        <f>G2/0.88</f>
        <v>1.1018939393939394E-3</v>
      </c>
      <c r="L2" s="11">
        <f>G2/0.84</f>
        <v>1.1543650793650795E-3</v>
      </c>
      <c r="M2" s="25">
        <f>WO2025Jan710814161822242830323438404244464854565862646668707274766810[[#This Row],[Thresh]]</f>
        <v>1.1018939393939394E-3</v>
      </c>
      <c r="N2" s="28">
        <f>WO2025Jan710814161822242830323438404244464854565862646668707274766810[[#This Row],[Thresh]]*1.5</f>
        <v>1.6528409090909091E-3</v>
      </c>
      <c r="O2" s="25"/>
      <c r="P2" s="28"/>
      <c r="Q2" s="25"/>
      <c r="R2" s="28"/>
      <c r="S2" s="11"/>
      <c r="T2" s="28"/>
      <c r="U2" s="28"/>
      <c r="V2" s="28"/>
      <c r="W2" s="15" t="s">
        <v>26</v>
      </c>
      <c r="X2" s="52"/>
    </row>
    <row r="3" spans="1:26" ht="21" customHeight="1">
      <c r="A3" s="10" t="s">
        <v>60</v>
      </c>
      <c r="B3" s="11">
        <v>1.2500000000000001E-2</v>
      </c>
      <c r="C3" s="11">
        <v>3.6458333333333334E-3</v>
      </c>
      <c r="D3" s="11">
        <f>B3*E3</f>
        <v>7.2725000000000003E-3</v>
      </c>
      <c r="E3" s="12">
        <v>0.58179999999999998</v>
      </c>
      <c r="F3" s="11">
        <f>C3/4</f>
        <v>9.1145833333333335E-4</v>
      </c>
      <c r="G3" s="11">
        <f>D3/7.5</f>
        <v>9.6966666666666675E-4</v>
      </c>
      <c r="H3" s="11">
        <f>B3/12.5</f>
        <v>1E-3</v>
      </c>
      <c r="I3" s="11">
        <f>G3/0.93</f>
        <v>1.0426523297491039E-3</v>
      </c>
      <c r="J3" s="11">
        <f>G3/0.92</f>
        <v>1.0539855072463768E-3</v>
      </c>
      <c r="K3" s="11">
        <f>G3/0.88</f>
        <v>1.1018939393939394E-3</v>
      </c>
      <c r="L3" s="11">
        <f>G3/0.84</f>
        <v>1.1543650793650795E-3</v>
      </c>
      <c r="M3" s="25">
        <f>WO2025Jan710814161822242830323438404244464854565862646668707274766810[[#This Row],[Thresh]]</f>
        <v>1.1018939393939394E-3</v>
      </c>
      <c r="N3" s="28">
        <f>WO2025Jan710814161822242830323438404244464854565862646668707274766810[[#This Row],[Thresh]]*1.5</f>
        <v>1.6528409090909091E-3</v>
      </c>
      <c r="O3" s="25"/>
      <c r="P3" s="25"/>
      <c r="Q3" s="25"/>
      <c r="R3" s="28"/>
      <c r="S3" s="11"/>
      <c r="T3" s="28"/>
      <c r="U3" s="28"/>
      <c r="V3" s="28"/>
      <c r="W3" s="15" t="s">
        <v>26</v>
      </c>
      <c r="X3" s="52"/>
      <c r="Z3" s="16"/>
    </row>
    <row r="4" spans="1:26" ht="21" customHeight="1">
      <c r="A4" s="10" t="s">
        <v>59</v>
      </c>
      <c r="B4" s="11">
        <v>1.2500000000000001E-2</v>
      </c>
      <c r="C4" s="11">
        <v>3.7037037037037038E-3</v>
      </c>
      <c r="D4" s="11">
        <f>B4*E4</f>
        <v>7.2725000000000003E-3</v>
      </c>
      <c r="E4" s="12">
        <v>0.58179999999999998</v>
      </c>
      <c r="F4" s="11">
        <f>C4/4</f>
        <v>9.2592592592592596E-4</v>
      </c>
      <c r="G4" s="11">
        <f>D4/7.5</f>
        <v>9.6966666666666675E-4</v>
      </c>
      <c r="H4" s="11">
        <f>B4/12.5</f>
        <v>1E-3</v>
      </c>
      <c r="I4" s="11">
        <f>G4/0.93</f>
        <v>1.0426523297491039E-3</v>
      </c>
      <c r="J4" s="11">
        <f>G4/0.92</f>
        <v>1.0539855072463768E-3</v>
      </c>
      <c r="K4" s="11">
        <f>G4/0.88</f>
        <v>1.1018939393939394E-3</v>
      </c>
      <c r="L4" s="17">
        <f>G4/0.84</f>
        <v>1.1543650793650795E-3</v>
      </c>
      <c r="M4" s="25">
        <f>WO2025Jan710814161822242830323438404244464854565862646668707274766810[[#This Row],[Thresh]]</f>
        <v>1.1018939393939394E-3</v>
      </c>
      <c r="N4" s="28">
        <f>WO2025Jan710814161822242830323438404244464854565862646668707274766810[[#This Row],[Thresh]]*1.5</f>
        <v>1.6528409090909091E-3</v>
      </c>
      <c r="O4" s="25"/>
      <c r="P4" s="25"/>
      <c r="Q4" s="25"/>
      <c r="R4" s="28"/>
      <c r="S4" s="11"/>
      <c r="T4" s="28"/>
      <c r="U4" s="28"/>
      <c r="V4" s="38"/>
      <c r="W4" s="15" t="s">
        <v>26</v>
      </c>
      <c r="X4" s="52"/>
    </row>
    <row r="5" spans="1:26" ht="21" customHeight="1">
      <c r="A5" s="10" t="s">
        <v>30</v>
      </c>
      <c r="B5" s="11">
        <v>1.2500000000000001E-2</v>
      </c>
      <c r="C5" s="11">
        <v>3.6458333333333334E-3</v>
      </c>
      <c r="D5" s="11">
        <f>B5*E5</f>
        <v>7.2725000000000003E-3</v>
      </c>
      <c r="E5" s="12">
        <v>0.58179999999999998</v>
      </c>
      <c r="F5" s="11">
        <f>C5/4</f>
        <v>9.1145833333333335E-4</v>
      </c>
      <c r="G5" s="11">
        <f>D5/7.5</f>
        <v>9.6966666666666675E-4</v>
      </c>
      <c r="H5" s="11">
        <f>B5/12.5</f>
        <v>1E-3</v>
      </c>
      <c r="I5" s="11">
        <f>G5/0.93</f>
        <v>1.0426523297491039E-3</v>
      </c>
      <c r="J5" s="11">
        <f>G5/0.92</f>
        <v>1.0539855072463768E-3</v>
      </c>
      <c r="K5" s="11">
        <f>G5/0.88</f>
        <v>1.1018939393939394E-3</v>
      </c>
      <c r="L5" s="11">
        <f>G5/0.84</f>
        <v>1.1543650793650795E-3</v>
      </c>
      <c r="M5" s="25">
        <f>WO2025Jan710814161822242830323438404244464854565862646668707274766810[[#This Row],[Thresh]]</f>
        <v>1.1018939393939394E-3</v>
      </c>
      <c r="N5" s="28">
        <f>WO2025Jan710814161822242830323438404244464854565862646668707274766810[[#This Row],[Thresh]]*1.5</f>
        <v>1.6528409090909091E-3</v>
      </c>
      <c r="O5" s="25"/>
      <c r="P5" s="28"/>
      <c r="Q5" s="25"/>
      <c r="R5" s="25"/>
      <c r="S5" s="11"/>
      <c r="T5" s="28"/>
      <c r="U5" s="28"/>
      <c r="V5" s="28"/>
      <c r="W5" s="15" t="s">
        <v>26</v>
      </c>
      <c r="X5" s="52"/>
    </row>
    <row r="6" spans="1:26" ht="21" customHeight="1">
      <c r="A6" s="10"/>
      <c r="B6" s="11"/>
      <c r="C6" s="11"/>
      <c r="D6" s="11"/>
      <c r="E6" s="12"/>
      <c r="F6" s="11"/>
      <c r="G6" s="11"/>
      <c r="H6" s="11"/>
      <c r="I6" s="11"/>
      <c r="J6" s="11"/>
      <c r="K6" s="11"/>
      <c r="L6" s="11"/>
      <c r="M6" s="25"/>
      <c r="N6" s="28"/>
      <c r="O6" s="25"/>
      <c r="P6" s="28"/>
      <c r="Q6" s="25"/>
      <c r="R6" s="11"/>
      <c r="S6" s="14"/>
      <c r="T6" s="11"/>
      <c r="U6" s="11"/>
      <c r="V6" s="17"/>
      <c r="W6" s="18"/>
      <c r="X6" s="52"/>
    </row>
    <row r="7" spans="1:26" ht="21" customHeight="1">
      <c r="A7" s="19"/>
      <c r="B7" s="6"/>
      <c r="C7" s="6"/>
      <c r="D7" s="6"/>
      <c r="E7" s="20"/>
      <c r="F7" s="6"/>
      <c r="G7" s="6"/>
      <c r="H7" s="6"/>
      <c r="I7" s="6"/>
      <c r="J7" s="6"/>
      <c r="K7" s="6"/>
      <c r="L7" s="6"/>
      <c r="M7" s="6" t="s">
        <v>12</v>
      </c>
      <c r="N7" s="6" t="s">
        <v>145</v>
      </c>
      <c r="O7" s="6" t="s">
        <v>146</v>
      </c>
      <c r="P7" s="6"/>
      <c r="Q7" s="6"/>
      <c r="R7" s="6"/>
      <c r="S7" s="6"/>
      <c r="T7" s="6"/>
      <c r="U7" s="6"/>
      <c r="V7" s="21"/>
      <c r="W7" s="43"/>
      <c r="X7" s="52"/>
    </row>
    <row r="8" spans="1:26" ht="21" customHeight="1">
      <c r="A8" s="10" t="s">
        <v>72</v>
      </c>
      <c r="B8" s="11">
        <v>1.3541666666666667E-2</v>
      </c>
      <c r="C8" s="11">
        <v>4.0509259259259257E-3</v>
      </c>
      <c r="D8" s="11">
        <f>B8*E8</f>
        <v>7.8785416666666674E-3</v>
      </c>
      <c r="E8" s="12">
        <v>0.58179999999999998</v>
      </c>
      <c r="F8" s="11">
        <f>C8/4</f>
        <v>1.0127314814814814E-3</v>
      </c>
      <c r="G8" s="11">
        <f>D8/7.5</f>
        <v>1.0504722222222224E-3</v>
      </c>
      <c r="H8" s="11">
        <f>B8/12.5</f>
        <v>1.0833333333333333E-3</v>
      </c>
      <c r="I8" s="11">
        <f>G8/0.93</f>
        <v>1.1295400238948627E-3</v>
      </c>
      <c r="J8" s="11">
        <f>G8/0.92</f>
        <v>1.1418176328502417E-3</v>
      </c>
      <c r="K8" s="11">
        <f>G8/0.88</f>
        <v>1.1937184343434346E-3</v>
      </c>
      <c r="L8" s="11">
        <f>G8/0.84</f>
        <v>1.2505621693121695E-3</v>
      </c>
      <c r="M8" s="25">
        <f>WO2025Jan710814161822242830323438404244464854565862646668707274766810[[#This Row],[Thresh]]</f>
        <v>1.1937184343434346E-3</v>
      </c>
      <c r="N8" s="28">
        <f>WO2025Jan710814161822242830323438404244464854565862646668707274766810[[#This Row],[Thresh]]*1.5</f>
        <v>1.790577651515152E-3</v>
      </c>
      <c r="O8" s="25">
        <f>WO2025Jan710814161822242830323438404244464854565862646668707274766810[[#This Row],[CV]]</f>
        <v>1.1418176328502417E-3</v>
      </c>
      <c r="P8" s="25"/>
      <c r="Q8" s="25"/>
      <c r="R8" s="28"/>
      <c r="S8" s="11"/>
      <c r="T8" s="28"/>
      <c r="U8" s="28"/>
      <c r="V8" s="28"/>
      <c r="W8" s="15" t="s">
        <v>35</v>
      </c>
      <c r="X8" s="52"/>
    </row>
    <row r="9" spans="1:26" ht="21" customHeight="1">
      <c r="A9" s="10" t="s">
        <v>68</v>
      </c>
      <c r="B9" s="11">
        <v>1.4236111111111111E-2</v>
      </c>
      <c r="C9" s="11"/>
      <c r="D9" s="11">
        <f>B9*E9</f>
        <v>8.2825694444444448E-3</v>
      </c>
      <c r="E9" s="12">
        <v>0.58179999999999998</v>
      </c>
      <c r="F9" s="11">
        <f>C9/4</f>
        <v>0</v>
      </c>
      <c r="G9" s="11">
        <f>D9/7.5</f>
        <v>1.1043425925925927E-3</v>
      </c>
      <c r="H9" s="11">
        <f>B9/12.5</f>
        <v>1.1388888888888889E-3</v>
      </c>
      <c r="I9" s="11">
        <f>G9/0.93</f>
        <v>1.1874651533253684E-3</v>
      </c>
      <c r="J9" s="11">
        <f>G9/0.92</f>
        <v>1.2003723832528181E-3</v>
      </c>
      <c r="K9" s="11">
        <f>G9/0.88</f>
        <v>1.2549347643097644E-3</v>
      </c>
      <c r="L9" s="11">
        <f>G9/0.84</f>
        <v>1.3146935626102295E-3</v>
      </c>
      <c r="M9" s="25">
        <f>WO2025Jan710814161822242830323438404244464854565862646668707274766810[[#This Row],[Thresh]]</f>
        <v>1.2549347643097644E-3</v>
      </c>
      <c r="N9" s="28">
        <f>WO2025Jan710814161822242830323438404244464854565862646668707274766810[[#This Row],[Thresh]]*1.5</f>
        <v>1.8824021464646467E-3</v>
      </c>
      <c r="O9" s="25">
        <f>WO2025Jan710814161822242830323438404244464854565862646668707274766810[[#This Row],[CV]]</f>
        <v>1.2003723832528181E-3</v>
      </c>
      <c r="P9" s="28"/>
      <c r="Q9" s="25"/>
      <c r="R9" s="28"/>
      <c r="S9" s="11"/>
      <c r="T9" s="11"/>
      <c r="U9" s="11"/>
      <c r="V9" s="11"/>
      <c r="W9" s="15" t="s">
        <v>35</v>
      </c>
      <c r="X9" s="52"/>
    </row>
    <row r="10" spans="1:26" ht="21" customHeight="1">
      <c r="A10" s="10" t="s">
        <v>76</v>
      </c>
      <c r="B10" s="11">
        <v>1.4236111111111111E-2</v>
      </c>
      <c r="C10" s="11"/>
      <c r="D10" s="11">
        <f t="shared" ref="D10" si="0">B10*E10</f>
        <v>8.2825694444444448E-3</v>
      </c>
      <c r="E10" s="12">
        <v>0.58179999999999998</v>
      </c>
      <c r="F10" s="11">
        <f t="shared" ref="F10" si="1">C10/4</f>
        <v>0</v>
      </c>
      <c r="G10" s="11">
        <f t="shared" ref="G10" si="2">D10/7.5</f>
        <v>1.1043425925925927E-3</v>
      </c>
      <c r="H10" s="11">
        <f t="shared" ref="H10" si="3">B10/12.5</f>
        <v>1.1388888888888889E-3</v>
      </c>
      <c r="I10" s="11">
        <f t="shared" ref="I10" si="4">G10/0.93</f>
        <v>1.1874651533253684E-3</v>
      </c>
      <c r="J10" s="11">
        <f t="shared" ref="J10" si="5">G10/0.92</f>
        <v>1.2003723832528181E-3</v>
      </c>
      <c r="K10" s="11">
        <f t="shared" ref="K10" si="6">G10/0.88</f>
        <v>1.2549347643097644E-3</v>
      </c>
      <c r="L10" s="11">
        <f t="shared" ref="L10" si="7">G10/0.84</f>
        <v>1.3146935626102295E-3</v>
      </c>
      <c r="M10" s="25">
        <f>WO2025Jan710814161822242830323438404244464854565862646668707274766810[[#This Row],[Thresh]]</f>
        <v>1.2549347643097644E-3</v>
      </c>
      <c r="N10" s="28">
        <f>WO2025Jan710814161822242830323438404244464854565862646668707274766810[[#This Row],[Thresh]]*1.5</f>
        <v>1.8824021464646467E-3</v>
      </c>
      <c r="O10" s="25">
        <f>WO2025Jan710814161822242830323438404244464854565862646668707274766810[[#This Row],[CV]]</f>
        <v>1.2003723832528181E-3</v>
      </c>
      <c r="P10" s="25"/>
      <c r="Q10" s="25"/>
      <c r="R10" s="25"/>
      <c r="S10" s="28"/>
      <c r="T10" s="28"/>
      <c r="U10" s="28"/>
      <c r="V10" s="28"/>
      <c r="W10" s="15" t="s">
        <v>35</v>
      </c>
      <c r="X10" s="52"/>
    </row>
    <row r="11" spans="1:26" ht="21" customHeight="1">
      <c r="A11" s="39"/>
      <c r="B11" s="40"/>
      <c r="C11" s="40"/>
      <c r="D11" s="40"/>
      <c r="E11" s="41"/>
      <c r="F11" s="40"/>
      <c r="G11" s="40"/>
      <c r="H11" s="40"/>
      <c r="I11" s="40"/>
      <c r="J11" s="40"/>
      <c r="K11" s="40"/>
      <c r="L11" s="40"/>
      <c r="M11" s="40"/>
      <c r="N11" s="40"/>
      <c r="O11" s="40"/>
      <c r="P11" s="40"/>
      <c r="Q11" s="40"/>
      <c r="R11" s="40"/>
      <c r="S11" s="40"/>
      <c r="T11" s="40"/>
      <c r="U11" s="40"/>
      <c r="V11" s="40"/>
      <c r="W11" s="42"/>
      <c r="X11" s="52" t="s">
        <v>335</v>
      </c>
    </row>
    <row r="12" spans="1:26" ht="21" customHeight="1">
      <c r="A12" s="19"/>
      <c r="B12" s="6"/>
      <c r="C12" s="6"/>
      <c r="D12" s="6"/>
      <c r="E12" s="20"/>
      <c r="F12" s="6"/>
      <c r="G12" s="6"/>
      <c r="H12" s="6"/>
      <c r="I12" s="6"/>
      <c r="J12" s="6"/>
      <c r="K12" s="6"/>
      <c r="L12" s="6"/>
      <c r="M12" s="6"/>
      <c r="N12" s="6"/>
      <c r="O12" s="6"/>
      <c r="P12" s="6"/>
      <c r="Q12" s="6"/>
      <c r="R12" s="6"/>
      <c r="S12" s="6"/>
      <c r="T12" s="6"/>
      <c r="U12" s="6"/>
      <c r="V12" s="6"/>
      <c r="W12" s="35"/>
      <c r="X12" s="52"/>
    </row>
    <row r="13" spans="1:26" ht="21" customHeight="1">
      <c r="A13" s="10" t="s">
        <v>61</v>
      </c>
      <c r="B13" s="11">
        <v>1.4930555555555556E-2</v>
      </c>
      <c r="C13" s="11">
        <v>4.3981481481481484E-3</v>
      </c>
      <c r="D13" s="11">
        <f>B13*E13</f>
        <v>8.6865972222222223E-3</v>
      </c>
      <c r="E13" s="12">
        <v>0.58179999999999998</v>
      </c>
      <c r="F13" s="11">
        <f>C13/4</f>
        <v>1.0995370370370371E-3</v>
      </c>
      <c r="G13" s="11">
        <f>D13/7.5</f>
        <v>1.1582129629629629E-3</v>
      </c>
      <c r="H13" s="11">
        <f>B13/12.5</f>
        <v>1.1944444444444446E-3</v>
      </c>
      <c r="I13" s="11">
        <f>G13/0.93</f>
        <v>1.2453902827558739E-3</v>
      </c>
      <c r="J13" s="11">
        <f>G13/0.92</f>
        <v>1.2589271336553944E-3</v>
      </c>
      <c r="K13" s="11">
        <f>G13/0.88</f>
        <v>1.3161510942760941E-3</v>
      </c>
      <c r="L13" s="11">
        <f>G13/0.84</f>
        <v>1.3788249559082892E-3</v>
      </c>
      <c r="M13" s="25"/>
      <c r="N13" s="28"/>
      <c r="O13" s="25"/>
      <c r="P13" s="25"/>
      <c r="Q13" s="25"/>
      <c r="R13" s="25"/>
      <c r="S13" s="28"/>
      <c r="T13" s="28"/>
      <c r="U13" s="28"/>
      <c r="V13" s="28"/>
      <c r="W13" s="15" t="s">
        <v>48</v>
      </c>
      <c r="X13" s="52"/>
    </row>
    <row r="14" spans="1:26" ht="21" customHeight="1">
      <c r="A14" s="10"/>
      <c r="B14" s="11"/>
      <c r="C14" s="11"/>
      <c r="D14" s="11"/>
      <c r="E14" s="12"/>
      <c r="F14" s="11"/>
      <c r="G14" s="11"/>
      <c r="H14" s="11"/>
      <c r="I14" s="11"/>
      <c r="J14" s="11"/>
      <c r="K14" s="11"/>
      <c r="L14" s="11"/>
      <c r="M14" s="13"/>
      <c r="N14" s="11"/>
      <c r="O14" s="11"/>
      <c r="P14" s="11"/>
      <c r="Q14" s="14"/>
      <c r="R14" s="11"/>
      <c r="S14" s="14"/>
      <c r="T14" s="14"/>
      <c r="U14" s="14"/>
      <c r="V14" s="17"/>
      <c r="W14" s="18"/>
      <c r="X14" s="52"/>
    </row>
    <row r="15" spans="1:26" ht="21" customHeight="1">
      <c r="A15" s="19"/>
      <c r="B15" s="6"/>
      <c r="C15" s="6"/>
      <c r="D15" s="6"/>
      <c r="E15" s="20"/>
      <c r="F15" s="6"/>
      <c r="G15" s="6"/>
      <c r="H15" s="6"/>
      <c r="I15" s="6"/>
      <c r="J15" s="6"/>
      <c r="K15" s="6"/>
      <c r="L15" s="6"/>
      <c r="M15" s="6"/>
      <c r="N15" s="6"/>
      <c r="O15" s="6"/>
      <c r="P15" s="6"/>
      <c r="Q15" s="6"/>
      <c r="R15" s="6"/>
      <c r="S15" s="6"/>
      <c r="T15" s="6"/>
      <c r="U15" s="6"/>
      <c r="V15" s="6"/>
      <c r="W15" s="35"/>
      <c r="X15" s="52"/>
    </row>
    <row r="16" spans="1:26" ht="21" customHeight="1">
      <c r="A16" s="10" t="s">
        <v>57</v>
      </c>
      <c r="B16" s="11"/>
      <c r="C16" s="11"/>
      <c r="D16" s="11"/>
      <c r="E16" s="12"/>
      <c r="F16" s="11"/>
      <c r="G16" s="11"/>
      <c r="H16" s="11"/>
      <c r="I16" s="11"/>
      <c r="J16" s="11"/>
      <c r="K16" s="11"/>
      <c r="L16" s="11"/>
      <c r="M16" s="25"/>
      <c r="N16" s="28"/>
      <c r="O16" s="25"/>
      <c r="P16" s="28"/>
      <c r="Q16" s="25"/>
      <c r="R16" s="28"/>
      <c r="S16" s="28"/>
      <c r="T16" s="11"/>
      <c r="U16" s="11"/>
      <c r="V16" s="11"/>
      <c r="W16" s="15" t="s">
        <v>52</v>
      </c>
      <c r="X16" s="52"/>
    </row>
    <row r="17" spans="1:24" ht="21" customHeight="1">
      <c r="A17" s="10" t="s">
        <v>51</v>
      </c>
      <c r="B17" s="11">
        <v>1.238425925925926E-2</v>
      </c>
      <c r="C17" s="11">
        <v>3.5879629629629629E-3</v>
      </c>
      <c r="D17" s="11">
        <f>B17*E17</f>
        <v>7.2051620370370368E-3</v>
      </c>
      <c r="E17" s="12">
        <v>0.58179999999999998</v>
      </c>
      <c r="F17" s="11">
        <f>C17/4</f>
        <v>8.9699074074074073E-4</v>
      </c>
      <c r="G17" s="11">
        <f>D17/7.5</f>
        <v>9.6068827160493821E-4</v>
      </c>
      <c r="H17" s="11">
        <f>B17/12.5</f>
        <v>9.9074074074074082E-4</v>
      </c>
      <c r="I17" s="11">
        <f>G17/0.93</f>
        <v>1.0329981415106862E-3</v>
      </c>
      <c r="J17" s="11">
        <f>G17/0.92</f>
        <v>1.0442263821792807E-3</v>
      </c>
      <c r="K17" s="11">
        <f>G17/0.88</f>
        <v>1.0916912177328843E-3</v>
      </c>
      <c r="L17" s="11">
        <f>G17/0.84</f>
        <v>1.1436765138154027E-3</v>
      </c>
      <c r="M17" s="25"/>
      <c r="N17" s="28"/>
      <c r="O17" s="25"/>
      <c r="P17" s="28"/>
      <c r="Q17" s="25"/>
      <c r="R17" s="28"/>
      <c r="S17" s="11"/>
      <c r="T17" s="11"/>
      <c r="U17" s="11"/>
      <c r="V17" s="11"/>
      <c r="W17" s="15" t="s">
        <v>52</v>
      </c>
      <c r="X17" s="52"/>
    </row>
    <row r="18" spans="1:24" ht="21" customHeight="1">
      <c r="A18" s="10" t="s">
        <v>53</v>
      </c>
      <c r="B18" s="11">
        <v>1.3020833333333334E-2</v>
      </c>
      <c r="C18" s="11"/>
      <c r="D18" s="11">
        <f>B18*E18</f>
        <v>7.5755208333333334E-3</v>
      </c>
      <c r="E18" s="12">
        <v>0.58179999999999998</v>
      </c>
      <c r="F18" s="11">
        <f>C18/4</f>
        <v>0</v>
      </c>
      <c r="G18" s="11">
        <f>D18/7.5</f>
        <v>1.0100694444444445E-3</v>
      </c>
      <c r="H18" s="11">
        <f>B18/12.5</f>
        <v>1.0416666666666667E-3</v>
      </c>
      <c r="I18" s="11">
        <f>G18/0.93</f>
        <v>1.0860961768219832E-3</v>
      </c>
      <c r="J18" s="11">
        <f>G18/0.92</f>
        <v>1.0979015700483092E-3</v>
      </c>
      <c r="K18" s="11">
        <f>G18/0.88</f>
        <v>1.1478061868686869E-3</v>
      </c>
      <c r="L18" s="11">
        <f>G18/0.84</f>
        <v>1.2024636243386244E-3</v>
      </c>
      <c r="M18" s="25"/>
      <c r="N18" s="28"/>
      <c r="O18" s="25"/>
      <c r="P18" s="28"/>
      <c r="Q18" s="25"/>
      <c r="R18" s="28"/>
      <c r="S18" s="28"/>
      <c r="T18" s="11"/>
      <c r="U18" s="11"/>
      <c r="V18" s="17"/>
      <c r="W18" s="15" t="s">
        <v>52</v>
      </c>
      <c r="X18" s="52"/>
    </row>
    <row r="19" spans="1:24" ht="21" customHeight="1">
      <c r="A19" s="10"/>
      <c r="B19" s="11"/>
      <c r="C19" s="11"/>
      <c r="D19" s="11"/>
      <c r="E19" s="12"/>
      <c r="F19" s="11"/>
      <c r="G19" s="11"/>
      <c r="H19" s="11"/>
      <c r="I19" s="11"/>
      <c r="J19" s="11"/>
      <c r="K19" s="11"/>
      <c r="L19" s="11"/>
      <c r="M19" s="45"/>
      <c r="N19" s="11"/>
      <c r="O19" s="11"/>
      <c r="P19" s="11"/>
      <c r="Q19" s="14"/>
      <c r="R19" s="11"/>
      <c r="S19" s="14"/>
      <c r="T19" s="11"/>
      <c r="U19" s="14"/>
      <c r="V19" s="17"/>
      <c r="W19" s="18"/>
      <c r="X19" s="52"/>
    </row>
    <row r="20" spans="1:24" ht="21" customHeight="1">
      <c r="A20" s="10"/>
      <c r="B20" s="11"/>
      <c r="C20" s="11"/>
      <c r="D20" s="11"/>
      <c r="E20" s="12"/>
      <c r="F20" s="11"/>
      <c r="G20" s="11"/>
      <c r="H20" s="11"/>
      <c r="I20" s="11"/>
      <c r="J20" s="11"/>
      <c r="K20" s="11"/>
      <c r="L20" s="11"/>
      <c r="M20" s="45"/>
      <c r="N20" s="11"/>
      <c r="O20" s="11"/>
      <c r="P20" s="11"/>
      <c r="Q20" s="14"/>
      <c r="R20" s="11"/>
      <c r="S20" s="14"/>
      <c r="T20" s="11"/>
      <c r="U20" s="14"/>
      <c r="V20" s="17"/>
      <c r="W20" s="18"/>
      <c r="X20" s="52"/>
    </row>
    <row r="21" spans="1:24" ht="21" customHeight="1">
      <c r="A21" s="10"/>
      <c r="B21" s="11"/>
      <c r="C21" s="11"/>
      <c r="D21" s="11"/>
      <c r="E21" s="12"/>
      <c r="F21" s="11"/>
      <c r="G21" s="11"/>
      <c r="H21" s="11"/>
      <c r="I21" s="11"/>
      <c r="J21" s="11"/>
      <c r="K21" s="11"/>
      <c r="L21" s="11"/>
      <c r="M21" s="45"/>
      <c r="N21" s="11"/>
      <c r="O21" s="11"/>
      <c r="P21" s="11"/>
      <c r="Q21" s="14"/>
      <c r="R21" s="11"/>
      <c r="S21" s="14"/>
      <c r="T21" s="11"/>
      <c r="U21" s="14"/>
      <c r="V21" s="17"/>
      <c r="W21" s="18"/>
      <c r="X21" s="50" t="s">
        <v>336</v>
      </c>
    </row>
    <row r="22" spans="1:24" ht="21" customHeight="1">
      <c r="A22" s="10"/>
      <c r="B22" s="11"/>
      <c r="C22" s="11"/>
      <c r="D22" s="11"/>
      <c r="E22" s="12"/>
      <c r="F22" s="11"/>
      <c r="G22" s="11"/>
      <c r="H22" s="11"/>
      <c r="I22" s="11"/>
      <c r="J22" s="11"/>
      <c r="K22" s="11"/>
      <c r="L22" s="11"/>
      <c r="M22" s="14"/>
      <c r="O22" s="14"/>
      <c r="P22" s="11"/>
      <c r="Q22" s="14"/>
      <c r="R22" s="11"/>
      <c r="S22" s="14"/>
      <c r="T22" s="14"/>
      <c r="U22" s="14"/>
      <c r="V22" s="11"/>
      <c r="W22" s="15"/>
      <c r="X22" s="50"/>
    </row>
    <row r="23" spans="1:24" ht="21" customHeight="1">
      <c r="A23" s="10"/>
      <c r="B23" s="11"/>
      <c r="C23" s="11"/>
      <c r="D23" s="11"/>
      <c r="E23" s="12"/>
      <c r="F23" s="11"/>
      <c r="G23" s="11"/>
      <c r="H23" s="11"/>
      <c r="I23" s="11"/>
      <c r="J23" s="11"/>
      <c r="K23" s="11"/>
      <c r="L23" s="11"/>
      <c r="M23" s="13"/>
      <c r="N23" s="11"/>
      <c r="O23" s="11"/>
      <c r="P23" s="11"/>
      <c r="Q23" s="14"/>
      <c r="R23" s="11"/>
      <c r="S23" s="14"/>
      <c r="T23" s="14"/>
      <c r="U23" s="14"/>
      <c r="V23" s="17"/>
      <c r="W23" s="18"/>
      <c r="X23" s="50"/>
    </row>
    <row r="24" spans="1:24" ht="21" customHeight="1">
      <c r="A24" s="10"/>
      <c r="B24" s="11"/>
      <c r="C24" s="11"/>
      <c r="D24" s="11"/>
      <c r="E24" s="12"/>
      <c r="F24" s="11"/>
      <c r="G24" s="11"/>
      <c r="H24" s="11"/>
      <c r="I24" s="11"/>
      <c r="J24" s="11"/>
      <c r="K24" s="11"/>
      <c r="L24" s="11"/>
      <c r="M24" s="13"/>
      <c r="N24" s="11"/>
      <c r="O24" s="11"/>
      <c r="P24" s="11"/>
      <c r="Q24" s="14"/>
      <c r="R24" s="11"/>
      <c r="S24" s="14"/>
      <c r="T24" s="14"/>
      <c r="U24" s="14"/>
      <c r="V24" s="17"/>
      <c r="W24" s="18"/>
      <c r="X24" s="50"/>
    </row>
    <row r="25" spans="1:24" ht="21" customHeight="1">
      <c r="A25" s="10"/>
      <c r="B25" s="11"/>
      <c r="C25" s="11"/>
      <c r="D25" s="11"/>
      <c r="E25" s="12"/>
      <c r="F25" s="11"/>
      <c r="G25" s="11"/>
      <c r="H25" s="11"/>
      <c r="I25" s="11"/>
      <c r="J25" s="11"/>
      <c r="K25" s="11"/>
      <c r="L25" s="11"/>
      <c r="M25" s="14"/>
      <c r="N25" s="11"/>
      <c r="O25" s="14"/>
      <c r="P25" s="11"/>
      <c r="Q25" s="14"/>
      <c r="R25" s="11"/>
      <c r="S25" s="14"/>
      <c r="T25" s="14"/>
      <c r="U25" s="14"/>
      <c r="V25" s="11"/>
      <c r="W25" s="15"/>
      <c r="X25" s="50"/>
    </row>
    <row r="26" spans="1:24" ht="21" customHeight="1">
      <c r="A26" s="10"/>
      <c r="B26" s="11"/>
      <c r="C26" s="11"/>
      <c r="D26" s="11"/>
      <c r="E26" s="12"/>
      <c r="F26" s="11"/>
      <c r="G26" s="11"/>
      <c r="H26" s="11"/>
      <c r="I26" s="11"/>
      <c r="J26" s="11"/>
      <c r="K26" s="11"/>
      <c r="L26" s="11"/>
      <c r="M26" s="14"/>
      <c r="N26" s="11"/>
      <c r="O26" s="14"/>
      <c r="P26" s="11"/>
      <c r="Q26" s="14"/>
      <c r="R26" s="11"/>
      <c r="S26" s="14"/>
      <c r="T26" s="14"/>
      <c r="U26" s="14"/>
      <c r="V26" s="11"/>
      <c r="W26" s="15"/>
      <c r="X26" s="50"/>
    </row>
    <row r="27" spans="1:24" ht="21" customHeight="1">
      <c r="A27" s="10"/>
      <c r="B27" s="11"/>
      <c r="C27" s="11"/>
      <c r="D27" s="11"/>
      <c r="E27" s="12"/>
      <c r="F27" s="11"/>
      <c r="G27" s="11"/>
      <c r="H27" s="11"/>
      <c r="I27" s="11"/>
      <c r="J27" s="11"/>
      <c r="K27" s="11"/>
      <c r="L27" s="17"/>
      <c r="M27" s="14"/>
      <c r="N27" s="11"/>
      <c r="O27" s="11"/>
      <c r="P27" s="11"/>
      <c r="Q27" s="14"/>
      <c r="R27" s="11"/>
      <c r="S27" s="14"/>
      <c r="T27" s="11"/>
      <c r="U27" s="11"/>
      <c r="V27" s="11"/>
      <c r="W27" s="15"/>
      <c r="X27" s="50"/>
    </row>
    <row r="28" spans="1:24" ht="21" customHeight="1">
      <c r="A28" s="10"/>
      <c r="B28" s="11"/>
      <c r="C28" s="11"/>
      <c r="D28" s="11"/>
      <c r="E28" s="12"/>
      <c r="F28" s="11"/>
      <c r="G28" s="11"/>
      <c r="H28" s="11"/>
      <c r="I28" s="11"/>
      <c r="J28" s="11"/>
      <c r="K28" s="11"/>
      <c r="L28" s="11"/>
      <c r="M28" s="13"/>
      <c r="N28" s="11"/>
      <c r="O28" s="11"/>
      <c r="P28" s="11"/>
      <c r="Q28" s="14"/>
      <c r="R28" s="11"/>
      <c r="S28" s="14"/>
      <c r="T28" s="14"/>
      <c r="U28" s="14"/>
      <c r="V28" s="17"/>
      <c r="W28" s="18"/>
      <c r="X28" s="50"/>
    </row>
    <row r="29" spans="1:24" ht="21" customHeight="1" thickBot="1">
      <c r="A29" s="10"/>
      <c r="B29" s="11"/>
      <c r="C29" s="11"/>
      <c r="D29" s="11"/>
      <c r="E29" s="12"/>
      <c r="F29" s="11"/>
      <c r="G29" s="11"/>
      <c r="H29" s="11"/>
      <c r="I29" s="11"/>
      <c r="J29" s="11"/>
      <c r="K29" s="11"/>
      <c r="L29" s="11"/>
      <c r="M29" s="13"/>
      <c r="N29" s="11"/>
      <c r="O29" s="14"/>
      <c r="P29" s="11"/>
      <c r="Q29" s="14"/>
      <c r="R29" s="11"/>
      <c r="S29" s="14"/>
      <c r="T29" s="14"/>
      <c r="U29" s="14"/>
      <c r="V29" s="11"/>
      <c r="W29" s="18"/>
      <c r="X29" s="50"/>
    </row>
    <row r="30" spans="1:24" ht="21" customHeight="1">
      <c r="A30" s="1" t="s">
        <v>333</v>
      </c>
      <c r="B30" s="6"/>
      <c r="C30" s="6"/>
      <c r="D30" s="6"/>
      <c r="E30" s="20"/>
      <c r="F30" s="6"/>
      <c r="G30" s="6"/>
      <c r="H30" s="6"/>
      <c r="I30" s="6"/>
      <c r="J30" s="6"/>
      <c r="K30" s="6"/>
      <c r="L30" s="6"/>
      <c r="M30" s="6"/>
      <c r="N30" s="6"/>
      <c r="O30" s="6"/>
      <c r="P30" s="6"/>
      <c r="Q30" s="6"/>
      <c r="R30" s="6"/>
      <c r="S30" s="6"/>
      <c r="T30" s="6"/>
      <c r="U30" s="6"/>
      <c r="V30" s="21"/>
      <c r="W30" s="35"/>
      <c r="X30" s="50"/>
    </row>
    <row r="31" spans="1:24" ht="21" customHeight="1">
      <c r="A31" s="10" t="s">
        <v>34</v>
      </c>
      <c r="B31" s="11">
        <v>1.2152777777777778E-2</v>
      </c>
      <c r="C31" s="11">
        <v>3.472222222222222E-3</v>
      </c>
      <c r="D31" s="11">
        <f>B31*E31</f>
        <v>7.0704861111111107E-3</v>
      </c>
      <c r="E31" s="12">
        <v>0.58179999999999998</v>
      </c>
      <c r="F31" s="11">
        <f>C31/4</f>
        <v>8.6805555555555551E-4</v>
      </c>
      <c r="G31" s="11">
        <f>D31/7.5</f>
        <v>9.4273148148148146E-4</v>
      </c>
      <c r="H31" s="11">
        <f>B31/12.5</f>
        <v>9.7222222222222219E-4</v>
      </c>
      <c r="I31" s="11">
        <f>G31/0.93</f>
        <v>1.0136897650338511E-3</v>
      </c>
      <c r="J31" s="11">
        <f>G31/0.92</f>
        <v>1.0247081320450884E-3</v>
      </c>
      <c r="K31" s="11">
        <f>G31/0.88</f>
        <v>1.0712857744107744E-3</v>
      </c>
      <c r="L31" s="11">
        <f>G31/0.84</f>
        <v>1.1222993827160494E-3</v>
      </c>
      <c r="M31" s="25"/>
      <c r="N31" s="28"/>
      <c r="O31" s="25"/>
      <c r="P31" s="28"/>
      <c r="Q31" s="25"/>
      <c r="R31" s="25"/>
      <c r="S31" s="25"/>
      <c r="T31" s="28"/>
      <c r="U31" s="11"/>
      <c r="V31" s="36"/>
      <c r="W31" s="15" t="s">
        <v>5</v>
      </c>
      <c r="X31" s="50" t="s">
        <v>180</v>
      </c>
    </row>
    <row r="32" spans="1:24" ht="21" customHeight="1">
      <c r="A32" s="10" t="s">
        <v>38</v>
      </c>
      <c r="B32" s="11">
        <v>1.238425925925926E-2</v>
      </c>
      <c r="C32" s="11">
        <v>3.5300925925925925E-3</v>
      </c>
      <c r="D32" s="11">
        <f>B32*E32</f>
        <v>7.2051620370370368E-3</v>
      </c>
      <c r="E32" s="12">
        <v>0.58179999999999998</v>
      </c>
      <c r="F32" s="11">
        <f>C32/4</f>
        <v>8.8252314814814812E-4</v>
      </c>
      <c r="G32" s="11">
        <f>D32/7.5</f>
        <v>9.6068827160493821E-4</v>
      </c>
      <c r="H32" s="11">
        <f>B32/12.5</f>
        <v>9.9074074074074082E-4</v>
      </c>
      <c r="I32" s="11">
        <f>G32/0.93</f>
        <v>1.0329981415106862E-3</v>
      </c>
      <c r="J32" s="11">
        <f>G32/0.92</f>
        <v>1.0442263821792807E-3</v>
      </c>
      <c r="K32" s="11">
        <f>G32/0.88</f>
        <v>1.0916912177328843E-3</v>
      </c>
      <c r="L32" s="11">
        <f>G32/0.84</f>
        <v>1.1436765138154027E-3</v>
      </c>
      <c r="M32" s="25"/>
      <c r="N32" s="28"/>
      <c r="O32" s="25"/>
      <c r="P32" s="28"/>
      <c r="Q32" s="25"/>
      <c r="R32" s="25"/>
      <c r="S32" s="28"/>
      <c r="T32" s="28"/>
      <c r="U32" s="28"/>
      <c r="V32" s="28"/>
      <c r="W32" s="15" t="s">
        <v>5</v>
      </c>
      <c r="X32" s="50"/>
    </row>
    <row r="33" spans="1:24" ht="21" customHeight="1">
      <c r="A33" s="10" t="s">
        <v>24</v>
      </c>
      <c r="B33" s="11">
        <v>1.238425925925926E-2</v>
      </c>
      <c r="C33" s="11">
        <v>3.5300925925925925E-3</v>
      </c>
      <c r="D33" s="11">
        <f>B33*E33</f>
        <v>7.2051620370370368E-3</v>
      </c>
      <c r="E33" s="12">
        <v>0.58179999999999998</v>
      </c>
      <c r="F33" s="11">
        <f>C33/4</f>
        <v>8.8252314814814812E-4</v>
      </c>
      <c r="G33" s="11">
        <f>D33/7.5</f>
        <v>9.6068827160493821E-4</v>
      </c>
      <c r="H33" s="11">
        <f>B33/12.5</f>
        <v>9.9074074074074082E-4</v>
      </c>
      <c r="I33" s="11">
        <f>G33/0.93</f>
        <v>1.0329981415106862E-3</v>
      </c>
      <c r="J33" s="11">
        <f>G33/0.92</f>
        <v>1.0442263821792807E-3</v>
      </c>
      <c r="K33" s="11">
        <f>G33/0.88</f>
        <v>1.0916912177328843E-3</v>
      </c>
      <c r="L33" s="11">
        <f>G33/0.84</f>
        <v>1.1436765138154027E-3</v>
      </c>
      <c r="M33" s="25"/>
      <c r="N33" s="28"/>
      <c r="O33" s="25"/>
      <c r="P33" s="25"/>
      <c r="Q33" s="25"/>
      <c r="R33" s="25"/>
      <c r="S33" s="28"/>
      <c r="T33" s="28"/>
      <c r="U33" s="28"/>
      <c r="V33" s="28"/>
      <c r="W33" s="15" t="s">
        <v>5</v>
      </c>
      <c r="X33" s="50"/>
    </row>
    <row r="34" spans="1:24" ht="21" customHeight="1">
      <c r="A34" s="10" t="s">
        <v>27</v>
      </c>
      <c r="B34" s="11">
        <v>1.2500000000000001E-2</v>
      </c>
      <c r="C34" s="11">
        <v>3.6458333333333334E-3</v>
      </c>
      <c r="D34" s="11">
        <f t="shared" ref="D34:D45" si="8">B34*E34</f>
        <v>7.2725000000000003E-3</v>
      </c>
      <c r="E34" s="12">
        <v>0.58179999999999998</v>
      </c>
      <c r="F34" s="11">
        <f t="shared" ref="F34:F45" si="9">C34/4</f>
        <v>9.1145833333333335E-4</v>
      </c>
      <c r="G34" s="11">
        <f t="shared" ref="G34:G45" si="10">D34/7.5</f>
        <v>9.6966666666666675E-4</v>
      </c>
      <c r="H34" s="11">
        <f t="shared" ref="H34:H45" si="11">B34/12.5</f>
        <v>1E-3</v>
      </c>
      <c r="I34" s="11">
        <f t="shared" ref="I34:I45" si="12">G34/0.93</f>
        <v>1.0426523297491039E-3</v>
      </c>
      <c r="J34" s="11">
        <f t="shared" ref="J34:J45" si="13">G34/0.92</f>
        <v>1.0539855072463768E-3</v>
      </c>
      <c r="K34" s="11">
        <f t="shared" ref="K34:K45" si="14">G34/0.88</f>
        <v>1.1018939393939394E-3</v>
      </c>
      <c r="L34" s="11">
        <f t="shared" ref="L34:L45" si="15">G34/0.84</f>
        <v>1.1543650793650795E-3</v>
      </c>
      <c r="M34" s="25"/>
      <c r="N34" s="28"/>
      <c r="O34" s="25"/>
      <c r="P34" s="25"/>
      <c r="Q34" s="25"/>
      <c r="R34" s="28"/>
      <c r="S34" s="11"/>
      <c r="T34" s="28"/>
      <c r="U34" s="28"/>
      <c r="V34" s="28"/>
      <c r="W34" s="15" t="s">
        <v>5</v>
      </c>
      <c r="X34" s="50"/>
    </row>
    <row r="35" spans="1:24" ht="21" customHeight="1">
      <c r="A35" s="10" t="s">
        <v>63</v>
      </c>
      <c r="B35" s="11">
        <v>1.2500000000000001E-2</v>
      </c>
      <c r="C35" s="11"/>
      <c r="D35" s="11">
        <f t="shared" si="8"/>
        <v>7.2725000000000003E-3</v>
      </c>
      <c r="E35" s="12">
        <v>0.58179999999999998</v>
      </c>
      <c r="F35" s="11">
        <f t="shared" si="9"/>
        <v>0</v>
      </c>
      <c r="G35" s="11">
        <f t="shared" si="10"/>
        <v>9.6966666666666675E-4</v>
      </c>
      <c r="H35" s="11">
        <f t="shared" si="11"/>
        <v>1E-3</v>
      </c>
      <c r="I35" s="11">
        <f t="shared" si="12"/>
        <v>1.0426523297491039E-3</v>
      </c>
      <c r="J35" s="11">
        <f t="shared" si="13"/>
        <v>1.0539855072463768E-3</v>
      </c>
      <c r="K35" s="11">
        <f t="shared" si="14"/>
        <v>1.1018939393939394E-3</v>
      </c>
      <c r="L35" s="11">
        <f t="shared" si="15"/>
        <v>1.1543650793650795E-3</v>
      </c>
      <c r="M35" s="25"/>
      <c r="N35" s="28"/>
      <c r="O35" s="25"/>
      <c r="P35" s="28"/>
      <c r="Q35" s="25"/>
      <c r="R35" s="25"/>
      <c r="S35" s="25"/>
      <c r="T35" s="28"/>
      <c r="U35" s="11"/>
      <c r="V35" s="36"/>
      <c r="W35" s="15" t="s">
        <v>5</v>
      </c>
      <c r="X35" s="50"/>
    </row>
    <row r="36" spans="1:24" ht="21" customHeight="1">
      <c r="A36" s="10" t="s">
        <v>29</v>
      </c>
      <c r="B36" s="11">
        <v>1.2500000000000001E-2</v>
      </c>
      <c r="C36" s="11">
        <v>3.8194444444444443E-3</v>
      </c>
      <c r="D36" s="11">
        <f t="shared" si="8"/>
        <v>7.2725000000000003E-3</v>
      </c>
      <c r="E36" s="12">
        <v>0.58179999999999998</v>
      </c>
      <c r="F36" s="11">
        <f t="shared" si="9"/>
        <v>9.5486111111111108E-4</v>
      </c>
      <c r="G36" s="11">
        <f t="shared" si="10"/>
        <v>9.6966666666666675E-4</v>
      </c>
      <c r="H36" s="11">
        <f t="shared" si="11"/>
        <v>1E-3</v>
      </c>
      <c r="I36" s="11">
        <f t="shared" si="12"/>
        <v>1.0426523297491039E-3</v>
      </c>
      <c r="J36" s="11">
        <f t="shared" si="13"/>
        <v>1.0539855072463768E-3</v>
      </c>
      <c r="K36" s="11">
        <f t="shared" si="14"/>
        <v>1.1018939393939394E-3</v>
      </c>
      <c r="L36" s="11">
        <f t="shared" si="15"/>
        <v>1.1543650793650795E-3</v>
      </c>
      <c r="M36" s="25"/>
      <c r="N36" s="28"/>
      <c r="O36" s="25"/>
      <c r="P36" s="25"/>
      <c r="Q36" s="25"/>
      <c r="R36" s="25"/>
      <c r="S36" s="28"/>
      <c r="T36" s="28"/>
      <c r="U36" s="28"/>
      <c r="V36" s="38"/>
      <c r="W36" s="15" t="s">
        <v>5</v>
      </c>
      <c r="X36" s="50"/>
    </row>
    <row r="37" spans="1:24" ht="21" customHeight="1">
      <c r="A37" s="10" t="s">
        <v>49</v>
      </c>
      <c r="B37" s="11">
        <v>1.2731481481481481E-2</v>
      </c>
      <c r="C37" s="11"/>
      <c r="D37" s="11">
        <f>B37*E37</f>
        <v>7.4071759259259256E-3</v>
      </c>
      <c r="E37" s="12">
        <v>0.58179999999999998</v>
      </c>
      <c r="F37" s="11">
        <f>C37/4</f>
        <v>0</v>
      </c>
      <c r="G37" s="11">
        <f>D37/7.5</f>
        <v>9.8762345679012349E-4</v>
      </c>
      <c r="H37" s="11">
        <f>B37/12.5</f>
        <v>1.0185185185185184E-3</v>
      </c>
      <c r="I37" s="11">
        <f>G37/0.93</f>
        <v>1.0619607062259391E-3</v>
      </c>
      <c r="J37" s="11">
        <f>G37/0.92</f>
        <v>1.073503757380569E-3</v>
      </c>
      <c r="K37" s="11">
        <f>G37/0.88</f>
        <v>1.1222993827160494E-3</v>
      </c>
      <c r="L37" s="11">
        <f>G37/0.84</f>
        <v>1.1757422104644328E-3</v>
      </c>
      <c r="M37" s="25"/>
      <c r="N37" s="28"/>
      <c r="O37" s="25"/>
      <c r="P37" s="11"/>
      <c r="Q37" s="14"/>
      <c r="R37" s="11"/>
      <c r="S37" s="14"/>
      <c r="T37" s="14"/>
      <c r="U37" s="14"/>
      <c r="V37" s="11"/>
      <c r="W37" s="15" t="s">
        <v>5</v>
      </c>
      <c r="X37" s="50"/>
    </row>
    <row r="38" spans="1:24" ht="21" customHeight="1">
      <c r="A38" s="10" t="s">
        <v>65</v>
      </c>
      <c r="B38" s="11">
        <v>1.2731481481481481E-2</v>
      </c>
      <c r="C38" s="11">
        <v>3.8194444444444443E-3</v>
      </c>
      <c r="D38" s="11">
        <f>B38*E38</f>
        <v>7.4071759259259256E-3</v>
      </c>
      <c r="E38" s="12">
        <v>0.58179999999999998</v>
      </c>
      <c r="F38" s="11">
        <f>C38/4</f>
        <v>9.5486111111111108E-4</v>
      </c>
      <c r="G38" s="11">
        <f>D38/7.5</f>
        <v>9.8762345679012349E-4</v>
      </c>
      <c r="H38" s="11">
        <f>B38/12.5</f>
        <v>1.0185185185185184E-3</v>
      </c>
      <c r="I38" s="11">
        <f>G38/0.93</f>
        <v>1.0619607062259391E-3</v>
      </c>
      <c r="J38" s="11">
        <f>G38/0.92</f>
        <v>1.073503757380569E-3</v>
      </c>
      <c r="K38" s="11">
        <f>G38/0.88</f>
        <v>1.1222993827160494E-3</v>
      </c>
      <c r="L38" s="11">
        <f>G38/0.84</f>
        <v>1.1757422104644328E-3</v>
      </c>
      <c r="M38" s="25"/>
      <c r="N38" s="28"/>
      <c r="O38" s="25"/>
      <c r="P38" s="28"/>
      <c r="Q38" s="25"/>
      <c r="R38" s="28"/>
      <c r="S38" s="11"/>
      <c r="T38" s="28"/>
      <c r="U38" s="28"/>
      <c r="V38" s="28"/>
      <c r="W38" s="15" t="s">
        <v>5</v>
      </c>
      <c r="X38" s="50"/>
    </row>
    <row r="39" spans="1:24" ht="21" customHeight="1">
      <c r="A39" s="10" t="s">
        <v>64</v>
      </c>
      <c r="B39" s="11">
        <v>1.2731481481481481E-2</v>
      </c>
      <c r="C39" s="11">
        <v>3.5879629629629629E-3</v>
      </c>
      <c r="D39" s="11">
        <f>B39*E39</f>
        <v>7.4071759259259256E-3</v>
      </c>
      <c r="E39" s="12">
        <v>0.58179999999999998</v>
      </c>
      <c r="F39" s="11">
        <f>C39/4</f>
        <v>8.9699074074074073E-4</v>
      </c>
      <c r="G39" s="11">
        <f>D39/7.5</f>
        <v>9.8762345679012349E-4</v>
      </c>
      <c r="H39" s="11">
        <f>B39/12.5</f>
        <v>1.0185185185185184E-3</v>
      </c>
      <c r="I39" s="11">
        <f>G39/0.93</f>
        <v>1.0619607062259391E-3</v>
      </c>
      <c r="J39" s="11">
        <f>G39/0.92</f>
        <v>1.073503757380569E-3</v>
      </c>
      <c r="K39" s="11">
        <f>G39/0.88</f>
        <v>1.1222993827160494E-3</v>
      </c>
      <c r="L39" s="11">
        <f>G39/0.84</f>
        <v>1.1757422104644328E-3</v>
      </c>
      <c r="M39" s="25"/>
      <c r="N39" s="28"/>
      <c r="O39" s="25"/>
      <c r="P39" s="28"/>
      <c r="Q39" s="25"/>
      <c r="R39" s="25"/>
      <c r="S39" s="28"/>
      <c r="T39" s="28"/>
      <c r="U39" s="28"/>
      <c r="V39" s="28"/>
      <c r="W39" s="15" t="s">
        <v>5</v>
      </c>
      <c r="X39" s="50"/>
    </row>
    <row r="40" spans="1:24" ht="21" customHeight="1">
      <c r="A40" s="10" t="s">
        <v>55</v>
      </c>
      <c r="B40" s="11">
        <v>1.2731481481481481E-2</v>
      </c>
      <c r="C40" s="11"/>
      <c r="D40" s="11">
        <f t="shared" si="8"/>
        <v>7.4071759259259256E-3</v>
      </c>
      <c r="E40" s="12">
        <v>0.58179999999999998</v>
      </c>
      <c r="F40" s="11">
        <f t="shared" si="9"/>
        <v>0</v>
      </c>
      <c r="G40" s="11">
        <f t="shared" si="10"/>
        <v>9.8762345679012349E-4</v>
      </c>
      <c r="H40" s="11">
        <f t="shared" si="11"/>
        <v>1.0185185185185184E-3</v>
      </c>
      <c r="I40" s="11">
        <f t="shared" si="12"/>
        <v>1.0619607062259391E-3</v>
      </c>
      <c r="J40" s="11">
        <f t="shared" si="13"/>
        <v>1.073503757380569E-3</v>
      </c>
      <c r="K40" s="11">
        <f t="shared" si="14"/>
        <v>1.1222993827160494E-3</v>
      </c>
      <c r="L40" s="11">
        <f t="shared" si="15"/>
        <v>1.1757422104644328E-3</v>
      </c>
      <c r="M40" s="25"/>
      <c r="N40" s="28"/>
      <c r="O40" s="25"/>
      <c r="P40" s="11"/>
      <c r="Q40" s="14"/>
      <c r="R40" s="11"/>
      <c r="S40" s="14"/>
      <c r="T40" s="14"/>
      <c r="U40" s="14"/>
      <c r="V40" s="17"/>
      <c r="W40" s="15" t="s">
        <v>5</v>
      </c>
      <c r="X40" s="50"/>
    </row>
    <row r="41" spans="1:24" ht="21" customHeight="1">
      <c r="A41" s="10" t="s">
        <v>31</v>
      </c>
      <c r="B41" s="11">
        <v>1.2731481481481481E-2</v>
      </c>
      <c r="C41" s="11"/>
      <c r="D41" s="11">
        <f t="shared" si="8"/>
        <v>7.4071759259259256E-3</v>
      </c>
      <c r="E41" s="12">
        <v>0.58179999999999998</v>
      </c>
      <c r="F41" s="11">
        <f t="shared" si="9"/>
        <v>0</v>
      </c>
      <c r="G41" s="11">
        <f t="shared" si="10"/>
        <v>9.8762345679012349E-4</v>
      </c>
      <c r="H41" s="11">
        <f t="shared" si="11"/>
        <v>1.0185185185185184E-3</v>
      </c>
      <c r="I41" s="11">
        <f t="shared" si="12"/>
        <v>1.0619607062259391E-3</v>
      </c>
      <c r="J41" s="11">
        <f t="shared" si="13"/>
        <v>1.073503757380569E-3</v>
      </c>
      <c r="K41" s="11">
        <f t="shared" si="14"/>
        <v>1.1222993827160494E-3</v>
      </c>
      <c r="L41" s="11">
        <f t="shared" si="15"/>
        <v>1.1757422104644328E-3</v>
      </c>
      <c r="M41" s="25"/>
      <c r="N41" s="28"/>
      <c r="O41" s="25"/>
      <c r="P41" s="25"/>
      <c r="Q41" s="25"/>
      <c r="R41" s="28"/>
      <c r="S41" s="11"/>
      <c r="T41" s="11"/>
      <c r="U41" s="28"/>
      <c r="V41" s="28"/>
      <c r="W41" s="15" t="s">
        <v>5</v>
      </c>
      <c r="X41" s="50"/>
    </row>
    <row r="42" spans="1:24" ht="21" customHeight="1">
      <c r="A42" s="10" t="s">
        <v>62</v>
      </c>
      <c r="B42" s="11">
        <v>1.2731481481481481E-2</v>
      </c>
      <c r="C42" s="11"/>
      <c r="D42" s="11">
        <f t="shared" si="8"/>
        <v>7.4071759259259256E-3</v>
      </c>
      <c r="E42" s="12">
        <v>0.58179999999999998</v>
      </c>
      <c r="F42" s="11">
        <f t="shared" si="9"/>
        <v>0</v>
      </c>
      <c r="G42" s="11">
        <f t="shared" si="10"/>
        <v>9.8762345679012349E-4</v>
      </c>
      <c r="H42" s="11">
        <f t="shared" si="11"/>
        <v>1.0185185185185184E-3</v>
      </c>
      <c r="I42" s="11">
        <f t="shared" si="12"/>
        <v>1.0619607062259391E-3</v>
      </c>
      <c r="J42" s="11">
        <f t="shared" si="13"/>
        <v>1.073503757380569E-3</v>
      </c>
      <c r="K42" s="11">
        <f t="shared" si="14"/>
        <v>1.1222993827160494E-3</v>
      </c>
      <c r="L42" s="11">
        <f t="shared" si="15"/>
        <v>1.1757422104644328E-3</v>
      </c>
      <c r="M42" s="25"/>
      <c r="N42" s="28"/>
      <c r="O42" s="25"/>
      <c r="P42" s="25"/>
      <c r="Q42" s="28"/>
      <c r="R42" s="28"/>
      <c r="S42" s="25"/>
      <c r="T42" s="28"/>
      <c r="U42" s="36"/>
      <c r="V42" s="17"/>
      <c r="W42" s="15" t="s">
        <v>5</v>
      </c>
      <c r="X42" s="50"/>
    </row>
    <row r="43" spans="1:24" ht="21" customHeight="1">
      <c r="A43" s="10" t="s">
        <v>67</v>
      </c>
      <c r="B43" s="11">
        <v>1.3020833333333334E-2</v>
      </c>
      <c r="C43" s="11">
        <v>3.8194444444444443E-3</v>
      </c>
      <c r="D43" s="11">
        <f>B43*E43</f>
        <v>7.5755208333333334E-3</v>
      </c>
      <c r="E43" s="12">
        <v>0.58179999999999998</v>
      </c>
      <c r="F43" s="11">
        <f>C43/4</f>
        <v>9.5486111111111108E-4</v>
      </c>
      <c r="G43" s="11">
        <f>D43/7.5</f>
        <v>1.0100694444444445E-3</v>
      </c>
      <c r="H43" s="11">
        <f>B43/12.5</f>
        <v>1.0416666666666667E-3</v>
      </c>
      <c r="I43" s="11">
        <f>G43/0.93</f>
        <v>1.0860961768219832E-3</v>
      </c>
      <c r="J43" s="11">
        <f>G43/0.92</f>
        <v>1.0979015700483092E-3</v>
      </c>
      <c r="K43" s="11">
        <f>G43/0.88</f>
        <v>1.1478061868686869E-3</v>
      </c>
      <c r="L43" s="11">
        <f>G43/0.84</f>
        <v>1.2024636243386244E-3</v>
      </c>
      <c r="M43" s="25"/>
      <c r="N43" s="28"/>
      <c r="O43" s="25"/>
      <c r="P43" s="25"/>
      <c r="Q43" s="25"/>
      <c r="R43" s="25"/>
      <c r="S43" s="28"/>
      <c r="T43" s="28"/>
      <c r="U43" s="28"/>
      <c r="V43" s="28"/>
      <c r="W43" s="15" t="s">
        <v>5</v>
      </c>
      <c r="X43" s="50"/>
    </row>
    <row r="44" spans="1:24" ht="21" customHeight="1">
      <c r="A44" s="10" t="s">
        <v>66</v>
      </c>
      <c r="B44" s="11">
        <v>1.3020833333333334E-2</v>
      </c>
      <c r="C44" s="11">
        <v>3.7037037037037038E-3</v>
      </c>
      <c r="D44" s="11">
        <f>B44*E44</f>
        <v>7.5755208333333334E-3</v>
      </c>
      <c r="E44" s="12">
        <v>0.58179999999999998</v>
      </c>
      <c r="F44" s="11">
        <f>C44/4</f>
        <v>9.2592592592592596E-4</v>
      </c>
      <c r="G44" s="11">
        <f>D44/7.5</f>
        <v>1.0100694444444445E-3</v>
      </c>
      <c r="H44" s="11">
        <f>B44/12.5</f>
        <v>1.0416666666666667E-3</v>
      </c>
      <c r="I44" s="11">
        <f>G44/0.93</f>
        <v>1.0860961768219832E-3</v>
      </c>
      <c r="J44" s="11">
        <f>G44/0.92</f>
        <v>1.0979015700483092E-3</v>
      </c>
      <c r="K44" s="11">
        <f>G44/0.88</f>
        <v>1.1478061868686869E-3</v>
      </c>
      <c r="L44" s="17">
        <f>G44/0.84</f>
        <v>1.2024636243386244E-3</v>
      </c>
      <c r="M44" s="25"/>
      <c r="N44" s="28"/>
      <c r="O44" s="25"/>
      <c r="P44" s="28"/>
      <c r="Q44" s="25"/>
      <c r="R44" s="25"/>
      <c r="S44" s="25"/>
      <c r="T44" s="28"/>
      <c r="U44" s="11"/>
      <c r="V44" s="36"/>
      <c r="W44" s="15" t="s">
        <v>5</v>
      </c>
      <c r="X44" s="50"/>
    </row>
    <row r="45" spans="1:24" ht="21" customHeight="1">
      <c r="A45" s="10" t="s">
        <v>71</v>
      </c>
      <c r="B45" s="11">
        <v>1.3194444444444444E-2</v>
      </c>
      <c r="C45" s="11">
        <v>4.0509259259259257E-3</v>
      </c>
      <c r="D45" s="11">
        <f t="shared" si="8"/>
        <v>7.6765277777777778E-3</v>
      </c>
      <c r="E45" s="12">
        <v>0.58179999999999998</v>
      </c>
      <c r="F45" s="11">
        <f t="shared" si="9"/>
        <v>1.0127314814814814E-3</v>
      </c>
      <c r="G45" s="11">
        <f t="shared" si="10"/>
        <v>1.023537037037037E-3</v>
      </c>
      <c r="H45" s="11">
        <f t="shared" si="11"/>
        <v>1.0555555555555555E-3</v>
      </c>
      <c r="I45" s="11">
        <f t="shared" si="12"/>
        <v>1.1005774591796096E-3</v>
      </c>
      <c r="J45" s="11">
        <f t="shared" si="13"/>
        <v>1.1125402576489531E-3</v>
      </c>
      <c r="K45" s="11">
        <f t="shared" si="14"/>
        <v>1.1631102693602693E-3</v>
      </c>
      <c r="L45" s="11">
        <f t="shared" si="15"/>
        <v>1.2184964726631392E-3</v>
      </c>
      <c r="M45" s="25"/>
      <c r="N45" s="28"/>
      <c r="O45" s="25"/>
      <c r="P45" s="25"/>
      <c r="Q45" s="25"/>
      <c r="R45" s="28"/>
      <c r="S45" s="11"/>
      <c r="T45" s="28"/>
      <c r="U45" s="28"/>
      <c r="V45" s="38"/>
      <c r="W45" s="15" t="s">
        <v>5</v>
      </c>
      <c r="X45" s="50"/>
    </row>
    <row r="46" spans="1:24" ht="21" customHeight="1">
      <c r="A46" s="10" t="s">
        <v>69</v>
      </c>
      <c r="B46" s="11">
        <v>1.3368055555555555E-2</v>
      </c>
      <c r="C46" s="11"/>
      <c r="D46" s="11">
        <f t="shared" ref="D46:D55" si="16">B46*E46</f>
        <v>7.7775347222222213E-3</v>
      </c>
      <c r="E46" s="12">
        <v>0.58179999999999998</v>
      </c>
      <c r="F46" s="11">
        <f t="shared" ref="F46:F55" si="17">C46/4</f>
        <v>0</v>
      </c>
      <c r="G46" s="11">
        <f t="shared" ref="G46:G55" si="18">D46/7.5</f>
        <v>1.0370046296296295E-3</v>
      </c>
      <c r="H46" s="11">
        <f t="shared" ref="H46:H55" si="19">B46/12.5</f>
        <v>1.0694444444444445E-3</v>
      </c>
      <c r="I46" s="11">
        <f t="shared" ref="I46:I55" si="20">G46/0.93</f>
        <v>1.1150587415372358E-3</v>
      </c>
      <c r="J46" s="11">
        <f t="shared" ref="J46:J55" si="21">G46/0.92</f>
        <v>1.1271789452495973E-3</v>
      </c>
      <c r="K46" s="11">
        <f t="shared" ref="K46:K55" si="22">G46/0.88</f>
        <v>1.1784143518518517E-3</v>
      </c>
      <c r="L46" s="11">
        <f t="shared" ref="L46:L55" si="23">G46/0.84</f>
        <v>1.2345293209876543E-3</v>
      </c>
      <c r="M46" s="25"/>
      <c r="N46" s="28"/>
      <c r="O46" s="25"/>
      <c r="P46" s="28"/>
      <c r="Q46" s="25"/>
      <c r="R46" s="25"/>
      <c r="S46" s="25"/>
      <c r="T46" s="28"/>
      <c r="U46" s="11"/>
      <c r="V46" s="36"/>
      <c r="W46" s="15" t="s">
        <v>5</v>
      </c>
      <c r="X46" s="50"/>
    </row>
    <row r="47" spans="1:24" ht="21" customHeight="1">
      <c r="A47" s="10" t="s">
        <v>58</v>
      </c>
      <c r="B47" s="11">
        <v>1.3368055555555555E-2</v>
      </c>
      <c r="C47" s="11">
        <v>4.1087962962962962E-3</v>
      </c>
      <c r="D47" s="11">
        <f t="shared" si="16"/>
        <v>7.7775347222222213E-3</v>
      </c>
      <c r="E47" s="12">
        <v>0.58179999999999998</v>
      </c>
      <c r="F47" s="11">
        <f t="shared" si="17"/>
        <v>1.027199074074074E-3</v>
      </c>
      <c r="G47" s="11">
        <f t="shared" si="18"/>
        <v>1.0370046296296295E-3</v>
      </c>
      <c r="H47" s="11">
        <f t="shared" si="19"/>
        <v>1.0694444444444445E-3</v>
      </c>
      <c r="I47" s="11">
        <f t="shared" si="20"/>
        <v>1.1150587415372358E-3</v>
      </c>
      <c r="J47" s="11">
        <f t="shared" si="21"/>
        <v>1.1271789452495973E-3</v>
      </c>
      <c r="K47" s="11">
        <f t="shared" si="22"/>
        <v>1.1784143518518517E-3</v>
      </c>
      <c r="L47" s="11">
        <f t="shared" si="23"/>
        <v>1.2345293209876543E-3</v>
      </c>
      <c r="M47" s="25"/>
      <c r="N47" s="28"/>
      <c r="O47" s="25"/>
      <c r="P47" s="25"/>
      <c r="Q47" s="25"/>
      <c r="R47" s="25"/>
      <c r="S47" s="28"/>
      <c r="T47" s="28"/>
      <c r="U47" s="28"/>
      <c r="V47" s="38"/>
      <c r="W47" s="15" t="s">
        <v>5</v>
      </c>
      <c r="X47" s="50"/>
    </row>
    <row r="48" spans="1:24" ht="21" customHeight="1">
      <c r="A48" s="10" t="s">
        <v>70</v>
      </c>
      <c r="B48" s="11">
        <v>1.3541666666666667E-2</v>
      </c>
      <c r="C48" s="11">
        <v>4.0509259259259257E-3</v>
      </c>
      <c r="D48" s="11">
        <f t="shared" si="16"/>
        <v>7.8785416666666674E-3</v>
      </c>
      <c r="E48" s="12">
        <v>0.58179999999999998</v>
      </c>
      <c r="F48" s="11">
        <f t="shared" si="17"/>
        <v>1.0127314814814814E-3</v>
      </c>
      <c r="G48" s="11">
        <f t="shared" si="18"/>
        <v>1.0504722222222224E-3</v>
      </c>
      <c r="H48" s="11">
        <f t="shared" si="19"/>
        <v>1.0833333333333333E-3</v>
      </c>
      <c r="I48" s="11">
        <f t="shared" si="20"/>
        <v>1.1295400238948627E-3</v>
      </c>
      <c r="J48" s="11">
        <f t="shared" si="21"/>
        <v>1.1418176328502417E-3</v>
      </c>
      <c r="K48" s="11">
        <f t="shared" si="22"/>
        <v>1.1937184343434346E-3</v>
      </c>
      <c r="L48" s="11">
        <f t="shared" si="23"/>
        <v>1.2505621693121695E-3</v>
      </c>
      <c r="M48" s="25"/>
      <c r="N48" s="28"/>
      <c r="O48" s="25"/>
      <c r="P48" s="25"/>
      <c r="Q48" s="25"/>
      <c r="R48" s="25"/>
      <c r="S48" s="28"/>
      <c r="T48" s="28"/>
      <c r="U48" s="28"/>
      <c r="V48" s="38"/>
      <c r="W48" s="15" t="s">
        <v>5</v>
      </c>
      <c r="X48" s="50"/>
    </row>
    <row r="49" spans="1:24" ht="21" customHeight="1">
      <c r="A49" s="10" t="s">
        <v>75</v>
      </c>
      <c r="B49" s="11">
        <v>1.3541666666666667E-2</v>
      </c>
      <c r="C49" s="11"/>
      <c r="D49" s="11">
        <f t="shared" si="16"/>
        <v>7.8785416666666674E-3</v>
      </c>
      <c r="E49" s="12">
        <v>0.58179999999999998</v>
      </c>
      <c r="F49" s="11">
        <f t="shared" si="17"/>
        <v>0</v>
      </c>
      <c r="G49" s="11">
        <f t="shared" si="18"/>
        <v>1.0504722222222224E-3</v>
      </c>
      <c r="H49" s="11">
        <f t="shared" si="19"/>
        <v>1.0833333333333333E-3</v>
      </c>
      <c r="I49" s="11">
        <f t="shared" si="20"/>
        <v>1.1295400238948627E-3</v>
      </c>
      <c r="J49" s="11">
        <f t="shared" si="21"/>
        <v>1.1418176328502417E-3</v>
      </c>
      <c r="K49" s="11">
        <f t="shared" si="22"/>
        <v>1.1937184343434346E-3</v>
      </c>
      <c r="L49" s="11">
        <f t="shared" si="23"/>
        <v>1.2505621693121695E-3</v>
      </c>
      <c r="M49" s="25"/>
      <c r="N49" s="28"/>
      <c r="O49" s="25"/>
      <c r="P49" s="25"/>
      <c r="Q49" s="25"/>
      <c r="R49" s="25"/>
      <c r="S49" s="25"/>
      <c r="T49" s="25"/>
      <c r="U49" s="25"/>
      <c r="V49" s="11"/>
      <c r="W49" s="15" t="s">
        <v>5</v>
      </c>
      <c r="X49" s="50"/>
    </row>
    <row r="50" spans="1:24" ht="21" customHeight="1">
      <c r="A50" s="10" t="s">
        <v>50</v>
      </c>
      <c r="B50" s="11">
        <v>1.3020833333333334E-2</v>
      </c>
      <c r="C50" s="11">
        <v>3.6458333333333334E-3</v>
      </c>
      <c r="D50" s="11">
        <f t="shared" si="16"/>
        <v>7.5755208333333334E-3</v>
      </c>
      <c r="E50" s="12">
        <v>0.58179999999999998</v>
      </c>
      <c r="F50" s="11">
        <f t="shared" si="17"/>
        <v>9.1145833333333335E-4</v>
      </c>
      <c r="G50" s="11">
        <f t="shared" si="18"/>
        <v>1.0100694444444445E-3</v>
      </c>
      <c r="H50" s="11">
        <f t="shared" si="19"/>
        <v>1.0416666666666667E-3</v>
      </c>
      <c r="I50" s="11">
        <f t="shared" si="20"/>
        <v>1.0860961768219832E-3</v>
      </c>
      <c r="J50" s="11">
        <f t="shared" si="21"/>
        <v>1.0979015700483092E-3</v>
      </c>
      <c r="K50" s="11">
        <f t="shared" si="22"/>
        <v>1.1478061868686869E-3</v>
      </c>
      <c r="L50" s="11">
        <f t="shared" si="23"/>
        <v>1.2024636243386244E-3</v>
      </c>
      <c r="M50" s="25"/>
      <c r="N50" s="28"/>
      <c r="O50" s="25"/>
      <c r="P50" s="28"/>
      <c r="Q50" s="25"/>
      <c r="R50" s="25"/>
      <c r="S50" s="25"/>
      <c r="T50" s="28"/>
      <c r="U50" s="11"/>
      <c r="V50" s="36"/>
      <c r="W50" s="15" t="s">
        <v>5</v>
      </c>
      <c r="X50" s="50"/>
    </row>
    <row r="51" spans="1:24" ht="21" customHeight="1">
      <c r="A51" s="10" t="s">
        <v>36</v>
      </c>
      <c r="B51" s="11">
        <v>1.3020833333333334E-2</v>
      </c>
      <c r="C51" s="11"/>
      <c r="D51" s="11">
        <f t="shared" si="16"/>
        <v>7.5755208333333334E-3</v>
      </c>
      <c r="E51" s="12">
        <v>0.58179999999999998</v>
      </c>
      <c r="F51" s="11">
        <f t="shared" si="17"/>
        <v>0</v>
      </c>
      <c r="G51" s="11">
        <f t="shared" si="18"/>
        <v>1.0100694444444445E-3</v>
      </c>
      <c r="H51" s="11">
        <f t="shared" si="19"/>
        <v>1.0416666666666667E-3</v>
      </c>
      <c r="I51" s="11">
        <f t="shared" si="20"/>
        <v>1.0860961768219832E-3</v>
      </c>
      <c r="J51" s="11">
        <f t="shared" si="21"/>
        <v>1.0979015700483092E-3</v>
      </c>
      <c r="K51" s="11">
        <f t="shared" si="22"/>
        <v>1.1478061868686869E-3</v>
      </c>
      <c r="L51" s="11">
        <f t="shared" si="23"/>
        <v>1.2024636243386244E-3</v>
      </c>
      <c r="M51" s="25"/>
      <c r="N51" s="28"/>
      <c r="O51" s="25"/>
      <c r="P51" s="28"/>
      <c r="Q51" s="25"/>
      <c r="R51" s="25"/>
      <c r="S51" s="25"/>
      <c r="T51" s="28"/>
      <c r="U51" s="11"/>
      <c r="V51" s="36"/>
      <c r="W51" s="15" t="s">
        <v>5</v>
      </c>
      <c r="X51" s="52"/>
    </row>
    <row r="52" spans="1:24" ht="21" customHeight="1">
      <c r="A52" s="10" t="s">
        <v>47</v>
      </c>
      <c r="B52" s="11">
        <v>1.3194444444444444E-2</v>
      </c>
      <c r="C52" s="11">
        <v>3.7037037037037038E-3</v>
      </c>
      <c r="D52" s="11">
        <f t="shared" si="16"/>
        <v>7.6765277777777778E-3</v>
      </c>
      <c r="E52" s="12">
        <v>0.58179999999999998</v>
      </c>
      <c r="F52" s="11">
        <f t="shared" si="17"/>
        <v>9.2592592592592596E-4</v>
      </c>
      <c r="G52" s="11">
        <f t="shared" si="18"/>
        <v>1.023537037037037E-3</v>
      </c>
      <c r="H52" s="11">
        <f t="shared" si="19"/>
        <v>1.0555555555555555E-3</v>
      </c>
      <c r="I52" s="11">
        <f t="shared" si="20"/>
        <v>1.1005774591796096E-3</v>
      </c>
      <c r="J52" s="11">
        <f t="shared" si="21"/>
        <v>1.1125402576489531E-3</v>
      </c>
      <c r="K52" s="11">
        <f t="shared" si="22"/>
        <v>1.1631102693602693E-3</v>
      </c>
      <c r="L52" s="11">
        <f t="shared" si="23"/>
        <v>1.2184964726631392E-3</v>
      </c>
      <c r="M52" s="25"/>
      <c r="N52" s="28"/>
      <c r="O52" s="25"/>
      <c r="P52" s="28"/>
      <c r="Q52" s="25"/>
      <c r="R52" s="25"/>
      <c r="S52" s="25"/>
      <c r="T52" s="28"/>
      <c r="U52" s="11"/>
      <c r="V52" s="36"/>
      <c r="W52" s="15" t="s">
        <v>5</v>
      </c>
      <c r="X52" s="52"/>
    </row>
    <row r="53" spans="1:24" ht="21" customHeight="1">
      <c r="A53" s="10" t="s">
        <v>198</v>
      </c>
      <c r="B53" s="11">
        <v>1.4583333333333334E-2</v>
      </c>
      <c r="C53" s="11">
        <v>4.1666666666666666E-3</v>
      </c>
      <c r="D53" s="11">
        <f t="shared" si="16"/>
        <v>8.4845833333333336E-3</v>
      </c>
      <c r="E53" s="12">
        <v>0.58179999999999998</v>
      </c>
      <c r="F53" s="11">
        <f t="shared" si="17"/>
        <v>1.0416666666666667E-3</v>
      </c>
      <c r="G53" s="11">
        <f t="shared" si="18"/>
        <v>1.1312777777777777E-3</v>
      </c>
      <c r="H53" s="11">
        <f t="shared" si="19"/>
        <v>1.1666666666666668E-3</v>
      </c>
      <c r="I53" s="11">
        <f t="shared" si="20"/>
        <v>1.2164277180406211E-3</v>
      </c>
      <c r="J53" s="11">
        <f t="shared" si="21"/>
        <v>1.2296497584541061E-3</v>
      </c>
      <c r="K53" s="11">
        <f t="shared" si="22"/>
        <v>1.2855429292929293E-3</v>
      </c>
      <c r="L53" s="11">
        <f t="shared" si="23"/>
        <v>1.3467592592592591E-3</v>
      </c>
      <c r="M53" s="25"/>
      <c r="N53" s="28"/>
      <c r="O53" s="25"/>
      <c r="P53" s="28"/>
      <c r="Q53" s="25"/>
      <c r="R53" s="25"/>
      <c r="S53" s="25"/>
      <c r="T53" s="28"/>
      <c r="U53" s="11"/>
      <c r="V53" s="36"/>
      <c r="W53" s="15" t="s">
        <v>5</v>
      </c>
      <c r="X53" s="52"/>
    </row>
    <row r="54" spans="1:24" ht="21" customHeight="1">
      <c r="A54" s="10" t="s">
        <v>73</v>
      </c>
      <c r="B54" s="11">
        <v>1.4236111111111111E-2</v>
      </c>
      <c r="C54" s="11">
        <v>4.3981481481481484E-3</v>
      </c>
      <c r="D54" s="11">
        <f t="shared" si="16"/>
        <v>8.2825694444444448E-3</v>
      </c>
      <c r="E54" s="12">
        <v>0.58179999999999998</v>
      </c>
      <c r="F54" s="11">
        <f t="shared" si="17"/>
        <v>1.0995370370370371E-3</v>
      </c>
      <c r="G54" s="11">
        <f t="shared" si="18"/>
        <v>1.1043425925925927E-3</v>
      </c>
      <c r="H54" s="11">
        <f t="shared" si="19"/>
        <v>1.1388888888888889E-3</v>
      </c>
      <c r="I54" s="11">
        <f t="shared" si="20"/>
        <v>1.1874651533253684E-3</v>
      </c>
      <c r="J54" s="11">
        <f t="shared" si="21"/>
        <v>1.2003723832528181E-3</v>
      </c>
      <c r="K54" s="11">
        <f t="shared" si="22"/>
        <v>1.2549347643097644E-3</v>
      </c>
      <c r="L54" s="11">
        <f t="shared" si="23"/>
        <v>1.3146935626102295E-3</v>
      </c>
      <c r="M54" s="25"/>
      <c r="N54" s="28"/>
      <c r="O54" s="25"/>
      <c r="P54" s="25"/>
      <c r="Q54" s="25"/>
      <c r="R54" s="25"/>
      <c r="S54" s="28"/>
      <c r="T54" s="28"/>
      <c r="U54" s="28"/>
      <c r="V54" s="28"/>
      <c r="W54" s="15" t="s">
        <v>5</v>
      </c>
      <c r="X54" s="52"/>
    </row>
    <row r="55" spans="1:24" ht="21" customHeight="1">
      <c r="A55" s="10" t="s">
        <v>74</v>
      </c>
      <c r="B55" s="11">
        <v>1.3020833333333334E-2</v>
      </c>
      <c r="C55" s="11">
        <v>3.7037037037037038E-3</v>
      </c>
      <c r="D55" s="11">
        <f t="shared" si="16"/>
        <v>7.5755208333333334E-3</v>
      </c>
      <c r="E55" s="12">
        <v>0.58179999999999998</v>
      </c>
      <c r="F55" s="11">
        <f t="shared" si="17"/>
        <v>9.2592592592592596E-4</v>
      </c>
      <c r="G55" s="11">
        <f t="shared" si="18"/>
        <v>1.0100694444444445E-3</v>
      </c>
      <c r="H55" s="11">
        <f t="shared" si="19"/>
        <v>1.0416666666666667E-3</v>
      </c>
      <c r="I55" s="11">
        <f t="shared" si="20"/>
        <v>1.0860961768219832E-3</v>
      </c>
      <c r="J55" s="11">
        <f t="shared" si="21"/>
        <v>1.0979015700483092E-3</v>
      </c>
      <c r="K55" s="11">
        <f t="shared" si="22"/>
        <v>1.1478061868686869E-3</v>
      </c>
      <c r="L55" s="11">
        <f t="shared" si="23"/>
        <v>1.2024636243386244E-3</v>
      </c>
      <c r="M55" s="25"/>
      <c r="N55" s="28"/>
      <c r="O55" s="25"/>
      <c r="P55" s="28"/>
      <c r="Q55" s="25"/>
      <c r="R55" s="25"/>
      <c r="S55" s="25"/>
      <c r="T55" s="28"/>
      <c r="U55" s="11"/>
      <c r="V55" s="36"/>
      <c r="W55" s="15" t="s">
        <v>5</v>
      </c>
      <c r="X55" s="52"/>
    </row>
    <row r="56" spans="1:24" ht="21" customHeight="1">
      <c r="A56" s="10"/>
      <c r="B56" s="11"/>
      <c r="C56" s="11"/>
      <c r="D56" s="11"/>
      <c r="E56" s="12"/>
      <c r="F56" s="11"/>
      <c r="G56" s="11"/>
      <c r="H56" s="11"/>
      <c r="I56" s="11"/>
      <c r="J56" s="11"/>
      <c r="K56" s="11"/>
      <c r="L56" s="11"/>
      <c r="M56" s="13"/>
      <c r="N56" s="11"/>
      <c r="O56" s="11"/>
      <c r="P56" s="11"/>
      <c r="Q56" s="14"/>
      <c r="R56" s="11"/>
      <c r="S56" s="14"/>
      <c r="T56" s="14"/>
      <c r="U56" s="14"/>
      <c r="V56" s="17"/>
      <c r="W56" s="18"/>
      <c r="X56" s="52"/>
    </row>
    <row r="57" spans="1:24" ht="21" customHeight="1" thickBot="1">
      <c r="A57" s="10"/>
      <c r="B57" s="11"/>
      <c r="C57" s="11"/>
      <c r="D57" s="11"/>
      <c r="E57" s="12"/>
      <c r="F57" s="11"/>
      <c r="G57" s="11"/>
      <c r="H57" s="11"/>
      <c r="I57" s="11"/>
      <c r="J57" s="11"/>
      <c r="K57" s="11"/>
      <c r="L57" s="11"/>
      <c r="M57" s="13"/>
      <c r="N57" s="11"/>
      <c r="O57" s="11"/>
      <c r="P57" s="11"/>
      <c r="Q57" s="14"/>
      <c r="R57" s="11"/>
      <c r="S57" s="14"/>
      <c r="T57" s="14"/>
      <c r="U57" s="14"/>
      <c r="V57" s="17"/>
      <c r="W57" s="18"/>
      <c r="X57" s="52"/>
    </row>
    <row r="58" spans="1:24" ht="20.45" customHeight="1">
      <c r="A58" s="1" t="s">
        <v>333</v>
      </c>
      <c r="B58" s="2" t="s">
        <v>1</v>
      </c>
      <c r="C58" s="2" t="s">
        <v>2</v>
      </c>
      <c r="D58" s="2" t="s">
        <v>3</v>
      </c>
      <c r="E58" s="3" t="s">
        <v>4</v>
      </c>
      <c r="F58" s="2" t="s">
        <v>5</v>
      </c>
      <c r="G58" s="2" t="s">
        <v>6</v>
      </c>
      <c r="H58" s="2" t="s">
        <v>7</v>
      </c>
      <c r="I58" s="4" t="s">
        <v>8</v>
      </c>
      <c r="J58" s="2" t="s">
        <v>9</v>
      </c>
      <c r="K58" s="2" t="s">
        <v>10</v>
      </c>
      <c r="L58" s="2" t="s">
        <v>11</v>
      </c>
      <c r="M58" s="5" t="s">
        <v>12</v>
      </c>
      <c r="N58" s="6" t="s">
        <v>145</v>
      </c>
      <c r="O58" s="7" t="s">
        <v>208</v>
      </c>
      <c r="P58" s="8" t="s">
        <v>209</v>
      </c>
      <c r="Q58" s="8" t="s">
        <v>147</v>
      </c>
      <c r="R58" s="7" t="s">
        <v>148</v>
      </c>
      <c r="S58" s="7" t="s">
        <v>149</v>
      </c>
      <c r="T58" s="7" t="s">
        <v>77</v>
      </c>
      <c r="U58" s="8" t="s">
        <v>20</v>
      </c>
      <c r="V58" s="8" t="s">
        <v>21</v>
      </c>
      <c r="W58" s="24" t="s">
        <v>22</v>
      </c>
      <c r="X58" s="52" t="s">
        <v>337</v>
      </c>
    </row>
    <row r="59" spans="1:24" ht="20.45" customHeight="1">
      <c r="A59" s="10" t="s">
        <v>79</v>
      </c>
      <c r="B59" s="11">
        <v>9.8379629629629633E-3</v>
      </c>
      <c r="C59" s="11">
        <v>2.9745370370370373E-3</v>
      </c>
      <c r="D59" s="11">
        <f t="shared" ref="D59:D71" si="24">B59*E59</f>
        <v>5.7237268518518522E-3</v>
      </c>
      <c r="E59" s="12">
        <v>0.58179999999999998</v>
      </c>
      <c r="F59" s="11">
        <f t="shared" ref="F59:F71" si="25">C59/4</f>
        <v>7.4363425925925931E-4</v>
      </c>
      <c r="G59" s="11">
        <f t="shared" ref="G59:G71" si="26">D59/7.5</f>
        <v>7.6316358024691364E-4</v>
      </c>
      <c r="H59" s="11">
        <f t="shared" ref="H59:H71" si="27">B59/12.5</f>
        <v>7.8703703703703705E-4</v>
      </c>
      <c r="I59" s="11">
        <f t="shared" ref="I59:I71" si="28">G59/0.93</f>
        <v>8.2060600026549854E-4</v>
      </c>
      <c r="J59" s="11">
        <f t="shared" ref="J59:J71" si="29">G59/0.92</f>
        <v>8.29525630703167E-4</v>
      </c>
      <c r="K59" s="11">
        <f t="shared" ref="K59:K71" si="30">G59/0.88</f>
        <v>8.6723134118967459E-4</v>
      </c>
      <c r="L59" s="11">
        <f t="shared" ref="L59:L71" si="31">G59/0.84</f>
        <v>9.085280717225163E-4</v>
      </c>
      <c r="M59" s="25">
        <f>WO2025Jan7men11915171923252931333539414345474955575963656769717375777911[[#This Row],[Thresh]]</f>
        <v>8.6723134118967459E-4</v>
      </c>
      <c r="N59" s="28">
        <f>WO2025Jan7men11915171923252931333539414345474955575963656769717375777911[[#This Row],[Thresh]]*1.5</f>
        <v>1.3008470117845119E-3</v>
      </c>
      <c r="O59" s="25"/>
      <c r="P59" s="25"/>
      <c r="Q59" s="25"/>
      <c r="R59" s="28"/>
      <c r="S59" s="25"/>
      <c r="T59" s="25"/>
      <c r="U59" s="28"/>
      <c r="V59" s="25"/>
      <c r="W59" s="15" t="s">
        <v>26</v>
      </c>
      <c r="X59" s="52"/>
    </row>
    <row r="60" spans="1:24" ht="20.45" customHeight="1">
      <c r="A60" s="10" t="s">
        <v>80</v>
      </c>
      <c r="B60" s="11">
        <v>9.8379629629629633E-3</v>
      </c>
      <c r="C60" s="11">
        <v>2.8587962962962963E-3</v>
      </c>
      <c r="D60" s="11">
        <f t="shared" si="24"/>
        <v>5.7237268518518522E-3</v>
      </c>
      <c r="E60" s="12">
        <v>0.58179999999999998</v>
      </c>
      <c r="F60" s="11">
        <f t="shared" si="25"/>
        <v>7.1469907407407409E-4</v>
      </c>
      <c r="G60" s="11">
        <f t="shared" si="26"/>
        <v>7.6316358024691364E-4</v>
      </c>
      <c r="H60" s="11">
        <f t="shared" si="27"/>
        <v>7.8703703703703705E-4</v>
      </c>
      <c r="I60" s="11">
        <f t="shared" si="28"/>
        <v>8.2060600026549854E-4</v>
      </c>
      <c r="J60" s="11">
        <f t="shared" si="29"/>
        <v>8.29525630703167E-4</v>
      </c>
      <c r="K60" s="11">
        <f t="shared" si="30"/>
        <v>8.6723134118967459E-4</v>
      </c>
      <c r="L60" s="11">
        <f t="shared" si="31"/>
        <v>9.085280717225163E-4</v>
      </c>
      <c r="M60" s="25">
        <f>WO2025Jan7men11915171923252931333539414345474955575963656769717375777911[[#This Row],[Thresh]]</f>
        <v>8.6723134118967459E-4</v>
      </c>
      <c r="N60" s="28">
        <f>WO2025Jan7men11915171923252931333539414345474955575963656769717375777911[[#This Row],[Thresh]]*1.5</f>
        <v>1.3008470117845119E-3</v>
      </c>
      <c r="O60" s="25"/>
      <c r="P60" s="25"/>
      <c r="Q60" s="25"/>
      <c r="R60" s="25"/>
      <c r="S60" s="25"/>
      <c r="T60" s="25"/>
      <c r="U60" s="28"/>
      <c r="V60" s="25"/>
      <c r="W60" s="15" t="s">
        <v>26</v>
      </c>
      <c r="X60" s="52"/>
    </row>
    <row r="61" spans="1:24" ht="20.45" customHeight="1">
      <c r="A61" s="10" t="s">
        <v>109</v>
      </c>
      <c r="B61" s="11">
        <v>9.8379629629629633E-3</v>
      </c>
      <c r="C61" s="11">
        <v>2.9745370370370373E-3</v>
      </c>
      <c r="D61" s="11">
        <f t="shared" si="24"/>
        <v>5.7237268518518522E-3</v>
      </c>
      <c r="E61" s="12">
        <v>0.58179999999999998</v>
      </c>
      <c r="F61" s="11">
        <f t="shared" si="25"/>
        <v>7.4363425925925931E-4</v>
      </c>
      <c r="G61" s="11">
        <f t="shared" si="26"/>
        <v>7.6316358024691364E-4</v>
      </c>
      <c r="H61" s="11">
        <f t="shared" si="27"/>
        <v>7.8703703703703705E-4</v>
      </c>
      <c r="I61" s="11">
        <f t="shared" si="28"/>
        <v>8.2060600026549854E-4</v>
      </c>
      <c r="J61" s="11">
        <f t="shared" si="29"/>
        <v>8.29525630703167E-4</v>
      </c>
      <c r="K61" s="11">
        <f t="shared" si="30"/>
        <v>8.6723134118967459E-4</v>
      </c>
      <c r="L61" s="11">
        <f t="shared" si="31"/>
        <v>9.085280717225163E-4</v>
      </c>
      <c r="M61" s="25">
        <f>WO2025Jan7men11915171923252931333539414345474955575963656769717375777911[[#This Row],[Thresh]]</f>
        <v>8.6723134118967459E-4</v>
      </c>
      <c r="N61" s="28">
        <f>WO2025Jan7men11915171923252931333539414345474955575963656769717375777911[[#This Row],[Thresh]]*1.5</f>
        <v>1.3008470117845119E-3</v>
      </c>
      <c r="O61" s="25"/>
      <c r="P61" s="25"/>
      <c r="Q61" s="25"/>
      <c r="R61" s="28"/>
      <c r="S61" s="25"/>
      <c r="T61" s="25"/>
      <c r="U61" s="28"/>
      <c r="V61" s="25"/>
      <c r="W61" s="15" t="s">
        <v>26</v>
      </c>
      <c r="X61" s="52"/>
    </row>
    <row r="62" spans="1:24" ht="20.45" customHeight="1">
      <c r="A62" s="10" t="s">
        <v>82</v>
      </c>
      <c r="B62" s="11">
        <v>1.0069444444444445E-2</v>
      </c>
      <c r="C62" s="11">
        <v>2.8935185185185188E-3</v>
      </c>
      <c r="D62" s="11">
        <f t="shared" si="24"/>
        <v>5.8584027777777783E-3</v>
      </c>
      <c r="E62" s="12">
        <v>0.58179999999999998</v>
      </c>
      <c r="F62" s="11">
        <f t="shared" si="25"/>
        <v>7.233796296296297E-4</v>
      </c>
      <c r="G62" s="11">
        <f t="shared" si="26"/>
        <v>7.811203703703705E-4</v>
      </c>
      <c r="H62" s="11">
        <f t="shared" si="27"/>
        <v>8.0555555555555556E-4</v>
      </c>
      <c r="I62" s="11">
        <f t="shared" si="28"/>
        <v>8.3991437674233382E-4</v>
      </c>
      <c r="J62" s="11">
        <f t="shared" si="29"/>
        <v>8.4904388083735917E-4</v>
      </c>
      <c r="K62" s="11">
        <f t="shared" si="30"/>
        <v>8.8763678451178466E-4</v>
      </c>
      <c r="L62" s="11">
        <f t="shared" si="31"/>
        <v>9.2990520282186973E-4</v>
      </c>
      <c r="M62" s="25">
        <f>WO2025Jan7men11915171923252931333539414345474955575963656769717375777911[[#This Row],[Thresh]]</f>
        <v>8.8763678451178466E-4</v>
      </c>
      <c r="N62" s="28">
        <f>WO2025Jan7men11915171923252931333539414345474955575963656769717375777911[[#This Row],[Thresh]]*1.5</f>
        <v>1.3314551767676769E-3</v>
      </c>
      <c r="O62" s="25"/>
      <c r="P62" s="25"/>
      <c r="Q62" s="25"/>
      <c r="R62" s="25"/>
      <c r="S62" s="25"/>
      <c r="T62" s="25"/>
      <c r="U62" s="28"/>
      <c r="V62" s="25"/>
      <c r="W62" s="15" t="s">
        <v>26</v>
      </c>
      <c r="X62" s="52"/>
    </row>
    <row r="63" spans="1:24" ht="20.45" customHeight="1">
      <c r="A63" s="10" t="s">
        <v>93</v>
      </c>
      <c r="B63" s="11">
        <v>1.0243055555555556E-2</v>
      </c>
      <c r="C63" s="11"/>
      <c r="D63" s="11">
        <f t="shared" si="24"/>
        <v>5.9594097222222218E-3</v>
      </c>
      <c r="E63" s="12">
        <v>0.58179999999999998</v>
      </c>
      <c r="F63" s="11">
        <f t="shared" si="25"/>
        <v>0</v>
      </c>
      <c r="G63" s="11">
        <f t="shared" si="26"/>
        <v>7.9458796296296287E-4</v>
      </c>
      <c r="H63" s="11">
        <f t="shared" si="27"/>
        <v>8.1944444444444447E-4</v>
      </c>
      <c r="I63" s="11">
        <f t="shared" si="28"/>
        <v>8.5439565909996003E-4</v>
      </c>
      <c r="J63" s="11">
        <f t="shared" si="29"/>
        <v>8.636825684380031E-4</v>
      </c>
      <c r="K63" s="11">
        <f t="shared" si="30"/>
        <v>9.0294086700336686E-4</v>
      </c>
      <c r="L63" s="11">
        <f t="shared" si="31"/>
        <v>9.4593805114638445E-4</v>
      </c>
      <c r="M63" s="25">
        <f>WO2025Jan7men11915171923252931333539414345474955575963656769717375777911[[#This Row],[Thresh]]</f>
        <v>9.0294086700336686E-4</v>
      </c>
      <c r="N63" s="28">
        <f>WO2025Jan7men11915171923252931333539414345474955575963656769717375777911[[#This Row],[Thresh]]*1.5</f>
        <v>1.3544113005050503E-3</v>
      </c>
      <c r="O63" s="25"/>
      <c r="P63" s="25"/>
      <c r="Q63" s="25"/>
      <c r="R63" s="28"/>
      <c r="S63" s="25"/>
      <c r="T63" s="25"/>
      <c r="U63" s="28"/>
      <c r="V63" s="28"/>
      <c r="W63" s="15" t="s">
        <v>26</v>
      </c>
      <c r="X63" s="52"/>
    </row>
    <row r="64" spans="1:24" ht="20.45" customHeight="1">
      <c r="A64" s="10" t="s">
        <v>116</v>
      </c>
      <c r="B64" s="11">
        <v>1.0300925925925925E-2</v>
      </c>
      <c r="C64" s="11">
        <v>2.9513888888888888E-3</v>
      </c>
      <c r="D64" s="11">
        <f t="shared" si="24"/>
        <v>5.9930787037037027E-3</v>
      </c>
      <c r="E64" s="12">
        <v>0.58179999999999998</v>
      </c>
      <c r="F64" s="11">
        <f t="shared" si="25"/>
        <v>7.378472222222222E-4</v>
      </c>
      <c r="G64" s="11">
        <f t="shared" si="26"/>
        <v>7.9907716049382703E-4</v>
      </c>
      <c r="H64" s="11">
        <f t="shared" si="27"/>
        <v>8.2407407407407397E-4</v>
      </c>
      <c r="I64" s="11">
        <f t="shared" si="28"/>
        <v>8.5922275321916877E-4</v>
      </c>
      <c r="J64" s="11">
        <f t="shared" si="29"/>
        <v>8.6856213097155112E-4</v>
      </c>
      <c r="K64" s="11">
        <f t="shared" si="30"/>
        <v>9.080422278338944E-4</v>
      </c>
      <c r="L64" s="11">
        <f t="shared" si="31"/>
        <v>9.5128233392122272E-4</v>
      </c>
      <c r="M64" s="25">
        <f>WO2025Jan7men11915171923252931333539414345474955575963656769717375777911[[#This Row],[Thresh]]</f>
        <v>9.080422278338944E-4</v>
      </c>
      <c r="N64" s="28">
        <f>WO2025Jan7men11915171923252931333539414345474955575963656769717375777911[[#This Row],[Thresh]]*1.5</f>
        <v>1.3620633417508415E-3</v>
      </c>
      <c r="O64" s="25"/>
      <c r="P64" s="25"/>
      <c r="Q64" s="25"/>
      <c r="R64" s="25"/>
      <c r="S64" s="25"/>
      <c r="T64" s="25"/>
      <c r="U64" s="28"/>
      <c r="V64" s="25"/>
      <c r="W64" s="15" t="s">
        <v>26</v>
      </c>
      <c r="X64" s="52"/>
    </row>
    <row r="65" spans="1:24" ht="20.45" customHeight="1">
      <c r="A65" s="10" t="s">
        <v>111</v>
      </c>
      <c r="B65" s="11">
        <v>1.0416666666666666E-2</v>
      </c>
      <c r="C65" s="11">
        <v>3.0092592592592588E-3</v>
      </c>
      <c r="D65" s="11">
        <f t="shared" si="24"/>
        <v>6.0604166666666662E-3</v>
      </c>
      <c r="E65" s="12">
        <v>0.58179999999999998</v>
      </c>
      <c r="F65" s="11">
        <f t="shared" si="25"/>
        <v>7.5231481481481471E-4</v>
      </c>
      <c r="G65" s="11">
        <f t="shared" si="26"/>
        <v>8.0805555555555546E-4</v>
      </c>
      <c r="H65" s="11">
        <f t="shared" si="27"/>
        <v>8.3333333333333328E-4</v>
      </c>
      <c r="I65" s="11">
        <f t="shared" si="28"/>
        <v>8.6887694145758646E-4</v>
      </c>
      <c r="J65" s="11">
        <f t="shared" si="29"/>
        <v>8.7832125603864715E-4</v>
      </c>
      <c r="K65" s="11">
        <f t="shared" si="30"/>
        <v>9.1824494949494938E-4</v>
      </c>
      <c r="L65" s="11">
        <f t="shared" si="31"/>
        <v>9.6197089947089938E-4</v>
      </c>
      <c r="M65" s="25">
        <f>WO2025Jan7men11915171923252931333539414345474955575963656769717375777911[[#This Row],[Thresh]]</f>
        <v>9.1824494949494938E-4</v>
      </c>
      <c r="N65" s="28">
        <f>WO2025Jan7men11915171923252931333539414345474955575963656769717375777911[[#This Row],[Thresh]]*1.5</f>
        <v>1.3773674242424242E-3</v>
      </c>
      <c r="O65" s="25"/>
      <c r="P65" s="25"/>
      <c r="Q65" s="25"/>
      <c r="R65" s="25"/>
      <c r="S65" s="25"/>
      <c r="T65" s="25"/>
      <c r="U65" s="28"/>
      <c r="V65" s="25"/>
      <c r="W65" s="15" t="s">
        <v>26</v>
      </c>
      <c r="X65" s="52"/>
    </row>
    <row r="66" spans="1:24" ht="20.45" customHeight="1">
      <c r="A66" s="10" t="s">
        <v>117</v>
      </c>
      <c r="B66" s="11">
        <v>1.0416666666666666E-2</v>
      </c>
      <c r="C66" s="11">
        <v>3.0671296296296297E-3</v>
      </c>
      <c r="D66" s="11">
        <f t="shared" si="24"/>
        <v>6.0604166666666662E-3</v>
      </c>
      <c r="E66" s="12">
        <v>0.58179999999999998</v>
      </c>
      <c r="F66" s="11">
        <f t="shared" si="25"/>
        <v>7.6678240740740743E-4</v>
      </c>
      <c r="G66" s="11">
        <f t="shared" si="26"/>
        <v>8.0805555555555546E-4</v>
      </c>
      <c r="H66" s="11">
        <f t="shared" si="27"/>
        <v>8.3333333333333328E-4</v>
      </c>
      <c r="I66" s="11">
        <f t="shared" si="28"/>
        <v>8.6887694145758646E-4</v>
      </c>
      <c r="J66" s="11">
        <f t="shared" si="29"/>
        <v>8.7832125603864715E-4</v>
      </c>
      <c r="K66" s="11">
        <f t="shared" si="30"/>
        <v>9.1824494949494938E-4</v>
      </c>
      <c r="L66" s="11">
        <f t="shared" si="31"/>
        <v>9.6197089947089938E-4</v>
      </c>
      <c r="M66" s="25">
        <f>WO2025Jan7men11915171923252931333539414345474955575963656769717375777911[[#This Row],[Thresh]]</f>
        <v>9.1824494949494938E-4</v>
      </c>
      <c r="N66" s="28">
        <f>WO2025Jan7men11915171923252931333539414345474955575963656769717375777911[[#This Row],[Thresh]]*1.5</f>
        <v>1.3773674242424242E-3</v>
      </c>
      <c r="O66" s="25"/>
      <c r="P66" s="25"/>
      <c r="Q66" s="25"/>
      <c r="R66" s="28"/>
      <c r="S66" s="25"/>
      <c r="T66" s="25"/>
      <c r="U66" s="28"/>
      <c r="V66" s="25"/>
      <c r="W66" s="15" t="s">
        <v>26</v>
      </c>
      <c r="X66" s="52"/>
    </row>
    <row r="67" spans="1:24" ht="20.45" customHeight="1">
      <c r="A67" s="10" t="s">
        <v>94</v>
      </c>
      <c r="B67" s="11">
        <v>1.0416666666666666E-2</v>
      </c>
      <c r="C67" s="11">
        <v>2.8935185185185188E-3</v>
      </c>
      <c r="D67" s="11">
        <f t="shared" si="24"/>
        <v>6.0604166666666662E-3</v>
      </c>
      <c r="E67" s="12">
        <v>0.58179999999999998</v>
      </c>
      <c r="F67" s="11">
        <f t="shared" si="25"/>
        <v>7.233796296296297E-4</v>
      </c>
      <c r="G67" s="11">
        <f t="shared" si="26"/>
        <v>8.0805555555555546E-4</v>
      </c>
      <c r="H67" s="11">
        <f t="shared" si="27"/>
        <v>8.3333333333333328E-4</v>
      </c>
      <c r="I67" s="11">
        <f t="shared" si="28"/>
        <v>8.6887694145758646E-4</v>
      </c>
      <c r="J67" s="11">
        <f t="shared" si="29"/>
        <v>8.7832125603864715E-4</v>
      </c>
      <c r="K67" s="11">
        <f t="shared" si="30"/>
        <v>9.1824494949494938E-4</v>
      </c>
      <c r="L67" s="11">
        <f t="shared" si="31"/>
        <v>9.6197089947089938E-4</v>
      </c>
      <c r="M67" s="25">
        <f>WO2025Jan7men11915171923252931333539414345474955575963656769717375777911[[#This Row],[Thresh]]</f>
        <v>9.1824494949494938E-4</v>
      </c>
      <c r="N67" s="28">
        <f>WO2025Jan7men11915171923252931333539414345474955575963656769717375777911[[#This Row],[Thresh]]*1.5</f>
        <v>1.3773674242424242E-3</v>
      </c>
      <c r="O67" s="25"/>
      <c r="P67" s="25"/>
      <c r="Q67" s="25"/>
      <c r="R67" s="25"/>
      <c r="S67" s="25"/>
      <c r="T67" s="25"/>
      <c r="U67" s="28"/>
      <c r="V67" s="25"/>
      <c r="W67" s="15" t="s">
        <v>26</v>
      </c>
      <c r="X67" s="52"/>
    </row>
    <row r="68" spans="1:24" ht="20.45" customHeight="1">
      <c r="A68" s="10" t="s">
        <v>120</v>
      </c>
      <c r="B68" s="11">
        <v>1.0532407407407407E-2</v>
      </c>
      <c r="C68" s="11">
        <v>3.1250000000000002E-3</v>
      </c>
      <c r="D68" s="11">
        <f t="shared" si="24"/>
        <v>6.1277546296296288E-3</v>
      </c>
      <c r="E68" s="12">
        <v>0.58179999999999998</v>
      </c>
      <c r="F68" s="11">
        <f t="shared" si="25"/>
        <v>7.8125000000000004E-4</v>
      </c>
      <c r="G68" s="11">
        <f t="shared" si="26"/>
        <v>8.1703395061728389E-4</v>
      </c>
      <c r="H68" s="11">
        <f t="shared" si="27"/>
        <v>8.4259259259259259E-4</v>
      </c>
      <c r="I68" s="11">
        <f t="shared" si="28"/>
        <v>8.7853112969600415E-4</v>
      </c>
      <c r="J68" s="11">
        <f t="shared" si="29"/>
        <v>8.8808038110574329E-4</v>
      </c>
      <c r="K68" s="11">
        <f t="shared" si="30"/>
        <v>9.2844767115600447E-4</v>
      </c>
      <c r="L68" s="11">
        <f t="shared" si="31"/>
        <v>9.7265946502057604E-4</v>
      </c>
      <c r="M68" s="25">
        <f>WO2025Jan7men11915171923252931333539414345474955575963656769717375777911[[#This Row],[Thresh]]</f>
        <v>9.2844767115600447E-4</v>
      </c>
      <c r="N68" s="28">
        <f>WO2025Jan7men11915171923252931333539414345474955575963656769717375777911[[#This Row],[Thresh]]*1.5</f>
        <v>1.3926715067340066E-3</v>
      </c>
      <c r="O68" s="25"/>
      <c r="P68" s="25"/>
      <c r="Q68" s="25"/>
      <c r="R68" s="28"/>
      <c r="S68" s="25"/>
      <c r="T68" s="25"/>
      <c r="U68" s="28"/>
      <c r="V68" s="25"/>
      <c r="W68" s="15" t="s">
        <v>26</v>
      </c>
      <c r="X68" s="50" t="s">
        <v>180</v>
      </c>
    </row>
    <row r="69" spans="1:24" ht="20.45" customHeight="1">
      <c r="A69" s="10" t="s">
        <v>129</v>
      </c>
      <c r="B69" s="11">
        <v>1.0590277777777778E-2</v>
      </c>
      <c r="C69" s="11">
        <v>3.0092592592592593E-3</v>
      </c>
      <c r="D69" s="11">
        <f t="shared" si="24"/>
        <v>6.1614236111111114E-3</v>
      </c>
      <c r="E69" s="12">
        <v>0.58179999999999998</v>
      </c>
      <c r="F69" s="11">
        <f t="shared" si="25"/>
        <v>7.5231481481481482E-4</v>
      </c>
      <c r="G69" s="11">
        <f t="shared" si="26"/>
        <v>8.2152314814814816E-4</v>
      </c>
      <c r="H69" s="11">
        <f t="shared" si="27"/>
        <v>8.472222222222223E-4</v>
      </c>
      <c r="I69" s="11">
        <f t="shared" si="28"/>
        <v>8.8335822381521299E-4</v>
      </c>
      <c r="J69" s="11">
        <f t="shared" si="29"/>
        <v>8.9295994363929141E-4</v>
      </c>
      <c r="K69" s="11">
        <f t="shared" si="30"/>
        <v>9.3354903198653201E-4</v>
      </c>
      <c r="L69" s="11">
        <f t="shared" si="31"/>
        <v>9.7800374779541442E-4</v>
      </c>
      <c r="M69" s="25">
        <f>WO2025Jan7men11915171923252931333539414345474955575963656769717375777911[[#This Row],[Thresh]]</f>
        <v>9.3354903198653201E-4</v>
      </c>
      <c r="N69" s="28">
        <f>WO2025Jan7men11915171923252931333539414345474955575963656769717375777911[[#This Row],[Thresh]]*1.5</f>
        <v>1.400323547979798E-3</v>
      </c>
      <c r="O69" s="25"/>
      <c r="P69" s="25"/>
      <c r="Q69" s="25"/>
      <c r="R69" s="25"/>
      <c r="S69" s="25"/>
      <c r="T69" s="25"/>
      <c r="U69" s="28"/>
      <c r="V69" s="25"/>
      <c r="W69" s="15" t="s">
        <v>26</v>
      </c>
      <c r="X69" s="50"/>
    </row>
    <row r="70" spans="1:24" ht="20.45" customHeight="1">
      <c r="A70" s="10" t="s">
        <v>264</v>
      </c>
      <c r="B70" s="11">
        <v>1.0648148148148148E-2</v>
      </c>
      <c r="C70" s="11"/>
      <c r="D70" s="11">
        <f t="shared" si="24"/>
        <v>6.1950925925925923E-3</v>
      </c>
      <c r="E70" s="12">
        <v>0.58179999999999998</v>
      </c>
      <c r="F70" s="11">
        <f t="shared" si="25"/>
        <v>0</v>
      </c>
      <c r="G70" s="11">
        <f t="shared" si="26"/>
        <v>8.2601234567901232E-4</v>
      </c>
      <c r="H70" s="11">
        <f t="shared" si="27"/>
        <v>8.5185185185185179E-4</v>
      </c>
      <c r="I70" s="11">
        <f t="shared" si="28"/>
        <v>8.8818531793442184E-4</v>
      </c>
      <c r="J70" s="11">
        <f t="shared" si="29"/>
        <v>8.9783950617283942E-4</v>
      </c>
      <c r="K70" s="11">
        <f t="shared" si="30"/>
        <v>9.3865039281705945E-4</v>
      </c>
      <c r="L70" s="17">
        <f t="shared" si="31"/>
        <v>9.833480305702527E-4</v>
      </c>
      <c r="M70" s="25">
        <f>WO2025Jan7men11915171923252931333539414345474955575963656769717375777911[[#This Row],[Thresh]]</f>
        <v>9.3865039281705945E-4</v>
      </c>
      <c r="N70" s="28">
        <f>WO2025Jan7men11915171923252931333539414345474955575963656769717375777911[[#This Row],[Thresh]]*1.5</f>
        <v>1.4079755892255892E-3</v>
      </c>
      <c r="O70" s="25"/>
      <c r="P70" s="25"/>
      <c r="Q70" s="25"/>
      <c r="R70" s="26"/>
      <c r="S70" s="14"/>
      <c r="T70" s="14"/>
      <c r="U70" s="26"/>
      <c r="V70" s="28"/>
      <c r="W70" s="15" t="s">
        <v>26</v>
      </c>
      <c r="X70" s="50"/>
    </row>
    <row r="71" spans="1:24" ht="20.45" customHeight="1">
      <c r="A71" s="10" t="s">
        <v>130</v>
      </c>
      <c r="B71" s="11">
        <v>1.087962962962963E-2</v>
      </c>
      <c r="C71" s="11">
        <v>3.1828703703703702E-3</v>
      </c>
      <c r="D71" s="11">
        <f t="shared" si="24"/>
        <v>6.3297685185185184E-3</v>
      </c>
      <c r="E71" s="12">
        <v>0.58179999999999998</v>
      </c>
      <c r="F71" s="11">
        <f t="shared" si="25"/>
        <v>7.9571759259259255E-4</v>
      </c>
      <c r="G71" s="11">
        <f t="shared" si="26"/>
        <v>8.4396913580246917E-4</v>
      </c>
      <c r="H71" s="11">
        <f t="shared" si="27"/>
        <v>8.7037037037037042E-4</v>
      </c>
      <c r="I71" s="11">
        <f t="shared" si="28"/>
        <v>9.0749369441125711E-4</v>
      </c>
      <c r="J71" s="11">
        <f t="shared" si="29"/>
        <v>9.173577563070317E-4</v>
      </c>
      <c r="K71" s="11">
        <f t="shared" si="30"/>
        <v>9.5905583613916951E-4</v>
      </c>
      <c r="L71" s="11">
        <f t="shared" si="31"/>
        <v>1.0047251616696062E-3</v>
      </c>
      <c r="M71" s="25">
        <f>WO2025Jan7men11915171923252931333539414345474955575963656769717375777911[[#This Row],[Thresh]]</f>
        <v>9.5905583613916951E-4</v>
      </c>
      <c r="N71" s="28">
        <f>WO2025Jan7men11915171923252931333539414345474955575963656769717375777911[[#This Row],[Thresh]]*1.5</f>
        <v>1.4385837542087543E-3</v>
      </c>
      <c r="O71" s="25"/>
      <c r="P71" s="25"/>
      <c r="Q71" s="25"/>
      <c r="R71" s="28"/>
      <c r="S71" s="25"/>
      <c r="T71" s="25"/>
      <c r="U71" s="28"/>
      <c r="V71" s="28"/>
      <c r="W71" s="15" t="s">
        <v>26</v>
      </c>
      <c r="X71" s="50"/>
    </row>
    <row r="72" spans="1:24" ht="20.45" customHeight="1">
      <c r="A72" s="10"/>
      <c r="B72" s="11"/>
      <c r="C72" s="11"/>
      <c r="D72" s="11"/>
      <c r="E72" s="12"/>
      <c r="F72" s="11"/>
      <c r="G72" s="11"/>
      <c r="H72" s="11"/>
      <c r="I72" s="11"/>
      <c r="J72" s="11"/>
      <c r="K72" s="11"/>
      <c r="L72" s="11"/>
      <c r="M72" s="25"/>
      <c r="N72" s="28"/>
      <c r="O72" s="25"/>
      <c r="P72" s="28"/>
      <c r="Q72" s="25"/>
      <c r="R72" s="28"/>
      <c r="S72" s="25"/>
      <c r="T72" s="28"/>
      <c r="U72" s="28"/>
      <c r="V72" s="25"/>
      <c r="W72" s="15"/>
      <c r="X72" s="50"/>
    </row>
    <row r="73" spans="1:24" ht="20.45" customHeight="1" thickBot="1">
      <c r="A73" s="19"/>
      <c r="B73" s="6"/>
      <c r="C73" s="6"/>
      <c r="D73" s="6"/>
      <c r="E73" s="20"/>
      <c r="F73" s="6"/>
      <c r="G73" s="6"/>
      <c r="H73" s="6"/>
      <c r="I73" s="6"/>
      <c r="J73" s="6"/>
      <c r="K73" s="6"/>
      <c r="L73" s="6"/>
      <c r="M73" s="6"/>
      <c r="N73" s="6"/>
      <c r="O73" s="6"/>
      <c r="P73" s="6"/>
      <c r="Q73" s="6"/>
      <c r="R73" s="6"/>
      <c r="S73" s="6"/>
      <c r="T73" s="6"/>
      <c r="U73" s="6"/>
      <c r="V73" s="23"/>
      <c r="W73" s="35"/>
      <c r="X73" s="50"/>
    </row>
    <row r="74" spans="1:24" ht="20.45" customHeight="1">
      <c r="A74" s="46" t="s">
        <v>164</v>
      </c>
      <c r="B74" s="11">
        <v>1.1342592592592593E-2</v>
      </c>
      <c r="C74" s="11">
        <v>3.2407407407407406E-3</v>
      </c>
      <c r="D74" s="11">
        <f t="shared" ref="D74:D80" si="32">B74*E74</f>
        <v>6.5991203703703706E-3</v>
      </c>
      <c r="E74" s="12">
        <v>0.58179999999999998</v>
      </c>
      <c r="F74" s="11">
        <f t="shared" ref="F74:F80" si="33">C74/4</f>
        <v>8.1018518518518516E-4</v>
      </c>
      <c r="G74" s="11">
        <f t="shared" ref="G74:G80" si="34">D74/7.5</f>
        <v>8.7988271604938278E-4</v>
      </c>
      <c r="H74" s="11">
        <f t="shared" ref="H74:H80" si="35">B74/12.5</f>
        <v>9.0740740740740745E-4</v>
      </c>
      <c r="I74" s="11">
        <f t="shared" ref="I74:I80" si="36">G74/0.93</f>
        <v>9.4611044736492766E-4</v>
      </c>
      <c r="J74" s="11">
        <f t="shared" ref="J74:J80" si="37">G74/0.92</f>
        <v>9.5639425657541603E-4</v>
      </c>
      <c r="K74" s="11">
        <f t="shared" ref="K74:K80" si="38">G74/0.88</f>
        <v>9.9986672278338943E-4</v>
      </c>
      <c r="L74" s="11">
        <f t="shared" ref="L74:L80" si="39">G74/0.84</f>
        <v>1.0474794238683129E-3</v>
      </c>
      <c r="M74" s="25"/>
      <c r="N74" s="28"/>
      <c r="O74" s="25"/>
      <c r="P74" s="28"/>
      <c r="Q74" s="28"/>
      <c r="R74" s="11"/>
      <c r="S74" s="14"/>
      <c r="T74" s="14"/>
      <c r="U74" s="26"/>
      <c r="V74" s="28"/>
      <c r="W74" s="27" t="s">
        <v>52</v>
      </c>
      <c r="X74" s="50"/>
    </row>
    <row r="75" spans="1:24" ht="20.45" customHeight="1">
      <c r="A75" s="10" t="s">
        <v>108</v>
      </c>
      <c r="B75" s="11">
        <v>1.0763888888888891E-2</v>
      </c>
      <c r="C75" s="11">
        <v>3.0671296296296297E-3</v>
      </c>
      <c r="D75" s="11">
        <f t="shared" si="32"/>
        <v>6.2624305555555567E-3</v>
      </c>
      <c r="E75" s="12">
        <v>0.58179999999999998</v>
      </c>
      <c r="F75" s="11">
        <f t="shared" si="33"/>
        <v>7.6678240740740743E-4</v>
      </c>
      <c r="G75" s="11">
        <f t="shared" si="34"/>
        <v>8.3499074074074085E-4</v>
      </c>
      <c r="H75" s="11">
        <f t="shared" si="35"/>
        <v>8.6111111111111121E-4</v>
      </c>
      <c r="I75" s="11">
        <f t="shared" si="36"/>
        <v>8.9783950617283953E-4</v>
      </c>
      <c r="J75" s="11">
        <f t="shared" si="37"/>
        <v>9.0759863123993567E-4</v>
      </c>
      <c r="K75" s="11">
        <f t="shared" si="38"/>
        <v>9.4885311447811464E-4</v>
      </c>
      <c r="L75" s="11">
        <f t="shared" si="39"/>
        <v>9.9403659611992969E-4</v>
      </c>
      <c r="M75" s="25"/>
      <c r="N75" s="28"/>
      <c r="O75" s="25"/>
      <c r="P75" s="28"/>
      <c r="Q75" s="25"/>
      <c r="R75" s="28"/>
      <c r="S75" s="25"/>
      <c r="T75" s="25"/>
      <c r="U75" s="28"/>
      <c r="V75" s="28"/>
      <c r="W75" s="15" t="s">
        <v>52</v>
      </c>
      <c r="X75" s="50"/>
    </row>
    <row r="76" spans="1:24" ht="20.45" customHeight="1">
      <c r="A76" s="10" t="s">
        <v>105</v>
      </c>
      <c r="B76" s="11">
        <v>1.0648148148148148E-2</v>
      </c>
      <c r="C76" s="11">
        <v>2.9745370370370373E-3</v>
      </c>
      <c r="D76" s="11">
        <f t="shared" si="32"/>
        <v>6.1950925925925923E-3</v>
      </c>
      <c r="E76" s="12">
        <v>0.58179999999999998</v>
      </c>
      <c r="F76" s="11">
        <f t="shared" si="33"/>
        <v>7.4363425925925931E-4</v>
      </c>
      <c r="G76" s="11">
        <f t="shared" si="34"/>
        <v>8.2601234567901232E-4</v>
      </c>
      <c r="H76" s="11">
        <f t="shared" si="35"/>
        <v>8.5185185185185179E-4</v>
      </c>
      <c r="I76" s="11">
        <f t="shared" si="36"/>
        <v>8.8818531793442184E-4</v>
      </c>
      <c r="J76" s="11">
        <f t="shared" si="37"/>
        <v>8.9783950617283942E-4</v>
      </c>
      <c r="K76" s="11">
        <f t="shared" si="38"/>
        <v>9.3865039281705945E-4</v>
      </c>
      <c r="L76" s="17">
        <f t="shared" si="39"/>
        <v>9.833480305702527E-4</v>
      </c>
      <c r="M76" s="25"/>
      <c r="N76" s="28"/>
      <c r="O76" s="25"/>
      <c r="P76" s="25"/>
      <c r="Q76" s="25"/>
      <c r="R76" s="25"/>
      <c r="S76" s="25"/>
      <c r="T76" s="25"/>
      <c r="U76" s="28"/>
      <c r="V76" s="25"/>
      <c r="W76" s="15" t="s">
        <v>52</v>
      </c>
      <c r="X76" s="50"/>
    </row>
    <row r="77" spans="1:24" ht="20.45" customHeight="1">
      <c r="A77" s="10" t="s">
        <v>127</v>
      </c>
      <c r="B77" s="11">
        <v>1.0763888888888891E-2</v>
      </c>
      <c r="C77" s="11"/>
      <c r="D77" s="11">
        <f t="shared" si="32"/>
        <v>6.2624305555555567E-3</v>
      </c>
      <c r="E77" s="12">
        <v>0.58179999999999998</v>
      </c>
      <c r="F77" s="11">
        <f t="shared" si="33"/>
        <v>0</v>
      </c>
      <c r="G77" s="11">
        <f t="shared" si="34"/>
        <v>8.3499074074074085E-4</v>
      </c>
      <c r="H77" s="11">
        <f t="shared" si="35"/>
        <v>8.6111111111111121E-4</v>
      </c>
      <c r="I77" s="11">
        <f t="shared" si="36"/>
        <v>8.9783950617283953E-4</v>
      </c>
      <c r="J77" s="11">
        <f t="shared" si="37"/>
        <v>9.0759863123993567E-4</v>
      </c>
      <c r="K77" s="11">
        <f t="shared" si="38"/>
        <v>9.4885311447811464E-4</v>
      </c>
      <c r="L77" s="17">
        <f t="shared" si="39"/>
        <v>9.9403659611992969E-4</v>
      </c>
      <c r="M77" s="25"/>
      <c r="N77" s="28"/>
      <c r="O77" s="25"/>
      <c r="P77" s="25"/>
      <c r="Q77" s="25"/>
      <c r="R77" s="28"/>
      <c r="S77" s="25"/>
      <c r="T77" s="25"/>
      <c r="U77" s="28"/>
      <c r="V77" s="28"/>
      <c r="W77" s="15" t="s">
        <v>52</v>
      </c>
      <c r="X77" s="50"/>
    </row>
    <row r="78" spans="1:24" ht="20.45" customHeight="1">
      <c r="A78" s="10" t="s">
        <v>106</v>
      </c>
      <c r="B78" s="11">
        <v>1.0532407407407407E-2</v>
      </c>
      <c r="C78" s="11">
        <v>2.9745370370370373E-3</v>
      </c>
      <c r="D78" s="11">
        <f t="shared" si="32"/>
        <v>6.1277546296296288E-3</v>
      </c>
      <c r="E78" s="12">
        <v>0.58179999999999998</v>
      </c>
      <c r="F78" s="11">
        <f t="shared" si="33"/>
        <v>7.4363425925925931E-4</v>
      </c>
      <c r="G78" s="11">
        <f t="shared" si="34"/>
        <v>8.1703395061728389E-4</v>
      </c>
      <c r="H78" s="11">
        <f t="shared" si="35"/>
        <v>8.4259259259259259E-4</v>
      </c>
      <c r="I78" s="11">
        <f t="shared" si="36"/>
        <v>8.7853112969600415E-4</v>
      </c>
      <c r="J78" s="11">
        <f t="shared" si="37"/>
        <v>8.8808038110574329E-4</v>
      </c>
      <c r="K78" s="11">
        <f t="shared" si="38"/>
        <v>9.2844767115600447E-4</v>
      </c>
      <c r="L78" s="11">
        <f t="shared" si="39"/>
        <v>9.7265946502057604E-4</v>
      </c>
      <c r="M78" s="25"/>
      <c r="N78" s="28"/>
      <c r="O78" s="25"/>
      <c r="P78" s="25"/>
      <c r="Q78" s="25"/>
      <c r="R78" s="25"/>
      <c r="S78" s="25"/>
      <c r="T78" s="25"/>
      <c r="U78" s="28"/>
      <c r="V78" s="25"/>
      <c r="W78" s="15" t="s">
        <v>52</v>
      </c>
      <c r="X78" s="52"/>
    </row>
    <row r="79" spans="1:24" ht="20.45" customHeight="1">
      <c r="A79" s="10" t="s">
        <v>107</v>
      </c>
      <c r="B79" s="11">
        <v>1.1111111111111112E-2</v>
      </c>
      <c r="C79" s="11">
        <v>3.2407407407407406E-3</v>
      </c>
      <c r="D79" s="11">
        <f t="shared" si="32"/>
        <v>6.4644444444444445E-3</v>
      </c>
      <c r="E79" s="12">
        <v>0.58179999999999998</v>
      </c>
      <c r="F79" s="11">
        <f t="shared" si="33"/>
        <v>8.1018518518518516E-4</v>
      </c>
      <c r="G79" s="11">
        <f t="shared" si="34"/>
        <v>8.6192592592592592E-4</v>
      </c>
      <c r="H79" s="11">
        <f t="shared" si="35"/>
        <v>8.8888888888888893E-4</v>
      </c>
      <c r="I79" s="11">
        <f t="shared" si="36"/>
        <v>9.2680207088809239E-4</v>
      </c>
      <c r="J79" s="11">
        <f t="shared" si="37"/>
        <v>9.3687600644122375E-4</v>
      </c>
      <c r="K79" s="11">
        <f t="shared" si="38"/>
        <v>9.7946127946127947E-4</v>
      </c>
      <c r="L79" s="17">
        <f t="shared" si="39"/>
        <v>1.0261022927689596E-3</v>
      </c>
      <c r="M79" s="25"/>
      <c r="N79" s="28"/>
      <c r="O79" s="25"/>
      <c r="P79" s="25"/>
      <c r="Q79" s="25"/>
      <c r="R79" s="28"/>
      <c r="S79" s="25"/>
      <c r="T79" s="25"/>
      <c r="U79" s="28"/>
      <c r="V79" s="28"/>
      <c r="W79" s="15" t="s">
        <v>52</v>
      </c>
      <c r="X79" s="52"/>
    </row>
    <row r="80" spans="1:24" ht="20.45" customHeight="1">
      <c r="A80" s="10" t="s">
        <v>92</v>
      </c>
      <c r="B80" s="11">
        <v>1.0243055555555556E-2</v>
      </c>
      <c r="C80" s="11">
        <v>2.9745370370370373E-3</v>
      </c>
      <c r="D80" s="11">
        <f t="shared" si="32"/>
        <v>5.9594097222222218E-3</v>
      </c>
      <c r="E80" s="12">
        <v>0.58179999999999998</v>
      </c>
      <c r="F80" s="11">
        <f t="shared" si="33"/>
        <v>7.4363425925925931E-4</v>
      </c>
      <c r="G80" s="11">
        <f t="shared" si="34"/>
        <v>7.9458796296296287E-4</v>
      </c>
      <c r="H80" s="11">
        <f t="shared" si="35"/>
        <v>8.1944444444444447E-4</v>
      </c>
      <c r="I80" s="11">
        <f t="shared" si="36"/>
        <v>8.5439565909996003E-4</v>
      </c>
      <c r="J80" s="11">
        <f t="shared" si="37"/>
        <v>8.636825684380031E-4</v>
      </c>
      <c r="K80" s="11">
        <f t="shared" si="38"/>
        <v>9.0294086700336686E-4</v>
      </c>
      <c r="L80" s="11">
        <f t="shared" si="39"/>
        <v>9.4593805114638445E-4</v>
      </c>
      <c r="M80" s="25"/>
      <c r="N80" s="28"/>
      <c r="O80" s="25"/>
      <c r="P80" s="25"/>
      <c r="Q80" s="25"/>
      <c r="R80" s="25"/>
      <c r="S80" s="25"/>
      <c r="T80" s="25"/>
      <c r="U80" s="28"/>
      <c r="V80" s="25"/>
      <c r="W80" s="15" t="s">
        <v>52</v>
      </c>
      <c r="X80" s="52"/>
    </row>
    <row r="81" spans="1:24" ht="20.45" customHeight="1">
      <c r="A81" s="10"/>
      <c r="B81" s="11"/>
      <c r="C81" s="11"/>
      <c r="D81" s="11"/>
      <c r="E81" s="12"/>
      <c r="F81" s="11"/>
      <c r="G81" s="11"/>
      <c r="H81" s="11"/>
      <c r="I81" s="11"/>
      <c r="J81" s="11"/>
      <c r="K81" s="11"/>
      <c r="L81" s="11"/>
      <c r="M81" s="25"/>
      <c r="N81" s="28"/>
      <c r="O81" s="25"/>
      <c r="P81" s="25"/>
      <c r="Q81" s="25"/>
      <c r="R81" s="25"/>
      <c r="S81" s="25"/>
      <c r="T81" s="25"/>
      <c r="U81" s="28"/>
      <c r="V81" s="25"/>
      <c r="W81" s="15"/>
      <c r="X81" s="52"/>
    </row>
    <row r="82" spans="1:24" ht="20.45" customHeight="1">
      <c r="A82" s="10"/>
      <c r="B82" s="11"/>
      <c r="C82" s="11"/>
      <c r="D82" s="11"/>
      <c r="E82" s="12"/>
      <c r="F82" s="11"/>
      <c r="G82" s="11"/>
      <c r="H82" s="11"/>
      <c r="I82" s="11"/>
      <c r="J82" s="11"/>
      <c r="K82" s="11"/>
      <c r="L82" s="11"/>
      <c r="M82" s="25"/>
      <c r="N82" s="28"/>
      <c r="O82" s="25"/>
      <c r="P82" s="25"/>
      <c r="Q82" s="25"/>
      <c r="R82" s="25"/>
      <c r="S82" s="25"/>
      <c r="T82" s="25"/>
      <c r="U82" s="28"/>
      <c r="V82" s="25"/>
      <c r="W82" s="15"/>
      <c r="X82" s="52"/>
    </row>
    <row r="83" spans="1:24" ht="20.45" customHeight="1">
      <c r="A83" s="10"/>
      <c r="B83" s="11"/>
      <c r="C83" s="11"/>
      <c r="D83" s="11"/>
      <c r="E83" s="12"/>
      <c r="F83" s="11"/>
      <c r="G83" s="11"/>
      <c r="H83" s="11"/>
      <c r="I83" s="11"/>
      <c r="J83" s="11"/>
      <c r="K83" s="11"/>
      <c r="L83" s="11"/>
      <c r="M83" s="25"/>
      <c r="N83" s="28"/>
      <c r="O83" s="25"/>
      <c r="P83" s="28"/>
      <c r="Q83" s="25"/>
      <c r="R83" s="28"/>
      <c r="S83" s="25"/>
      <c r="T83" s="25"/>
      <c r="U83" s="28"/>
      <c r="V83" s="25"/>
      <c r="W83" s="27"/>
      <c r="X83" s="52"/>
    </row>
    <row r="84" spans="1:24" ht="20.45" customHeight="1">
      <c r="A84" s="10"/>
      <c r="B84" s="11"/>
      <c r="C84" s="11"/>
      <c r="D84" s="11"/>
      <c r="E84" s="12"/>
      <c r="F84" s="11"/>
      <c r="G84" s="11"/>
      <c r="H84" s="11"/>
      <c r="I84" s="11"/>
      <c r="J84" s="11"/>
      <c r="K84" s="11"/>
      <c r="L84" s="11"/>
      <c r="M84" s="25"/>
      <c r="N84" s="28"/>
      <c r="O84" s="25"/>
      <c r="P84" s="25"/>
      <c r="Q84" s="25"/>
      <c r="R84" s="28"/>
      <c r="S84" s="25"/>
      <c r="T84" s="25"/>
      <c r="U84" s="28"/>
      <c r="V84" s="25"/>
      <c r="W84" s="15"/>
      <c r="X84" s="52"/>
    </row>
    <row r="85" spans="1:24" ht="20.45" customHeight="1">
      <c r="A85" s="10"/>
      <c r="B85" s="11"/>
      <c r="C85" s="11"/>
      <c r="D85" s="11"/>
      <c r="E85" s="12"/>
      <c r="F85" s="11"/>
      <c r="G85" s="11"/>
      <c r="H85" s="11"/>
      <c r="I85" s="11"/>
      <c r="J85" s="11"/>
      <c r="K85" s="11"/>
      <c r="L85" s="11"/>
      <c r="M85" s="37"/>
      <c r="N85" s="28"/>
      <c r="O85" s="25"/>
      <c r="P85" s="28"/>
      <c r="Q85" s="25"/>
      <c r="R85" s="28"/>
      <c r="S85" s="25"/>
      <c r="T85" s="25"/>
      <c r="U85" s="28"/>
      <c r="V85" s="28"/>
      <c r="W85" s="27"/>
      <c r="X85" s="52"/>
    </row>
    <row r="86" spans="1:24" ht="20.45" customHeight="1">
      <c r="A86" s="10"/>
      <c r="B86" s="11"/>
      <c r="C86" s="11"/>
      <c r="D86" s="11"/>
      <c r="E86" s="12"/>
      <c r="F86" s="11"/>
      <c r="G86" s="11"/>
      <c r="H86" s="11"/>
      <c r="I86" s="11"/>
      <c r="J86" s="11"/>
      <c r="K86" s="11"/>
      <c r="L86" s="11"/>
      <c r="M86" s="25"/>
      <c r="N86" s="28"/>
      <c r="O86" s="25"/>
      <c r="P86" s="25"/>
      <c r="Q86" s="28"/>
      <c r="R86" s="28"/>
      <c r="S86" s="25"/>
      <c r="T86" s="25"/>
      <c r="U86" s="28"/>
      <c r="V86" s="28"/>
      <c r="W86" s="15"/>
      <c r="X86" s="52"/>
    </row>
    <row r="87" spans="1:24" ht="20.45" customHeight="1">
      <c r="A87" s="19" t="s">
        <v>333</v>
      </c>
      <c r="B87" s="6"/>
      <c r="C87" s="6"/>
      <c r="D87" s="6"/>
      <c r="E87" s="20"/>
      <c r="F87" s="6"/>
      <c r="G87" s="6"/>
      <c r="H87" s="6"/>
      <c r="I87" s="6"/>
      <c r="J87" s="6"/>
      <c r="K87" s="6"/>
      <c r="L87" s="6"/>
      <c r="M87" s="6"/>
      <c r="N87" s="6"/>
      <c r="O87" s="6"/>
      <c r="P87" s="6"/>
      <c r="Q87" s="22"/>
      <c r="R87" s="6"/>
      <c r="S87" s="6"/>
      <c r="T87" s="6"/>
      <c r="U87" s="6"/>
      <c r="V87" s="23"/>
      <c r="W87" s="35"/>
      <c r="X87" s="52"/>
    </row>
    <row r="88" spans="1:24" ht="20.45" customHeight="1">
      <c r="A88" s="10" t="s">
        <v>81</v>
      </c>
      <c r="B88" s="11">
        <v>9.9537037037037042E-3</v>
      </c>
      <c r="C88" s="11">
        <v>2.9745370370370373E-3</v>
      </c>
      <c r="D88" s="11">
        <f t="shared" ref="D88:D115" si="40">B88*E88</f>
        <v>5.7910648148148149E-3</v>
      </c>
      <c r="E88" s="12">
        <v>0.58179999999999998</v>
      </c>
      <c r="F88" s="11">
        <f t="shared" ref="F88:F115" si="41">C88/4</f>
        <v>7.4363425925925931E-4</v>
      </c>
      <c r="G88" s="11">
        <f t="shared" ref="G88:G115" si="42">D88/7.5</f>
        <v>7.7214197530864196E-4</v>
      </c>
      <c r="H88" s="11">
        <f t="shared" ref="H88:H115" si="43">B88/12.5</f>
        <v>7.9629629629629636E-4</v>
      </c>
      <c r="I88" s="11">
        <f t="shared" ref="I88:I115" si="44">G88/0.93</f>
        <v>8.3026018850391602E-4</v>
      </c>
      <c r="J88" s="11">
        <f t="shared" ref="J88:J115" si="45">G88/0.92</f>
        <v>8.3928475577026292E-4</v>
      </c>
      <c r="K88" s="11">
        <f t="shared" ref="K88:K115" si="46">G88/0.88</f>
        <v>8.7743406285072947E-4</v>
      </c>
      <c r="L88" s="17">
        <f t="shared" ref="L88:L115" si="47">G88/0.84</f>
        <v>9.1921663727219285E-4</v>
      </c>
      <c r="M88" s="25"/>
      <c r="N88" s="28"/>
      <c r="O88" s="25"/>
      <c r="P88" s="25"/>
      <c r="Q88" s="25"/>
      <c r="R88" s="28"/>
      <c r="S88" s="25"/>
      <c r="T88" s="25"/>
      <c r="U88" s="28"/>
      <c r="V88" s="25"/>
      <c r="W88" s="15" t="s">
        <v>5</v>
      </c>
      <c r="X88" s="52"/>
    </row>
    <row r="89" spans="1:24" ht="20.45" customHeight="1">
      <c r="A89" s="10" t="s">
        <v>84</v>
      </c>
      <c r="B89" s="11">
        <v>1.0069444444444445E-2</v>
      </c>
      <c r="C89" s="11">
        <v>3.0092592592592593E-3</v>
      </c>
      <c r="D89" s="11">
        <f t="shared" si="40"/>
        <v>5.8584027777777783E-3</v>
      </c>
      <c r="E89" s="12">
        <v>0.58179999999999998</v>
      </c>
      <c r="F89" s="11">
        <f t="shared" si="41"/>
        <v>7.5231481481481482E-4</v>
      </c>
      <c r="G89" s="11">
        <f t="shared" si="42"/>
        <v>7.811203703703705E-4</v>
      </c>
      <c r="H89" s="11">
        <f t="shared" si="43"/>
        <v>8.0555555555555556E-4</v>
      </c>
      <c r="I89" s="11">
        <f t="shared" si="44"/>
        <v>8.3991437674233382E-4</v>
      </c>
      <c r="J89" s="11">
        <f t="shared" si="45"/>
        <v>8.4904388083735917E-4</v>
      </c>
      <c r="K89" s="11">
        <f t="shared" si="46"/>
        <v>8.8763678451178466E-4</v>
      </c>
      <c r="L89" s="11">
        <f t="shared" si="47"/>
        <v>9.2990520282186973E-4</v>
      </c>
      <c r="M89" s="25"/>
      <c r="N89" s="28"/>
      <c r="O89" s="25"/>
      <c r="P89" s="25"/>
      <c r="Q89" s="25"/>
      <c r="R89" s="25"/>
      <c r="S89" s="25"/>
      <c r="T89" s="25"/>
      <c r="U89" s="28"/>
      <c r="V89" s="25"/>
      <c r="W89" s="15" t="s">
        <v>5</v>
      </c>
      <c r="X89" s="52"/>
    </row>
    <row r="90" spans="1:24" ht="20.45" customHeight="1">
      <c r="A90" s="10" t="s">
        <v>110</v>
      </c>
      <c r="B90" s="11">
        <v>1.0069444444444445E-2</v>
      </c>
      <c r="C90" s="11">
        <v>2.8935185185185184E-3</v>
      </c>
      <c r="D90" s="11">
        <f t="shared" si="40"/>
        <v>5.8584027777777783E-3</v>
      </c>
      <c r="E90" s="12">
        <v>0.58179999999999998</v>
      </c>
      <c r="F90" s="11">
        <f t="shared" si="41"/>
        <v>7.2337962962962959E-4</v>
      </c>
      <c r="G90" s="11">
        <f t="shared" si="42"/>
        <v>7.811203703703705E-4</v>
      </c>
      <c r="H90" s="11">
        <f t="shared" si="43"/>
        <v>8.0555555555555556E-4</v>
      </c>
      <c r="I90" s="11">
        <f t="shared" si="44"/>
        <v>8.3991437674233382E-4</v>
      </c>
      <c r="J90" s="11">
        <f t="shared" si="45"/>
        <v>8.4904388083735917E-4</v>
      </c>
      <c r="K90" s="11">
        <f t="shared" si="46"/>
        <v>8.8763678451178466E-4</v>
      </c>
      <c r="L90" s="11">
        <f t="shared" si="47"/>
        <v>9.2990520282186973E-4</v>
      </c>
      <c r="M90" s="25"/>
      <c r="N90" s="28"/>
      <c r="O90" s="25"/>
      <c r="P90" s="25"/>
      <c r="Q90" s="25"/>
      <c r="R90" s="25"/>
      <c r="S90" s="25"/>
      <c r="T90" s="25"/>
      <c r="U90" s="28"/>
      <c r="V90" s="25"/>
      <c r="W90" s="15" t="s">
        <v>5</v>
      </c>
      <c r="X90" s="52"/>
    </row>
    <row r="91" spans="1:24" ht="20.45" customHeight="1">
      <c r="A91" s="10" t="s">
        <v>95</v>
      </c>
      <c r="B91" s="11">
        <v>1.0243055555555556E-2</v>
      </c>
      <c r="C91" s="11">
        <v>2.9513888888888888E-3</v>
      </c>
      <c r="D91" s="11">
        <f t="shared" si="40"/>
        <v>5.9594097222222218E-3</v>
      </c>
      <c r="E91" s="12">
        <v>0.58179999999999998</v>
      </c>
      <c r="F91" s="11">
        <f t="shared" si="41"/>
        <v>7.378472222222222E-4</v>
      </c>
      <c r="G91" s="11">
        <f t="shared" si="42"/>
        <v>7.9458796296296287E-4</v>
      </c>
      <c r="H91" s="11">
        <f t="shared" si="43"/>
        <v>8.1944444444444447E-4</v>
      </c>
      <c r="I91" s="11">
        <f t="shared" si="44"/>
        <v>8.5439565909996003E-4</v>
      </c>
      <c r="J91" s="11">
        <f t="shared" si="45"/>
        <v>8.636825684380031E-4</v>
      </c>
      <c r="K91" s="11">
        <f t="shared" si="46"/>
        <v>9.0294086700336686E-4</v>
      </c>
      <c r="L91" s="11">
        <f t="shared" si="47"/>
        <v>9.4593805114638445E-4</v>
      </c>
      <c r="M91" s="25"/>
      <c r="N91" s="28"/>
      <c r="O91" s="25"/>
      <c r="P91" s="25"/>
      <c r="Q91" s="25"/>
      <c r="R91" s="28"/>
      <c r="S91" s="25"/>
      <c r="T91" s="28"/>
      <c r="U91" s="28"/>
      <c r="V91" s="25"/>
      <c r="W91" s="15" t="s">
        <v>5</v>
      </c>
      <c r="X91" s="52"/>
    </row>
    <row r="92" spans="1:24" ht="20.45" customHeight="1">
      <c r="A92" s="10" t="s">
        <v>83</v>
      </c>
      <c r="B92" s="11">
        <v>1.0243055555555556E-2</v>
      </c>
      <c r="C92" s="11">
        <v>3.0671296296296297E-3</v>
      </c>
      <c r="D92" s="11">
        <f t="shared" si="40"/>
        <v>5.9594097222222218E-3</v>
      </c>
      <c r="E92" s="12">
        <v>0.58179999999999998</v>
      </c>
      <c r="F92" s="11">
        <f t="shared" si="41"/>
        <v>7.6678240740740743E-4</v>
      </c>
      <c r="G92" s="11">
        <f t="shared" si="42"/>
        <v>7.9458796296296287E-4</v>
      </c>
      <c r="H92" s="11">
        <f t="shared" si="43"/>
        <v>8.1944444444444447E-4</v>
      </c>
      <c r="I92" s="11">
        <f t="shared" si="44"/>
        <v>8.5439565909996003E-4</v>
      </c>
      <c r="J92" s="11">
        <f t="shared" si="45"/>
        <v>8.636825684380031E-4</v>
      </c>
      <c r="K92" s="11">
        <f t="shared" si="46"/>
        <v>9.0294086700336686E-4</v>
      </c>
      <c r="L92" s="17">
        <f t="shared" si="47"/>
        <v>9.4593805114638445E-4</v>
      </c>
      <c r="M92" s="25"/>
      <c r="N92" s="28"/>
      <c r="O92" s="25"/>
      <c r="P92" s="25"/>
      <c r="Q92" s="25"/>
      <c r="R92" s="28"/>
      <c r="S92" s="25"/>
      <c r="T92" s="25"/>
      <c r="U92" s="28"/>
      <c r="V92" s="28"/>
      <c r="W92" s="15" t="s">
        <v>5</v>
      </c>
      <c r="X92" s="52"/>
    </row>
    <row r="93" spans="1:24" ht="20.45" customHeight="1">
      <c r="A93" s="10" t="s">
        <v>112</v>
      </c>
      <c r="B93" s="11">
        <v>1.0243055555555556E-2</v>
      </c>
      <c r="C93" s="11">
        <v>2.8587962962962963E-3</v>
      </c>
      <c r="D93" s="11">
        <f t="shared" si="40"/>
        <v>5.9594097222222218E-3</v>
      </c>
      <c r="E93" s="12">
        <v>0.58179999999999998</v>
      </c>
      <c r="F93" s="11">
        <f t="shared" si="41"/>
        <v>7.1469907407407409E-4</v>
      </c>
      <c r="G93" s="11">
        <f t="shared" si="42"/>
        <v>7.9458796296296287E-4</v>
      </c>
      <c r="H93" s="11">
        <f t="shared" si="43"/>
        <v>8.1944444444444447E-4</v>
      </c>
      <c r="I93" s="11">
        <f t="shared" si="44"/>
        <v>8.5439565909996003E-4</v>
      </c>
      <c r="J93" s="11">
        <f t="shared" si="45"/>
        <v>8.636825684380031E-4</v>
      </c>
      <c r="K93" s="11">
        <f t="shared" si="46"/>
        <v>9.0294086700336686E-4</v>
      </c>
      <c r="L93" s="11">
        <f t="shared" si="47"/>
        <v>9.4593805114638445E-4</v>
      </c>
      <c r="M93" s="25"/>
      <c r="N93" s="28"/>
      <c r="O93" s="25"/>
      <c r="P93" s="25"/>
      <c r="Q93" s="25"/>
      <c r="R93" s="25"/>
      <c r="S93" s="25"/>
      <c r="T93" s="25"/>
      <c r="U93" s="28"/>
      <c r="V93" s="25"/>
      <c r="W93" s="15" t="s">
        <v>5</v>
      </c>
      <c r="X93" s="52"/>
    </row>
    <row r="94" spans="1:24" ht="20.45" customHeight="1">
      <c r="A94" s="10" t="s">
        <v>86</v>
      </c>
      <c r="B94" s="11">
        <v>1.0300925925925925E-2</v>
      </c>
      <c r="C94" s="11">
        <v>3.0671296296296297E-3</v>
      </c>
      <c r="D94" s="11">
        <f t="shared" si="40"/>
        <v>5.9930787037037027E-3</v>
      </c>
      <c r="E94" s="12">
        <v>0.58179999999999998</v>
      </c>
      <c r="F94" s="11">
        <f t="shared" si="41"/>
        <v>7.6678240740740743E-4</v>
      </c>
      <c r="G94" s="11">
        <f t="shared" si="42"/>
        <v>7.9907716049382703E-4</v>
      </c>
      <c r="H94" s="11">
        <f t="shared" si="43"/>
        <v>8.2407407407407397E-4</v>
      </c>
      <c r="I94" s="11">
        <f t="shared" si="44"/>
        <v>8.5922275321916877E-4</v>
      </c>
      <c r="J94" s="11">
        <f t="shared" si="45"/>
        <v>8.6856213097155112E-4</v>
      </c>
      <c r="K94" s="11">
        <f t="shared" si="46"/>
        <v>9.080422278338944E-4</v>
      </c>
      <c r="L94" s="11">
        <f t="shared" si="47"/>
        <v>9.5128233392122272E-4</v>
      </c>
      <c r="M94" s="25"/>
      <c r="N94" s="28"/>
      <c r="O94" s="25"/>
      <c r="P94" s="25"/>
      <c r="Q94" s="25"/>
      <c r="R94" s="25"/>
      <c r="S94" s="25"/>
      <c r="T94" s="25"/>
      <c r="U94" s="28"/>
      <c r="V94" s="25"/>
      <c r="W94" s="15" t="s">
        <v>5</v>
      </c>
      <c r="X94" s="52"/>
    </row>
    <row r="95" spans="1:24" ht="20.45" customHeight="1">
      <c r="A95" s="10" t="s">
        <v>85</v>
      </c>
      <c r="B95" s="11">
        <v>1.0416666666666666E-2</v>
      </c>
      <c r="C95" s="11">
        <v>3.0671296296296297E-3</v>
      </c>
      <c r="D95" s="11">
        <f t="shared" si="40"/>
        <v>6.0604166666666662E-3</v>
      </c>
      <c r="E95" s="12">
        <v>0.58179999999999998</v>
      </c>
      <c r="F95" s="11">
        <f t="shared" si="41"/>
        <v>7.6678240740740743E-4</v>
      </c>
      <c r="G95" s="11">
        <f t="shared" si="42"/>
        <v>8.0805555555555546E-4</v>
      </c>
      <c r="H95" s="11">
        <f t="shared" si="43"/>
        <v>8.3333333333333328E-4</v>
      </c>
      <c r="I95" s="11">
        <f t="shared" si="44"/>
        <v>8.6887694145758646E-4</v>
      </c>
      <c r="J95" s="11">
        <f t="shared" si="45"/>
        <v>8.7832125603864715E-4</v>
      </c>
      <c r="K95" s="11">
        <f t="shared" si="46"/>
        <v>9.1824494949494938E-4</v>
      </c>
      <c r="L95" s="11">
        <f t="shared" si="47"/>
        <v>9.6197089947089938E-4</v>
      </c>
      <c r="M95" s="25"/>
      <c r="N95" s="28"/>
      <c r="O95" s="25"/>
      <c r="P95" s="25"/>
      <c r="Q95" s="25"/>
      <c r="R95" s="25"/>
      <c r="S95" s="25"/>
      <c r="T95" s="25"/>
      <c r="U95" s="28"/>
      <c r="V95" s="25"/>
      <c r="W95" s="15" t="s">
        <v>5</v>
      </c>
      <c r="X95" s="52"/>
    </row>
    <row r="96" spans="1:24" ht="20.45" customHeight="1">
      <c r="A96" s="10" t="s">
        <v>115</v>
      </c>
      <c r="B96" s="11">
        <v>1.0416666666666666E-2</v>
      </c>
      <c r="C96" s="11"/>
      <c r="D96" s="11">
        <f t="shared" si="40"/>
        <v>6.0604166666666662E-3</v>
      </c>
      <c r="E96" s="12">
        <v>0.58179999999999998</v>
      </c>
      <c r="F96" s="11">
        <f t="shared" si="41"/>
        <v>0</v>
      </c>
      <c r="G96" s="11">
        <f t="shared" si="42"/>
        <v>8.0805555555555546E-4</v>
      </c>
      <c r="H96" s="11">
        <f t="shared" si="43"/>
        <v>8.3333333333333328E-4</v>
      </c>
      <c r="I96" s="11">
        <f t="shared" si="44"/>
        <v>8.6887694145758646E-4</v>
      </c>
      <c r="J96" s="11">
        <f t="shared" si="45"/>
        <v>8.7832125603864715E-4</v>
      </c>
      <c r="K96" s="11">
        <f t="shared" si="46"/>
        <v>9.1824494949494938E-4</v>
      </c>
      <c r="L96" s="11">
        <f t="shared" si="47"/>
        <v>9.6197089947089938E-4</v>
      </c>
      <c r="M96" s="25"/>
      <c r="N96" s="28"/>
      <c r="O96" s="25"/>
      <c r="P96" s="25"/>
      <c r="Q96" s="25"/>
      <c r="R96" s="28"/>
      <c r="S96" s="25"/>
      <c r="T96" s="25"/>
      <c r="U96" s="28"/>
      <c r="V96" s="28"/>
      <c r="W96" s="15" t="s">
        <v>5</v>
      </c>
      <c r="X96" s="52"/>
    </row>
    <row r="97" spans="1:24" ht="20.45" customHeight="1">
      <c r="A97" s="10" t="s">
        <v>119</v>
      </c>
      <c r="B97" s="11">
        <v>1.0416666666666666E-2</v>
      </c>
      <c r="C97" s="11"/>
      <c r="D97" s="11">
        <f t="shared" si="40"/>
        <v>6.0604166666666662E-3</v>
      </c>
      <c r="E97" s="12">
        <v>0.58179999999999998</v>
      </c>
      <c r="F97" s="11">
        <f t="shared" si="41"/>
        <v>0</v>
      </c>
      <c r="G97" s="11">
        <f t="shared" si="42"/>
        <v>8.0805555555555546E-4</v>
      </c>
      <c r="H97" s="11">
        <f t="shared" si="43"/>
        <v>8.3333333333333328E-4</v>
      </c>
      <c r="I97" s="11">
        <f t="shared" si="44"/>
        <v>8.6887694145758646E-4</v>
      </c>
      <c r="J97" s="11">
        <f t="shared" si="45"/>
        <v>8.7832125603864715E-4</v>
      </c>
      <c r="K97" s="11">
        <f t="shared" si="46"/>
        <v>9.1824494949494938E-4</v>
      </c>
      <c r="L97" s="11">
        <f t="shared" si="47"/>
        <v>9.6197089947089938E-4</v>
      </c>
      <c r="M97" s="25"/>
      <c r="N97" s="28"/>
      <c r="O97" s="25"/>
      <c r="P97" s="25"/>
      <c r="Q97" s="25"/>
      <c r="R97" s="26"/>
      <c r="S97" s="14"/>
      <c r="T97" s="14"/>
      <c r="U97" s="26"/>
      <c r="V97" s="28"/>
      <c r="W97" s="15" t="s">
        <v>5</v>
      </c>
      <c r="X97" s="52"/>
    </row>
    <row r="98" spans="1:24" ht="20.45" customHeight="1">
      <c r="A98" s="10" t="s">
        <v>87</v>
      </c>
      <c r="B98" s="11">
        <v>1.0532407407407407E-2</v>
      </c>
      <c r="C98" s="11">
        <v>2.9745370370370373E-3</v>
      </c>
      <c r="D98" s="11">
        <f t="shared" si="40"/>
        <v>6.1277546296296288E-3</v>
      </c>
      <c r="E98" s="12">
        <v>0.58179999999999998</v>
      </c>
      <c r="F98" s="11">
        <f t="shared" si="41"/>
        <v>7.4363425925925931E-4</v>
      </c>
      <c r="G98" s="11">
        <f t="shared" si="42"/>
        <v>8.1703395061728389E-4</v>
      </c>
      <c r="H98" s="11">
        <f t="shared" si="43"/>
        <v>8.4259259259259259E-4</v>
      </c>
      <c r="I98" s="11">
        <f t="shared" si="44"/>
        <v>8.7853112969600415E-4</v>
      </c>
      <c r="J98" s="11">
        <f t="shared" si="45"/>
        <v>8.8808038110574329E-4</v>
      </c>
      <c r="K98" s="11">
        <f t="shared" si="46"/>
        <v>9.2844767115600447E-4</v>
      </c>
      <c r="L98" s="11">
        <f t="shared" si="47"/>
        <v>9.7265946502057604E-4</v>
      </c>
      <c r="M98" s="25"/>
      <c r="N98" s="28"/>
      <c r="O98" s="25"/>
      <c r="P98" s="25"/>
      <c r="Q98" s="25"/>
      <c r="R98" s="25"/>
      <c r="S98" s="25"/>
      <c r="T98" s="25"/>
      <c r="U98" s="28"/>
      <c r="V98" s="25"/>
      <c r="W98" s="15" t="s">
        <v>5</v>
      </c>
      <c r="X98" s="50"/>
    </row>
    <row r="99" spans="1:24" ht="20.45" customHeight="1">
      <c r="A99" s="10" t="s">
        <v>123</v>
      </c>
      <c r="B99" s="11">
        <v>1.0532407407407407E-2</v>
      </c>
      <c r="C99" s="11">
        <v>3.1828703703703702E-3</v>
      </c>
      <c r="D99" s="11">
        <f t="shared" si="40"/>
        <v>6.1277546296296288E-3</v>
      </c>
      <c r="E99" s="12">
        <v>0.58179999999999998</v>
      </c>
      <c r="F99" s="11">
        <f t="shared" si="41"/>
        <v>7.9571759259259255E-4</v>
      </c>
      <c r="G99" s="11">
        <f t="shared" si="42"/>
        <v>8.1703395061728389E-4</v>
      </c>
      <c r="H99" s="11">
        <f t="shared" si="43"/>
        <v>8.4259259259259259E-4</v>
      </c>
      <c r="I99" s="11">
        <f t="shared" si="44"/>
        <v>8.7853112969600415E-4</v>
      </c>
      <c r="J99" s="11">
        <f t="shared" si="45"/>
        <v>8.8808038110574329E-4</v>
      </c>
      <c r="K99" s="11">
        <f t="shared" si="46"/>
        <v>9.2844767115600447E-4</v>
      </c>
      <c r="L99" s="11">
        <f t="shared" si="47"/>
        <v>9.7265946502057604E-4</v>
      </c>
      <c r="M99" s="25"/>
      <c r="N99" s="28"/>
      <c r="O99" s="25"/>
      <c r="P99" s="25"/>
      <c r="Q99" s="25"/>
      <c r="R99" s="25"/>
      <c r="S99" s="25"/>
      <c r="T99" s="25"/>
      <c r="U99" s="28"/>
      <c r="V99" s="38"/>
      <c r="W99" s="15" t="s">
        <v>5</v>
      </c>
      <c r="X99" s="50"/>
    </row>
    <row r="100" spans="1:24" ht="20.45" customHeight="1" thickBot="1">
      <c r="A100" s="10" t="s">
        <v>118</v>
      </c>
      <c r="B100" s="11">
        <v>1.0532407407407407E-2</v>
      </c>
      <c r="C100" s="11">
        <v>3.0671296296296297E-3</v>
      </c>
      <c r="D100" s="11">
        <f t="shared" si="40"/>
        <v>6.1277546296296288E-3</v>
      </c>
      <c r="E100" s="12">
        <v>0.58179999999999998</v>
      </c>
      <c r="F100" s="11">
        <f t="shared" si="41"/>
        <v>7.6678240740740743E-4</v>
      </c>
      <c r="G100" s="11">
        <f t="shared" si="42"/>
        <v>8.1703395061728389E-4</v>
      </c>
      <c r="H100" s="11">
        <f t="shared" si="43"/>
        <v>8.4259259259259259E-4</v>
      </c>
      <c r="I100" s="11">
        <f t="shared" si="44"/>
        <v>8.7853112969600415E-4</v>
      </c>
      <c r="J100" s="11">
        <f t="shared" si="45"/>
        <v>8.8808038110574329E-4</v>
      </c>
      <c r="K100" s="11">
        <f t="shared" si="46"/>
        <v>9.2844767115600447E-4</v>
      </c>
      <c r="L100" s="11">
        <f t="shared" si="47"/>
        <v>9.7265946502057604E-4</v>
      </c>
      <c r="M100" s="25"/>
      <c r="N100" s="28"/>
      <c r="O100" s="25"/>
      <c r="P100" s="25"/>
      <c r="Q100" s="25"/>
      <c r="R100" s="28"/>
      <c r="S100" s="25"/>
      <c r="T100" s="25"/>
      <c r="U100" s="28"/>
      <c r="V100" s="25"/>
      <c r="W100" s="15" t="s">
        <v>5</v>
      </c>
      <c r="X100" s="50"/>
    </row>
    <row r="101" spans="1:24" ht="20.45" customHeight="1">
      <c r="A101" s="46" t="s">
        <v>122</v>
      </c>
      <c r="B101" s="11">
        <v>1.0590277777777778E-2</v>
      </c>
      <c r="C101" s="11">
        <v>3.0671296296296297E-3</v>
      </c>
      <c r="D101" s="11">
        <f t="shared" si="40"/>
        <v>6.1614236111111114E-3</v>
      </c>
      <c r="E101" s="12">
        <v>0.58179999999999998</v>
      </c>
      <c r="F101" s="11">
        <f t="shared" si="41"/>
        <v>7.6678240740740743E-4</v>
      </c>
      <c r="G101" s="11">
        <f t="shared" si="42"/>
        <v>8.2152314814814816E-4</v>
      </c>
      <c r="H101" s="11">
        <f t="shared" si="43"/>
        <v>8.472222222222223E-4</v>
      </c>
      <c r="I101" s="11">
        <f t="shared" si="44"/>
        <v>8.8335822381521299E-4</v>
      </c>
      <c r="J101" s="11">
        <f t="shared" si="45"/>
        <v>8.9295994363929141E-4</v>
      </c>
      <c r="K101" s="11">
        <f t="shared" si="46"/>
        <v>9.3354903198653201E-4</v>
      </c>
      <c r="L101" s="11">
        <f t="shared" si="47"/>
        <v>9.7800374779541442E-4</v>
      </c>
      <c r="M101" s="25"/>
      <c r="N101" s="28"/>
      <c r="O101" s="25"/>
      <c r="P101" s="25"/>
      <c r="Q101" s="25"/>
      <c r="R101" s="28"/>
      <c r="S101" s="25"/>
      <c r="T101" s="25"/>
      <c r="U101" s="28"/>
      <c r="V101" s="25"/>
      <c r="W101" s="15" t="s">
        <v>5</v>
      </c>
      <c r="X101" s="50"/>
    </row>
    <row r="102" spans="1:24" ht="20.45" customHeight="1">
      <c r="A102" s="10" t="s">
        <v>88</v>
      </c>
      <c r="B102" s="11">
        <v>1.0590277777777778E-2</v>
      </c>
      <c r="C102" s="11">
        <v>3.0671296296296297E-3</v>
      </c>
      <c r="D102" s="11">
        <f t="shared" si="40"/>
        <v>6.1614236111111114E-3</v>
      </c>
      <c r="E102" s="12">
        <v>0.58179999999999998</v>
      </c>
      <c r="F102" s="11">
        <f t="shared" si="41"/>
        <v>7.6678240740740743E-4</v>
      </c>
      <c r="G102" s="11">
        <f t="shared" si="42"/>
        <v>8.2152314814814816E-4</v>
      </c>
      <c r="H102" s="11">
        <f t="shared" si="43"/>
        <v>8.472222222222223E-4</v>
      </c>
      <c r="I102" s="11">
        <f t="shared" si="44"/>
        <v>8.8335822381521299E-4</v>
      </c>
      <c r="J102" s="11">
        <f t="shared" si="45"/>
        <v>8.9295994363929141E-4</v>
      </c>
      <c r="K102" s="11">
        <f t="shared" si="46"/>
        <v>9.3354903198653201E-4</v>
      </c>
      <c r="L102" s="11">
        <f t="shared" si="47"/>
        <v>9.7800374779541442E-4</v>
      </c>
      <c r="M102" s="25"/>
      <c r="N102" s="28"/>
      <c r="O102" s="25"/>
      <c r="P102" s="25"/>
      <c r="Q102" s="25"/>
      <c r="R102" s="28"/>
      <c r="S102" s="25"/>
      <c r="T102" s="25"/>
      <c r="U102" s="28"/>
      <c r="V102" s="25"/>
      <c r="W102" s="15" t="s">
        <v>5</v>
      </c>
      <c r="X102" s="50"/>
    </row>
    <row r="103" spans="1:24" ht="20.45" customHeight="1">
      <c r="A103" s="10" t="s">
        <v>91</v>
      </c>
      <c r="B103" s="11">
        <v>1.0590277777777778E-2</v>
      </c>
      <c r="C103" s="11">
        <v>3.1249999999999997E-3</v>
      </c>
      <c r="D103" s="11">
        <f t="shared" si="40"/>
        <v>6.1614236111111114E-3</v>
      </c>
      <c r="E103" s="12">
        <v>0.58179999999999998</v>
      </c>
      <c r="F103" s="11">
        <f t="shared" si="41"/>
        <v>7.8124999999999993E-4</v>
      </c>
      <c r="G103" s="11">
        <f t="shared" si="42"/>
        <v>8.2152314814814816E-4</v>
      </c>
      <c r="H103" s="11">
        <f t="shared" si="43"/>
        <v>8.472222222222223E-4</v>
      </c>
      <c r="I103" s="11">
        <f t="shared" si="44"/>
        <v>8.8335822381521299E-4</v>
      </c>
      <c r="J103" s="11">
        <f t="shared" si="45"/>
        <v>8.9295994363929141E-4</v>
      </c>
      <c r="K103" s="11">
        <f t="shared" si="46"/>
        <v>9.3354903198653201E-4</v>
      </c>
      <c r="L103" s="17">
        <f t="shared" si="47"/>
        <v>9.7800374779541442E-4</v>
      </c>
      <c r="M103" s="25"/>
      <c r="N103" s="28"/>
      <c r="O103" s="25"/>
      <c r="P103" s="25"/>
      <c r="Q103" s="25"/>
      <c r="R103" s="28"/>
      <c r="S103" s="25"/>
      <c r="T103" s="25"/>
      <c r="U103" s="28"/>
      <c r="V103" s="25"/>
      <c r="W103" s="15" t="s">
        <v>5</v>
      </c>
      <c r="X103" s="50"/>
    </row>
    <row r="104" spans="1:24" ht="20.45" customHeight="1">
      <c r="A104" s="10" t="s">
        <v>90</v>
      </c>
      <c r="B104" s="11">
        <v>1.0648148148148148E-2</v>
      </c>
      <c r="C104" s="11">
        <v>3.0671296296296297E-3</v>
      </c>
      <c r="D104" s="11">
        <f t="shared" si="40"/>
        <v>6.1950925925925923E-3</v>
      </c>
      <c r="E104" s="12">
        <v>0.58179999999999998</v>
      </c>
      <c r="F104" s="11">
        <f t="shared" si="41"/>
        <v>7.6678240740740743E-4</v>
      </c>
      <c r="G104" s="11">
        <f t="shared" si="42"/>
        <v>8.2601234567901232E-4</v>
      </c>
      <c r="H104" s="11">
        <f t="shared" si="43"/>
        <v>8.5185185185185179E-4</v>
      </c>
      <c r="I104" s="11">
        <f t="shared" si="44"/>
        <v>8.8818531793442184E-4</v>
      </c>
      <c r="J104" s="11">
        <f t="shared" si="45"/>
        <v>8.9783950617283942E-4</v>
      </c>
      <c r="K104" s="11">
        <f t="shared" si="46"/>
        <v>9.3865039281705945E-4</v>
      </c>
      <c r="L104" s="11">
        <f t="shared" si="47"/>
        <v>9.833480305702527E-4</v>
      </c>
      <c r="M104" s="25"/>
      <c r="N104" s="28"/>
      <c r="O104" s="25"/>
      <c r="P104" s="25"/>
      <c r="Q104" s="25"/>
      <c r="R104" s="25"/>
      <c r="S104" s="25"/>
      <c r="T104" s="25"/>
      <c r="U104" s="28"/>
      <c r="V104" s="25"/>
      <c r="W104" s="15" t="s">
        <v>5</v>
      </c>
      <c r="X104" s="50"/>
    </row>
    <row r="105" spans="1:24" ht="20.45" customHeight="1">
      <c r="A105" s="10" t="s">
        <v>125</v>
      </c>
      <c r="B105" s="11">
        <v>1.0648148148148148E-2</v>
      </c>
      <c r="C105" s="11"/>
      <c r="D105" s="11">
        <f t="shared" si="40"/>
        <v>6.1950925925925923E-3</v>
      </c>
      <c r="E105" s="12">
        <v>0.58179999999999998</v>
      </c>
      <c r="F105" s="11">
        <f t="shared" si="41"/>
        <v>0</v>
      </c>
      <c r="G105" s="11">
        <f t="shared" si="42"/>
        <v>8.2601234567901232E-4</v>
      </c>
      <c r="H105" s="11">
        <f t="shared" si="43"/>
        <v>8.5185185185185179E-4</v>
      </c>
      <c r="I105" s="11">
        <f t="shared" si="44"/>
        <v>8.8818531793442184E-4</v>
      </c>
      <c r="J105" s="11">
        <f t="shared" si="45"/>
        <v>8.9783950617283942E-4</v>
      </c>
      <c r="K105" s="11">
        <f t="shared" si="46"/>
        <v>9.3865039281705945E-4</v>
      </c>
      <c r="L105" s="11">
        <f t="shared" si="47"/>
        <v>9.833480305702527E-4</v>
      </c>
      <c r="M105" s="25"/>
      <c r="N105" s="28"/>
      <c r="O105" s="25"/>
      <c r="P105" s="25"/>
      <c r="Q105" s="25"/>
      <c r="R105" s="28"/>
      <c r="S105" s="25"/>
      <c r="T105" s="25"/>
      <c r="U105" s="28"/>
      <c r="V105" s="28"/>
      <c r="W105" s="15" t="s">
        <v>5</v>
      </c>
      <c r="X105" s="50"/>
    </row>
    <row r="106" spans="1:24" ht="20.45" customHeight="1">
      <c r="A106" s="10" t="s">
        <v>126</v>
      </c>
      <c r="B106" s="11">
        <v>1.0648148148148148E-2</v>
      </c>
      <c r="C106" s="11"/>
      <c r="D106" s="11">
        <f t="shared" si="40"/>
        <v>6.1950925925925923E-3</v>
      </c>
      <c r="E106" s="12">
        <v>0.58179999999999998</v>
      </c>
      <c r="F106" s="11">
        <f t="shared" si="41"/>
        <v>0</v>
      </c>
      <c r="G106" s="11">
        <f t="shared" si="42"/>
        <v>8.2601234567901232E-4</v>
      </c>
      <c r="H106" s="11">
        <f t="shared" si="43"/>
        <v>8.5185185185185179E-4</v>
      </c>
      <c r="I106" s="11">
        <f t="shared" si="44"/>
        <v>8.8818531793442184E-4</v>
      </c>
      <c r="J106" s="11">
        <f t="shared" si="45"/>
        <v>8.9783950617283942E-4</v>
      </c>
      <c r="K106" s="11">
        <f t="shared" si="46"/>
        <v>9.3865039281705945E-4</v>
      </c>
      <c r="L106" s="11">
        <f t="shared" si="47"/>
        <v>9.833480305702527E-4</v>
      </c>
      <c r="M106" s="25"/>
      <c r="N106" s="28"/>
      <c r="O106" s="25"/>
      <c r="P106" s="25"/>
      <c r="Q106" s="25"/>
      <c r="R106" s="28"/>
      <c r="S106" s="25"/>
      <c r="T106" s="25"/>
      <c r="U106" s="28"/>
      <c r="V106" s="28"/>
      <c r="W106" s="15" t="s">
        <v>5</v>
      </c>
      <c r="X106" s="50"/>
    </row>
    <row r="107" spans="1:24" ht="20.45" customHeight="1">
      <c r="A107" s="10" t="s">
        <v>121</v>
      </c>
      <c r="B107" s="11">
        <v>1.0648148148148148E-2</v>
      </c>
      <c r="C107" s="11"/>
      <c r="D107" s="11">
        <f t="shared" si="40"/>
        <v>6.1950925925925923E-3</v>
      </c>
      <c r="E107" s="12">
        <v>0.58179999999999998</v>
      </c>
      <c r="F107" s="11">
        <f t="shared" si="41"/>
        <v>0</v>
      </c>
      <c r="G107" s="11">
        <f t="shared" si="42"/>
        <v>8.2601234567901232E-4</v>
      </c>
      <c r="H107" s="11">
        <f t="shared" si="43"/>
        <v>8.5185185185185179E-4</v>
      </c>
      <c r="I107" s="11">
        <f t="shared" si="44"/>
        <v>8.8818531793442184E-4</v>
      </c>
      <c r="J107" s="11">
        <f t="shared" si="45"/>
        <v>8.9783950617283942E-4</v>
      </c>
      <c r="K107" s="11">
        <f t="shared" si="46"/>
        <v>9.3865039281705945E-4</v>
      </c>
      <c r="L107" s="11">
        <f t="shared" si="47"/>
        <v>9.833480305702527E-4</v>
      </c>
      <c r="M107" s="25"/>
      <c r="N107" s="28"/>
      <c r="O107" s="25"/>
      <c r="P107" s="25"/>
      <c r="Q107" s="25"/>
      <c r="R107" s="26"/>
      <c r="S107" s="14"/>
      <c r="T107" s="14"/>
      <c r="U107" s="26"/>
      <c r="V107" s="28"/>
      <c r="W107" s="15" t="s">
        <v>5</v>
      </c>
      <c r="X107" s="50"/>
    </row>
    <row r="108" spans="1:24" ht="20.45" customHeight="1">
      <c r="A108" s="10" t="s">
        <v>124</v>
      </c>
      <c r="B108" s="11">
        <v>1.0763888888888889E-2</v>
      </c>
      <c r="C108" s="11"/>
      <c r="D108" s="11">
        <f t="shared" si="40"/>
        <v>6.2624305555555549E-3</v>
      </c>
      <c r="E108" s="12">
        <v>0.58179999999999998</v>
      </c>
      <c r="F108" s="11">
        <f t="shared" si="41"/>
        <v>0</v>
      </c>
      <c r="G108" s="11">
        <f t="shared" si="42"/>
        <v>8.3499074074074064E-4</v>
      </c>
      <c r="H108" s="11">
        <f t="shared" si="43"/>
        <v>8.611111111111111E-4</v>
      </c>
      <c r="I108" s="11">
        <f t="shared" si="44"/>
        <v>8.9783950617283931E-4</v>
      </c>
      <c r="J108" s="11">
        <f t="shared" si="45"/>
        <v>9.0759863123993545E-4</v>
      </c>
      <c r="K108" s="11">
        <f t="shared" si="46"/>
        <v>9.4885311447811432E-4</v>
      </c>
      <c r="L108" s="11">
        <f t="shared" si="47"/>
        <v>9.9403659611992947E-4</v>
      </c>
      <c r="M108" s="25"/>
      <c r="N108" s="28"/>
      <c r="O108" s="25"/>
      <c r="P108" s="25"/>
      <c r="Q108" s="25"/>
      <c r="R108" s="26"/>
      <c r="S108" s="14"/>
      <c r="T108" s="14"/>
      <c r="U108" s="26"/>
      <c r="V108" s="28"/>
      <c r="W108" s="15" t="s">
        <v>5</v>
      </c>
      <c r="X108" s="52"/>
    </row>
    <row r="109" spans="1:24" ht="20.45" customHeight="1">
      <c r="A109" s="10" t="s">
        <v>114</v>
      </c>
      <c r="B109" s="11">
        <v>1.0763888888888889E-2</v>
      </c>
      <c r="C109" s="11"/>
      <c r="D109" s="11">
        <f t="shared" si="40"/>
        <v>6.2624305555555549E-3</v>
      </c>
      <c r="E109" s="12">
        <v>0.58179999999999998</v>
      </c>
      <c r="F109" s="11">
        <f t="shared" si="41"/>
        <v>0</v>
      </c>
      <c r="G109" s="11">
        <f t="shared" si="42"/>
        <v>8.3499074074074064E-4</v>
      </c>
      <c r="H109" s="11">
        <f t="shared" si="43"/>
        <v>8.611111111111111E-4</v>
      </c>
      <c r="I109" s="11">
        <f t="shared" si="44"/>
        <v>8.9783950617283931E-4</v>
      </c>
      <c r="J109" s="11">
        <f t="shared" si="45"/>
        <v>9.0759863123993545E-4</v>
      </c>
      <c r="K109" s="11">
        <f t="shared" si="46"/>
        <v>9.4885311447811432E-4</v>
      </c>
      <c r="L109" s="11">
        <f t="shared" si="47"/>
        <v>9.9403659611992947E-4</v>
      </c>
      <c r="M109" s="25"/>
      <c r="N109" s="28"/>
      <c r="O109" s="25"/>
      <c r="P109" s="25"/>
      <c r="Q109" s="25"/>
      <c r="R109" s="28"/>
      <c r="S109" s="25"/>
      <c r="T109" s="25"/>
      <c r="U109" s="28"/>
      <c r="V109" s="28"/>
      <c r="W109" s="15" t="s">
        <v>5</v>
      </c>
      <c r="X109" s="52"/>
    </row>
    <row r="110" spans="1:24" ht="20.45" customHeight="1">
      <c r="A110" s="10" t="s">
        <v>131</v>
      </c>
      <c r="B110" s="11">
        <v>1.0763888888888891E-2</v>
      </c>
      <c r="C110" s="11">
        <v>3.1828703703703702E-3</v>
      </c>
      <c r="D110" s="11">
        <f t="shared" si="40"/>
        <v>6.2624305555555567E-3</v>
      </c>
      <c r="E110" s="12">
        <v>0.58179999999999998</v>
      </c>
      <c r="F110" s="11">
        <f t="shared" si="41"/>
        <v>7.9571759259259255E-4</v>
      </c>
      <c r="G110" s="11">
        <f t="shared" si="42"/>
        <v>8.3499074074074085E-4</v>
      </c>
      <c r="H110" s="11">
        <f t="shared" si="43"/>
        <v>8.6111111111111121E-4</v>
      </c>
      <c r="I110" s="11">
        <f t="shared" si="44"/>
        <v>8.9783950617283953E-4</v>
      </c>
      <c r="J110" s="11">
        <f t="shared" si="45"/>
        <v>9.0759863123993567E-4</v>
      </c>
      <c r="K110" s="11">
        <f t="shared" si="46"/>
        <v>9.4885311447811464E-4</v>
      </c>
      <c r="L110" s="11">
        <f t="shared" si="47"/>
        <v>9.9403659611992969E-4</v>
      </c>
      <c r="M110" s="25"/>
      <c r="N110" s="28"/>
      <c r="O110" s="25"/>
      <c r="P110" s="25"/>
      <c r="Q110" s="25"/>
      <c r="R110" s="28"/>
      <c r="S110" s="25"/>
      <c r="T110" s="25"/>
      <c r="U110" s="28"/>
      <c r="V110" s="28"/>
      <c r="W110" s="15" t="s">
        <v>5</v>
      </c>
      <c r="X110" s="52"/>
    </row>
    <row r="111" spans="1:24" ht="20.45" customHeight="1">
      <c r="A111" s="10" t="s">
        <v>137</v>
      </c>
      <c r="B111" s="11">
        <v>1.087962962962963E-2</v>
      </c>
      <c r="C111" s="11"/>
      <c r="D111" s="11">
        <f t="shared" si="40"/>
        <v>6.3297685185185184E-3</v>
      </c>
      <c r="E111" s="12">
        <v>0.58179999999999998</v>
      </c>
      <c r="F111" s="11">
        <f t="shared" si="41"/>
        <v>0</v>
      </c>
      <c r="G111" s="11">
        <f t="shared" si="42"/>
        <v>8.4396913580246917E-4</v>
      </c>
      <c r="H111" s="11">
        <f t="shared" si="43"/>
        <v>8.7037037037037042E-4</v>
      </c>
      <c r="I111" s="11">
        <f t="shared" si="44"/>
        <v>9.0749369441125711E-4</v>
      </c>
      <c r="J111" s="11">
        <f t="shared" si="45"/>
        <v>9.173577563070317E-4</v>
      </c>
      <c r="K111" s="11">
        <f t="shared" si="46"/>
        <v>9.5905583613916951E-4</v>
      </c>
      <c r="L111" s="11">
        <f t="shared" si="47"/>
        <v>1.0047251616696062E-3</v>
      </c>
      <c r="M111" s="25"/>
      <c r="N111" s="28"/>
      <c r="O111" s="25"/>
      <c r="P111" s="25"/>
      <c r="Q111" s="25"/>
      <c r="R111" s="28"/>
      <c r="S111" s="25"/>
      <c r="T111" s="25"/>
      <c r="U111" s="28"/>
      <c r="V111" s="28"/>
      <c r="W111" s="15" t="s">
        <v>5</v>
      </c>
      <c r="X111" s="52"/>
    </row>
    <row r="112" spans="1:24" ht="20.45" customHeight="1">
      <c r="A112" s="10" t="s">
        <v>132</v>
      </c>
      <c r="B112" s="11">
        <v>1.087962962962963E-2</v>
      </c>
      <c r="C112" s="11"/>
      <c r="D112" s="11">
        <f t="shared" si="40"/>
        <v>6.3297685185185184E-3</v>
      </c>
      <c r="E112" s="12">
        <v>0.58179999999999998</v>
      </c>
      <c r="F112" s="11">
        <f t="shared" si="41"/>
        <v>0</v>
      </c>
      <c r="G112" s="11">
        <f t="shared" si="42"/>
        <v>8.4396913580246917E-4</v>
      </c>
      <c r="H112" s="11">
        <f t="shared" si="43"/>
        <v>8.7037037037037042E-4</v>
      </c>
      <c r="I112" s="11">
        <f t="shared" si="44"/>
        <v>9.0749369441125711E-4</v>
      </c>
      <c r="J112" s="11">
        <f t="shared" si="45"/>
        <v>9.173577563070317E-4</v>
      </c>
      <c r="K112" s="11">
        <f t="shared" si="46"/>
        <v>9.5905583613916951E-4</v>
      </c>
      <c r="L112" s="11">
        <f t="shared" si="47"/>
        <v>1.0047251616696062E-3</v>
      </c>
      <c r="M112" s="25"/>
      <c r="N112" s="28"/>
      <c r="O112" s="25"/>
      <c r="P112" s="25"/>
      <c r="Q112" s="25"/>
      <c r="R112" s="26"/>
      <c r="S112" s="14"/>
      <c r="T112" s="14"/>
      <c r="U112" s="26"/>
      <c r="V112" s="28"/>
      <c r="W112" s="15" t="s">
        <v>5</v>
      </c>
      <c r="X112" s="52"/>
    </row>
    <row r="113" spans="1:24" ht="20.45" customHeight="1">
      <c r="A113" s="10" t="s">
        <v>133</v>
      </c>
      <c r="B113" s="11">
        <v>1.087962962962963E-2</v>
      </c>
      <c r="C113" s="11">
        <v>3.1250000000000002E-3</v>
      </c>
      <c r="D113" s="11">
        <f t="shared" si="40"/>
        <v>6.3297685185185184E-3</v>
      </c>
      <c r="E113" s="12">
        <v>0.58179999999999998</v>
      </c>
      <c r="F113" s="11">
        <f t="shared" si="41"/>
        <v>7.8125000000000004E-4</v>
      </c>
      <c r="G113" s="11">
        <f t="shared" si="42"/>
        <v>8.4396913580246917E-4</v>
      </c>
      <c r="H113" s="11">
        <f t="shared" si="43"/>
        <v>8.7037037037037042E-4</v>
      </c>
      <c r="I113" s="11">
        <f t="shared" si="44"/>
        <v>9.0749369441125711E-4</v>
      </c>
      <c r="J113" s="11">
        <f t="shared" si="45"/>
        <v>9.173577563070317E-4</v>
      </c>
      <c r="K113" s="11">
        <f t="shared" si="46"/>
        <v>9.5905583613916951E-4</v>
      </c>
      <c r="L113" s="11">
        <f t="shared" si="47"/>
        <v>1.0047251616696062E-3</v>
      </c>
      <c r="M113" s="25"/>
      <c r="N113" s="28"/>
      <c r="O113" s="25"/>
      <c r="P113" s="25"/>
      <c r="Q113" s="25"/>
      <c r="R113" s="25"/>
      <c r="S113" s="25"/>
      <c r="T113" s="25"/>
      <c r="U113" s="28"/>
      <c r="V113" s="25"/>
      <c r="W113" s="15" t="s">
        <v>5</v>
      </c>
      <c r="X113" s="52"/>
    </row>
    <row r="114" spans="1:24" ht="20.45" customHeight="1">
      <c r="A114" s="10" t="s">
        <v>113</v>
      </c>
      <c r="B114" s="11">
        <v>1.087962962962963E-2</v>
      </c>
      <c r="C114" s="11">
        <v>3.2986111111111111E-3</v>
      </c>
      <c r="D114" s="11">
        <f t="shared" si="40"/>
        <v>6.3297685185185184E-3</v>
      </c>
      <c r="E114" s="12">
        <v>0.58179999999999998</v>
      </c>
      <c r="F114" s="11">
        <f t="shared" si="41"/>
        <v>8.2465277777777778E-4</v>
      </c>
      <c r="G114" s="11">
        <f t="shared" si="42"/>
        <v>8.4396913580246917E-4</v>
      </c>
      <c r="H114" s="11">
        <f t="shared" si="43"/>
        <v>8.7037037037037042E-4</v>
      </c>
      <c r="I114" s="11">
        <f t="shared" si="44"/>
        <v>9.0749369441125711E-4</v>
      </c>
      <c r="J114" s="11">
        <f t="shared" si="45"/>
        <v>9.173577563070317E-4</v>
      </c>
      <c r="K114" s="11">
        <f t="shared" si="46"/>
        <v>9.5905583613916951E-4</v>
      </c>
      <c r="L114" s="11">
        <f t="shared" si="47"/>
        <v>1.0047251616696062E-3</v>
      </c>
      <c r="M114" s="25"/>
      <c r="N114" s="28"/>
      <c r="O114" s="25"/>
      <c r="P114" s="25"/>
      <c r="Q114" s="25"/>
      <c r="R114" s="28"/>
      <c r="S114" s="25"/>
      <c r="T114" s="25"/>
      <c r="U114" s="28"/>
      <c r="V114" s="25"/>
      <c r="W114" s="15" t="s">
        <v>5</v>
      </c>
      <c r="X114" s="52"/>
    </row>
    <row r="115" spans="1:24" ht="20.45" customHeight="1">
      <c r="A115" s="10" t="s">
        <v>128</v>
      </c>
      <c r="B115" s="11">
        <v>1.1111111111111112E-2</v>
      </c>
      <c r="C115" s="11"/>
      <c r="D115" s="11">
        <f t="shared" si="40"/>
        <v>6.4644444444444445E-3</v>
      </c>
      <c r="E115" s="12">
        <v>0.58179999999999998</v>
      </c>
      <c r="F115" s="11">
        <f t="shared" si="41"/>
        <v>0</v>
      </c>
      <c r="G115" s="11">
        <f t="shared" si="42"/>
        <v>8.6192592592592592E-4</v>
      </c>
      <c r="H115" s="11">
        <f t="shared" si="43"/>
        <v>8.8888888888888893E-4</v>
      </c>
      <c r="I115" s="11">
        <f t="shared" si="44"/>
        <v>9.2680207088809239E-4</v>
      </c>
      <c r="J115" s="11">
        <f t="shared" si="45"/>
        <v>9.3687600644122375E-4</v>
      </c>
      <c r="K115" s="11">
        <f t="shared" si="46"/>
        <v>9.7946127946127947E-4</v>
      </c>
      <c r="L115" s="11">
        <f t="shared" si="47"/>
        <v>1.0261022927689596E-3</v>
      </c>
      <c r="M115" s="25"/>
      <c r="N115" s="28"/>
      <c r="O115" s="25"/>
      <c r="P115" s="25"/>
      <c r="Q115" s="25"/>
      <c r="R115" s="26"/>
      <c r="S115" s="14"/>
      <c r="T115" s="14"/>
      <c r="U115" s="26"/>
      <c r="V115" s="28"/>
      <c r="W115" s="15" t="s">
        <v>5</v>
      </c>
      <c r="X115" s="52"/>
    </row>
    <row r="116" spans="1:24" ht="20.45" customHeight="1">
      <c r="A116" s="19" t="s">
        <v>333</v>
      </c>
      <c r="B116" s="6"/>
      <c r="C116" s="6"/>
      <c r="D116" s="6"/>
      <c r="E116" s="20"/>
      <c r="F116" s="6"/>
      <c r="G116" s="6"/>
      <c r="H116" s="6"/>
      <c r="I116" s="6"/>
      <c r="J116" s="6"/>
      <c r="K116" s="6"/>
      <c r="L116" s="6"/>
      <c r="M116" s="6"/>
      <c r="N116" s="6"/>
      <c r="O116" s="6"/>
      <c r="P116" s="6"/>
      <c r="Q116" s="22"/>
      <c r="R116" s="6"/>
      <c r="S116" s="6"/>
      <c r="T116" s="6"/>
      <c r="U116" s="6"/>
      <c r="V116" s="23"/>
      <c r="W116" s="35"/>
      <c r="X116" s="52"/>
    </row>
    <row r="117" spans="1:24" ht="20.45" customHeight="1">
      <c r="A117" s="10" t="s">
        <v>136</v>
      </c>
      <c r="B117" s="11">
        <v>1.1111111111111112E-2</v>
      </c>
      <c r="C117" s="11">
        <v>3.1828703703703702E-3</v>
      </c>
      <c r="D117" s="11">
        <f t="shared" ref="D117:D128" si="48">B117*E117</f>
        <v>6.4644444444444445E-3</v>
      </c>
      <c r="E117" s="12">
        <v>0.58179999999999998</v>
      </c>
      <c r="F117" s="11">
        <f t="shared" ref="F117:F128" si="49">C117/4</f>
        <v>7.9571759259259255E-4</v>
      </c>
      <c r="G117" s="11">
        <f t="shared" ref="G117:G128" si="50">D117/7.5</f>
        <v>8.6192592592592592E-4</v>
      </c>
      <c r="H117" s="11">
        <f t="shared" ref="H117:H128" si="51">B117/12.5</f>
        <v>8.8888888888888893E-4</v>
      </c>
      <c r="I117" s="11">
        <f t="shared" ref="I117:I128" si="52">G117/0.93</f>
        <v>9.2680207088809239E-4</v>
      </c>
      <c r="J117" s="11">
        <f t="shared" ref="J117:J128" si="53">G117/0.92</f>
        <v>9.3687600644122375E-4</v>
      </c>
      <c r="K117" s="11">
        <f t="shared" ref="K117:K128" si="54">G117/0.88</f>
        <v>9.7946127946127947E-4</v>
      </c>
      <c r="L117" s="11">
        <f t="shared" ref="L117:L128" si="55">G117/0.84</f>
        <v>1.0261022927689596E-3</v>
      </c>
      <c r="M117" s="25"/>
      <c r="N117" s="28"/>
      <c r="O117" s="25"/>
      <c r="P117" s="25"/>
      <c r="Q117" s="25"/>
      <c r="R117" s="25"/>
      <c r="S117" s="25"/>
      <c r="T117" s="25"/>
      <c r="U117" s="28"/>
      <c r="V117" s="25"/>
      <c r="W117" s="15" t="s">
        <v>5</v>
      </c>
      <c r="X117" s="52"/>
    </row>
    <row r="118" spans="1:24" ht="20.45" customHeight="1">
      <c r="A118" s="10" t="s">
        <v>135</v>
      </c>
      <c r="B118" s="11">
        <v>1.1631944444444445E-2</v>
      </c>
      <c r="C118" s="11">
        <v>3.414351851851852E-3</v>
      </c>
      <c r="D118" s="11">
        <f t="shared" si="48"/>
        <v>6.7674652777777776E-3</v>
      </c>
      <c r="E118" s="12">
        <v>0.58179999999999998</v>
      </c>
      <c r="F118" s="11">
        <f t="shared" si="49"/>
        <v>8.53587962962963E-4</v>
      </c>
      <c r="G118" s="11">
        <f t="shared" si="50"/>
        <v>9.0232870370370369E-4</v>
      </c>
      <c r="H118" s="11">
        <f t="shared" si="51"/>
        <v>9.3055555555555556E-4</v>
      </c>
      <c r="I118" s="11">
        <f t="shared" si="52"/>
        <v>9.7024591796097167E-4</v>
      </c>
      <c r="J118" s="11">
        <f t="shared" si="53"/>
        <v>9.8079206924315621E-4</v>
      </c>
      <c r="K118" s="11">
        <f t="shared" si="54"/>
        <v>1.0253735269360269E-3</v>
      </c>
      <c r="L118" s="11">
        <f t="shared" si="55"/>
        <v>1.0742008377425045E-3</v>
      </c>
      <c r="M118" s="25"/>
      <c r="N118" s="28"/>
      <c r="O118" s="25"/>
      <c r="P118" s="25"/>
      <c r="Q118" s="25"/>
      <c r="R118" s="28"/>
      <c r="S118" s="25"/>
      <c r="T118" s="25"/>
      <c r="U118" s="28"/>
      <c r="V118" s="25"/>
      <c r="W118" s="15" t="s">
        <v>5</v>
      </c>
      <c r="X118" s="50"/>
    </row>
    <row r="119" spans="1:24" ht="20.45" customHeight="1">
      <c r="A119" s="10" t="s">
        <v>134</v>
      </c>
      <c r="B119" s="11">
        <v>1.1458333333333333E-2</v>
      </c>
      <c r="C119" s="11"/>
      <c r="D119" s="11">
        <f t="shared" si="48"/>
        <v>6.6664583333333324E-3</v>
      </c>
      <c r="E119" s="12">
        <v>0.58179999999999998</v>
      </c>
      <c r="F119" s="11">
        <f t="shared" si="49"/>
        <v>0</v>
      </c>
      <c r="G119" s="11">
        <f t="shared" si="50"/>
        <v>8.8886111111111099E-4</v>
      </c>
      <c r="H119" s="11">
        <f t="shared" si="51"/>
        <v>9.1666666666666665E-4</v>
      </c>
      <c r="I119" s="11">
        <f t="shared" si="52"/>
        <v>9.5576463560334514E-4</v>
      </c>
      <c r="J119" s="11">
        <f t="shared" si="53"/>
        <v>9.6615338164251195E-4</v>
      </c>
      <c r="K119" s="11">
        <f t="shared" si="54"/>
        <v>1.0100694444444443E-3</v>
      </c>
      <c r="L119" s="17">
        <f t="shared" si="55"/>
        <v>1.0581679894179892E-3</v>
      </c>
      <c r="M119" s="25"/>
      <c r="N119" s="28"/>
      <c r="P119" s="26"/>
      <c r="Q119" s="26"/>
      <c r="R119" s="26"/>
      <c r="S119" s="14"/>
      <c r="T119" s="14"/>
      <c r="U119" s="26"/>
      <c r="V119" s="38"/>
      <c r="W119" s="15" t="s">
        <v>5</v>
      </c>
      <c r="X119" s="50"/>
    </row>
    <row r="120" spans="1:24" ht="20.45" customHeight="1">
      <c r="A120" s="10" t="s">
        <v>101</v>
      </c>
      <c r="B120" s="11">
        <v>1.1111111111111112E-2</v>
      </c>
      <c r="C120" s="11">
        <v>3.0671296296296297E-3</v>
      </c>
      <c r="D120" s="11">
        <f t="shared" si="48"/>
        <v>6.4644444444444445E-3</v>
      </c>
      <c r="E120" s="12">
        <v>0.58179999999999998</v>
      </c>
      <c r="F120" s="11">
        <f t="shared" si="49"/>
        <v>7.6678240740740743E-4</v>
      </c>
      <c r="G120" s="11">
        <f t="shared" si="50"/>
        <v>8.6192592592592592E-4</v>
      </c>
      <c r="H120" s="11">
        <f t="shared" si="51"/>
        <v>8.8888888888888893E-4</v>
      </c>
      <c r="I120" s="11">
        <f t="shared" si="52"/>
        <v>9.2680207088809239E-4</v>
      </c>
      <c r="J120" s="11">
        <f t="shared" si="53"/>
        <v>9.3687600644122375E-4</v>
      </c>
      <c r="K120" s="11">
        <f t="shared" si="54"/>
        <v>9.7946127946127947E-4</v>
      </c>
      <c r="L120" s="11">
        <f t="shared" si="55"/>
        <v>1.0261022927689596E-3</v>
      </c>
      <c r="M120" s="25"/>
      <c r="N120" s="28"/>
      <c r="O120" s="25"/>
      <c r="P120" s="28"/>
      <c r="Q120" s="25"/>
      <c r="R120" s="28"/>
      <c r="S120" s="25"/>
      <c r="T120" s="28"/>
      <c r="U120" s="28"/>
      <c r="V120" s="25"/>
      <c r="W120" s="15" t="s">
        <v>5</v>
      </c>
      <c r="X120" s="50"/>
    </row>
    <row r="121" spans="1:24" ht="20.45" customHeight="1">
      <c r="A121" s="10" t="s">
        <v>97</v>
      </c>
      <c r="B121" s="11">
        <v>1.0532407407407407E-2</v>
      </c>
      <c r="C121" s="11">
        <v>2.9513888888888888E-3</v>
      </c>
      <c r="D121" s="11">
        <f t="shared" si="48"/>
        <v>6.1277546296296288E-3</v>
      </c>
      <c r="E121" s="12">
        <v>0.58179999999999998</v>
      </c>
      <c r="F121" s="11">
        <f t="shared" si="49"/>
        <v>7.378472222222222E-4</v>
      </c>
      <c r="G121" s="11">
        <f t="shared" si="50"/>
        <v>8.1703395061728389E-4</v>
      </c>
      <c r="H121" s="11">
        <f t="shared" si="51"/>
        <v>8.4259259259259259E-4</v>
      </c>
      <c r="I121" s="11">
        <f t="shared" si="52"/>
        <v>8.7853112969600415E-4</v>
      </c>
      <c r="J121" s="11">
        <f t="shared" si="53"/>
        <v>8.8808038110574329E-4</v>
      </c>
      <c r="K121" s="11">
        <f t="shared" si="54"/>
        <v>9.2844767115600447E-4</v>
      </c>
      <c r="L121" s="11">
        <f t="shared" si="55"/>
        <v>9.7265946502057604E-4</v>
      </c>
      <c r="M121" s="25"/>
      <c r="N121" s="28"/>
      <c r="O121" s="25"/>
      <c r="P121" s="28"/>
      <c r="Q121" s="25"/>
      <c r="R121" s="28"/>
      <c r="S121" s="25"/>
      <c r="T121" s="28"/>
      <c r="U121" s="28"/>
      <c r="V121" s="25"/>
      <c r="W121" s="15" t="s">
        <v>5</v>
      </c>
      <c r="X121" s="50"/>
    </row>
    <row r="122" spans="1:24" ht="20.45" customHeight="1">
      <c r="A122" s="10" t="s">
        <v>96</v>
      </c>
      <c r="B122" s="11">
        <v>1.0648148148148148E-2</v>
      </c>
      <c r="C122" s="11">
        <v>2.9513888888888888E-3</v>
      </c>
      <c r="D122" s="11">
        <f t="shared" si="48"/>
        <v>6.1950925925925923E-3</v>
      </c>
      <c r="E122" s="12">
        <v>0.58179999999999998</v>
      </c>
      <c r="F122" s="11">
        <f t="shared" si="49"/>
        <v>7.378472222222222E-4</v>
      </c>
      <c r="G122" s="11">
        <f t="shared" si="50"/>
        <v>8.2601234567901232E-4</v>
      </c>
      <c r="H122" s="11">
        <f t="shared" si="51"/>
        <v>8.5185185185185179E-4</v>
      </c>
      <c r="I122" s="11">
        <f t="shared" si="52"/>
        <v>8.8818531793442184E-4</v>
      </c>
      <c r="J122" s="11">
        <f t="shared" si="53"/>
        <v>8.9783950617283942E-4</v>
      </c>
      <c r="K122" s="11">
        <f t="shared" si="54"/>
        <v>9.3865039281705945E-4</v>
      </c>
      <c r="L122" s="11">
        <f t="shared" si="55"/>
        <v>9.833480305702527E-4</v>
      </c>
      <c r="M122" s="25"/>
      <c r="N122" s="28"/>
      <c r="O122" s="25"/>
      <c r="P122" s="28"/>
      <c r="Q122" s="25"/>
      <c r="R122" s="28"/>
      <c r="S122" s="25"/>
      <c r="T122" s="28"/>
      <c r="U122" s="28"/>
      <c r="V122" s="25"/>
      <c r="W122" s="15" t="s">
        <v>5</v>
      </c>
      <c r="X122" s="50"/>
    </row>
    <row r="123" spans="1:24" ht="20.45" customHeight="1">
      <c r="A123" s="10" t="s">
        <v>100</v>
      </c>
      <c r="B123" s="11">
        <v>1.087962962962963E-2</v>
      </c>
      <c r="C123" s="11">
        <v>3.0671296296296297E-3</v>
      </c>
      <c r="D123" s="11">
        <f t="shared" si="48"/>
        <v>6.3297685185185184E-3</v>
      </c>
      <c r="E123" s="12">
        <v>0.58179999999999998</v>
      </c>
      <c r="F123" s="11">
        <f t="shared" si="49"/>
        <v>7.6678240740740743E-4</v>
      </c>
      <c r="G123" s="11">
        <f t="shared" si="50"/>
        <v>8.4396913580246917E-4</v>
      </c>
      <c r="H123" s="11">
        <f t="shared" si="51"/>
        <v>8.7037037037037042E-4</v>
      </c>
      <c r="I123" s="11">
        <f t="shared" si="52"/>
        <v>9.0749369441125711E-4</v>
      </c>
      <c r="J123" s="11">
        <f t="shared" si="53"/>
        <v>9.173577563070317E-4</v>
      </c>
      <c r="K123" s="11">
        <f t="shared" si="54"/>
        <v>9.5905583613916951E-4</v>
      </c>
      <c r="L123" s="11">
        <f t="shared" si="55"/>
        <v>1.0047251616696062E-3</v>
      </c>
      <c r="M123" s="25"/>
      <c r="N123" s="28"/>
      <c r="O123" s="25"/>
      <c r="P123" s="28"/>
      <c r="Q123" s="25"/>
      <c r="R123" s="28"/>
      <c r="S123" s="25"/>
      <c r="T123" s="28"/>
      <c r="U123" s="28"/>
      <c r="V123" s="25"/>
      <c r="W123" s="15" t="s">
        <v>5</v>
      </c>
      <c r="X123" s="50"/>
    </row>
    <row r="124" spans="1:24" ht="20.45" customHeight="1">
      <c r="A124" s="10" t="s">
        <v>98</v>
      </c>
      <c r="B124" s="11">
        <v>1.1111111111111112E-2</v>
      </c>
      <c r="C124" s="11"/>
      <c r="D124" s="11">
        <f t="shared" si="48"/>
        <v>6.4644444444444445E-3</v>
      </c>
      <c r="E124" s="12">
        <v>0.58179999999999998</v>
      </c>
      <c r="F124" s="11">
        <f t="shared" si="49"/>
        <v>0</v>
      </c>
      <c r="G124" s="11">
        <f t="shared" si="50"/>
        <v>8.6192592592592592E-4</v>
      </c>
      <c r="H124" s="11">
        <f t="shared" si="51"/>
        <v>8.8888888888888893E-4</v>
      </c>
      <c r="I124" s="11">
        <f t="shared" si="52"/>
        <v>9.2680207088809239E-4</v>
      </c>
      <c r="J124" s="11">
        <f t="shared" si="53"/>
        <v>9.3687600644122375E-4</v>
      </c>
      <c r="K124" s="11">
        <f t="shared" si="54"/>
        <v>9.7946127946127947E-4</v>
      </c>
      <c r="L124" s="11">
        <f t="shared" si="55"/>
        <v>1.0261022927689596E-3</v>
      </c>
      <c r="M124" s="25"/>
      <c r="N124" s="28"/>
      <c r="O124" s="25"/>
      <c r="P124" s="28"/>
      <c r="Q124" s="25"/>
      <c r="R124" s="28"/>
      <c r="S124" s="25"/>
      <c r="T124" s="25"/>
      <c r="U124" s="28"/>
      <c r="V124" s="28"/>
      <c r="W124" s="15" t="s">
        <v>5</v>
      </c>
      <c r="X124" s="50"/>
    </row>
    <row r="125" spans="1:24" ht="20.45" customHeight="1">
      <c r="A125" s="10" t="s">
        <v>103</v>
      </c>
      <c r="B125" s="11">
        <v>1.1458333333333333E-2</v>
      </c>
      <c r="C125" s="11">
        <v>3.0671296296296297E-3</v>
      </c>
      <c r="D125" s="11">
        <f t="shared" si="48"/>
        <v>6.6664583333333324E-3</v>
      </c>
      <c r="E125" s="12">
        <v>0.58179999999999998</v>
      </c>
      <c r="F125" s="11">
        <f t="shared" si="49"/>
        <v>7.6678240740740743E-4</v>
      </c>
      <c r="G125" s="11">
        <f t="shared" si="50"/>
        <v>8.8886111111111099E-4</v>
      </c>
      <c r="H125" s="11">
        <f t="shared" si="51"/>
        <v>9.1666666666666665E-4</v>
      </c>
      <c r="I125" s="11">
        <f t="shared" si="52"/>
        <v>9.5576463560334514E-4</v>
      </c>
      <c r="J125" s="11">
        <f t="shared" si="53"/>
        <v>9.6615338164251195E-4</v>
      </c>
      <c r="K125" s="11">
        <f t="shared" si="54"/>
        <v>1.0100694444444443E-3</v>
      </c>
      <c r="L125" s="11">
        <f t="shared" si="55"/>
        <v>1.0581679894179892E-3</v>
      </c>
      <c r="M125" s="25"/>
      <c r="N125" s="28"/>
      <c r="O125" s="25"/>
      <c r="P125" s="28"/>
      <c r="Q125" s="25"/>
      <c r="R125" s="28"/>
      <c r="S125" s="25"/>
      <c r="T125" s="28"/>
      <c r="U125" s="28"/>
      <c r="V125" s="25"/>
      <c r="W125" s="15" t="s">
        <v>5</v>
      </c>
      <c r="X125" s="50"/>
    </row>
    <row r="126" spans="1:24" ht="20.45" customHeight="1">
      <c r="A126" s="10" t="s">
        <v>104</v>
      </c>
      <c r="B126" s="11">
        <v>1.1458333333333333E-2</v>
      </c>
      <c r="C126" s="11">
        <v>3.414351851851852E-3</v>
      </c>
      <c r="D126" s="11">
        <f t="shared" si="48"/>
        <v>6.6664583333333324E-3</v>
      </c>
      <c r="E126" s="12">
        <v>0.58179999999999998</v>
      </c>
      <c r="F126" s="11">
        <f t="shared" si="49"/>
        <v>8.53587962962963E-4</v>
      </c>
      <c r="G126" s="11">
        <f t="shared" si="50"/>
        <v>8.8886111111111099E-4</v>
      </c>
      <c r="H126" s="11">
        <f t="shared" si="51"/>
        <v>9.1666666666666665E-4</v>
      </c>
      <c r="I126" s="11">
        <f t="shared" si="52"/>
        <v>9.5576463560334514E-4</v>
      </c>
      <c r="J126" s="11">
        <f t="shared" si="53"/>
        <v>9.6615338164251195E-4</v>
      </c>
      <c r="K126" s="11">
        <f t="shared" si="54"/>
        <v>1.0100694444444443E-3</v>
      </c>
      <c r="L126" s="11">
        <f t="shared" si="55"/>
        <v>1.0581679894179892E-3</v>
      </c>
      <c r="M126" s="25"/>
      <c r="N126" s="28"/>
      <c r="O126" s="25"/>
      <c r="P126" s="28"/>
      <c r="Q126" s="25"/>
      <c r="R126" s="28"/>
      <c r="S126" s="25"/>
      <c r="T126" s="28"/>
      <c r="U126" s="28"/>
      <c r="V126" s="25"/>
      <c r="W126" s="15" t="s">
        <v>5</v>
      </c>
      <c r="X126" s="50"/>
    </row>
    <row r="127" spans="1:24" ht="20.45" customHeight="1">
      <c r="A127" s="10" t="s">
        <v>99</v>
      </c>
      <c r="B127" s="11">
        <v>1.1458333333333333E-2</v>
      </c>
      <c r="C127" s="11"/>
      <c r="D127" s="11">
        <f t="shared" si="48"/>
        <v>6.6664583333333324E-3</v>
      </c>
      <c r="E127" s="12">
        <v>0.58179999999999998</v>
      </c>
      <c r="F127" s="11">
        <f t="shared" si="49"/>
        <v>0</v>
      </c>
      <c r="G127" s="11">
        <f t="shared" si="50"/>
        <v>8.8886111111111099E-4</v>
      </c>
      <c r="H127" s="11">
        <f t="shared" si="51"/>
        <v>9.1666666666666665E-4</v>
      </c>
      <c r="I127" s="11">
        <f t="shared" si="52"/>
        <v>9.5576463560334514E-4</v>
      </c>
      <c r="J127" s="11">
        <f t="shared" si="53"/>
        <v>9.6615338164251195E-4</v>
      </c>
      <c r="K127" s="11">
        <f t="shared" si="54"/>
        <v>1.0100694444444443E-3</v>
      </c>
      <c r="L127" s="11">
        <f t="shared" si="55"/>
        <v>1.0581679894179892E-3</v>
      </c>
      <c r="M127" s="25"/>
      <c r="N127" s="28"/>
      <c r="O127" s="25"/>
      <c r="P127" s="28"/>
      <c r="Q127" s="25"/>
      <c r="R127" s="28"/>
      <c r="S127" s="25"/>
      <c r="T127" s="25"/>
      <c r="U127" s="28"/>
      <c r="V127" s="28"/>
      <c r="W127" s="15" t="s">
        <v>5</v>
      </c>
      <c r="X127" s="50"/>
    </row>
    <row r="128" spans="1:24" ht="20.45" customHeight="1">
      <c r="A128" s="10" t="s">
        <v>102</v>
      </c>
      <c r="B128" s="11">
        <v>1.1458333333333333E-2</v>
      </c>
      <c r="C128" s="11"/>
      <c r="D128" s="11">
        <f t="shared" si="48"/>
        <v>6.6664583333333324E-3</v>
      </c>
      <c r="E128" s="12">
        <v>0.58179999999999998</v>
      </c>
      <c r="F128" s="11">
        <f t="shared" si="49"/>
        <v>0</v>
      </c>
      <c r="G128" s="11">
        <f t="shared" si="50"/>
        <v>8.8886111111111099E-4</v>
      </c>
      <c r="H128" s="11">
        <f t="shared" si="51"/>
        <v>9.1666666666666665E-4</v>
      </c>
      <c r="I128" s="11">
        <f t="shared" si="52"/>
        <v>9.5576463560334514E-4</v>
      </c>
      <c r="J128" s="11">
        <f t="shared" si="53"/>
        <v>9.6615338164251195E-4</v>
      </c>
      <c r="K128" s="11">
        <f t="shared" si="54"/>
        <v>1.0100694444444443E-3</v>
      </c>
      <c r="L128" s="11">
        <f t="shared" si="55"/>
        <v>1.0581679894179892E-3</v>
      </c>
      <c r="M128" s="25"/>
      <c r="N128" s="28"/>
      <c r="O128" s="25"/>
      <c r="P128" s="26"/>
      <c r="Q128" s="26"/>
      <c r="R128" s="26"/>
      <c r="S128" s="14"/>
      <c r="T128" s="14"/>
      <c r="U128" s="26"/>
      <c r="V128" s="28"/>
      <c r="W128" s="15" t="s">
        <v>5</v>
      </c>
      <c r="X128" s="50"/>
    </row>
    <row r="129" spans="1:24" ht="20.45" customHeight="1">
      <c r="A129" s="10"/>
      <c r="B129" s="11"/>
      <c r="C129" s="11"/>
      <c r="D129" s="11"/>
      <c r="E129" s="12"/>
      <c r="F129" s="11"/>
      <c r="G129" s="11"/>
      <c r="H129" s="11"/>
      <c r="I129" s="11"/>
      <c r="J129" s="11"/>
      <c r="K129" s="11"/>
      <c r="L129" s="11"/>
      <c r="M129" s="25"/>
      <c r="N129" s="28"/>
      <c r="O129" s="25"/>
      <c r="P129" s="25"/>
      <c r="Q129" s="25"/>
      <c r="R129" s="25"/>
      <c r="S129" s="25"/>
      <c r="T129" s="25"/>
      <c r="U129" s="28"/>
      <c r="V129" s="25"/>
      <c r="W129" s="15"/>
      <c r="X129" s="50"/>
    </row>
    <row r="130" spans="1:24" ht="20.45" customHeight="1">
      <c r="A130" s="10"/>
      <c r="B130" s="11"/>
      <c r="C130" s="11"/>
      <c r="D130" s="11"/>
      <c r="E130" s="12"/>
      <c r="F130" s="11"/>
      <c r="G130" s="11"/>
      <c r="H130" s="11"/>
      <c r="I130" s="11"/>
      <c r="J130" s="11"/>
      <c r="K130" s="11"/>
      <c r="L130" s="11"/>
      <c r="M130" s="25"/>
      <c r="N130" s="28"/>
      <c r="O130" s="25"/>
      <c r="P130" s="25"/>
      <c r="Q130" s="28"/>
      <c r="R130" s="28"/>
      <c r="S130" s="25"/>
      <c r="T130" s="25"/>
      <c r="U130" s="28"/>
      <c r="V130" s="25"/>
      <c r="W130" s="15"/>
      <c r="X130" s="50"/>
    </row>
    <row r="131" spans="1:24" ht="20.45" customHeight="1">
      <c r="A131" s="10"/>
      <c r="B131" s="11"/>
      <c r="C131" s="11"/>
      <c r="D131" s="11"/>
      <c r="E131" s="12"/>
      <c r="F131" s="11"/>
      <c r="G131" s="11"/>
      <c r="H131" s="11"/>
      <c r="I131" s="11"/>
      <c r="J131" s="11"/>
      <c r="K131" s="11"/>
      <c r="L131" s="11"/>
      <c r="M131" s="25"/>
      <c r="N131" s="28"/>
      <c r="O131" s="25"/>
      <c r="P131" s="25"/>
      <c r="Q131" s="25"/>
      <c r="R131" s="25"/>
      <c r="S131" s="25"/>
      <c r="T131" s="25"/>
      <c r="U131" s="28"/>
      <c r="V131" s="25"/>
      <c r="W131" s="15"/>
      <c r="X131" s="50"/>
    </row>
    <row r="132" spans="1:24" ht="20.45" customHeight="1">
      <c r="A132" s="10"/>
      <c r="B132" s="11"/>
      <c r="C132" s="11"/>
      <c r="D132" s="11"/>
      <c r="E132" s="12"/>
      <c r="F132" s="11"/>
      <c r="G132" s="11"/>
      <c r="H132" s="11"/>
      <c r="I132" s="11"/>
      <c r="J132" s="11"/>
      <c r="K132" s="11"/>
      <c r="L132" s="17"/>
      <c r="M132" s="25"/>
      <c r="N132" s="28"/>
      <c r="O132" s="25"/>
      <c r="P132" s="25"/>
      <c r="Q132" s="25"/>
      <c r="R132" s="25"/>
      <c r="S132" s="25"/>
      <c r="T132" s="25"/>
      <c r="U132" s="28"/>
      <c r="V132" s="25"/>
      <c r="W132" s="15"/>
      <c r="X132" s="50"/>
    </row>
    <row r="133" spans="1:24" ht="20.45" customHeight="1">
      <c r="A133" s="10"/>
      <c r="B133" s="11"/>
      <c r="C133" s="11"/>
      <c r="D133" s="11"/>
      <c r="E133" s="12"/>
      <c r="F133" s="11"/>
      <c r="G133" s="11"/>
      <c r="H133" s="11"/>
      <c r="I133" s="11"/>
      <c r="J133" s="11"/>
      <c r="K133" s="11"/>
      <c r="L133" s="11"/>
      <c r="M133" s="25"/>
      <c r="N133" s="28"/>
      <c r="O133" s="25"/>
      <c r="P133" s="25"/>
      <c r="Q133" s="25"/>
      <c r="R133" s="28"/>
      <c r="S133" s="25"/>
      <c r="T133" s="25"/>
      <c r="U133" s="28"/>
      <c r="V133" s="25"/>
      <c r="W133" s="15"/>
      <c r="X133" s="50"/>
    </row>
    <row r="134" spans="1:24" ht="20.45" customHeight="1">
      <c r="A134" s="10"/>
      <c r="B134" s="11"/>
      <c r="C134" s="11"/>
      <c r="D134" s="11"/>
      <c r="E134" s="12"/>
      <c r="F134" s="11"/>
      <c r="G134" s="11"/>
      <c r="H134" s="11"/>
      <c r="I134" s="11"/>
      <c r="J134" s="11"/>
      <c r="K134" s="11"/>
      <c r="L134" s="17"/>
      <c r="M134" s="25"/>
      <c r="N134" s="28"/>
      <c r="O134" s="25"/>
      <c r="P134" s="25"/>
      <c r="Q134" s="25"/>
      <c r="R134" s="25"/>
      <c r="S134" s="25"/>
      <c r="T134" s="25"/>
      <c r="U134" s="28"/>
      <c r="V134" s="25"/>
      <c r="W134" s="15"/>
      <c r="X134" s="50"/>
    </row>
    <row r="135" spans="1:24" ht="20.45" customHeight="1">
      <c r="A135" s="10"/>
      <c r="B135" s="11"/>
      <c r="C135" s="11"/>
      <c r="D135" s="11"/>
      <c r="E135" s="12"/>
      <c r="F135" s="11"/>
      <c r="G135" s="11"/>
      <c r="H135" s="11"/>
      <c r="I135" s="11"/>
      <c r="J135" s="11"/>
      <c r="K135" s="11"/>
      <c r="L135" s="11"/>
      <c r="M135" s="25"/>
      <c r="N135" s="28"/>
      <c r="O135" s="25"/>
      <c r="P135" s="25"/>
      <c r="Q135" s="25"/>
      <c r="R135" s="28"/>
      <c r="S135" s="25"/>
      <c r="T135" s="25"/>
      <c r="U135" s="28"/>
      <c r="V135" s="25"/>
      <c r="W135" s="15"/>
      <c r="X135" s="50"/>
    </row>
    <row r="136" spans="1:24" ht="20.45" customHeight="1">
      <c r="A136" s="10"/>
      <c r="B136" s="11"/>
      <c r="C136" s="11"/>
      <c r="D136" s="11"/>
      <c r="E136" s="12"/>
      <c r="F136" s="11"/>
      <c r="G136" s="11"/>
      <c r="H136" s="11"/>
      <c r="I136" s="11"/>
      <c r="J136" s="11"/>
      <c r="K136" s="11"/>
      <c r="L136" s="17"/>
      <c r="M136" s="25"/>
      <c r="N136" s="28"/>
      <c r="O136" s="25"/>
      <c r="P136" s="25"/>
      <c r="Q136" s="25"/>
      <c r="R136" s="28"/>
      <c r="S136" s="25"/>
      <c r="T136" s="25"/>
      <c r="U136" s="28"/>
      <c r="V136" s="25"/>
      <c r="W136" s="15"/>
      <c r="X136" s="50"/>
    </row>
    <row r="137" spans="1:24" ht="20.45" customHeight="1">
      <c r="A137" s="10"/>
      <c r="B137" s="11"/>
      <c r="C137" s="11"/>
      <c r="D137" s="11"/>
      <c r="E137" s="12"/>
      <c r="F137" s="11"/>
      <c r="G137" s="11"/>
      <c r="H137" s="11"/>
      <c r="I137" s="11"/>
      <c r="J137" s="11"/>
      <c r="K137" s="11"/>
      <c r="L137" s="11"/>
      <c r="M137" s="25"/>
      <c r="N137" s="28"/>
      <c r="O137" s="25"/>
      <c r="P137" s="25"/>
      <c r="Q137" s="28"/>
      <c r="R137" s="28"/>
      <c r="S137" s="25"/>
      <c r="T137" s="25"/>
      <c r="U137" s="28"/>
      <c r="V137" s="25"/>
      <c r="W137" s="15"/>
      <c r="X137" s="50"/>
    </row>
    <row r="138" spans="1:24" ht="20.45" customHeight="1">
      <c r="A138" s="10"/>
      <c r="B138" s="11"/>
      <c r="C138" s="11"/>
      <c r="D138" s="11"/>
      <c r="E138" s="12"/>
      <c r="F138" s="11"/>
      <c r="G138" s="11"/>
      <c r="H138" s="11"/>
      <c r="I138" s="11"/>
      <c r="J138" s="11"/>
      <c r="K138" s="11"/>
      <c r="L138" s="11"/>
      <c r="M138" s="25"/>
      <c r="N138" s="28"/>
      <c r="O138" s="25"/>
      <c r="P138" s="28"/>
      <c r="Q138" s="25"/>
      <c r="R138" s="28"/>
      <c r="S138" s="25"/>
      <c r="T138" s="28"/>
      <c r="U138" s="28"/>
      <c r="V138" s="25"/>
      <c r="W138" s="15"/>
      <c r="X138" s="51"/>
    </row>
    <row r="139" spans="1:24" ht="20.45" customHeight="1">
      <c r="A139" s="10"/>
      <c r="B139" s="11"/>
      <c r="C139" s="11"/>
      <c r="D139" s="11"/>
      <c r="E139" s="12"/>
      <c r="F139" s="11"/>
      <c r="G139" s="11"/>
      <c r="H139" s="11"/>
      <c r="I139" s="11"/>
      <c r="J139" s="11"/>
      <c r="K139" s="11"/>
      <c r="L139" s="11"/>
      <c r="M139" s="25"/>
      <c r="N139" s="28"/>
      <c r="O139" s="25"/>
      <c r="P139" s="25"/>
      <c r="Q139" s="25"/>
      <c r="R139" s="25"/>
      <c r="S139" s="25"/>
      <c r="T139" s="25"/>
      <c r="U139" s="28"/>
      <c r="V139" s="25"/>
      <c r="W139" s="15"/>
      <c r="X139" s="51"/>
    </row>
    <row r="140" spans="1:24" ht="20.45" customHeight="1">
      <c r="A140" s="10"/>
      <c r="B140" s="11"/>
      <c r="C140" s="11"/>
      <c r="D140" s="11"/>
      <c r="E140" s="12"/>
      <c r="F140" s="11"/>
      <c r="G140" s="11"/>
      <c r="H140" s="11"/>
      <c r="I140" s="11"/>
      <c r="J140" s="11"/>
      <c r="K140" s="11"/>
      <c r="L140" s="17"/>
      <c r="M140" s="25"/>
      <c r="N140" s="28"/>
      <c r="O140" s="25"/>
      <c r="P140" s="28"/>
      <c r="Q140" s="25"/>
      <c r="R140" s="28"/>
      <c r="S140" s="25"/>
      <c r="T140" s="25"/>
      <c r="U140" s="28"/>
      <c r="V140" s="28"/>
      <c r="W140" s="27"/>
      <c r="X140" s="51"/>
    </row>
    <row r="141" spans="1:24" ht="20.45" customHeight="1">
      <c r="A141" s="10"/>
      <c r="B141" s="11"/>
      <c r="C141" s="11"/>
      <c r="D141" s="11"/>
      <c r="E141" s="12"/>
      <c r="F141" s="11"/>
      <c r="G141" s="11"/>
      <c r="H141" s="11"/>
      <c r="I141" s="11"/>
      <c r="J141" s="11"/>
      <c r="K141" s="11"/>
      <c r="L141" s="11"/>
      <c r="M141" s="11"/>
      <c r="N141" s="26"/>
      <c r="P141" s="26"/>
      <c r="Q141" s="26"/>
      <c r="R141" s="26"/>
      <c r="S141" s="14"/>
      <c r="T141" s="14"/>
      <c r="U141" s="26"/>
      <c r="V141" s="28"/>
      <c r="W141" s="27"/>
      <c r="X141" s="51"/>
    </row>
    <row r="142" spans="1:24" ht="20.100000000000001" customHeight="1">
      <c r="A142" s="10"/>
      <c r="B142" s="11"/>
      <c r="C142" s="11"/>
      <c r="D142" s="11">
        <f>B142*E142</f>
        <v>0</v>
      </c>
      <c r="E142" s="12"/>
      <c r="F142" s="11">
        <f>C142/4</f>
        <v>0</v>
      </c>
      <c r="G142" s="11">
        <f>D142/7.5</f>
        <v>0</v>
      </c>
      <c r="H142" s="11">
        <f>B142/12.5</f>
        <v>0</v>
      </c>
      <c r="I142" s="11">
        <f>G142/0.93</f>
        <v>0</v>
      </c>
      <c r="J142" s="11">
        <f>G142/0.92</f>
        <v>0</v>
      </c>
      <c r="K142" s="11">
        <f>G142/0.88</f>
        <v>0</v>
      </c>
      <c r="L142" s="17">
        <f>G142/0.84</f>
        <v>0</v>
      </c>
      <c r="M142" s="11"/>
      <c r="N142" s="26"/>
      <c r="P142" s="26"/>
      <c r="Q142" s="26"/>
      <c r="R142" s="26"/>
      <c r="S142" s="14"/>
      <c r="T142" s="14"/>
      <c r="U142" s="26"/>
      <c r="V142" s="38"/>
      <c r="W142" s="31"/>
      <c r="X142" s="51"/>
    </row>
    <row r="143" spans="1:24" ht="20.100000000000001" customHeight="1">
      <c r="A143" s="10"/>
      <c r="B143" s="11"/>
      <c r="C143" s="11"/>
      <c r="D143" s="11">
        <f>B143*E143</f>
        <v>0</v>
      </c>
      <c r="E143" s="12"/>
      <c r="F143" s="11">
        <f>C143/4</f>
        <v>0</v>
      </c>
      <c r="G143" s="11">
        <f>D143/7.5</f>
        <v>0</v>
      </c>
      <c r="H143" s="11">
        <f>B143/12.5</f>
        <v>0</v>
      </c>
      <c r="I143" s="11">
        <f>G143/0.93</f>
        <v>0</v>
      </c>
      <c r="J143" s="11">
        <f>G143/0.92</f>
        <v>0</v>
      </c>
      <c r="K143" s="11">
        <f>G143/0.88</f>
        <v>0</v>
      </c>
      <c r="L143" s="17">
        <f>G143/0.84</f>
        <v>0</v>
      </c>
      <c r="M143" s="11"/>
      <c r="N143" s="26"/>
      <c r="P143" s="26"/>
      <c r="Q143" s="26"/>
      <c r="R143" s="26"/>
      <c r="S143" s="14"/>
      <c r="T143" s="14"/>
      <c r="U143" s="26"/>
      <c r="V143" s="38"/>
      <c r="W143" s="31"/>
      <c r="X143" s="51"/>
    </row>
    <row r="144" spans="1:24" ht="20.100000000000001" customHeight="1">
      <c r="A144" s="10"/>
      <c r="B144" s="11"/>
      <c r="C144" s="11"/>
      <c r="D144" s="11">
        <f>B144*E144</f>
        <v>0</v>
      </c>
      <c r="E144" s="12"/>
      <c r="F144" s="11">
        <f>C144/4</f>
        <v>0</v>
      </c>
      <c r="G144" s="11">
        <f>D144/7.5</f>
        <v>0</v>
      </c>
      <c r="H144" s="11">
        <f>B144/12.5</f>
        <v>0</v>
      </c>
      <c r="I144" s="11">
        <f>G144/0.93</f>
        <v>0</v>
      </c>
      <c r="J144" s="11">
        <f>G144/0.92</f>
        <v>0</v>
      </c>
      <c r="K144" s="11">
        <f>G144/0.88</f>
        <v>0</v>
      </c>
      <c r="L144" s="17">
        <f>G144/0.84</f>
        <v>0</v>
      </c>
      <c r="M144" s="11"/>
      <c r="N144" s="26"/>
      <c r="P144" s="26"/>
      <c r="Q144" s="26"/>
      <c r="R144" s="26"/>
      <c r="S144" s="14"/>
      <c r="T144" s="14"/>
      <c r="U144" s="26"/>
      <c r="V144" s="38"/>
      <c r="W144" s="31"/>
      <c r="X144" s="51"/>
    </row>
  </sheetData>
  <mergeCells count="15">
    <mergeCell ref="X118:X127"/>
    <mergeCell ref="X128:X137"/>
    <mergeCell ref="X138:X144"/>
    <mergeCell ref="X58:X67"/>
    <mergeCell ref="X68:X77"/>
    <mergeCell ref="X78:X87"/>
    <mergeCell ref="X88:X97"/>
    <mergeCell ref="X98:X107"/>
    <mergeCell ref="X108:X117"/>
    <mergeCell ref="X51:X57"/>
    <mergeCell ref="X1:X10"/>
    <mergeCell ref="X11:X20"/>
    <mergeCell ref="X21:X30"/>
    <mergeCell ref="X31:X40"/>
    <mergeCell ref="X41:X50"/>
  </mergeCells>
  <pageMargins left="0.25" right="0.25" top="0.25" bottom="0.25" header="0" footer="0"/>
  <pageSetup scale="95" fitToHeight="0" orientation="landscape" r:id="rId1"/>
  <tableParts count="2">
    <tablePart r:id="rId2"/>
    <tablePart r:id="rId3"/>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4D3A8-E815-4F49-B7DF-4BC2ECE4D593}">
  <sheetPr>
    <pageSetUpPr fitToPage="1"/>
  </sheetPr>
  <dimension ref="A1:Z144"/>
  <sheetViews>
    <sheetView zoomScale="85" zoomScaleNormal="85" workbookViewId="0">
      <selection activeCell="O126" sqref="O126"/>
    </sheetView>
  </sheetViews>
  <sheetFormatPr defaultColWidth="8.7109375" defaultRowHeight="14.45"/>
  <cols>
    <col min="1" max="1" width="19.5703125" customWidth="1"/>
    <col min="2" max="2" width="8.7109375" style="29" hidden="1" customWidth="1"/>
    <col min="3" max="3" width="10.140625" hidden="1" customWidth="1"/>
    <col min="4" max="4" width="8.7109375" style="29" hidden="1" customWidth="1"/>
    <col min="5" max="5" width="9.28515625" hidden="1" customWidth="1"/>
    <col min="6" max="6" width="8.7109375" hidden="1" customWidth="1"/>
    <col min="7" max="7" width="9.28515625" hidden="1" customWidth="1"/>
    <col min="8" max="9" width="8.7109375" hidden="1" customWidth="1"/>
    <col min="10" max="10" width="10.7109375" hidden="1" customWidth="1"/>
    <col min="11" max="11" width="11.42578125" hidden="1" customWidth="1"/>
    <col min="12" max="12" width="6.140625" hidden="1" customWidth="1"/>
    <col min="13" max="13" width="8.7109375" customWidth="1"/>
    <col min="14" max="19" width="10.140625" customWidth="1"/>
    <col min="20" max="22" width="8.7109375" customWidth="1"/>
    <col min="23" max="23" width="3.42578125" customWidth="1"/>
    <col min="24" max="24" width="20.42578125" customWidth="1"/>
    <col min="25" max="25" width="12.28515625" bestFit="1" customWidth="1"/>
    <col min="26" max="27" width="12.85546875" bestFit="1" customWidth="1"/>
  </cols>
  <sheetData>
    <row r="1" spans="1:26" ht="14.45" customHeight="1">
      <c r="A1" s="1" t="s">
        <v>338</v>
      </c>
      <c r="B1" s="2" t="s">
        <v>1</v>
      </c>
      <c r="C1" s="2" t="s">
        <v>2</v>
      </c>
      <c r="D1" s="2" t="s">
        <v>3</v>
      </c>
      <c r="E1" s="3" t="s">
        <v>4</v>
      </c>
      <c r="F1" s="2" t="s">
        <v>5</v>
      </c>
      <c r="G1" s="2" t="s">
        <v>6</v>
      </c>
      <c r="H1" s="2" t="s">
        <v>7</v>
      </c>
      <c r="I1" s="4" t="s">
        <v>8</v>
      </c>
      <c r="J1" s="2" t="s">
        <v>9</v>
      </c>
      <c r="K1" s="2" t="s">
        <v>10</v>
      </c>
      <c r="L1" s="2" t="s">
        <v>11</v>
      </c>
      <c r="M1" s="6" t="s">
        <v>12</v>
      </c>
      <c r="N1" s="6" t="s">
        <v>13</v>
      </c>
      <c r="O1" s="7" t="s">
        <v>158</v>
      </c>
      <c r="P1" s="8" t="s">
        <v>209</v>
      </c>
      <c r="Q1" s="8" t="s">
        <v>147</v>
      </c>
      <c r="R1" s="7" t="s">
        <v>148</v>
      </c>
      <c r="S1" s="7" t="s">
        <v>149</v>
      </c>
      <c r="T1" s="7" t="s">
        <v>77</v>
      </c>
      <c r="U1" s="8" t="s">
        <v>20</v>
      </c>
      <c r="V1" s="7" t="s">
        <v>21</v>
      </c>
      <c r="W1" s="9" t="s">
        <v>22</v>
      </c>
      <c r="X1" s="52" t="s">
        <v>339</v>
      </c>
    </row>
    <row r="2" spans="1:26" ht="21" customHeight="1">
      <c r="A2" s="10" t="s">
        <v>34</v>
      </c>
      <c r="B2" s="11">
        <v>1.2152777777777778E-2</v>
      </c>
      <c r="C2" s="11">
        <v>3.472222222222222E-3</v>
      </c>
      <c r="D2" s="11">
        <f>B2*E2</f>
        <v>7.0704861111111107E-3</v>
      </c>
      <c r="E2" s="12">
        <v>0.58179999999999998</v>
      </c>
      <c r="F2" s="11">
        <f>C2/4</f>
        <v>8.6805555555555551E-4</v>
      </c>
      <c r="G2" s="11">
        <f>D2/7.5</f>
        <v>9.4273148148148146E-4</v>
      </c>
      <c r="H2" s="11">
        <f>B2/12.5</f>
        <v>9.7222222222222219E-4</v>
      </c>
      <c r="I2" s="11">
        <f>G2/0.93</f>
        <v>1.0136897650338511E-3</v>
      </c>
      <c r="J2" s="11">
        <f>G2/0.92</f>
        <v>1.0247081320450884E-3</v>
      </c>
      <c r="K2" s="11">
        <f>G2/0.88</f>
        <v>1.0712857744107744E-3</v>
      </c>
      <c r="L2" s="11">
        <f>G2/0.84</f>
        <v>1.1222993827160494E-3</v>
      </c>
      <c r="M2" s="25">
        <f>WO2025Jan7108141618222428303234384042444648545658626466687072747668[[#This Row],[Thresh]]</f>
        <v>1.0712857744107744E-3</v>
      </c>
      <c r="N2" s="28">
        <f>WO2025Jan7108141618222428303234384042444648545658626466687072747668[[#This Row],[Thresh]]*2.5</f>
        <v>2.6782144360269359E-3</v>
      </c>
      <c r="O2" s="25">
        <f>WO2025Jan7108141618222428303234384042444648545658626466687072747668[[#This Row],[VO2]]</f>
        <v>9.4273148148148146E-4</v>
      </c>
      <c r="P2" s="28"/>
      <c r="Q2" s="25"/>
      <c r="R2" s="25"/>
      <c r="S2" s="25"/>
      <c r="T2" s="28"/>
      <c r="U2" s="11"/>
      <c r="V2" s="36"/>
      <c r="W2" s="15" t="s">
        <v>26</v>
      </c>
      <c r="X2" s="52"/>
    </row>
    <row r="3" spans="1:26" ht="21" customHeight="1">
      <c r="A3" s="10" t="s">
        <v>38</v>
      </c>
      <c r="B3" s="11">
        <v>1.238425925925926E-2</v>
      </c>
      <c r="C3" s="11">
        <v>3.5300925925925925E-3</v>
      </c>
      <c r="D3" s="11">
        <f>B3*E3</f>
        <v>7.2051620370370368E-3</v>
      </c>
      <c r="E3" s="12">
        <v>0.58179999999999998</v>
      </c>
      <c r="F3" s="11">
        <f>C3/4</f>
        <v>8.8252314814814812E-4</v>
      </c>
      <c r="G3" s="11">
        <f>D3/7.5</f>
        <v>9.6068827160493821E-4</v>
      </c>
      <c r="H3" s="11">
        <f>B3/12.5</f>
        <v>9.9074074074074082E-4</v>
      </c>
      <c r="I3" s="11">
        <f>G3/0.93</f>
        <v>1.0329981415106862E-3</v>
      </c>
      <c r="J3" s="11">
        <f>G3/0.92</f>
        <v>1.0442263821792807E-3</v>
      </c>
      <c r="K3" s="11">
        <f>G3/0.88</f>
        <v>1.0916912177328843E-3</v>
      </c>
      <c r="L3" s="11">
        <f>G3/0.84</f>
        <v>1.1436765138154027E-3</v>
      </c>
      <c r="M3" s="25">
        <f>WO2025Jan7108141618222428303234384042444648545658626466687072747668[[#This Row],[Thresh]]</f>
        <v>1.0916912177328843E-3</v>
      </c>
      <c r="N3" s="28">
        <f>WO2025Jan7108141618222428303234384042444648545658626466687072747668[[#This Row],[Thresh]]*2.5</f>
        <v>2.7292280443322109E-3</v>
      </c>
      <c r="O3" s="25">
        <f>WO2025Jan7108141618222428303234384042444648545658626466687072747668[[#This Row],[VO2]]</f>
        <v>9.6068827160493821E-4</v>
      </c>
      <c r="P3" s="28"/>
      <c r="Q3" s="25"/>
      <c r="R3" s="25"/>
      <c r="S3" s="28"/>
      <c r="T3" s="28"/>
      <c r="U3" s="28"/>
      <c r="V3" s="28"/>
      <c r="W3" s="15" t="s">
        <v>26</v>
      </c>
      <c r="X3" s="52"/>
      <c r="Z3" s="16"/>
    </row>
    <row r="4" spans="1:26" ht="21" customHeight="1">
      <c r="A4" s="10" t="s">
        <v>24</v>
      </c>
      <c r="B4" s="11">
        <v>1.238425925925926E-2</v>
      </c>
      <c r="C4" s="11">
        <v>3.5300925925925925E-3</v>
      </c>
      <c r="D4" s="11">
        <f>B4*E4</f>
        <v>7.2051620370370368E-3</v>
      </c>
      <c r="E4" s="12">
        <v>0.58179999999999998</v>
      </c>
      <c r="F4" s="11">
        <f>C4/4</f>
        <v>8.8252314814814812E-4</v>
      </c>
      <c r="G4" s="11">
        <f>D4/7.5</f>
        <v>9.6068827160493821E-4</v>
      </c>
      <c r="H4" s="11">
        <f>B4/12.5</f>
        <v>9.9074074074074082E-4</v>
      </c>
      <c r="I4" s="11">
        <f>G4/0.93</f>
        <v>1.0329981415106862E-3</v>
      </c>
      <c r="J4" s="11">
        <f>G4/0.92</f>
        <v>1.0442263821792807E-3</v>
      </c>
      <c r="K4" s="11">
        <f>G4/0.88</f>
        <v>1.0916912177328843E-3</v>
      </c>
      <c r="L4" s="11">
        <f>G4/0.84</f>
        <v>1.1436765138154027E-3</v>
      </c>
      <c r="M4" s="25">
        <f>WO2025Jan7108141618222428303234384042444648545658626466687072747668[[#This Row],[Thresh]]</f>
        <v>1.0916912177328843E-3</v>
      </c>
      <c r="N4" s="28">
        <f>WO2025Jan7108141618222428303234384042444648545658626466687072747668[[#This Row],[Thresh]]*2.5</f>
        <v>2.7292280443322109E-3</v>
      </c>
      <c r="O4" s="25">
        <f>WO2025Jan7108141618222428303234384042444648545658626466687072747668[[#This Row],[VO2]]</f>
        <v>9.6068827160493821E-4</v>
      </c>
      <c r="P4" s="25"/>
      <c r="Q4" s="25"/>
      <c r="R4" s="25"/>
      <c r="S4" s="28"/>
      <c r="T4" s="28"/>
      <c r="U4" s="28"/>
      <c r="V4" s="28"/>
      <c r="W4" s="15" t="s">
        <v>26</v>
      </c>
      <c r="X4" s="52"/>
    </row>
    <row r="5" spans="1:26" ht="21" customHeight="1">
      <c r="A5" s="10" t="s">
        <v>59</v>
      </c>
      <c r="B5" s="11">
        <v>1.2500000000000001E-2</v>
      </c>
      <c r="C5" s="11">
        <v>3.7037037037037038E-3</v>
      </c>
      <c r="D5" s="11">
        <f t="shared" ref="D5:D20" si="0">B5*E5</f>
        <v>7.2725000000000003E-3</v>
      </c>
      <c r="E5" s="12">
        <v>0.58179999999999998</v>
      </c>
      <c r="F5" s="11">
        <f t="shared" ref="F5:F20" si="1">C5/4</f>
        <v>9.2592592592592596E-4</v>
      </c>
      <c r="G5" s="11">
        <f t="shared" ref="G5:G20" si="2">D5/7.5</f>
        <v>9.6966666666666675E-4</v>
      </c>
      <c r="H5" s="11">
        <f t="shared" ref="H5:H20" si="3">B5/12.5</f>
        <v>1E-3</v>
      </c>
      <c r="I5" s="11">
        <f t="shared" ref="I5:I20" si="4">G5/0.93</f>
        <v>1.0426523297491039E-3</v>
      </c>
      <c r="J5" s="11">
        <f t="shared" ref="J5:J20" si="5">G5/0.92</f>
        <v>1.0539855072463768E-3</v>
      </c>
      <c r="K5" s="11">
        <f t="shared" ref="K5:K20" si="6">G5/0.88</f>
        <v>1.1018939393939394E-3</v>
      </c>
      <c r="L5" s="17">
        <f t="shared" ref="L5:L20" si="7">G5/0.84</f>
        <v>1.1543650793650795E-3</v>
      </c>
      <c r="M5" s="25">
        <f>WO2025Jan7108141618222428303234384042444648545658626466687072747668[[#This Row],[Thresh]]</f>
        <v>1.1018939393939394E-3</v>
      </c>
      <c r="N5" s="28">
        <f>WO2025Jan7108141618222428303234384042444648545658626466687072747668[[#This Row],[Thresh]]*2.5</f>
        <v>2.7547348484848484E-3</v>
      </c>
      <c r="O5" s="25">
        <f>WO2025Jan7108141618222428303234384042444648545658626466687072747668[[#This Row],[VO2]]</f>
        <v>9.6966666666666675E-4</v>
      </c>
      <c r="P5" s="25"/>
      <c r="Q5" s="25"/>
      <c r="R5" s="28"/>
      <c r="S5" s="11"/>
      <c r="T5" s="28"/>
      <c r="U5" s="28"/>
      <c r="V5" s="38"/>
      <c r="W5" s="15" t="s">
        <v>35</v>
      </c>
      <c r="X5" s="52"/>
    </row>
    <row r="6" spans="1:26" ht="21" customHeight="1">
      <c r="A6" s="10" t="s">
        <v>28</v>
      </c>
      <c r="B6" s="11">
        <v>1.2500000000000001E-2</v>
      </c>
      <c r="C6" s="11">
        <v>3.9351851851851857E-3</v>
      </c>
      <c r="D6" s="11">
        <f t="shared" si="0"/>
        <v>7.2725000000000003E-3</v>
      </c>
      <c r="E6" s="12">
        <v>0.58179999999999998</v>
      </c>
      <c r="F6" s="11">
        <f t="shared" si="1"/>
        <v>9.8379629629629642E-4</v>
      </c>
      <c r="G6" s="11">
        <f t="shared" si="2"/>
        <v>9.6966666666666675E-4</v>
      </c>
      <c r="H6" s="11">
        <f t="shared" si="3"/>
        <v>1E-3</v>
      </c>
      <c r="I6" s="11">
        <f t="shared" si="4"/>
        <v>1.0426523297491039E-3</v>
      </c>
      <c r="J6" s="11">
        <f t="shared" si="5"/>
        <v>1.0539855072463768E-3</v>
      </c>
      <c r="K6" s="11">
        <f t="shared" si="6"/>
        <v>1.1018939393939394E-3</v>
      </c>
      <c r="L6" s="11">
        <f t="shared" si="7"/>
        <v>1.1543650793650795E-3</v>
      </c>
      <c r="M6" s="25">
        <f>WO2025Jan7108141618222428303234384042444648545658626466687072747668[[#This Row],[Thresh]]</f>
        <v>1.1018939393939394E-3</v>
      </c>
      <c r="N6" s="28">
        <f>WO2025Jan7108141618222428303234384042444648545658626466687072747668[[#This Row],[Thresh]]*2.5</f>
        <v>2.7547348484848484E-3</v>
      </c>
      <c r="O6" s="25">
        <f>WO2025Jan7108141618222428303234384042444648545658626466687072747668[[#This Row],[VO2]]</f>
        <v>9.6966666666666675E-4</v>
      </c>
      <c r="P6" s="28"/>
      <c r="Q6" s="25"/>
      <c r="R6" s="28"/>
      <c r="S6" s="11"/>
      <c r="T6" s="28"/>
      <c r="U6" s="28"/>
      <c r="V6" s="28"/>
      <c r="W6" s="15" t="s">
        <v>26</v>
      </c>
      <c r="X6" s="52"/>
    </row>
    <row r="7" spans="1:26" ht="21" customHeight="1">
      <c r="A7" s="10" t="s">
        <v>27</v>
      </c>
      <c r="B7" s="11">
        <v>1.2500000000000001E-2</v>
      </c>
      <c r="C7" s="11">
        <v>3.6458333333333334E-3</v>
      </c>
      <c r="D7" s="11">
        <f t="shared" si="0"/>
        <v>7.2725000000000003E-3</v>
      </c>
      <c r="E7" s="12">
        <v>0.58179999999999998</v>
      </c>
      <c r="F7" s="11">
        <f t="shared" si="1"/>
        <v>9.1145833333333335E-4</v>
      </c>
      <c r="G7" s="11">
        <f t="shared" si="2"/>
        <v>9.6966666666666675E-4</v>
      </c>
      <c r="H7" s="11">
        <f t="shared" si="3"/>
        <v>1E-3</v>
      </c>
      <c r="I7" s="11">
        <f t="shared" si="4"/>
        <v>1.0426523297491039E-3</v>
      </c>
      <c r="J7" s="11">
        <f t="shared" si="5"/>
        <v>1.0539855072463768E-3</v>
      </c>
      <c r="K7" s="11">
        <f t="shared" si="6"/>
        <v>1.1018939393939394E-3</v>
      </c>
      <c r="L7" s="11">
        <f t="shared" si="7"/>
        <v>1.1543650793650795E-3</v>
      </c>
      <c r="M7" s="25">
        <f>WO2025Jan7108141618222428303234384042444648545658626466687072747668[[#This Row],[Thresh]]</f>
        <v>1.1018939393939394E-3</v>
      </c>
      <c r="N7" s="28">
        <f>WO2025Jan7108141618222428303234384042444648545658626466687072747668[[#This Row],[Thresh]]*2.5</f>
        <v>2.7547348484848484E-3</v>
      </c>
      <c r="O7" s="25">
        <f>WO2025Jan7108141618222428303234384042444648545658626466687072747668[[#This Row],[VO2]]</f>
        <v>9.6966666666666675E-4</v>
      </c>
      <c r="P7" s="25"/>
      <c r="Q7" s="25"/>
      <c r="R7" s="28"/>
      <c r="S7" s="11"/>
      <c r="T7" s="28"/>
      <c r="U7" s="28"/>
      <c r="V7" s="28"/>
      <c r="W7" s="15" t="s">
        <v>26</v>
      </c>
      <c r="X7" s="52"/>
    </row>
    <row r="8" spans="1:26" ht="21" customHeight="1">
      <c r="A8" s="10" t="s">
        <v>60</v>
      </c>
      <c r="B8" s="11">
        <v>1.2500000000000001E-2</v>
      </c>
      <c r="C8" s="11">
        <v>3.6458333333333334E-3</v>
      </c>
      <c r="D8" s="11">
        <f t="shared" si="0"/>
        <v>7.2725000000000003E-3</v>
      </c>
      <c r="E8" s="12">
        <v>0.58179999999999998</v>
      </c>
      <c r="F8" s="11">
        <f t="shared" si="1"/>
        <v>9.1145833333333335E-4</v>
      </c>
      <c r="G8" s="11">
        <f t="shared" si="2"/>
        <v>9.6966666666666675E-4</v>
      </c>
      <c r="H8" s="11">
        <f t="shared" si="3"/>
        <v>1E-3</v>
      </c>
      <c r="I8" s="11">
        <f t="shared" si="4"/>
        <v>1.0426523297491039E-3</v>
      </c>
      <c r="J8" s="11">
        <f t="shared" si="5"/>
        <v>1.0539855072463768E-3</v>
      </c>
      <c r="K8" s="11">
        <f t="shared" si="6"/>
        <v>1.1018939393939394E-3</v>
      </c>
      <c r="L8" s="11">
        <f t="shared" si="7"/>
        <v>1.1543650793650795E-3</v>
      </c>
      <c r="M8" s="25">
        <f>WO2025Jan7108141618222428303234384042444648545658626466687072747668[[#This Row],[Thresh]]</f>
        <v>1.1018939393939394E-3</v>
      </c>
      <c r="N8" s="28">
        <f>WO2025Jan7108141618222428303234384042444648545658626466687072747668[[#This Row],[Thresh]]*2.5</f>
        <v>2.7547348484848484E-3</v>
      </c>
      <c r="O8" s="25">
        <f>WO2025Jan7108141618222428303234384042444648545658626466687072747668[[#This Row],[VO2]]</f>
        <v>9.6966666666666675E-4</v>
      </c>
      <c r="P8" s="25"/>
      <c r="Q8" s="25"/>
      <c r="R8" s="28"/>
      <c r="S8" s="11"/>
      <c r="T8" s="28"/>
      <c r="U8" s="28"/>
      <c r="V8" s="28"/>
      <c r="W8" s="15" t="s">
        <v>26</v>
      </c>
      <c r="X8" s="52"/>
    </row>
    <row r="9" spans="1:26" ht="21" customHeight="1">
      <c r="A9" s="10" t="s">
        <v>63</v>
      </c>
      <c r="B9" s="11">
        <v>1.2500000000000001E-2</v>
      </c>
      <c r="C9" s="11"/>
      <c r="D9" s="11">
        <f t="shared" si="0"/>
        <v>7.2725000000000003E-3</v>
      </c>
      <c r="E9" s="12">
        <v>0.58179999999999998</v>
      </c>
      <c r="F9" s="11">
        <f t="shared" si="1"/>
        <v>0</v>
      </c>
      <c r="G9" s="11">
        <f t="shared" si="2"/>
        <v>9.6966666666666675E-4</v>
      </c>
      <c r="H9" s="11">
        <f t="shared" si="3"/>
        <v>1E-3</v>
      </c>
      <c r="I9" s="11">
        <f t="shared" si="4"/>
        <v>1.0426523297491039E-3</v>
      </c>
      <c r="J9" s="11">
        <f t="shared" si="5"/>
        <v>1.0539855072463768E-3</v>
      </c>
      <c r="K9" s="11">
        <f t="shared" si="6"/>
        <v>1.1018939393939394E-3</v>
      </c>
      <c r="L9" s="11">
        <f t="shared" si="7"/>
        <v>1.1543650793650795E-3</v>
      </c>
      <c r="M9" s="25">
        <f>WO2025Jan7108141618222428303234384042444648545658626466687072747668[[#This Row],[Thresh]]</f>
        <v>1.1018939393939394E-3</v>
      </c>
      <c r="N9" s="28">
        <f>WO2025Jan7108141618222428303234384042444648545658626466687072747668[[#This Row],[Thresh]]*2.5</f>
        <v>2.7547348484848484E-3</v>
      </c>
      <c r="O9" s="25">
        <f>WO2025Jan7108141618222428303234384042444648545658626466687072747668[[#This Row],[VO2]]</f>
        <v>9.6966666666666675E-4</v>
      </c>
      <c r="P9" s="28"/>
      <c r="Q9" s="25"/>
      <c r="R9" s="25"/>
      <c r="S9" s="25"/>
      <c r="T9" s="28"/>
      <c r="U9" s="11"/>
      <c r="V9" s="36"/>
      <c r="W9" s="15" t="s">
        <v>35</v>
      </c>
      <c r="X9" s="52"/>
    </row>
    <row r="10" spans="1:26" ht="21" customHeight="1">
      <c r="A10" s="10" t="s">
        <v>29</v>
      </c>
      <c r="B10" s="11">
        <v>1.2500000000000001E-2</v>
      </c>
      <c r="C10" s="11">
        <v>3.8194444444444443E-3</v>
      </c>
      <c r="D10" s="11">
        <f t="shared" si="0"/>
        <v>7.2725000000000003E-3</v>
      </c>
      <c r="E10" s="12">
        <v>0.58179999999999998</v>
      </c>
      <c r="F10" s="11">
        <f t="shared" si="1"/>
        <v>9.5486111111111108E-4</v>
      </c>
      <c r="G10" s="11">
        <f t="shared" si="2"/>
        <v>9.6966666666666675E-4</v>
      </c>
      <c r="H10" s="11">
        <f t="shared" si="3"/>
        <v>1E-3</v>
      </c>
      <c r="I10" s="11">
        <f t="shared" si="4"/>
        <v>1.0426523297491039E-3</v>
      </c>
      <c r="J10" s="11">
        <f t="shared" si="5"/>
        <v>1.0539855072463768E-3</v>
      </c>
      <c r="K10" s="11">
        <f t="shared" si="6"/>
        <v>1.1018939393939394E-3</v>
      </c>
      <c r="L10" s="11">
        <f t="shared" si="7"/>
        <v>1.1543650793650795E-3</v>
      </c>
      <c r="M10" s="25">
        <f>WO2025Jan7108141618222428303234384042444648545658626466687072747668[[#This Row],[Thresh]]</f>
        <v>1.1018939393939394E-3</v>
      </c>
      <c r="N10" s="28">
        <f>WO2025Jan7108141618222428303234384042444648545658626466687072747668[[#This Row],[Thresh]]*2.5</f>
        <v>2.7547348484848484E-3</v>
      </c>
      <c r="O10" s="25">
        <f>WO2025Jan7108141618222428303234384042444648545658626466687072747668[[#This Row],[VO2]]</f>
        <v>9.6966666666666675E-4</v>
      </c>
      <c r="P10" s="25"/>
      <c r="Q10" s="25"/>
      <c r="R10" s="25"/>
      <c r="S10" s="28"/>
      <c r="T10" s="28"/>
      <c r="U10" s="28"/>
      <c r="V10" s="38"/>
      <c r="W10" s="18" t="s">
        <v>26</v>
      </c>
      <c r="X10" s="52"/>
    </row>
    <row r="11" spans="1:26" ht="21" customHeight="1">
      <c r="A11" s="10" t="s">
        <v>30</v>
      </c>
      <c r="B11" s="11">
        <v>1.2500000000000001E-2</v>
      </c>
      <c r="C11" s="11">
        <v>3.6458333333333334E-3</v>
      </c>
      <c r="D11" s="11">
        <f>B11*E11</f>
        <v>7.2725000000000003E-3</v>
      </c>
      <c r="E11" s="12">
        <v>0.58179999999999998</v>
      </c>
      <c r="F11" s="11">
        <f>C11/4</f>
        <v>9.1145833333333335E-4</v>
      </c>
      <c r="G11" s="11">
        <f>D11/7.5</f>
        <v>9.6966666666666675E-4</v>
      </c>
      <c r="H11" s="11">
        <f>B11/12.5</f>
        <v>1E-3</v>
      </c>
      <c r="I11" s="11">
        <f>G11/0.93</f>
        <v>1.0426523297491039E-3</v>
      </c>
      <c r="J11" s="11">
        <f>G11/0.92</f>
        <v>1.0539855072463768E-3</v>
      </c>
      <c r="K11" s="11">
        <f>G11/0.88</f>
        <v>1.1018939393939394E-3</v>
      </c>
      <c r="L11" s="11">
        <f>G11/0.84</f>
        <v>1.1543650793650795E-3</v>
      </c>
      <c r="M11" s="25">
        <f>WO2025Jan7108141618222428303234384042444648545658626466687072747668[[#This Row],[Thresh]]</f>
        <v>1.1018939393939394E-3</v>
      </c>
      <c r="N11" s="28">
        <f>WO2025Jan7108141618222428303234384042444648545658626466687072747668[[#This Row],[Thresh]]*2.5</f>
        <v>2.7547348484848484E-3</v>
      </c>
      <c r="O11" s="25">
        <f>WO2025Jan7108141618222428303234384042444648545658626466687072747668[[#This Row],[VO2]]</f>
        <v>9.6966666666666675E-4</v>
      </c>
      <c r="P11" s="28"/>
      <c r="Q11" s="25"/>
      <c r="R11" s="25"/>
      <c r="S11" s="11"/>
      <c r="T11" s="28"/>
      <c r="U11" s="28"/>
      <c r="V11" s="28"/>
      <c r="W11" s="15" t="s">
        <v>35</v>
      </c>
      <c r="X11" s="52" t="s">
        <v>340</v>
      </c>
    </row>
    <row r="12" spans="1:26" ht="21" customHeight="1">
      <c r="A12" s="10" t="s">
        <v>49</v>
      </c>
      <c r="B12" s="11">
        <v>1.2731481481481481E-2</v>
      </c>
      <c r="C12" s="11"/>
      <c r="D12" s="11">
        <f>B12*E12</f>
        <v>7.4071759259259256E-3</v>
      </c>
      <c r="E12" s="12">
        <v>0.58179999999999998</v>
      </c>
      <c r="F12" s="11">
        <f>C12/4</f>
        <v>0</v>
      </c>
      <c r="G12" s="11">
        <f>D12/7.5</f>
        <v>9.8762345679012349E-4</v>
      </c>
      <c r="H12" s="11">
        <f>B12/12.5</f>
        <v>1.0185185185185184E-3</v>
      </c>
      <c r="I12" s="11">
        <f>G12/0.93</f>
        <v>1.0619607062259391E-3</v>
      </c>
      <c r="J12" s="11">
        <f>G12/0.92</f>
        <v>1.073503757380569E-3</v>
      </c>
      <c r="K12" s="11">
        <f>G12/0.88</f>
        <v>1.1222993827160494E-3</v>
      </c>
      <c r="L12" s="11">
        <f>G12/0.84</f>
        <v>1.1757422104644328E-3</v>
      </c>
      <c r="M12" s="25">
        <f>WO2025Jan7108141618222428303234384042444648545658626466687072747668[[#This Row],[Thresh]]</f>
        <v>1.1222993827160494E-3</v>
      </c>
      <c r="N12" s="28">
        <f>WO2025Jan7108141618222428303234384042444648545658626466687072747668[[#This Row],[Thresh]]*2.5</f>
        <v>2.8057484567901234E-3</v>
      </c>
      <c r="O12" s="25">
        <f>WO2025Jan7108141618222428303234384042444648545658626466687072747668[[#This Row],[VO2]]</f>
        <v>9.8762345679012349E-4</v>
      </c>
      <c r="P12" s="11"/>
      <c r="Q12" s="14"/>
      <c r="R12" s="11"/>
      <c r="S12" s="14"/>
      <c r="T12" s="14"/>
      <c r="U12" s="14"/>
      <c r="V12" s="11"/>
      <c r="W12" s="15" t="s">
        <v>35</v>
      </c>
      <c r="X12" s="52"/>
    </row>
    <row r="13" spans="1:26" ht="21" customHeight="1">
      <c r="A13" s="10" t="s">
        <v>65</v>
      </c>
      <c r="B13" s="11">
        <v>1.2731481481481481E-2</v>
      </c>
      <c r="C13" s="11">
        <v>3.8194444444444443E-3</v>
      </c>
      <c r="D13" s="11">
        <f>B13*E13</f>
        <v>7.4071759259259256E-3</v>
      </c>
      <c r="E13" s="12">
        <v>0.58179999999999998</v>
      </c>
      <c r="F13" s="11">
        <f>C13/4</f>
        <v>9.5486111111111108E-4</v>
      </c>
      <c r="G13" s="11">
        <f>D13/7.5</f>
        <v>9.8762345679012349E-4</v>
      </c>
      <c r="H13" s="11">
        <f>B13/12.5</f>
        <v>1.0185185185185184E-3</v>
      </c>
      <c r="I13" s="11">
        <f>G13/0.93</f>
        <v>1.0619607062259391E-3</v>
      </c>
      <c r="J13" s="11">
        <f>G13/0.92</f>
        <v>1.073503757380569E-3</v>
      </c>
      <c r="K13" s="11">
        <f>G13/0.88</f>
        <v>1.1222993827160494E-3</v>
      </c>
      <c r="L13" s="11">
        <f>G13/0.84</f>
        <v>1.1757422104644328E-3</v>
      </c>
      <c r="M13" s="25">
        <f>WO2025Jan7108141618222428303234384042444648545658626466687072747668[[#This Row],[Thresh]]</f>
        <v>1.1222993827160494E-3</v>
      </c>
      <c r="N13" s="28">
        <f>WO2025Jan7108141618222428303234384042444648545658626466687072747668[[#This Row],[Thresh]]*2.5</f>
        <v>2.8057484567901234E-3</v>
      </c>
      <c r="O13" s="25">
        <f>WO2025Jan7108141618222428303234384042444648545658626466687072747668[[#This Row],[VO2]]</f>
        <v>9.8762345679012349E-4</v>
      </c>
      <c r="P13" s="28"/>
      <c r="Q13" s="25"/>
      <c r="R13" s="28"/>
      <c r="S13" s="11"/>
      <c r="T13" s="28"/>
      <c r="U13" s="28"/>
      <c r="V13" s="28"/>
      <c r="W13" s="15" t="s">
        <v>26</v>
      </c>
      <c r="X13" s="52"/>
    </row>
    <row r="14" spans="1:26" ht="21" customHeight="1">
      <c r="A14" s="10" t="s">
        <v>64</v>
      </c>
      <c r="B14" s="11">
        <v>1.2731481481481481E-2</v>
      </c>
      <c r="C14" s="11">
        <v>3.5879629629629629E-3</v>
      </c>
      <c r="D14" s="11">
        <f>B14*E14</f>
        <v>7.4071759259259256E-3</v>
      </c>
      <c r="E14" s="12">
        <v>0.58179999999999998</v>
      </c>
      <c r="F14" s="11">
        <f>C14/4</f>
        <v>8.9699074074074073E-4</v>
      </c>
      <c r="G14" s="11">
        <f>D14/7.5</f>
        <v>9.8762345679012349E-4</v>
      </c>
      <c r="H14" s="11">
        <f>B14/12.5</f>
        <v>1.0185185185185184E-3</v>
      </c>
      <c r="I14" s="11">
        <f>G14/0.93</f>
        <v>1.0619607062259391E-3</v>
      </c>
      <c r="J14" s="11">
        <f>G14/0.92</f>
        <v>1.073503757380569E-3</v>
      </c>
      <c r="K14" s="11">
        <f>G14/0.88</f>
        <v>1.1222993827160494E-3</v>
      </c>
      <c r="L14" s="11">
        <f>G14/0.84</f>
        <v>1.1757422104644328E-3</v>
      </c>
      <c r="M14" s="25">
        <f>WO2025Jan7108141618222428303234384042444648545658626466687072747668[[#This Row],[Thresh]]</f>
        <v>1.1222993827160494E-3</v>
      </c>
      <c r="N14" s="28">
        <f>WO2025Jan7108141618222428303234384042444648545658626466687072747668[[#This Row],[Thresh]]*2.5</f>
        <v>2.8057484567901234E-3</v>
      </c>
      <c r="O14" s="25">
        <f>WO2025Jan7108141618222428303234384042444648545658626466687072747668[[#This Row],[VO2]]</f>
        <v>9.8762345679012349E-4</v>
      </c>
      <c r="P14" s="28"/>
      <c r="Q14" s="25"/>
      <c r="R14" s="25"/>
      <c r="S14" s="28"/>
      <c r="T14" s="28"/>
      <c r="U14" s="28"/>
      <c r="V14" s="28"/>
      <c r="W14" s="15" t="s">
        <v>35</v>
      </c>
      <c r="X14" s="52"/>
    </row>
    <row r="15" spans="1:26" ht="21" customHeight="1">
      <c r="A15" s="10" t="s">
        <v>55</v>
      </c>
      <c r="B15" s="11">
        <v>1.2731481481481481E-2</v>
      </c>
      <c r="C15" s="11"/>
      <c r="D15" s="11">
        <f t="shared" si="0"/>
        <v>7.4071759259259256E-3</v>
      </c>
      <c r="E15" s="12">
        <v>0.58179999999999998</v>
      </c>
      <c r="F15" s="11">
        <f t="shared" si="1"/>
        <v>0</v>
      </c>
      <c r="G15" s="11">
        <f t="shared" si="2"/>
        <v>9.8762345679012349E-4</v>
      </c>
      <c r="H15" s="11">
        <f t="shared" si="3"/>
        <v>1.0185185185185184E-3</v>
      </c>
      <c r="I15" s="11">
        <f t="shared" si="4"/>
        <v>1.0619607062259391E-3</v>
      </c>
      <c r="J15" s="11">
        <f t="shared" si="5"/>
        <v>1.073503757380569E-3</v>
      </c>
      <c r="K15" s="11">
        <f t="shared" si="6"/>
        <v>1.1222993827160494E-3</v>
      </c>
      <c r="L15" s="11">
        <f t="shared" si="7"/>
        <v>1.1757422104644328E-3</v>
      </c>
      <c r="M15" s="25">
        <f>WO2025Jan7108141618222428303234384042444648545658626466687072747668[[#This Row],[Thresh]]</f>
        <v>1.1222993827160494E-3</v>
      </c>
      <c r="N15" s="28">
        <f>WO2025Jan7108141618222428303234384042444648545658626466687072747668[[#This Row],[Thresh]]*2.5</f>
        <v>2.8057484567901234E-3</v>
      </c>
      <c r="O15" s="25">
        <f>WO2025Jan7108141618222428303234384042444648545658626466687072747668[[#This Row],[VO2]]</f>
        <v>9.8762345679012349E-4</v>
      </c>
      <c r="P15" s="11"/>
      <c r="Q15" s="14"/>
      <c r="R15" s="11"/>
      <c r="S15" s="14"/>
      <c r="T15" s="14"/>
      <c r="U15" s="14"/>
      <c r="V15" s="17"/>
      <c r="W15" s="18" t="s">
        <v>35</v>
      </c>
      <c r="X15" s="52"/>
    </row>
    <row r="16" spans="1:26" ht="21" customHeight="1">
      <c r="A16" s="10" t="s">
        <v>31</v>
      </c>
      <c r="B16" s="11">
        <v>1.2731481481481481E-2</v>
      </c>
      <c r="C16" s="11"/>
      <c r="D16" s="11">
        <f t="shared" si="0"/>
        <v>7.4071759259259256E-3</v>
      </c>
      <c r="E16" s="12">
        <v>0.58179999999999998</v>
      </c>
      <c r="F16" s="11">
        <f t="shared" si="1"/>
        <v>0</v>
      </c>
      <c r="G16" s="11">
        <f t="shared" si="2"/>
        <v>9.8762345679012349E-4</v>
      </c>
      <c r="H16" s="11">
        <f t="shared" si="3"/>
        <v>1.0185185185185184E-3</v>
      </c>
      <c r="I16" s="11">
        <f t="shared" si="4"/>
        <v>1.0619607062259391E-3</v>
      </c>
      <c r="J16" s="11">
        <f t="shared" si="5"/>
        <v>1.073503757380569E-3</v>
      </c>
      <c r="K16" s="11">
        <f t="shared" si="6"/>
        <v>1.1222993827160494E-3</v>
      </c>
      <c r="L16" s="11">
        <f t="shared" si="7"/>
        <v>1.1757422104644328E-3</v>
      </c>
      <c r="M16" s="25">
        <f>WO2025Jan7108141618222428303234384042444648545658626466687072747668[[#This Row],[Thresh]]</f>
        <v>1.1222993827160494E-3</v>
      </c>
      <c r="N16" s="28">
        <f>WO2025Jan7108141618222428303234384042444648545658626466687072747668[[#This Row],[Thresh]]*2.5</f>
        <v>2.8057484567901234E-3</v>
      </c>
      <c r="O16" s="25">
        <f>WO2025Jan7108141618222428303234384042444648545658626466687072747668[[#This Row],[VO2]]</f>
        <v>9.8762345679012349E-4</v>
      </c>
      <c r="P16" s="25"/>
      <c r="Q16" s="25"/>
      <c r="R16" s="28"/>
      <c r="S16" s="11"/>
      <c r="T16" s="11"/>
      <c r="U16" s="28"/>
      <c r="V16" s="28"/>
      <c r="W16" s="15" t="s">
        <v>35</v>
      </c>
      <c r="X16" s="52"/>
    </row>
    <row r="17" spans="1:24" ht="21" customHeight="1">
      <c r="A17" s="10" t="s">
        <v>62</v>
      </c>
      <c r="B17" s="11">
        <v>1.2731481481481481E-2</v>
      </c>
      <c r="C17" s="11"/>
      <c r="D17" s="11">
        <f t="shared" si="0"/>
        <v>7.4071759259259256E-3</v>
      </c>
      <c r="E17" s="12">
        <v>0.58179999999999998</v>
      </c>
      <c r="F17" s="11">
        <f t="shared" si="1"/>
        <v>0</v>
      </c>
      <c r="G17" s="11">
        <f t="shared" si="2"/>
        <v>9.8762345679012349E-4</v>
      </c>
      <c r="H17" s="11">
        <f t="shared" si="3"/>
        <v>1.0185185185185184E-3</v>
      </c>
      <c r="I17" s="11">
        <f t="shared" si="4"/>
        <v>1.0619607062259391E-3</v>
      </c>
      <c r="J17" s="11">
        <f t="shared" si="5"/>
        <v>1.073503757380569E-3</v>
      </c>
      <c r="K17" s="11">
        <f t="shared" si="6"/>
        <v>1.1222993827160494E-3</v>
      </c>
      <c r="L17" s="11">
        <f t="shared" si="7"/>
        <v>1.1757422104644328E-3</v>
      </c>
      <c r="M17" s="25">
        <f>WO2025Jan7108141618222428303234384042444648545658626466687072747668[[#This Row],[Thresh]]</f>
        <v>1.1222993827160494E-3</v>
      </c>
      <c r="N17" s="28">
        <f>WO2025Jan7108141618222428303234384042444648545658626466687072747668[[#This Row],[Thresh]]*2.5</f>
        <v>2.8057484567901234E-3</v>
      </c>
      <c r="O17" s="25">
        <f>WO2025Jan7108141618222428303234384042444648545658626466687072747668[[#This Row],[VO2]]</f>
        <v>9.8762345679012349E-4</v>
      </c>
      <c r="P17" s="25"/>
      <c r="Q17" s="28"/>
      <c r="R17" s="28"/>
      <c r="S17" s="25"/>
      <c r="T17" s="28"/>
      <c r="U17" s="36"/>
      <c r="V17" s="17"/>
      <c r="W17" s="18" t="s">
        <v>26</v>
      </c>
      <c r="X17" s="52"/>
    </row>
    <row r="18" spans="1:24" ht="21" customHeight="1">
      <c r="A18" s="10" t="s">
        <v>67</v>
      </c>
      <c r="B18" s="11">
        <v>1.3020833333333334E-2</v>
      </c>
      <c r="C18" s="11">
        <v>3.8194444444444443E-3</v>
      </c>
      <c r="D18" s="11">
        <f>B18*E18</f>
        <v>7.5755208333333334E-3</v>
      </c>
      <c r="E18" s="12">
        <v>0.58179999999999998</v>
      </c>
      <c r="F18" s="11">
        <f>C18/4</f>
        <v>9.5486111111111108E-4</v>
      </c>
      <c r="G18" s="11">
        <f>D18/7.5</f>
        <v>1.0100694444444445E-3</v>
      </c>
      <c r="H18" s="11">
        <f>B18/12.5</f>
        <v>1.0416666666666667E-3</v>
      </c>
      <c r="I18" s="11">
        <f>G18/0.93</f>
        <v>1.0860961768219832E-3</v>
      </c>
      <c r="J18" s="11">
        <f>G18/0.92</f>
        <v>1.0979015700483092E-3</v>
      </c>
      <c r="K18" s="11">
        <f>G18/0.88</f>
        <v>1.1478061868686869E-3</v>
      </c>
      <c r="L18" s="11">
        <f>G18/0.84</f>
        <v>1.2024636243386244E-3</v>
      </c>
      <c r="M18" s="25">
        <f>WO2025Jan7108141618222428303234384042444648545658626466687072747668[[#This Row],[Thresh]]</f>
        <v>1.1478061868686869E-3</v>
      </c>
      <c r="N18" s="28">
        <f>WO2025Jan7108141618222428303234384042444648545658626466687072747668[[#This Row],[Thresh]]*2.5</f>
        <v>2.8695154671717171E-3</v>
      </c>
      <c r="O18" s="25">
        <f>WO2025Jan7108141618222428303234384042444648545658626466687072747668[[#This Row],[VO2]]</f>
        <v>1.0100694444444445E-3</v>
      </c>
      <c r="P18" s="25"/>
      <c r="Q18" s="25"/>
      <c r="R18" s="25"/>
      <c r="S18" s="28"/>
      <c r="T18" s="28"/>
      <c r="U18" s="28"/>
      <c r="V18" s="28"/>
      <c r="W18" s="18" t="s">
        <v>35</v>
      </c>
      <c r="X18" s="52"/>
    </row>
    <row r="19" spans="1:24" ht="21" customHeight="1">
      <c r="A19" s="10" t="s">
        <v>66</v>
      </c>
      <c r="B19" s="11">
        <v>1.3020833333333334E-2</v>
      </c>
      <c r="C19" s="11">
        <v>3.7037037037037038E-3</v>
      </c>
      <c r="D19" s="11">
        <f>B19*E19</f>
        <v>7.5755208333333334E-3</v>
      </c>
      <c r="E19" s="12">
        <v>0.58179999999999998</v>
      </c>
      <c r="F19" s="11">
        <f>C19/4</f>
        <v>9.2592592592592596E-4</v>
      </c>
      <c r="G19" s="11">
        <f>D19/7.5</f>
        <v>1.0100694444444445E-3</v>
      </c>
      <c r="H19" s="11">
        <f>B19/12.5</f>
        <v>1.0416666666666667E-3</v>
      </c>
      <c r="I19" s="11">
        <f>G19/0.93</f>
        <v>1.0860961768219832E-3</v>
      </c>
      <c r="J19" s="11">
        <f>G19/0.92</f>
        <v>1.0979015700483092E-3</v>
      </c>
      <c r="K19" s="11">
        <f>G19/0.88</f>
        <v>1.1478061868686869E-3</v>
      </c>
      <c r="L19" s="17">
        <f>G19/0.84</f>
        <v>1.2024636243386244E-3</v>
      </c>
      <c r="M19" s="25">
        <f>WO2025Jan7108141618222428303234384042444648545658626466687072747668[[#This Row],[Thresh]]</f>
        <v>1.1478061868686869E-3</v>
      </c>
      <c r="N19" s="28">
        <f>WO2025Jan7108141618222428303234384042444648545658626466687072747668[[#This Row],[Thresh]]*2.5</f>
        <v>2.8695154671717171E-3</v>
      </c>
      <c r="O19" s="25">
        <f>WO2025Jan7108141618222428303234384042444648545658626466687072747668[[#This Row],[VO2]]</f>
        <v>1.0100694444444445E-3</v>
      </c>
      <c r="P19" s="28"/>
      <c r="Q19" s="25"/>
      <c r="R19" s="25"/>
      <c r="S19" s="25"/>
      <c r="T19" s="28"/>
      <c r="U19" s="11"/>
      <c r="V19" s="36"/>
      <c r="W19" s="15" t="s">
        <v>35</v>
      </c>
      <c r="X19" s="52"/>
    </row>
    <row r="20" spans="1:24" ht="21" customHeight="1">
      <c r="A20" s="10" t="s">
        <v>71</v>
      </c>
      <c r="B20" s="11">
        <v>1.3194444444444444E-2</v>
      </c>
      <c r="C20" s="11">
        <v>4.0509259259259257E-3</v>
      </c>
      <c r="D20" s="11">
        <f t="shared" si="0"/>
        <v>7.6765277777777778E-3</v>
      </c>
      <c r="E20" s="12">
        <v>0.58179999999999998</v>
      </c>
      <c r="F20" s="11">
        <f t="shared" si="1"/>
        <v>1.0127314814814814E-3</v>
      </c>
      <c r="G20" s="11">
        <f t="shared" si="2"/>
        <v>1.023537037037037E-3</v>
      </c>
      <c r="H20" s="11">
        <f t="shared" si="3"/>
        <v>1.0555555555555555E-3</v>
      </c>
      <c r="I20" s="11">
        <f t="shared" si="4"/>
        <v>1.1005774591796096E-3</v>
      </c>
      <c r="J20" s="11">
        <f t="shared" si="5"/>
        <v>1.1125402576489531E-3</v>
      </c>
      <c r="K20" s="11">
        <f t="shared" si="6"/>
        <v>1.1631102693602693E-3</v>
      </c>
      <c r="L20" s="11">
        <f t="shared" si="7"/>
        <v>1.2184964726631392E-3</v>
      </c>
      <c r="M20" s="25">
        <f>WO2025Jan7108141618222428303234384042444648545658626466687072747668[[#This Row],[Thresh]]</f>
        <v>1.1631102693602693E-3</v>
      </c>
      <c r="N20" s="28">
        <f>WO2025Jan7108141618222428303234384042444648545658626466687072747668[[#This Row],[Thresh]]*2.5</f>
        <v>2.9077756734006734E-3</v>
      </c>
      <c r="O20" s="25">
        <f>WO2025Jan7108141618222428303234384042444648545658626466687072747668[[#This Row],[VO2]]</f>
        <v>1.023537037037037E-3</v>
      </c>
      <c r="P20" s="25"/>
      <c r="Q20" s="25"/>
      <c r="R20" s="28"/>
      <c r="S20" s="11"/>
      <c r="T20" s="28"/>
      <c r="U20" s="28"/>
      <c r="V20" s="38"/>
      <c r="W20" s="18" t="s">
        <v>35</v>
      </c>
      <c r="X20" s="52"/>
    </row>
    <row r="21" spans="1:24" ht="21" customHeight="1">
      <c r="A21" s="10" t="s">
        <v>69</v>
      </c>
      <c r="B21" s="11">
        <v>1.3368055555555555E-2</v>
      </c>
      <c r="C21" s="11"/>
      <c r="D21" s="11">
        <f>B21*E21</f>
        <v>7.7775347222222213E-3</v>
      </c>
      <c r="E21" s="12">
        <v>0.58179999999999998</v>
      </c>
      <c r="F21" s="11">
        <f>C21/4</f>
        <v>0</v>
      </c>
      <c r="G21" s="11">
        <f>D21/7.5</f>
        <v>1.0370046296296295E-3</v>
      </c>
      <c r="H21" s="11">
        <f>B21/12.5</f>
        <v>1.0694444444444445E-3</v>
      </c>
      <c r="I21" s="11">
        <f>G21/0.93</f>
        <v>1.1150587415372358E-3</v>
      </c>
      <c r="J21" s="11">
        <f>G21/0.92</f>
        <v>1.1271789452495973E-3</v>
      </c>
      <c r="K21" s="11">
        <f>G21/0.88</f>
        <v>1.1784143518518517E-3</v>
      </c>
      <c r="L21" s="11">
        <f>G21/0.84</f>
        <v>1.2345293209876543E-3</v>
      </c>
      <c r="M21" s="25">
        <f>WO2025Jan7108141618222428303234384042444648545658626466687072747668[[#This Row],[Thresh]]</f>
        <v>1.1784143518518517E-3</v>
      </c>
      <c r="N21" s="28">
        <f>WO2025Jan7108141618222428303234384042444648545658626466687072747668[[#This Row],[Thresh]]*2.5</f>
        <v>2.9460358796296292E-3</v>
      </c>
      <c r="O21" s="25">
        <f>WO2025Jan7108141618222428303234384042444648545658626466687072747668[[#This Row],[VO2]]</f>
        <v>1.0370046296296295E-3</v>
      </c>
      <c r="P21" s="28"/>
      <c r="Q21" s="25"/>
      <c r="R21" s="25"/>
      <c r="S21" s="25"/>
      <c r="T21" s="28"/>
      <c r="U21" s="11"/>
      <c r="V21" s="36"/>
      <c r="W21" s="15" t="s">
        <v>35</v>
      </c>
      <c r="X21" s="50" t="s">
        <v>341</v>
      </c>
    </row>
    <row r="22" spans="1:24" ht="21" customHeight="1">
      <c r="A22" s="10" t="s">
        <v>58</v>
      </c>
      <c r="B22" s="11">
        <v>1.3368055555555555E-2</v>
      </c>
      <c r="C22" s="11">
        <v>4.1087962962962962E-3</v>
      </c>
      <c r="D22" s="11">
        <f>B22*E22</f>
        <v>7.7775347222222213E-3</v>
      </c>
      <c r="E22" s="12">
        <v>0.58179999999999998</v>
      </c>
      <c r="F22" s="11">
        <f>C22/4</f>
        <v>1.027199074074074E-3</v>
      </c>
      <c r="G22" s="11">
        <f>D22/7.5</f>
        <v>1.0370046296296295E-3</v>
      </c>
      <c r="H22" s="11">
        <f>B22/12.5</f>
        <v>1.0694444444444445E-3</v>
      </c>
      <c r="I22" s="11">
        <f>G22/0.93</f>
        <v>1.1150587415372358E-3</v>
      </c>
      <c r="J22" s="11">
        <f>G22/0.92</f>
        <v>1.1271789452495973E-3</v>
      </c>
      <c r="K22" s="11">
        <f>G22/0.88</f>
        <v>1.1784143518518517E-3</v>
      </c>
      <c r="L22" s="11">
        <f>G22/0.84</f>
        <v>1.2345293209876543E-3</v>
      </c>
      <c r="M22" s="25">
        <f>WO2025Jan7108141618222428303234384042444648545658626466687072747668[[#This Row],[Thresh]]</f>
        <v>1.1784143518518517E-3</v>
      </c>
      <c r="N22" s="28">
        <f>WO2025Jan7108141618222428303234384042444648545658626466687072747668[[#This Row],[Thresh]]*2.5</f>
        <v>2.9460358796296292E-3</v>
      </c>
      <c r="O22" s="25">
        <f>WO2025Jan7108141618222428303234384042444648545658626466687072747668[[#This Row],[VO2]]</f>
        <v>1.0370046296296295E-3</v>
      </c>
      <c r="P22" s="25"/>
      <c r="Q22" s="25"/>
      <c r="R22" s="25"/>
      <c r="S22" s="28"/>
      <c r="T22" s="28"/>
      <c r="U22" s="28"/>
      <c r="V22" s="38"/>
      <c r="W22" s="15" t="s">
        <v>35</v>
      </c>
      <c r="X22" s="50"/>
    </row>
    <row r="23" spans="1:24" ht="21" customHeight="1">
      <c r="A23" s="10" t="s">
        <v>70</v>
      </c>
      <c r="B23" s="11">
        <v>1.3541666666666667E-2</v>
      </c>
      <c r="C23" s="11">
        <v>4.0509259259259257E-3</v>
      </c>
      <c r="D23" s="11">
        <f>B23*E23</f>
        <v>7.8785416666666674E-3</v>
      </c>
      <c r="E23" s="12">
        <v>0.58179999999999998</v>
      </c>
      <c r="F23" s="11">
        <f>C23/4</f>
        <v>1.0127314814814814E-3</v>
      </c>
      <c r="G23" s="11">
        <f>D23/7.5</f>
        <v>1.0504722222222224E-3</v>
      </c>
      <c r="H23" s="11">
        <f>B23/12.5</f>
        <v>1.0833333333333333E-3</v>
      </c>
      <c r="I23" s="11">
        <f>G23/0.93</f>
        <v>1.1295400238948627E-3</v>
      </c>
      <c r="J23" s="11">
        <f>G23/0.92</f>
        <v>1.1418176328502417E-3</v>
      </c>
      <c r="K23" s="11">
        <f>G23/0.88</f>
        <v>1.1937184343434346E-3</v>
      </c>
      <c r="L23" s="11">
        <f>G23/0.84</f>
        <v>1.2505621693121695E-3</v>
      </c>
      <c r="M23" s="25">
        <f>WO2025Jan7108141618222428303234384042444648545658626466687072747668[[#This Row],[Thresh]]</f>
        <v>1.1937184343434346E-3</v>
      </c>
      <c r="N23" s="28">
        <f>WO2025Jan7108141618222428303234384042444648545658626466687072747668[[#This Row],[Thresh]]*2.5</f>
        <v>2.9842960858585863E-3</v>
      </c>
      <c r="O23" s="25">
        <f>WO2025Jan7108141618222428303234384042444648545658626466687072747668[[#This Row],[VO2]]</f>
        <v>1.0504722222222224E-3</v>
      </c>
      <c r="P23" s="25"/>
      <c r="Q23" s="25"/>
      <c r="R23" s="25"/>
      <c r="S23" s="28"/>
      <c r="T23" s="28"/>
      <c r="U23" s="28"/>
      <c r="V23" s="38"/>
      <c r="W23" s="15" t="s">
        <v>35</v>
      </c>
      <c r="X23" s="50"/>
    </row>
    <row r="24" spans="1:24" ht="21" customHeight="1">
      <c r="A24" s="10" t="s">
        <v>75</v>
      </c>
      <c r="B24" s="11">
        <v>1.3541666666666667E-2</v>
      </c>
      <c r="C24" s="11"/>
      <c r="D24" s="11">
        <f>B24*E24</f>
        <v>7.8785416666666674E-3</v>
      </c>
      <c r="E24" s="12">
        <v>0.58179999999999998</v>
      </c>
      <c r="F24" s="11">
        <f>C24/4</f>
        <v>0</v>
      </c>
      <c r="G24" s="11">
        <f>D24/7.5</f>
        <v>1.0504722222222224E-3</v>
      </c>
      <c r="H24" s="11">
        <f>B24/12.5</f>
        <v>1.0833333333333333E-3</v>
      </c>
      <c r="I24" s="11">
        <f>G24/0.93</f>
        <v>1.1295400238948627E-3</v>
      </c>
      <c r="J24" s="11">
        <f>G24/0.92</f>
        <v>1.1418176328502417E-3</v>
      </c>
      <c r="K24" s="11">
        <f>G24/0.88</f>
        <v>1.1937184343434346E-3</v>
      </c>
      <c r="L24" s="11">
        <f>G24/0.84</f>
        <v>1.2505621693121695E-3</v>
      </c>
      <c r="M24" s="25">
        <f>WO2025Jan7108141618222428303234384042444648545658626466687072747668[[#This Row],[Thresh]]</f>
        <v>1.1937184343434346E-3</v>
      </c>
      <c r="N24" s="28">
        <f>WO2025Jan7108141618222428303234384042444648545658626466687072747668[[#This Row],[Thresh]]*2.5</f>
        <v>2.9842960858585863E-3</v>
      </c>
      <c r="O24" s="25">
        <f>WO2025Jan7108141618222428303234384042444648545658626466687072747668[[#This Row],[VO2]]</f>
        <v>1.0504722222222224E-3</v>
      </c>
      <c r="P24" s="25"/>
      <c r="Q24" s="25"/>
      <c r="R24" s="25"/>
      <c r="S24" s="25"/>
      <c r="T24" s="25"/>
      <c r="U24" s="25"/>
      <c r="V24" s="11"/>
      <c r="W24" s="15" t="s">
        <v>35</v>
      </c>
      <c r="X24" s="50"/>
    </row>
    <row r="25" spans="1:24" ht="21" customHeight="1">
      <c r="A25" s="10"/>
      <c r="B25" s="11"/>
      <c r="C25" s="11"/>
      <c r="D25" s="11"/>
      <c r="E25" s="12"/>
      <c r="F25" s="11"/>
      <c r="G25" s="11"/>
      <c r="H25" s="11"/>
      <c r="I25" s="11"/>
      <c r="J25" s="11"/>
      <c r="K25" s="11"/>
      <c r="L25" s="11"/>
      <c r="M25" s="14"/>
      <c r="O25" s="14"/>
      <c r="P25" s="11"/>
      <c r="Q25" s="14"/>
      <c r="R25" s="11"/>
      <c r="S25" s="14"/>
      <c r="T25" s="14"/>
      <c r="U25" s="14"/>
      <c r="V25" s="11"/>
      <c r="W25" s="15"/>
      <c r="X25" s="50"/>
    </row>
    <row r="26" spans="1:24" ht="21" customHeight="1">
      <c r="A26" s="10"/>
      <c r="B26" s="11"/>
      <c r="C26" s="11"/>
      <c r="D26" s="11"/>
      <c r="E26" s="12"/>
      <c r="F26" s="11"/>
      <c r="G26" s="11"/>
      <c r="H26" s="11"/>
      <c r="I26" s="11"/>
      <c r="J26" s="11"/>
      <c r="K26" s="11"/>
      <c r="L26" s="11"/>
      <c r="M26" s="13"/>
      <c r="N26" s="11"/>
      <c r="O26" s="11"/>
      <c r="P26" s="11"/>
      <c r="Q26" s="14"/>
      <c r="R26" s="11"/>
      <c r="S26" s="14"/>
      <c r="T26" s="14"/>
      <c r="U26" s="14"/>
      <c r="V26" s="17"/>
      <c r="W26" s="18"/>
      <c r="X26" s="50"/>
    </row>
    <row r="27" spans="1:24" ht="21" customHeight="1">
      <c r="A27" s="10"/>
      <c r="B27" s="11"/>
      <c r="C27" s="11"/>
      <c r="D27" s="11"/>
      <c r="E27" s="12"/>
      <c r="F27" s="11"/>
      <c r="G27" s="11"/>
      <c r="H27" s="11"/>
      <c r="I27" s="11"/>
      <c r="J27" s="11"/>
      <c r="K27" s="11"/>
      <c r="L27" s="11"/>
      <c r="M27" s="13"/>
      <c r="N27" s="11"/>
      <c r="O27" s="11"/>
      <c r="P27" s="11"/>
      <c r="Q27" s="14"/>
      <c r="R27" s="11"/>
      <c r="S27" s="14"/>
      <c r="T27" s="14"/>
      <c r="U27" s="14"/>
      <c r="V27" s="17"/>
      <c r="W27" s="18"/>
      <c r="X27" s="50"/>
    </row>
    <row r="28" spans="1:24" ht="21" customHeight="1">
      <c r="A28" s="10"/>
      <c r="B28" s="11"/>
      <c r="C28" s="11"/>
      <c r="D28" s="11"/>
      <c r="E28" s="12"/>
      <c r="F28" s="11"/>
      <c r="G28" s="11"/>
      <c r="H28" s="11"/>
      <c r="I28" s="11"/>
      <c r="J28" s="11"/>
      <c r="K28" s="11"/>
      <c r="L28" s="11"/>
      <c r="M28" s="13"/>
      <c r="N28" s="11"/>
      <c r="O28" s="11"/>
      <c r="P28" s="11"/>
      <c r="Q28" s="14"/>
      <c r="R28" s="11"/>
      <c r="S28" s="14"/>
      <c r="T28" s="14"/>
      <c r="U28" s="14"/>
      <c r="V28" s="17"/>
      <c r="W28" s="18"/>
      <c r="X28" s="50"/>
    </row>
    <row r="29" spans="1:24" ht="21" customHeight="1" thickBot="1">
      <c r="A29" s="10"/>
      <c r="B29" s="11"/>
      <c r="C29" s="11"/>
      <c r="D29" s="11"/>
      <c r="E29" s="12"/>
      <c r="F29" s="11"/>
      <c r="G29" s="11"/>
      <c r="H29" s="11"/>
      <c r="I29" s="11"/>
      <c r="J29" s="11"/>
      <c r="K29" s="11"/>
      <c r="L29" s="11"/>
      <c r="M29" s="13"/>
      <c r="N29" s="11"/>
      <c r="O29" s="11"/>
      <c r="P29" s="11"/>
      <c r="Q29" s="14"/>
      <c r="R29" s="11"/>
      <c r="S29" s="14"/>
      <c r="T29" s="14"/>
      <c r="U29" s="14"/>
      <c r="V29" s="17"/>
      <c r="W29" s="18"/>
      <c r="X29" s="50"/>
    </row>
    <row r="30" spans="1:24" ht="21" customHeight="1">
      <c r="A30" s="1" t="s">
        <v>338</v>
      </c>
      <c r="B30" s="6"/>
      <c r="C30" s="6"/>
      <c r="D30" s="6"/>
      <c r="E30" s="20"/>
      <c r="F30" s="6"/>
      <c r="G30" s="6"/>
      <c r="H30" s="6"/>
      <c r="I30" s="6"/>
      <c r="J30" s="6"/>
      <c r="K30" s="6"/>
      <c r="L30" s="6"/>
      <c r="M30" s="6" t="s">
        <v>12</v>
      </c>
      <c r="N30" s="6" t="s">
        <v>13</v>
      </c>
      <c r="O30" s="6" t="s">
        <v>16</v>
      </c>
      <c r="P30" s="6"/>
      <c r="Q30" s="6"/>
      <c r="R30" s="6"/>
      <c r="S30" s="6"/>
      <c r="T30" s="6"/>
      <c r="U30" s="6"/>
      <c r="V30" s="21"/>
      <c r="W30" s="35"/>
      <c r="X30" s="50"/>
    </row>
    <row r="31" spans="1:24" ht="21" customHeight="1">
      <c r="A31" s="10" t="s">
        <v>50</v>
      </c>
      <c r="B31" s="11">
        <v>1.3020833333333334E-2</v>
      </c>
      <c r="C31" s="11">
        <v>3.6458333333333334E-3</v>
      </c>
      <c r="D31" s="11">
        <f>B31*E31</f>
        <v>7.5755208333333334E-3</v>
      </c>
      <c r="E31" s="12">
        <v>0.58179999999999998</v>
      </c>
      <c r="F31" s="11">
        <f>C31/4</f>
        <v>9.1145833333333335E-4</v>
      </c>
      <c r="G31" s="11">
        <f>D31/7.5</f>
        <v>1.0100694444444445E-3</v>
      </c>
      <c r="H31" s="11">
        <f>B31/12.5</f>
        <v>1.0416666666666667E-3</v>
      </c>
      <c r="I31" s="11">
        <f>G31/0.93</f>
        <v>1.0860961768219832E-3</v>
      </c>
      <c r="J31" s="11">
        <f>G31/0.92</f>
        <v>1.0979015700483092E-3</v>
      </c>
      <c r="K31" s="11">
        <f>G31/0.88</f>
        <v>1.1478061868686869E-3</v>
      </c>
      <c r="L31" s="11">
        <f>G31/0.84</f>
        <v>1.2024636243386244E-3</v>
      </c>
      <c r="M31" s="25">
        <f>WO2025Jan7108141618222428303234384042444648545658626466687072747668[[#This Row],[Thresh]]</f>
        <v>1.1478061868686869E-3</v>
      </c>
      <c r="N31" s="28">
        <f>WO2025Jan7108141618222428303234384042444648545658626466687072747668[[#This Row],[Thresh]]*2.5</f>
        <v>2.8695154671717171E-3</v>
      </c>
      <c r="O31" s="25">
        <f>WO2025Jan7108141618222428303234384042444648545658626466687072747668[[#This Row],[VO2]]/2</f>
        <v>5.0503472222222226E-4</v>
      </c>
      <c r="P31" s="28"/>
      <c r="Q31" s="25"/>
      <c r="R31" s="25"/>
      <c r="S31" s="25"/>
      <c r="T31" s="28"/>
      <c r="U31" s="11"/>
      <c r="V31" s="36"/>
      <c r="W31" s="15" t="s">
        <v>48</v>
      </c>
      <c r="X31" s="50" t="s">
        <v>342</v>
      </c>
    </row>
    <row r="32" spans="1:24" ht="21" customHeight="1">
      <c r="A32" s="10" t="s">
        <v>36</v>
      </c>
      <c r="B32" s="11">
        <v>1.3020833333333334E-2</v>
      </c>
      <c r="C32" s="11"/>
      <c r="D32" s="11">
        <f>B32*E32</f>
        <v>7.5755208333333334E-3</v>
      </c>
      <c r="E32" s="12">
        <v>0.58179999999999998</v>
      </c>
      <c r="F32" s="11">
        <f>C32/4</f>
        <v>0</v>
      </c>
      <c r="G32" s="11">
        <f>D32/7.5</f>
        <v>1.0100694444444445E-3</v>
      </c>
      <c r="H32" s="11">
        <f>B32/12.5</f>
        <v>1.0416666666666667E-3</v>
      </c>
      <c r="I32" s="11">
        <f>G32/0.93</f>
        <v>1.0860961768219832E-3</v>
      </c>
      <c r="J32" s="11">
        <f>G32/0.92</f>
        <v>1.0979015700483092E-3</v>
      </c>
      <c r="K32" s="11">
        <f>G32/0.88</f>
        <v>1.1478061868686869E-3</v>
      </c>
      <c r="L32" s="11">
        <f>G32/0.84</f>
        <v>1.2024636243386244E-3</v>
      </c>
      <c r="M32" s="25">
        <f>WO2025Jan7108141618222428303234384042444648545658626466687072747668[[#This Row],[Thresh]]</f>
        <v>1.1478061868686869E-3</v>
      </c>
      <c r="N32" s="28">
        <f>WO2025Jan7108141618222428303234384042444648545658626466687072747668[[#This Row],[Thresh]]*2.5</f>
        <v>2.8695154671717171E-3</v>
      </c>
      <c r="O32" s="25">
        <f>WO2025Jan7108141618222428303234384042444648545658626466687072747668[[#This Row],[VO2]]/2</f>
        <v>5.0503472222222226E-4</v>
      </c>
      <c r="P32" s="28"/>
      <c r="Q32" s="25"/>
      <c r="R32" s="25"/>
      <c r="S32" s="25"/>
      <c r="T32" s="28"/>
      <c r="U32" s="11"/>
      <c r="V32" s="36"/>
      <c r="W32" s="15" t="s">
        <v>48</v>
      </c>
      <c r="X32" s="50"/>
    </row>
    <row r="33" spans="1:24" ht="21" customHeight="1">
      <c r="A33" s="10" t="s">
        <v>53</v>
      </c>
      <c r="B33" s="11">
        <v>1.3020833333333334E-2</v>
      </c>
      <c r="C33" s="11"/>
      <c r="D33" s="11">
        <f>B33*E33</f>
        <v>7.5755208333333334E-3</v>
      </c>
      <c r="E33" s="12">
        <v>0.58179999999999998</v>
      </c>
      <c r="F33" s="11">
        <f>C33/4</f>
        <v>0</v>
      </c>
      <c r="G33" s="11">
        <f>D33/7.5</f>
        <v>1.0100694444444445E-3</v>
      </c>
      <c r="H33" s="11">
        <f>B33/12.5</f>
        <v>1.0416666666666667E-3</v>
      </c>
      <c r="I33" s="11">
        <f>G33/0.93</f>
        <v>1.0860961768219832E-3</v>
      </c>
      <c r="J33" s="11">
        <f>G33/0.92</f>
        <v>1.0979015700483092E-3</v>
      </c>
      <c r="K33" s="11">
        <f>G33/0.88</f>
        <v>1.1478061868686869E-3</v>
      </c>
      <c r="L33" s="11">
        <f>G33/0.84</f>
        <v>1.2024636243386244E-3</v>
      </c>
      <c r="M33" s="25">
        <f>WO2025Jan7108141618222428303234384042444648545658626466687072747668[[#This Row],[Thresh]]</f>
        <v>1.1478061868686869E-3</v>
      </c>
      <c r="N33" s="28">
        <f>WO2025Jan7108141618222428303234384042444648545658626466687072747668[[#This Row],[Thresh]]*2.5</f>
        <v>2.8695154671717171E-3</v>
      </c>
      <c r="O33" s="25">
        <f>WO2025Jan7108141618222428303234384042444648545658626466687072747668[[#This Row],[VO2]]/2</f>
        <v>5.0503472222222226E-4</v>
      </c>
      <c r="P33" s="28"/>
      <c r="Q33" s="25"/>
      <c r="R33" s="28"/>
      <c r="S33" s="28"/>
      <c r="T33" s="11"/>
      <c r="U33" s="11"/>
      <c r="V33" s="17"/>
      <c r="W33" s="18" t="s">
        <v>48</v>
      </c>
      <c r="X33" s="50"/>
    </row>
    <row r="34" spans="1:24" ht="21" customHeight="1">
      <c r="A34" s="10" t="s">
        <v>47</v>
      </c>
      <c r="B34" s="11">
        <v>1.3194444444444444E-2</v>
      </c>
      <c r="C34" s="11">
        <v>3.7037037037037038E-3</v>
      </c>
      <c r="D34" s="11">
        <f>B34*E34</f>
        <v>7.6765277777777778E-3</v>
      </c>
      <c r="E34" s="12">
        <v>0.58179999999999998</v>
      </c>
      <c r="F34" s="11">
        <f>C34/4</f>
        <v>9.2592592592592596E-4</v>
      </c>
      <c r="G34" s="11">
        <f>D34/7.5</f>
        <v>1.023537037037037E-3</v>
      </c>
      <c r="H34" s="11">
        <f>B34/12.5</f>
        <v>1.0555555555555555E-3</v>
      </c>
      <c r="I34" s="11">
        <f>G34/0.93</f>
        <v>1.1005774591796096E-3</v>
      </c>
      <c r="J34" s="11">
        <f>G34/0.92</f>
        <v>1.1125402576489531E-3</v>
      </c>
      <c r="K34" s="11">
        <f>G34/0.88</f>
        <v>1.1631102693602693E-3</v>
      </c>
      <c r="L34" s="11">
        <f>G34/0.84</f>
        <v>1.2184964726631392E-3</v>
      </c>
      <c r="M34" s="25">
        <f>WO2025Jan7108141618222428303234384042444648545658626466687072747668[[#This Row],[Thresh]]</f>
        <v>1.1631102693602693E-3</v>
      </c>
      <c r="N34" s="28">
        <f>WO2025Jan7108141618222428303234384042444648545658626466687072747668[[#This Row],[Thresh]]*2.5</f>
        <v>2.9077756734006734E-3</v>
      </c>
      <c r="O34" s="25">
        <f>WO2025Jan7108141618222428303234384042444648545658626466687072747668[[#This Row],[VO2]]/2</f>
        <v>5.117685185185185E-4</v>
      </c>
      <c r="P34" s="28"/>
      <c r="Q34" s="25"/>
      <c r="R34" s="25"/>
      <c r="S34" s="25"/>
      <c r="T34" s="28"/>
      <c r="U34" s="11"/>
      <c r="V34" s="36"/>
      <c r="W34" s="15" t="s">
        <v>48</v>
      </c>
      <c r="X34" s="50"/>
    </row>
    <row r="35" spans="1:24" ht="21" customHeight="1">
      <c r="A35" s="10" t="s">
        <v>198</v>
      </c>
      <c r="B35" s="11">
        <v>1.4583333333333334E-2</v>
      </c>
      <c r="C35" s="11">
        <v>4.1666666666666666E-3</v>
      </c>
      <c r="D35" s="11">
        <f>B35*E35</f>
        <v>8.4845833333333336E-3</v>
      </c>
      <c r="E35" s="12">
        <v>0.58179999999999998</v>
      </c>
      <c r="F35" s="11">
        <f>C35/4</f>
        <v>1.0416666666666667E-3</v>
      </c>
      <c r="G35" s="11">
        <f>D35/7.5</f>
        <v>1.1312777777777777E-3</v>
      </c>
      <c r="H35" s="11">
        <f>B35/12.5</f>
        <v>1.1666666666666668E-3</v>
      </c>
      <c r="I35" s="11">
        <f>G35/0.93</f>
        <v>1.2164277180406211E-3</v>
      </c>
      <c r="J35" s="11">
        <f>G35/0.92</f>
        <v>1.2296497584541061E-3</v>
      </c>
      <c r="K35" s="11">
        <f>G35/0.88</f>
        <v>1.2855429292929293E-3</v>
      </c>
      <c r="L35" s="11">
        <f>G35/0.84</f>
        <v>1.3467592592592591E-3</v>
      </c>
      <c r="M35" s="25">
        <f>WO2025Jan7108141618222428303234384042444648545658626466687072747668[[#This Row],[Thresh]]</f>
        <v>1.2855429292929293E-3</v>
      </c>
      <c r="N35" s="28">
        <f>WO2025Jan7108141618222428303234384042444648545658626466687072747668[[#This Row],[Thresh]]*2.5</f>
        <v>3.2138573232323234E-3</v>
      </c>
      <c r="O35" s="25">
        <f>WO2025Jan7108141618222428303234384042444648545658626466687072747668[[#This Row],[VO2]]/2</f>
        <v>5.6563888888888885E-4</v>
      </c>
      <c r="P35" s="28"/>
      <c r="Q35" s="25"/>
      <c r="R35" s="25"/>
      <c r="S35" s="25"/>
      <c r="T35" s="28"/>
      <c r="U35" s="11"/>
      <c r="V35" s="36"/>
      <c r="W35" s="15" t="s">
        <v>48</v>
      </c>
      <c r="X35" s="50"/>
    </row>
    <row r="36" spans="1:24" ht="21" customHeight="1">
      <c r="A36" s="10"/>
      <c r="B36" s="11"/>
      <c r="C36" s="11"/>
      <c r="D36" s="11"/>
      <c r="E36" s="12"/>
      <c r="F36" s="11"/>
      <c r="G36" s="11"/>
      <c r="H36" s="11"/>
      <c r="I36" s="11"/>
      <c r="J36" s="11"/>
      <c r="K36" s="11"/>
      <c r="L36" s="11"/>
      <c r="M36" s="25"/>
      <c r="N36" s="28"/>
      <c r="O36" s="25"/>
      <c r="P36" s="28"/>
      <c r="Q36" s="25"/>
      <c r="R36" s="11"/>
      <c r="S36" s="14"/>
      <c r="T36" s="11"/>
      <c r="U36" s="11"/>
      <c r="V36" s="17"/>
      <c r="W36" s="18"/>
      <c r="X36" s="50"/>
    </row>
    <row r="37" spans="1:24" ht="21" customHeight="1">
      <c r="A37" s="19"/>
      <c r="B37" s="6"/>
      <c r="C37" s="6"/>
      <c r="D37" s="6"/>
      <c r="E37" s="20"/>
      <c r="F37" s="6"/>
      <c r="G37" s="6"/>
      <c r="H37" s="6"/>
      <c r="I37" s="6"/>
      <c r="J37" s="6"/>
      <c r="K37" s="6"/>
      <c r="L37" s="6"/>
      <c r="M37" s="6" t="s">
        <v>172</v>
      </c>
      <c r="N37" s="6"/>
      <c r="O37" s="6"/>
      <c r="P37" s="6"/>
      <c r="Q37" s="6"/>
      <c r="R37" s="6"/>
      <c r="S37" s="6"/>
      <c r="T37" s="6"/>
      <c r="U37" s="6"/>
      <c r="V37" s="21"/>
      <c r="W37" s="43"/>
      <c r="X37" s="50"/>
    </row>
    <row r="38" spans="1:24" ht="21" customHeight="1">
      <c r="A38" s="10" t="s">
        <v>51</v>
      </c>
      <c r="B38" s="11">
        <v>1.238425925925926E-2</v>
      </c>
      <c r="C38" s="11">
        <v>3.5879629629629629E-3</v>
      </c>
      <c r="D38" s="11">
        <f>B38*E38</f>
        <v>7.2051620370370368E-3</v>
      </c>
      <c r="E38" s="12">
        <v>0.58179999999999998</v>
      </c>
      <c r="F38" s="11">
        <f>C38/4</f>
        <v>8.9699074074074073E-4</v>
      </c>
      <c r="G38" s="11">
        <f>D38/7.5</f>
        <v>9.6068827160493821E-4</v>
      </c>
      <c r="H38" s="11">
        <f>B38/12.5</f>
        <v>9.9074074074074082E-4</v>
      </c>
      <c r="I38" s="11">
        <f>G38/0.93</f>
        <v>1.0329981415106862E-3</v>
      </c>
      <c r="J38" s="11">
        <f>G38/0.92</f>
        <v>1.0442263821792807E-3</v>
      </c>
      <c r="K38" s="11">
        <f>G38/0.88</f>
        <v>1.0916912177328843E-3</v>
      </c>
      <c r="L38" s="11">
        <f>G38/0.84</f>
        <v>1.1436765138154027E-3</v>
      </c>
      <c r="M38" s="25">
        <f>WO2025Jan7108141618222428303234384042444648545658626466687072747668[[#This Row],[Thresh]]</f>
        <v>1.0916912177328843E-3</v>
      </c>
      <c r="N38" s="28"/>
      <c r="O38" s="25"/>
      <c r="P38" s="28"/>
      <c r="Q38" s="25"/>
      <c r="R38" s="28"/>
      <c r="S38" s="11"/>
      <c r="T38" s="11"/>
      <c r="U38" s="11"/>
      <c r="V38" s="11"/>
      <c r="W38" s="15" t="s">
        <v>213</v>
      </c>
      <c r="X38" s="50"/>
    </row>
    <row r="39" spans="1:24" ht="21" customHeight="1">
      <c r="A39" s="10" t="s">
        <v>74</v>
      </c>
      <c r="B39" s="11">
        <v>1.3020833333333334E-2</v>
      </c>
      <c r="C39" s="11">
        <v>3.7037037037037038E-3</v>
      </c>
      <c r="D39" s="11">
        <f>B39*E39</f>
        <v>7.5755208333333334E-3</v>
      </c>
      <c r="E39" s="12">
        <v>0.58179999999999998</v>
      </c>
      <c r="F39" s="11">
        <f>C39/4</f>
        <v>9.2592592592592596E-4</v>
      </c>
      <c r="G39" s="11">
        <f>D39/7.5</f>
        <v>1.0100694444444445E-3</v>
      </c>
      <c r="H39" s="11">
        <f>B39/12.5</f>
        <v>1.0416666666666667E-3</v>
      </c>
      <c r="I39" s="11">
        <f>G39/0.93</f>
        <v>1.0860961768219832E-3</v>
      </c>
      <c r="J39" s="11">
        <f>G39/0.92</f>
        <v>1.0979015700483092E-3</v>
      </c>
      <c r="K39" s="11">
        <f>G39/0.88</f>
        <v>1.1478061868686869E-3</v>
      </c>
      <c r="L39" s="11">
        <f>G39/0.84</f>
        <v>1.2024636243386244E-3</v>
      </c>
      <c r="M39" s="25">
        <f>WO2025Jan7108141618222428303234384042444648545658626466687072747668[[#This Row],[Thresh]]</f>
        <v>1.1478061868686869E-3</v>
      </c>
      <c r="N39" s="28"/>
      <c r="O39" s="25"/>
      <c r="P39" s="28"/>
      <c r="Q39" s="25"/>
      <c r="R39" s="25"/>
      <c r="S39" s="25"/>
      <c r="T39" s="28"/>
      <c r="U39" s="11"/>
      <c r="V39" s="36"/>
      <c r="W39" s="15" t="s">
        <v>213</v>
      </c>
      <c r="X39" s="50"/>
    </row>
    <row r="40" spans="1:24" ht="21" customHeight="1">
      <c r="A40" s="10" t="s">
        <v>72</v>
      </c>
      <c r="B40" s="11">
        <v>1.3541666666666667E-2</v>
      </c>
      <c r="C40" s="11">
        <v>4.0509259259259257E-3</v>
      </c>
      <c r="D40" s="11">
        <f>B40*E40</f>
        <v>7.8785416666666674E-3</v>
      </c>
      <c r="E40" s="12">
        <v>0.58179999999999998</v>
      </c>
      <c r="F40" s="11">
        <f>C40/4</f>
        <v>1.0127314814814814E-3</v>
      </c>
      <c r="G40" s="11">
        <f>D40/7.5</f>
        <v>1.0504722222222224E-3</v>
      </c>
      <c r="H40" s="11">
        <f>B40/12.5</f>
        <v>1.0833333333333333E-3</v>
      </c>
      <c r="I40" s="11">
        <f>G40/0.93</f>
        <v>1.1295400238948627E-3</v>
      </c>
      <c r="J40" s="11">
        <f>G40/0.92</f>
        <v>1.1418176328502417E-3</v>
      </c>
      <c r="K40" s="11">
        <f>G40/0.88</f>
        <v>1.1937184343434346E-3</v>
      </c>
      <c r="L40" s="11">
        <f>G40/0.84</f>
        <v>1.2505621693121695E-3</v>
      </c>
      <c r="M40" s="25">
        <v>1.1478061868686869E-3</v>
      </c>
      <c r="N40" s="28"/>
      <c r="O40" s="25"/>
      <c r="P40" s="25"/>
      <c r="Q40" s="25"/>
      <c r="R40" s="28"/>
      <c r="S40" s="11"/>
      <c r="T40" s="28"/>
      <c r="U40" s="28"/>
      <c r="V40" s="28"/>
      <c r="W40" s="15" t="s">
        <v>213</v>
      </c>
      <c r="X40" s="50"/>
    </row>
    <row r="41" spans="1:24" ht="21" customHeight="1">
      <c r="A41" s="10" t="s">
        <v>68</v>
      </c>
      <c r="B41" s="11">
        <v>1.4236111111111111E-2</v>
      </c>
      <c r="C41" s="11"/>
      <c r="D41" s="11">
        <f>B41*E41</f>
        <v>8.2825694444444448E-3</v>
      </c>
      <c r="E41" s="12">
        <v>0.58179999999999998</v>
      </c>
      <c r="F41" s="11">
        <f>C41/4</f>
        <v>0</v>
      </c>
      <c r="G41" s="11">
        <f>D41/7.5</f>
        <v>1.1043425925925927E-3</v>
      </c>
      <c r="H41" s="11">
        <f>B41/12.5</f>
        <v>1.1388888888888889E-3</v>
      </c>
      <c r="I41" s="11">
        <f>G41/0.93</f>
        <v>1.1874651533253684E-3</v>
      </c>
      <c r="J41" s="11">
        <f>G41/0.92</f>
        <v>1.2003723832528181E-3</v>
      </c>
      <c r="K41" s="11">
        <f>G41/0.88</f>
        <v>1.2549347643097644E-3</v>
      </c>
      <c r="L41" s="11">
        <f>G41/0.84</f>
        <v>1.3146935626102295E-3</v>
      </c>
      <c r="M41" s="25">
        <f>WO2025Jan7108141618222428303234384042444648545658626466687072747668[[#This Row],[Thresh]]</f>
        <v>1.2549347643097644E-3</v>
      </c>
      <c r="N41" s="28"/>
      <c r="O41" s="25"/>
      <c r="P41" s="28"/>
      <c r="Q41" s="25"/>
      <c r="R41" s="28"/>
      <c r="S41" s="11"/>
      <c r="T41" s="11"/>
      <c r="U41" s="11"/>
      <c r="V41" s="11"/>
      <c r="W41" s="15" t="s">
        <v>213</v>
      </c>
      <c r="X41" s="50" t="s">
        <v>256</v>
      </c>
    </row>
    <row r="42" spans="1:24" ht="21" customHeight="1">
      <c r="A42" s="10" t="s">
        <v>73</v>
      </c>
      <c r="B42" s="11">
        <v>1.4236111111111111E-2</v>
      </c>
      <c r="C42" s="11">
        <v>4.3981481481481484E-3</v>
      </c>
      <c r="D42" s="11">
        <f>B42*E42</f>
        <v>8.2825694444444448E-3</v>
      </c>
      <c r="E42" s="12">
        <v>0.58179999999999998</v>
      </c>
      <c r="F42" s="11">
        <f>C42/4</f>
        <v>1.0995370370370371E-3</v>
      </c>
      <c r="G42" s="11">
        <f>D42/7.5</f>
        <v>1.1043425925925927E-3</v>
      </c>
      <c r="H42" s="11">
        <f>B42/12.5</f>
        <v>1.1388888888888889E-3</v>
      </c>
      <c r="I42" s="11">
        <f>G42/0.93</f>
        <v>1.1874651533253684E-3</v>
      </c>
      <c r="J42" s="11">
        <f>G42/0.92</f>
        <v>1.2003723832528181E-3</v>
      </c>
      <c r="K42" s="11">
        <f>G42/0.88</f>
        <v>1.2549347643097644E-3</v>
      </c>
      <c r="L42" s="11">
        <f>G42/0.84</f>
        <v>1.3146935626102295E-3</v>
      </c>
      <c r="M42" s="25">
        <f>WO2025Jan7108141618222428303234384042444648545658626466687072747668[[#This Row],[Thresh]]</f>
        <v>1.2549347643097644E-3</v>
      </c>
      <c r="N42" s="28"/>
      <c r="O42" s="25"/>
      <c r="P42" s="25"/>
      <c r="Q42" s="25"/>
      <c r="R42" s="25"/>
      <c r="S42" s="28"/>
      <c r="T42" s="28"/>
      <c r="U42" s="28"/>
      <c r="V42" s="28"/>
      <c r="W42" s="15" t="s">
        <v>213</v>
      </c>
      <c r="X42" s="50"/>
    </row>
    <row r="43" spans="1:24" ht="21" customHeight="1">
      <c r="A43" s="10" t="s">
        <v>76</v>
      </c>
      <c r="B43" s="11">
        <v>1.4236111111111111E-2</v>
      </c>
      <c r="C43" s="11"/>
      <c r="D43" s="11">
        <f t="shared" ref="D43" si="8">B43*E43</f>
        <v>8.2825694444444448E-3</v>
      </c>
      <c r="E43" s="12">
        <v>0.58179999999999998</v>
      </c>
      <c r="F43" s="11">
        <f t="shared" ref="F43" si="9">C43/4</f>
        <v>0</v>
      </c>
      <c r="G43" s="11">
        <f t="shared" ref="G43" si="10">D43/7.5</f>
        <v>1.1043425925925927E-3</v>
      </c>
      <c r="H43" s="11">
        <f t="shared" ref="H43" si="11">B43/12.5</f>
        <v>1.1388888888888889E-3</v>
      </c>
      <c r="I43" s="11">
        <f t="shared" ref="I43" si="12">G43/0.93</f>
        <v>1.1874651533253684E-3</v>
      </c>
      <c r="J43" s="11">
        <f t="shared" ref="J43" si="13">G43/0.92</f>
        <v>1.2003723832528181E-3</v>
      </c>
      <c r="K43" s="11">
        <f t="shared" ref="K43" si="14">G43/0.88</f>
        <v>1.2549347643097644E-3</v>
      </c>
      <c r="L43" s="11">
        <f t="shared" ref="L43" si="15">G43/0.84</f>
        <v>1.3146935626102295E-3</v>
      </c>
      <c r="M43" s="25">
        <f>WO2025Jan7108141618222428303234384042444648545658626466687072747668[[#This Row],[Thresh]]</f>
        <v>1.2549347643097644E-3</v>
      </c>
      <c r="N43" s="28"/>
      <c r="O43" s="25"/>
      <c r="P43" s="25"/>
      <c r="Q43" s="25"/>
      <c r="R43" s="25"/>
      <c r="S43" s="28"/>
      <c r="T43" s="28"/>
      <c r="U43" s="28"/>
      <c r="V43" s="28"/>
      <c r="W43" s="15" t="s">
        <v>213</v>
      </c>
      <c r="X43" s="50"/>
    </row>
    <row r="44" spans="1:24" ht="21" customHeight="1">
      <c r="A44" s="10" t="s">
        <v>61</v>
      </c>
      <c r="B44" s="11">
        <v>1.4930555555555556E-2</v>
      </c>
      <c r="C44" s="11">
        <v>4.3981481481481484E-3</v>
      </c>
      <c r="D44" s="11">
        <f>B44*E44</f>
        <v>8.6865972222222223E-3</v>
      </c>
      <c r="E44" s="12">
        <v>0.58179999999999998</v>
      </c>
      <c r="F44" s="11">
        <f>C44/4</f>
        <v>1.0995370370370371E-3</v>
      </c>
      <c r="G44" s="11">
        <f>D44/7.5</f>
        <v>1.1582129629629629E-3</v>
      </c>
      <c r="H44" s="11">
        <f>B44/12.5</f>
        <v>1.1944444444444446E-3</v>
      </c>
      <c r="I44" s="11">
        <f>G44/0.93</f>
        <v>1.2453902827558739E-3</v>
      </c>
      <c r="J44" s="11">
        <f>G44/0.92</f>
        <v>1.2589271336553944E-3</v>
      </c>
      <c r="K44" s="11">
        <f>G44/0.88</f>
        <v>1.3161510942760941E-3</v>
      </c>
      <c r="L44" s="11">
        <f>G44/0.84</f>
        <v>1.3788249559082892E-3</v>
      </c>
      <c r="M44" s="25">
        <f>WO2025Jan7108141618222428303234384042444648545658626466687072747668[[#This Row],[Thresh]]</f>
        <v>1.3161510942760941E-3</v>
      </c>
      <c r="N44" s="28"/>
      <c r="O44" s="25"/>
      <c r="P44" s="25"/>
      <c r="Q44" s="25"/>
      <c r="R44" s="25"/>
      <c r="S44" s="28"/>
      <c r="T44" s="28"/>
      <c r="U44" s="28"/>
      <c r="V44" s="28"/>
      <c r="W44" s="15" t="s">
        <v>213</v>
      </c>
      <c r="X44" s="50"/>
    </row>
    <row r="45" spans="1:24" ht="21" customHeight="1">
      <c r="A45" s="39"/>
      <c r="B45" s="40"/>
      <c r="C45" s="40"/>
      <c r="D45" s="40"/>
      <c r="E45" s="41"/>
      <c r="F45" s="40"/>
      <c r="G45" s="40"/>
      <c r="H45" s="40"/>
      <c r="I45" s="40"/>
      <c r="J45" s="40"/>
      <c r="K45" s="40"/>
      <c r="L45" s="40"/>
      <c r="M45" s="40"/>
      <c r="N45" s="40"/>
      <c r="O45" s="40"/>
      <c r="P45" s="40"/>
      <c r="Q45" s="40"/>
      <c r="R45" s="40"/>
      <c r="S45" s="40"/>
      <c r="T45" s="40"/>
      <c r="U45" s="40"/>
      <c r="V45" s="40"/>
      <c r="W45" s="42"/>
      <c r="X45" s="50"/>
    </row>
    <row r="46" spans="1:24" ht="21" customHeight="1">
      <c r="A46" s="19"/>
      <c r="B46" s="6"/>
      <c r="C46" s="6"/>
      <c r="D46" s="6"/>
      <c r="E46" s="20"/>
      <c r="F46" s="6"/>
      <c r="G46" s="6"/>
      <c r="H46" s="6"/>
      <c r="I46" s="6"/>
      <c r="J46" s="6"/>
      <c r="K46" s="6"/>
      <c r="L46" s="6"/>
      <c r="M46" s="6"/>
      <c r="N46" s="6"/>
      <c r="O46" s="6"/>
      <c r="P46" s="6"/>
      <c r="Q46" s="6"/>
      <c r="R46" s="6"/>
      <c r="S46" s="6"/>
      <c r="T46" s="6"/>
      <c r="U46" s="6"/>
      <c r="V46" s="6"/>
      <c r="W46" s="35"/>
      <c r="X46" s="50"/>
    </row>
    <row r="47" spans="1:24" ht="21" customHeight="1">
      <c r="A47" s="10" t="s">
        <v>57</v>
      </c>
      <c r="B47" s="11"/>
      <c r="C47" s="11"/>
      <c r="D47" s="11"/>
      <c r="E47" s="12"/>
      <c r="F47" s="11"/>
      <c r="G47" s="11"/>
      <c r="H47" s="11"/>
      <c r="I47" s="11"/>
      <c r="J47" s="11"/>
      <c r="K47" s="11"/>
      <c r="L47" s="11"/>
      <c r="M47" s="25"/>
      <c r="N47" s="28"/>
      <c r="O47" s="25"/>
      <c r="P47" s="28"/>
      <c r="Q47" s="25"/>
      <c r="R47" s="28"/>
      <c r="S47" s="28"/>
      <c r="T47" s="11"/>
      <c r="U47" s="11"/>
      <c r="V47" s="11"/>
      <c r="W47" s="15" t="s">
        <v>52</v>
      </c>
      <c r="X47" s="50"/>
    </row>
    <row r="48" spans="1:24" ht="21" customHeight="1">
      <c r="A48" s="10" t="s">
        <v>164</v>
      </c>
      <c r="B48" s="11">
        <v>1.1342592592592593E-2</v>
      </c>
      <c r="C48" s="11">
        <v>3.2407407407407406E-3</v>
      </c>
      <c r="D48" s="11">
        <f>B48*E48</f>
        <v>6.5991203703703706E-3</v>
      </c>
      <c r="E48" s="12">
        <v>0.58179999999999998</v>
      </c>
      <c r="F48" s="11">
        <f>C48/4</f>
        <v>8.1018518518518516E-4</v>
      </c>
      <c r="G48" s="11">
        <f>D48/7.5</f>
        <v>8.7988271604938278E-4</v>
      </c>
      <c r="H48" s="11">
        <f>B48/12.5</f>
        <v>9.0740740740740745E-4</v>
      </c>
      <c r="I48" s="11">
        <f>G48/0.93</f>
        <v>9.4611044736492766E-4</v>
      </c>
      <c r="J48" s="11">
        <f>G48/0.92</f>
        <v>9.5639425657541603E-4</v>
      </c>
      <c r="K48" s="11">
        <f>G48/0.88</f>
        <v>9.9986672278338943E-4</v>
      </c>
      <c r="L48" s="11">
        <f>G48/0.84</f>
        <v>1.0474794238683129E-3</v>
      </c>
      <c r="M48" s="25"/>
      <c r="N48" s="28"/>
      <c r="O48" s="25"/>
      <c r="P48" s="28"/>
      <c r="Q48" s="28"/>
      <c r="R48" s="11"/>
      <c r="S48" s="14"/>
      <c r="T48" s="14"/>
      <c r="U48" s="26"/>
      <c r="V48" s="28"/>
      <c r="W48" s="27" t="s">
        <v>52</v>
      </c>
      <c r="X48" s="50"/>
    </row>
    <row r="49" spans="1:24" ht="21" customHeight="1">
      <c r="A49" s="10" t="s">
        <v>108</v>
      </c>
      <c r="B49" s="11">
        <v>1.0763888888888891E-2</v>
      </c>
      <c r="C49" s="11">
        <v>3.0671296296296297E-3</v>
      </c>
      <c r="D49" s="11">
        <f>B49*E49</f>
        <v>6.2624305555555567E-3</v>
      </c>
      <c r="E49" s="12">
        <v>0.58179999999999998</v>
      </c>
      <c r="F49" s="11">
        <f>C49/4</f>
        <v>7.6678240740740743E-4</v>
      </c>
      <c r="G49" s="11">
        <f>D49/7.5</f>
        <v>8.3499074074074085E-4</v>
      </c>
      <c r="H49" s="11">
        <f>B49/12.5</f>
        <v>8.6111111111111121E-4</v>
      </c>
      <c r="I49" s="11">
        <f>G49/0.93</f>
        <v>8.9783950617283953E-4</v>
      </c>
      <c r="J49" s="11">
        <f>G49/0.92</f>
        <v>9.0759863123993567E-4</v>
      </c>
      <c r="K49" s="11">
        <f>G49/0.88</f>
        <v>9.4885311447811464E-4</v>
      </c>
      <c r="L49" s="11">
        <f>G49/0.84</f>
        <v>9.9403659611992969E-4</v>
      </c>
      <c r="M49" s="25"/>
      <c r="N49" s="28"/>
      <c r="O49" s="25"/>
      <c r="P49" s="28"/>
      <c r="Q49" s="25"/>
      <c r="R49" s="28"/>
      <c r="S49" s="25"/>
      <c r="T49" s="25"/>
      <c r="U49" s="28"/>
      <c r="V49" s="28"/>
      <c r="W49" s="15" t="s">
        <v>52</v>
      </c>
      <c r="X49" s="50"/>
    </row>
    <row r="50" spans="1:24" ht="21" customHeight="1">
      <c r="A50" s="10" t="s">
        <v>105</v>
      </c>
      <c r="B50" s="11">
        <v>1.0648148148148148E-2</v>
      </c>
      <c r="C50" s="11">
        <v>2.9745370370370373E-3</v>
      </c>
      <c r="D50" s="11">
        <f>B50*E50</f>
        <v>6.1950925925925923E-3</v>
      </c>
      <c r="E50" s="12">
        <v>0.58179999999999998</v>
      </c>
      <c r="F50" s="11">
        <f>C50/4</f>
        <v>7.4363425925925931E-4</v>
      </c>
      <c r="G50" s="11">
        <f>D50/7.5</f>
        <v>8.2601234567901232E-4</v>
      </c>
      <c r="H50" s="11">
        <f>B50/12.5</f>
        <v>8.5185185185185179E-4</v>
      </c>
      <c r="I50" s="11">
        <f>G50/0.93</f>
        <v>8.8818531793442184E-4</v>
      </c>
      <c r="J50" s="11">
        <f>G50/0.92</f>
        <v>8.9783950617283942E-4</v>
      </c>
      <c r="K50" s="11">
        <f>G50/0.88</f>
        <v>9.3865039281705945E-4</v>
      </c>
      <c r="L50" s="11">
        <f>G50/0.84</f>
        <v>9.833480305702527E-4</v>
      </c>
      <c r="M50" s="37"/>
      <c r="N50" s="28"/>
      <c r="O50" s="25"/>
      <c r="P50" s="25"/>
      <c r="Q50" s="25"/>
      <c r="R50" s="25"/>
      <c r="S50" s="25"/>
      <c r="T50" s="25"/>
      <c r="U50" s="28"/>
      <c r="V50" s="25"/>
      <c r="W50" s="15" t="s">
        <v>52</v>
      </c>
      <c r="X50" s="50"/>
    </row>
    <row r="51" spans="1:24" ht="21" customHeight="1">
      <c r="A51" s="10"/>
      <c r="B51" s="11"/>
      <c r="C51" s="11"/>
      <c r="D51" s="11"/>
      <c r="E51" s="12"/>
      <c r="F51" s="11"/>
      <c r="G51" s="11"/>
      <c r="H51" s="11"/>
      <c r="I51" s="11"/>
      <c r="J51" s="11"/>
      <c r="K51" s="11"/>
      <c r="L51" s="11"/>
      <c r="M51" s="14"/>
      <c r="N51" s="11"/>
      <c r="O51" s="14"/>
      <c r="P51" s="11"/>
      <c r="Q51" s="14"/>
      <c r="R51" s="11"/>
      <c r="S51" s="14"/>
      <c r="T51" s="14"/>
      <c r="U51" s="14"/>
      <c r="V51" s="11"/>
      <c r="W51" s="15"/>
      <c r="X51" s="52"/>
    </row>
    <row r="52" spans="1:24" ht="21" customHeight="1">
      <c r="A52" s="10"/>
      <c r="B52" s="11"/>
      <c r="C52" s="11"/>
      <c r="D52" s="11"/>
      <c r="E52" s="12"/>
      <c r="F52" s="11"/>
      <c r="G52" s="11"/>
      <c r="H52" s="11"/>
      <c r="I52" s="11"/>
      <c r="J52" s="11"/>
      <c r="K52" s="11"/>
      <c r="L52" s="11"/>
      <c r="M52" s="14"/>
      <c r="N52" s="11"/>
      <c r="O52" s="14"/>
      <c r="P52" s="11"/>
      <c r="Q52" s="14"/>
      <c r="R52" s="11"/>
      <c r="S52" s="14"/>
      <c r="T52" s="14"/>
      <c r="U52" s="14"/>
      <c r="V52" s="11"/>
      <c r="W52" s="15"/>
      <c r="X52" s="52"/>
    </row>
    <row r="53" spans="1:24" ht="21" customHeight="1">
      <c r="A53" s="10"/>
      <c r="B53" s="11"/>
      <c r="C53" s="11"/>
      <c r="D53" s="11"/>
      <c r="E53" s="12"/>
      <c r="F53" s="11"/>
      <c r="G53" s="11"/>
      <c r="H53" s="11"/>
      <c r="I53" s="11"/>
      <c r="J53" s="11"/>
      <c r="K53" s="11"/>
      <c r="L53" s="17"/>
      <c r="M53" s="14"/>
      <c r="N53" s="11"/>
      <c r="O53" s="11"/>
      <c r="P53" s="11"/>
      <c r="Q53" s="14"/>
      <c r="R53" s="11"/>
      <c r="S53" s="14"/>
      <c r="T53" s="11"/>
      <c r="U53" s="11"/>
      <c r="V53" s="11"/>
      <c r="W53" s="15"/>
      <c r="X53" s="52"/>
    </row>
    <row r="54" spans="1:24" ht="21" customHeight="1">
      <c r="A54" s="10"/>
      <c r="B54" s="11"/>
      <c r="C54" s="11"/>
      <c r="D54" s="11"/>
      <c r="E54" s="12"/>
      <c r="F54" s="11"/>
      <c r="G54" s="11"/>
      <c r="H54" s="11"/>
      <c r="I54" s="11"/>
      <c r="J54" s="11"/>
      <c r="K54" s="11"/>
      <c r="L54" s="11"/>
      <c r="M54" s="13"/>
      <c r="N54" s="11"/>
      <c r="O54" s="11"/>
      <c r="P54" s="11"/>
      <c r="Q54" s="14"/>
      <c r="R54" s="11"/>
      <c r="S54" s="14"/>
      <c r="T54" s="14"/>
      <c r="U54" s="14"/>
      <c r="V54" s="17"/>
      <c r="W54" s="18"/>
      <c r="X54" s="52"/>
    </row>
    <row r="55" spans="1:24" ht="21" customHeight="1">
      <c r="A55" s="10"/>
      <c r="B55" s="11"/>
      <c r="C55" s="11"/>
      <c r="D55" s="11"/>
      <c r="E55" s="12"/>
      <c r="F55" s="11"/>
      <c r="G55" s="11"/>
      <c r="H55" s="11"/>
      <c r="I55" s="11"/>
      <c r="J55" s="11"/>
      <c r="K55" s="11"/>
      <c r="L55" s="11"/>
      <c r="M55" s="13"/>
      <c r="N55" s="11"/>
      <c r="O55" s="14"/>
      <c r="P55" s="11"/>
      <c r="Q55" s="14"/>
      <c r="R55" s="11"/>
      <c r="S55" s="14"/>
      <c r="T55" s="14"/>
      <c r="U55" s="14"/>
      <c r="V55" s="11"/>
      <c r="W55" s="18"/>
      <c r="X55" s="52"/>
    </row>
    <row r="56" spans="1:24" ht="21" customHeight="1">
      <c r="A56" s="10"/>
      <c r="B56" s="11"/>
      <c r="C56" s="11"/>
      <c r="D56" s="11"/>
      <c r="E56" s="12"/>
      <c r="F56" s="11"/>
      <c r="G56" s="11"/>
      <c r="H56" s="11"/>
      <c r="I56" s="11"/>
      <c r="J56" s="11"/>
      <c r="K56" s="11"/>
      <c r="L56" s="11"/>
      <c r="M56" s="13"/>
      <c r="N56" s="11"/>
      <c r="O56" s="11"/>
      <c r="P56" s="11"/>
      <c r="Q56" s="14"/>
      <c r="R56" s="11"/>
      <c r="S56" s="14"/>
      <c r="T56" s="14"/>
      <c r="U56" s="14"/>
      <c r="V56" s="17"/>
      <c r="W56" s="18"/>
      <c r="X56" s="52"/>
    </row>
    <row r="57" spans="1:24" ht="21" customHeight="1" thickBot="1">
      <c r="A57" s="10"/>
      <c r="B57" s="11"/>
      <c r="C57" s="11"/>
      <c r="D57" s="11"/>
      <c r="E57" s="12"/>
      <c r="F57" s="11"/>
      <c r="G57" s="11"/>
      <c r="H57" s="11"/>
      <c r="I57" s="11"/>
      <c r="J57" s="11"/>
      <c r="K57" s="11"/>
      <c r="L57" s="11"/>
      <c r="M57" s="13"/>
      <c r="N57" s="11"/>
      <c r="O57" s="11"/>
      <c r="P57" s="11"/>
      <c r="Q57" s="14"/>
      <c r="R57" s="11"/>
      <c r="S57" s="14"/>
      <c r="T57" s="14"/>
      <c r="U57" s="14"/>
      <c r="V57" s="17"/>
      <c r="W57" s="18"/>
      <c r="X57" s="52"/>
    </row>
    <row r="58" spans="1:24" ht="20.45" customHeight="1">
      <c r="A58" s="1" t="s">
        <v>338</v>
      </c>
      <c r="B58" s="2" t="s">
        <v>1</v>
      </c>
      <c r="C58" s="2" t="s">
        <v>2</v>
      </c>
      <c r="D58" s="2" t="s">
        <v>3</v>
      </c>
      <c r="E58" s="3" t="s">
        <v>4</v>
      </c>
      <c r="F58" s="2" t="s">
        <v>5</v>
      </c>
      <c r="G58" s="2" t="s">
        <v>6</v>
      </c>
      <c r="H58" s="2" t="s">
        <v>7</v>
      </c>
      <c r="I58" s="4" t="s">
        <v>8</v>
      </c>
      <c r="J58" s="2" t="s">
        <v>9</v>
      </c>
      <c r="K58" s="2" t="s">
        <v>10</v>
      </c>
      <c r="L58" s="2" t="s">
        <v>11</v>
      </c>
      <c r="M58" s="5" t="s">
        <v>12</v>
      </c>
      <c r="N58" s="6" t="s">
        <v>13</v>
      </c>
      <c r="O58" s="7" t="s">
        <v>158</v>
      </c>
      <c r="P58" s="8" t="s">
        <v>209</v>
      </c>
      <c r="Q58" s="8" t="s">
        <v>147</v>
      </c>
      <c r="R58" s="7" t="s">
        <v>148</v>
      </c>
      <c r="S58" s="7" t="s">
        <v>149</v>
      </c>
      <c r="T58" s="7" t="s">
        <v>77</v>
      </c>
      <c r="U58" s="8" t="s">
        <v>20</v>
      </c>
      <c r="V58" s="8" t="s">
        <v>21</v>
      </c>
      <c r="W58" s="24" t="s">
        <v>22</v>
      </c>
      <c r="X58" s="52" t="s">
        <v>343</v>
      </c>
    </row>
    <row r="59" spans="1:24" ht="20.45" customHeight="1">
      <c r="A59" s="10" t="s">
        <v>79</v>
      </c>
      <c r="B59" s="11">
        <v>9.8379629629629633E-3</v>
      </c>
      <c r="C59" s="11">
        <v>2.9745370370370373E-3</v>
      </c>
      <c r="D59" s="11">
        <f>B59*E59</f>
        <v>5.7237268518518522E-3</v>
      </c>
      <c r="E59" s="12">
        <v>0.58179999999999998</v>
      </c>
      <c r="F59" s="11">
        <f>C59/4</f>
        <v>7.4363425925925931E-4</v>
      </c>
      <c r="G59" s="11">
        <f>D59/7.5</f>
        <v>7.6316358024691364E-4</v>
      </c>
      <c r="H59" s="11">
        <f>B59/12.5</f>
        <v>7.8703703703703705E-4</v>
      </c>
      <c r="I59" s="11">
        <f>G59/0.93</f>
        <v>8.2060600026549854E-4</v>
      </c>
      <c r="J59" s="11">
        <f>G59/0.92</f>
        <v>8.29525630703167E-4</v>
      </c>
      <c r="K59" s="11">
        <f>G59/0.88</f>
        <v>8.6723134118967459E-4</v>
      </c>
      <c r="L59" s="11">
        <f>G59/0.84</f>
        <v>9.085280717225163E-4</v>
      </c>
      <c r="M59" s="25">
        <f>WO2025Jan7men119151719232529313335394143454749555759636567697173757779[[#This Row],[Thresh]]</f>
        <v>8.6723134118967459E-4</v>
      </c>
      <c r="N59" s="28">
        <f>WO2025Jan7men119151719232529313335394143454749555759636567697173757779[[#This Row],[Thresh]]*2.5</f>
        <v>2.1680783529741867E-3</v>
      </c>
      <c r="O59" s="25">
        <f>WO2025Jan7men119151719232529313335394143454749555759636567697173757779[[#This Row],[VO2]]</f>
        <v>7.6316358024691364E-4</v>
      </c>
      <c r="P59" s="25"/>
      <c r="Q59" s="25"/>
      <c r="R59" s="28"/>
      <c r="S59" s="25"/>
      <c r="T59" s="25"/>
      <c r="U59" s="28"/>
      <c r="V59" s="25"/>
      <c r="W59" s="15" t="s">
        <v>26</v>
      </c>
      <c r="X59" s="52"/>
    </row>
    <row r="60" spans="1:24" ht="20.45" customHeight="1">
      <c r="A60" s="10" t="s">
        <v>80</v>
      </c>
      <c r="B60" s="11">
        <v>9.8379629629629633E-3</v>
      </c>
      <c r="C60" s="11">
        <v>2.8587962962962963E-3</v>
      </c>
      <c r="D60" s="11">
        <f>B60*E60</f>
        <v>5.7237268518518522E-3</v>
      </c>
      <c r="E60" s="12">
        <v>0.58179999999999998</v>
      </c>
      <c r="F60" s="11">
        <f>C60/4</f>
        <v>7.1469907407407409E-4</v>
      </c>
      <c r="G60" s="11">
        <f>D60/7.5</f>
        <v>7.6316358024691364E-4</v>
      </c>
      <c r="H60" s="11">
        <f>B60/12.5</f>
        <v>7.8703703703703705E-4</v>
      </c>
      <c r="I60" s="11">
        <f>G60/0.93</f>
        <v>8.2060600026549854E-4</v>
      </c>
      <c r="J60" s="11">
        <f>G60/0.92</f>
        <v>8.29525630703167E-4</v>
      </c>
      <c r="K60" s="11">
        <f>G60/0.88</f>
        <v>8.6723134118967459E-4</v>
      </c>
      <c r="L60" s="11">
        <f>G60/0.84</f>
        <v>9.085280717225163E-4</v>
      </c>
      <c r="M60" s="25">
        <f>WO2025Jan7men119151719232529313335394143454749555759636567697173757779[[#This Row],[Thresh]]</f>
        <v>8.6723134118967459E-4</v>
      </c>
      <c r="N60" s="28">
        <f>WO2025Jan7men119151719232529313335394143454749555759636567697173757779[[#This Row],[Thresh]]*2.5</f>
        <v>2.1680783529741867E-3</v>
      </c>
      <c r="O60" s="25"/>
      <c r="P60" s="25"/>
      <c r="Q60" s="25"/>
      <c r="R60" s="25"/>
      <c r="S60" s="25"/>
      <c r="T60" s="25"/>
      <c r="U60" s="28"/>
      <c r="V60" s="25" t="s">
        <v>344</v>
      </c>
      <c r="W60" s="15" t="s">
        <v>35</v>
      </c>
      <c r="X60" s="52"/>
    </row>
    <row r="61" spans="1:24" ht="20.45" customHeight="1">
      <c r="A61" s="10" t="s">
        <v>109</v>
      </c>
      <c r="B61" s="11">
        <v>9.8379629629629633E-3</v>
      </c>
      <c r="C61" s="11">
        <v>2.9745370370370373E-3</v>
      </c>
      <c r="D61" s="11">
        <f>B61*E61</f>
        <v>5.7237268518518522E-3</v>
      </c>
      <c r="E61" s="12">
        <v>0.58179999999999998</v>
      </c>
      <c r="F61" s="11">
        <f>C61/4</f>
        <v>7.4363425925925931E-4</v>
      </c>
      <c r="G61" s="11">
        <f>D61/7.5</f>
        <v>7.6316358024691364E-4</v>
      </c>
      <c r="H61" s="11">
        <f>B61/12.5</f>
        <v>7.8703703703703705E-4</v>
      </c>
      <c r="I61" s="11">
        <f>G61/0.93</f>
        <v>8.2060600026549854E-4</v>
      </c>
      <c r="J61" s="11">
        <f>G61/0.92</f>
        <v>8.29525630703167E-4</v>
      </c>
      <c r="K61" s="11">
        <f>G61/0.88</f>
        <v>8.6723134118967459E-4</v>
      </c>
      <c r="L61" s="11">
        <f>G61/0.84</f>
        <v>9.085280717225163E-4</v>
      </c>
      <c r="M61" s="25">
        <f>WO2025Jan7men119151719232529313335394143454749555759636567697173757779[[#This Row],[Thresh]]</f>
        <v>8.6723134118967459E-4</v>
      </c>
      <c r="N61" s="28">
        <f>WO2025Jan7men119151719232529313335394143454749555759636567697173757779[[#This Row],[Thresh]]*2.5</f>
        <v>2.1680783529741867E-3</v>
      </c>
      <c r="O61" s="25">
        <f>WO2025Jan7men119151719232529313335394143454749555759636567697173757779[[#This Row],[VO2]]</f>
        <v>7.6316358024691364E-4</v>
      </c>
      <c r="P61" s="25"/>
      <c r="Q61" s="25"/>
      <c r="R61" s="28"/>
      <c r="S61" s="25"/>
      <c r="T61" s="25"/>
      <c r="U61" s="28"/>
      <c r="V61" s="25"/>
      <c r="W61" s="15" t="s">
        <v>26</v>
      </c>
      <c r="X61" s="52"/>
    </row>
    <row r="62" spans="1:24" ht="20.45" customHeight="1">
      <c r="A62" s="10" t="s">
        <v>81</v>
      </c>
      <c r="B62" s="11">
        <v>9.9537037037037042E-3</v>
      </c>
      <c r="C62" s="11">
        <v>2.9745370370370373E-3</v>
      </c>
      <c r="D62" s="11">
        <f>B62*E62</f>
        <v>5.7910648148148149E-3</v>
      </c>
      <c r="E62" s="12">
        <v>0.58179999999999998</v>
      </c>
      <c r="F62" s="11">
        <f>C62/4</f>
        <v>7.4363425925925931E-4</v>
      </c>
      <c r="G62" s="11">
        <f>D62/7.5</f>
        <v>7.7214197530864196E-4</v>
      </c>
      <c r="H62" s="11">
        <f>B62/12.5</f>
        <v>7.9629629629629636E-4</v>
      </c>
      <c r="I62" s="11">
        <f>G62/0.93</f>
        <v>8.3026018850391602E-4</v>
      </c>
      <c r="J62" s="11">
        <f>G62/0.92</f>
        <v>8.3928475577026292E-4</v>
      </c>
      <c r="K62" s="11">
        <f>G62/0.88</f>
        <v>8.7743406285072947E-4</v>
      </c>
      <c r="L62" s="11">
        <f>G62/0.84</f>
        <v>9.1921663727219285E-4</v>
      </c>
      <c r="M62" s="25">
        <f>WO2025Jan7men119151719232529313335394143454749555759636567697173757779[[#This Row],[Thresh]]</f>
        <v>8.7743406285072947E-4</v>
      </c>
      <c r="N62" s="28">
        <f>WO2025Jan7men119151719232529313335394143454749555759636567697173757779[[#This Row],[Thresh]]*2.5</f>
        <v>2.1935851571268238E-3</v>
      </c>
      <c r="O62" s="25">
        <f>WO2025Jan7men119151719232529313335394143454749555759636567697173757779[[#This Row],[VO2]]</f>
        <v>7.7214197530864196E-4</v>
      </c>
      <c r="P62" s="25"/>
      <c r="Q62" s="25"/>
      <c r="R62" s="28"/>
      <c r="S62" s="25"/>
      <c r="T62" s="25"/>
      <c r="U62" s="28"/>
      <c r="V62" s="25"/>
      <c r="W62" s="15" t="s">
        <v>26</v>
      </c>
      <c r="X62" s="52"/>
    </row>
    <row r="63" spans="1:24" ht="20.45" customHeight="1">
      <c r="A63" s="10" t="s">
        <v>84</v>
      </c>
      <c r="B63" s="11">
        <v>1.0069444444444445E-2</v>
      </c>
      <c r="C63" s="11">
        <v>3.0092592592592593E-3</v>
      </c>
      <c r="D63" s="11">
        <f t="shared" ref="D63:D86" si="16">B63*E63</f>
        <v>5.8584027777777783E-3</v>
      </c>
      <c r="E63" s="12">
        <v>0.58179999999999998</v>
      </c>
      <c r="F63" s="11">
        <f t="shared" ref="F63:F86" si="17">C63/4</f>
        <v>7.5231481481481482E-4</v>
      </c>
      <c r="G63" s="11">
        <f t="shared" ref="G63:G86" si="18">D63/7.5</f>
        <v>7.811203703703705E-4</v>
      </c>
      <c r="H63" s="11">
        <f t="shared" ref="H63:H86" si="19">B63/12.5</f>
        <v>8.0555555555555556E-4</v>
      </c>
      <c r="I63" s="11">
        <f t="shared" ref="I63:I86" si="20">G63/0.93</f>
        <v>8.3991437674233382E-4</v>
      </c>
      <c r="J63" s="11">
        <f t="shared" ref="J63:J86" si="21">G63/0.92</f>
        <v>8.4904388083735917E-4</v>
      </c>
      <c r="K63" s="11">
        <f t="shared" ref="K63:K86" si="22">G63/0.88</f>
        <v>8.8763678451178466E-4</v>
      </c>
      <c r="L63" s="11">
        <f t="shared" ref="L63:L86" si="23">G63/0.84</f>
        <v>9.2990520282186973E-4</v>
      </c>
      <c r="M63" s="25">
        <f>WO2025Jan7men119151719232529313335394143454749555759636567697173757779[[#This Row],[Thresh]]</f>
        <v>8.8763678451178466E-4</v>
      </c>
      <c r="N63" s="28">
        <f>WO2025Jan7men119151719232529313335394143454749555759636567697173757779[[#This Row],[Thresh]]*2.5</f>
        <v>2.2190919612794617E-3</v>
      </c>
      <c r="O63" s="25">
        <f>WO2025Jan7men119151719232529313335394143454749555759636567697173757779[[#This Row],[VO2]]</f>
        <v>7.811203703703705E-4</v>
      </c>
      <c r="P63" s="25"/>
      <c r="Q63" s="25"/>
      <c r="R63" s="25"/>
      <c r="S63" s="25"/>
      <c r="T63" s="25"/>
      <c r="U63" s="28"/>
      <c r="V63" s="25"/>
      <c r="W63" s="15" t="s">
        <v>26</v>
      </c>
      <c r="X63" s="52"/>
    </row>
    <row r="64" spans="1:24" ht="20.45" customHeight="1">
      <c r="A64" s="10" t="s">
        <v>82</v>
      </c>
      <c r="B64" s="11">
        <v>1.0069444444444445E-2</v>
      </c>
      <c r="C64" s="11">
        <v>2.8935185185185188E-3</v>
      </c>
      <c r="D64" s="11">
        <f>B64*E64</f>
        <v>5.8584027777777783E-3</v>
      </c>
      <c r="E64" s="12">
        <v>0.58179999999999998</v>
      </c>
      <c r="F64" s="11">
        <f>C64/4</f>
        <v>7.233796296296297E-4</v>
      </c>
      <c r="G64" s="11">
        <f>D64/7.5</f>
        <v>7.811203703703705E-4</v>
      </c>
      <c r="H64" s="11">
        <f>B64/12.5</f>
        <v>8.0555555555555556E-4</v>
      </c>
      <c r="I64" s="11">
        <f>G64/0.93</f>
        <v>8.3991437674233382E-4</v>
      </c>
      <c r="J64" s="11">
        <f>G64/0.92</f>
        <v>8.4904388083735917E-4</v>
      </c>
      <c r="K64" s="11">
        <f>G64/0.88</f>
        <v>8.8763678451178466E-4</v>
      </c>
      <c r="L64" s="11">
        <f>G64/0.84</f>
        <v>9.2990520282186973E-4</v>
      </c>
      <c r="M64" s="25">
        <f>WO2025Jan7men119151719232529313335394143454749555759636567697173757779[[#This Row],[Thresh]]</f>
        <v>8.8763678451178466E-4</v>
      </c>
      <c r="N64" s="28">
        <f>WO2025Jan7men119151719232529313335394143454749555759636567697173757779[[#This Row],[Thresh]]*2.5</f>
        <v>2.2190919612794617E-3</v>
      </c>
      <c r="O64" s="25">
        <f>WO2025Jan7men119151719232529313335394143454749555759636567697173757779[[#This Row],[VO2]]</f>
        <v>7.811203703703705E-4</v>
      </c>
      <c r="P64" s="25"/>
      <c r="Q64" s="25"/>
      <c r="R64" s="25"/>
      <c r="S64" s="25"/>
      <c r="T64" s="25"/>
      <c r="U64" s="28"/>
      <c r="V64" s="25"/>
      <c r="W64" s="15" t="s">
        <v>35</v>
      </c>
      <c r="X64" s="52"/>
    </row>
    <row r="65" spans="1:24" ht="20.45" customHeight="1">
      <c r="A65" s="10" t="s">
        <v>110</v>
      </c>
      <c r="B65" s="11">
        <v>1.0069444444444445E-2</v>
      </c>
      <c r="C65" s="11">
        <v>2.8935185185185184E-3</v>
      </c>
      <c r="D65" s="11">
        <f>B65*E65</f>
        <v>5.8584027777777783E-3</v>
      </c>
      <c r="E65" s="12">
        <v>0.58179999999999998</v>
      </c>
      <c r="F65" s="11">
        <f>C65/4</f>
        <v>7.2337962962962959E-4</v>
      </c>
      <c r="G65" s="11">
        <f>D65/7.5</f>
        <v>7.811203703703705E-4</v>
      </c>
      <c r="H65" s="11">
        <f>B65/12.5</f>
        <v>8.0555555555555556E-4</v>
      </c>
      <c r="I65" s="11">
        <f>G65/0.93</f>
        <v>8.3991437674233382E-4</v>
      </c>
      <c r="J65" s="11">
        <f>G65/0.92</f>
        <v>8.4904388083735917E-4</v>
      </c>
      <c r="K65" s="11">
        <f>G65/0.88</f>
        <v>8.8763678451178466E-4</v>
      </c>
      <c r="L65" s="11">
        <f>G65/0.84</f>
        <v>9.2990520282186973E-4</v>
      </c>
      <c r="M65" s="25">
        <f>WO2025Jan7men119151719232529313335394143454749555759636567697173757779[[#This Row],[Thresh]]</f>
        <v>8.8763678451178466E-4</v>
      </c>
      <c r="N65" s="28">
        <f>WO2025Jan7men119151719232529313335394143454749555759636567697173757779[[#This Row],[Thresh]]*2.5</f>
        <v>2.2190919612794617E-3</v>
      </c>
      <c r="O65" s="25">
        <f>WO2025Jan7men119151719232529313335394143454749555759636567697173757779[[#This Row],[VO2]]</f>
        <v>7.811203703703705E-4</v>
      </c>
      <c r="P65" s="25"/>
      <c r="Q65" s="25"/>
      <c r="R65" s="25"/>
      <c r="S65" s="25"/>
      <c r="T65" s="25"/>
      <c r="U65" s="28"/>
      <c r="V65" s="25"/>
      <c r="W65" s="15" t="s">
        <v>35</v>
      </c>
      <c r="X65" s="52"/>
    </row>
    <row r="66" spans="1:24" ht="20.45" customHeight="1">
      <c r="A66" s="10" t="s">
        <v>95</v>
      </c>
      <c r="B66" s="11">
        <v>1.0243055555555556E-2</v>
      </c>
      <c r="C66" s="11">
        <v>2.9513888888888888E-3</v>
      </c>
      <c r="D66" s="11">
        <f>B66*E66</f>
        <v>5.9594097222222218E-3</v>
      </c>
      <c r="E66" s="12">
        <v>0.58179999999999998</v>
      </c>
      <c r="F66" s="11">
        <f>C66/4</f>
        <v>7.378472222222222E-4</v>
      </c>
      <c r="G66" s="11">
        <f>D66/7.5</f>
        <v>7.9458796296296287E-4</v>
      </c>
      <c r="H66" s="11">
        <f>B66/12.5</f>
        <v>8.1944444444444447E-4</v>
      </c>
      <c r="I66" s="11">
        <f>G66/0.93</f>
        <v>8.5439565909996003E-4</v>
      </c>
      <c r="J66" s="11">
        <f>G66/0.92</f>
        <v>8.636825684380031E-4</v>
      </c>
      <c r="K66" s="11">
        <f>G66/0.88</f>
        <v>9.0294086700336686E-4</v>
      </c>
      <c r="L66" s="11">
        <f>G66/0.84</f>
        <v>9.4593805114638445E-4</v>
      </c>
      <c r="M66" s="25">
        <f>WO2025Jan7men119151719232529313335394143454749555759636567697173757779[[#This Row],[Thresh]]</f>
        <v>9.0294086700336686E-4</v>
      </c>
      <c r="N66" s="28">
        <f>WO2025Jan7men119151719232529313335394143454749555759636567697173757779[[#This Row],[Thresh]]*2.5</f>
        <v>2.2573521675084171E-3</v>
      </c>
      <c r="O66" s="25">
        <f>WO2025Jan7men119151719232529313335394143454749555759636567697173757779[[#This Row],[VO2]]</f>
        <v>7.9458796296296287E-4</v>
      </c>
      <c r="P66" s="25"/>
      <c r="Q66" s="25"/>
      <c r="R66" s="28"/>
      <c r="S66" s="25"/>
      <c r="T66" s="28"/>
      <c r="U66" s="28"/>
      <c r="V66" s="25"/>
      <c r="W66" s="15" t="s">
        <v>35</v>
      </c>
      <c r="X66" s="52"/>
    </row>
    <row r="67" spans="1:24" ht="20.45" customHeight="1">
      <c r="A67" s="10" t="s">
        <v>83</v>
      </c>
      <c r="B67" s="11">
        <v>1.0243055555555556E-2</v>
      </c>
      <c r="C67" s="11">
        <v>3.0671296296296297E-3</v>
      </c>
      <c r="D67" s="11">
        <f t="shared" si="16"/>
        <v>5.9594097222222218E-3</v>
      </c>
      <c r="E67" s="12">
        <v>0.58179999999999998</v>
      </c>
      <c r="F67" s="11">
        <f t="shared" si="17"/>
        <v>7.6678240740740743E-4</v>
      </c>
      <c r="G67" s="11">
        <f t="shared" si="18"/>
        <v>7.9458796296296287E-4</v>
      </c>
      <c r="H67" s="11">
        <f t="shared" si="19"/>
        <v>8.1944444444444447E-4</v>
      </c>
      <c r="I67" s="11">
        <f t="shared" si="20"/>
        <v>8.5439565909996003E-4</v>
      </c>
      <c r="J67" s="11">
        <f t="shared" si="21"/>
        <v>8.636825684380031E-4</v>
      </c>
      <c r="K67" s="11">
        <f t="shared" si="22"/>
        <v>9.0294086700336686E-4</v>
      </c>
      <c r="L67" s="11">
        <f t="shared" si="23"/>
        <v>9.4593805114638445E-4</v>
      </c>
      <c r="M67" s="25">
        <f>WO2025Jan7men119151719232529313335394143454749555759636567697173757779[[#This Row],[Thresh]]</f>
        <v>9.0294086700336686E-4</v>
      </c>
      <c r="N67" s="28">
        <f>WO2025Jan7men119151719232529313335394143454749555759636567697173757779[[#This Row],[Thresh]]*2.5</f>
        <v>2.2573521675084171E-3</v>
      </c>
      <c r="O67" s="25">
        <f>WO2025Jan7men119151719232529313335394143454749555759636567697173757779[[#This Row],[VO2]]</f>
        <v>7.9458796296296287E-4</v>
      </c>
      <c r="P67" s="25"/>
      <c r="Q67" s="25"/>
      <c r="R67" s="28"/>
      <c r="S67" s="25"/>
      <c r="T67" s="25"/>
      <c r="U67" s="28"/>
      <c r="V67" s="28"/>
      <c r="W67" s="15" t="s">
        <v>26</v>
      </c>
      <c r="X67" s="52"/>
    </row>
    <row r="68" spans="1:24" ht="20.45" customHeight="1">
      <c r="A68" s="10" t="s">
        <v>112</v>
      </c>
      <c r="B68" s="11">
        <v>1.0243055555555556E-2</v>
      </c>
      <c r="C68" s="11">
        <v>2.8587962962962963E-3</v>
      </c>
      <c r="D68" s="11">
        <f t="shared" si="16"/>
        <v>5.9594097222222218E-3</v>
      </c>
      <c r="E68" s="12">
        <v>0.58179999999999998</v>
      </c>
      <c r="F68" s="11">
        <f t="shared" si="17"/>
        <v>7.1469907407407409E-4</v>
      </c>
      <c r="G68" s="11">
        <f t="shared" si="18"/>
        <v>7.9458796296296287E-4</v>
      </c>
      <c r="H68" s="11">
        <f t="shared" si="19"/>
        <v>8.1944444444444447E-4</v>
      </c>
      <c r="I68" s="11">
        <f t="shared" si="20"/>
        <v>8.5439565909996003E-4</v>
      </c>
      <c r="J68" s="11">
        <f t="shared" si="21"/>
        <v>8.636825684380031E-4</v>
      </c>
      <c r="K68" s="11">
        <f t="shared" si="22"/>
        <v>9.0294086700336686E-4</v>
      </c>
      <c r="L68" s="11">
        <f t="shared" si="23"/>
        <v>9.4593805114638445E-4</v>
      </c>
      <c r="M68" s="25">
        <f>WO2025Jan7men119151719232529313335394143454749555759636567697173757779[[#This Row],[Thresh]]</f>
        <v>9.0294086700336686E-4</v>
      </c>
      <c r="N68" s="28">
        <f>WO2025Jan7men119151719232529313335394143454749555759636567697173757779[[#This Row],[Thresh]]*2.5</f>
        <v>2.2573521675084171E-3</v>
      </c>
      <c r="O68" s="25">
        <f>WO2025Jan7men119151719232529313335394143454749555759636567697173757779[[#This Row],[VO2]]</f>
        <v>7.9458796296296287E-4</v>
      </c>
      <c r="P68" s="25"/>
      <c r="Q68" s="25"/>
      <c r="R68" s="25"/>
      <c r="S68" s="25"/>
      <c r="T68" s="25"/>
      <c r="U68" s="28"/>
      <c r="V68" s="25"/>
      <c r="W68" s="15" t="s">
        <v>26</v>
      </c>
      <c r="X68" s="52" t="s">
        <v>345</v>
      </c>
    </row>
    <row r="69" spans="1:24" ht="20.45" customHeight="1">
      <c r="A69" s="10" t="s">
        <v>92</v>
      </c>
      <c r="B69" s="11">
        <v>1.0243055555555556E-2</v>
      </c>
      <c r="C69" s="11">
        <v>2.9745370370370373E-3</v>
      </c>
      <c r="D69" s="11">
        <f t="shared" si="16"/>
        <v>5.9594097222222218E-3</v>
      </c>
      <c r="E69" s="12">
        <v>0.58179999999999998</v>
      </c>
      <c r="F69" s="11">
        <f t="shared" si="17"/>
        <v>7.4363425925925931E-4</v>
      </c>
      <c r="G69" s="11">
        <f t="shared" si="18"/>
        <v>7.9458796296296287E-4</v>
      </c>
      <c r="H69" s="11">
        <f t="shared" si="19"/>
        <v>8.1944444444444447E-4</v>
      </c>
      <c r="I69" s="11">
        <f t="shared" si="20"/>
        <v>8.5439565909996003E-4</v>
      </c>
      <c r="J69" s="11">
        <f t="shared" si="21"/>
        <v>8.636825684380031E-4</v>
      </c>
      <c r="K69" s="11">
        <f t="shared" si="22"/>
        <v>9.0294086700336686E-4</v>
      </c>
      <c r="L69" s="11">
        <f t="shared" si="23"/>
        <v>9.4593805114638445E-4</v>
      </c>
      <c r="M69" s="25">
        <f>WO2025Jan7men119151719232529313335394143454749555759636567697173757779[[#This Row],[Thresh]]</f>
        <v>9.0294086700336686E-4</v>
      </c>
      <c r="N69" s="28">
        <f>WO2025Jan7men119151719232529313335394143454749555759636567697173757779[[#This Row],[Thresh]]*2.5</f>
        <v>2.2573521675084171E-3</v>
      </c>
      <c r="O69" s="25">
        <f>WO2025Jan7men119151719232529313335394143454749555759636567697173757779[[#This Row],[VO2]]</f>
        <v>7.9458796296296287E-4</v>
      </c>
      <c r="P69" s="25"/>
      <c r="Q69" s="25"/>
      <c r="R69" s="25"/>
      <c r="S69" s="25"/>
      <c r="T69" s="25"/>
      <c r="U69" s="28"/>
      <c r="V69" s="25"/>
      <c r="W69" s="15" t="s">
        <v>26</v>
      </c>
      <c r="X69" s="52"/>
    </row>
    <row r="70" spans="1:24" ht="20.45" customHeight="1">
      <c r="A70" s="10" t="s">
        <v>93</v>
      </c>
      <c r="B70" s="11">
        <v>1.0243055555555556E-2</v>
      </c>
      <c r="C70" s="11"/>
      <c r="D70" s="11">
        <f t="shared" si="16"/>
        <v>5.9594097222222218E-3</v>
      </c>
      <c r="E70" s="12">
        <v>0.58179999999999998</v>
      </c>
      <c r="F70" s="11">
        <f t="shared" si="17"/>
        <v>0</v>
      </c>
      <c r="G70" s="11">
        <f t="shared" si="18"/>
        <v>7.9458796296296287E-4</v>
      </c>
      <c r="H70" s="11">
        <f t="shared" si="19"/>
        <v>8.1944444444444447E-4</v>
      </c>
      <c r="I70" s="11">
        <f t="shared" si="20"/>
        <v>8.5439565909996003E-4</v>
      </c>
      <c r="J70" s="11">
        <f t="shared" si="21"/>
        <v>8.636825684380031E-4</v>
      </c>
      <c r="K70" s="11">
        <f t="shared" si="22"/>
        <v>9.0294086700336686E-4</v>
      </c>
      <c r="L70" s="11">
        <f t="shared" si="23"/>
        <v>9.4593805114638445E-4</v>
      </c>
      <c r="M70" s="25">
        <f>WO2025Jan7men119151719232529313335394143454749555759636567697173757779[[#This Row],[Thresh]]</f>
        <v>9.0294086700336686E-4</v>
      </c>
      <c r="N70" s="28">
        <f>WO2025Jan7men119151719232529313335394143454749555759636567697173757779[[#This Row],[Thresh]]*2.5</f>
        <v>2.2573521675084171E-3</v>
      </c>
      <c r="O70" s="25">
        <f>WO2025Jan7men119151719232529313335394143454749555759636567697173757779[[#This Row],[VO2]]</f>
        <v>7.9458796296296287E-4</v>
      </c>
      <c r="P70" s="25"/>
      <c r="Q70" s="25"/>
      <c r="R70" s="28"/>
      <c r="S70" s="25"/>
      <c r="T70" s="25"/>
      <c r="U70" s="28"/>
      <c r="V70" s="28"/>
      <c r="W70" s="27" t="s">
        <v>26</v>
      </c>
      <c r="X70" s="52"/>
    </row>
    <row r="71" spans="1:24" ht="20.45" customHeight="1">
      <c r="A71" s="10" t="s">
        <v>116</v>
      </c>
      <c r="B71" s="11">
        <v>1.0300925925925925E-2</v>
      </c>
      <c r="C71" s="11">
        <v>2.9513888888888888E-3</v>
      </c>
      <c r="D71" s="11">
        <f>B71*E71</f>
        <v>5.9930787037037027E-3</v>
      </c>
      <c r="E71" s="12">
        <v>0.58179999999999998</v>
      </c>
      <c r="F71" s="11">
        <f>C71/4</f>
        <v>7.378472222222222E-4</v>
      </c>
      <c r="G71" s="11">
        <f>D71/7.5</f>
        <v>7.9907716049382703E-4</v>
      </c>
      <c r="H71" s="11">
        <f>B71/12.5</f>
        <v>8.2407407407407397E-4</v>
      </c>
      <c r="I71" s="11">
        <f>G71/0.93</f>
        <v>8.5922275321916877E-4</v>
      </c>
      <c r="J71" s="11">
        <f>G71/0.92</f>
        <v>8.6856213097155112E-4</v>
      </c>
      <c r="K71" s="11">
        <f>G71/0.88</f>
        <v>9.080422278338944E-4</v>
      </c>
      <c r="L71" s="17">
        <f>G71/0.84</f>
        <v>9.5128233392122272E-4</v>
      </c>
      <c r="M71" s="25">
        <f>WO2025Jan7men119151719232529313335394143454749555759636567697173757779[[#This Row],[Thresh]]</f>
        <v>9.080422278338944E-4</v>
      </c>
      <c r="N71" s="28">
        <f>WO2025Jan7men119151719232529313335394143454749555759636567697173757779[[#This Row],[Thresh]]*2.5</f>
        <v>2.2701055695847358E-3</v>
      </c>
      <c r="O71" s="25">
        <f>WO2025Jan7men119151719232529313335394143454749555759636567697173757779[[#This Row],[VO2]]</f>
        <v>7.9907716049382703E-4</v>
      </c>
      <c r="P71" s="25"/>
      <c r="Q71" s="25"/>
      <c r="R71" s="25"/>
      <c r="S71" s="25"/>
      <c r="T71" s="25"/>
      <c r="U71" s="28"/>
      <c r="V71" s="25"/>
      <c r="W71" s="15" t="s">
        <v>35</v>
      </c>
      <c r="X71" s="52"/>
    </row>
    <row r="72" spans="1:24" ht="20.45" customHeight="1">
      <c r="A72" s="10" t="s">
        <v>86</v>
      </c>
      <c r="B72" s="11">
        <v>1.0300925925925925E-2</v>
      </c>
      <c r="C72" s="11">
        <v>3.0671296296296297E-3</v>
      </c>
      <c r="D72" s="11">
        <f t="shared" si="16"/>
        <v>5.9930787037037027E-3</v>
      </c>
      <c r="E72" s="12">
        <v>0.58179999999999998</v>
      </c>
      <c r="F72" s="11">
        <f t="shared" si="17"/>
        <v>7.6678240740740743E-4</v>
      </c>
      <c r="G72" s="11">
        <f t="shared" si="18"/>
        <v>7.9907716049382703E-4</v>
      </c>
      <c r="H72" s="11">
        <f t="shared" si="19"/>
        <v>8.2407407407407397E-4</v>
      </c>
      <c r="I72" s="11">
        <f t="shared" si="20"/>
        <v>8.5922275321916877E-4</v>
      </c>
      <c r="J72" s="11">
        <f t="shared" si="21"/>
        <v>8.6856213097155112E-4</v>
      </c>
      <c r="K72" s="11">
        <f t="shared" si="22"/>
        <v>9.080422278338944E-4</v>
      </c>
      <c r="L72" s="11">
        <f t="shared" si="23"/>
        <v>9.5128233392122272E-4</v>
      </c>
      <c r="M72" s="25">
        <f>WO2025Jan7men119151719232529313335394143454749555759636567697173757779[[#This Row],[Thresh]]</f>
        <v>9.080422278338944E-4</v>
      </c>
      <c r="N72" s="28">
        <f>WO2025Jan7men119151719232529313335394143454749555759636567697173757779[[#This Row],[Thresh]]*2.5</f>
        <v>2.2701055695847358E-3</v>
      </c>
      <c r="O72" s="25">
        <f>WO2025Jan7men119151719232529313335394143454749555759636567697173757779[[#This Row],[VO2]]</f>
        <v>7.9907716049382703E-4</v>
      </c>
      <c r="P72" s="25"/>
      <c r="Q72" s="25"/>
      <c r="R72" s="25"/>
      <c r="S72" s="25"/>
      <c r="T72" s="25"/>
      <c r="U72" s="28"/>
      <c r="V72" s="25"/>
      <c r="W72" s="15" t="s">
        <v>35</v>
      </c>
      <c r="X72" s="52"/>
    </row>
    <row r="73" spans="1:24" ht="20.45" customHeight="1">
      <c r="A73" s="10" t="s">
        <v>85</v>
      </c>
      <c r="B73" s="11">
        <v>1.0416666666666666E-2</v>
      </c>
      <c r="C73" s="11">
        <v>3.0671296296296297E-3</v>
      </c>
      <c r="D73" s="11">
        <f t="shared" ref="D73:D80" si="24">B73*E73</f>
        <v>6.0604166666666662E-3</v>
      </c>
      <c r="E73" s="12">
        <v>0.58179999999999998</v>
      </c>
      <c r="F73" s="11">
        <f t="shared" ref="F73:F80" si="25">C73/4</f>
        <v>7.6678240740740743E-4</v>
      </c>
      <c r="G73" s="11">
        <f t="shared" ref="G73:G80" si="26">D73/7.5</f>
        <v>8.0805555555555546E-4</v>
      </c>
      <c r="H73" s="11">
        <f t="shared" ref="H73:H80" si="27">B73/12.5</f>
        <v>8.3333333333333328E-4</v>
      </c>
      <c r="I73" s="11">
        <f t="shared" ref="I73:I80" si="28">G73/0.93</f>
        <v>8.6887694145758646E-4</v>
      </c>
      <c r="J73" s="11">
        <f t="shared" ref="J73:J80" si="29">G73/0.92</f>
        <v>8.7832125603864715E-4</v>
      </c>
      <c r="K73" s="11">
        <f t="shared" ref="K73:K80" si="30">G73/0.88</f>
        <v>9.1824494949494938E-4</v>
      </c>
      <c r="L73" s="17">
        <f t="shared" ref="L73:L80" si="31">G73/0.84</f>
        <v>9.6197089947089938E-4</v>
      </c>
      <c r="M73" s="25">
        <f>WO2025Jan7men119151719232529313335394143454749555759636567697173757779[[#This Row],[Thresh]]</f>
        <v>9.1824494949494938E-4</v>
      </c>
      <c r="N73" s="28">
        <f>WO2025Jan7men119151719232529313335394143454749555759636567697173757779[[#This Row],[Thresh]]*2.5</f>
        <v>2.2956123737373733E-3</v>
      </c>
      <c r="O73" s="25">
        <f>WO2025Jan7men119151719232529313335394143454749555759636567697173757779[[#This Row],[VO2]]</f>
        <v>8.0805555555555546E-4</v>
      </c>
      <c r="P73" s="25"/>
      <c r="Q73" s="25"/>
      <c r="R73" s="25"/>
      <c r="S73" s="25"/>
      <c r="T73" s="25"/>
      <c r="U73" s="28"/>
      <c r="V73" s="25"/>
      <c r="W73" s="15" t="s">
        <v>26</v>
      </c>
      <c r="X73" s="52"/>
    </row>
    <row r="74" spans="1:24" ht="20.45" customHeight="1">
      <c r="A74" s="10" t="s">
        <v>111</v>
      </c>
      <c r="B74" s="11">
        <v>1.0416666666666666E-2</v>
      </c>
      <c r="C74" s="11">
        <v>3.0092592592592588E-3</v>
      </c>
      <c r="D74" s="11">
        <f t="shared" si="24"/>
        <v>6.0604166666666662E-3</v>
      </c>
      <c r="E74" s="12">
        <v>0.58179999999999998</v>
      </c>
      <c r="F74" s="11">
        <f t="shared" si="25"/>
        <v>7.5231481481481471E-4</v>
      </c>
      <c r="G74" s="11">
        <f t="shared" si="26"/>
        <v>8.0805555555555546E-4</v>
      </c>
      <c r="H74" s="11">
        <f t="shared" si="27"/>
        <v>8.3333333333333328E-4</v>
      </c>
      <c r="I74" s="11">
        <f t="shared" si="28"/>
        <v>8.6887694145758646E-4</v>
      </c>
      <c r="J74" s="11">
        <f t="shared" si="29"/>
        <v>8.7832125603864715E-4</v>
      </c>
      <c r="K74" s="11">
        <f t="shared" si="30"/>
        <v>9.1824494949494938E-4</v>
      </c>
      <c r="L74" s="11">
        <f t="shared" si="31"/>
        <v>9.6197089947089938E-4</v>
      </c>
      <c r="M74" s="25">
        <f>WO2025Jan7men119151719232529313335394143454749555759636567697173757779[[#This Row],[Thresh]]</f>
        <v>9.1824494949494938E-4</v>
      </c>
      <c r="N74" s="28">
        <f>WO2025Jan7men119151719232529313335394143454749555759636567697173757779[[#This Row],[Thresh]]*2.5</f>
        <v>2.2956123737373733E-3</v>
      </c>
      <c r="O74" s="25">
        <f>WO2025Jan7men119151719232529313335394143454749555759636567697173757779[[#This Row],[VO2]]</f>
        <v>8.0805555555555546E-4</v>
      </c>
      <c r="P74" s="25"/>
      <c r="Q74" s="25"/>
      <c r="R74" s="25"/>
      <c r="S74" s="25"/>
      <c r="T74" s="25"/>
      <c r="U74" s="28"/>
      <c r="V74" s="25"/>
      <c r="W74" s="15" t="s">
        <v>35</v>
      </c>
      <c r="X74" s="52"/>
    </row>
    <row r="75" spans="1:24" ht="20.45" customHeight="1">
      <c r="A75" s="10" t="s">
        <v>117</v>
      </c>
      <c r="B75" s="11">
        <v>1.0416666666666666E-2</v>
      </c>
      <c r="C75" s="11">
        <v>3.0671296296296297E-3</v>
      </c>
      <c r="D75" s="11">
        <f t="shared" si="24"/>
        <v>6.0604166666666662E-3</v>
      </c>
      <c r="E75" s="12">
        <v>0.58179999999999998</v>
      </c>
      <c r="F75" s="11">
        <f t="shared" si="25"/>
        <v>7.6678240740740743E-4</v>
      </c>
      <c r="G75" s="11">
        <f t="shared" si="26"/>
        <v>8.0805555555555546E-4</v>
      </c>
      <c r="H75" s="11">
        <f t="shared" si="27"/>
        <v>8.3333333333333328E-4</v>
      </c>
      <c r="I75" s="11">
        <f t="shared" si="28"/>
        <v>8.6887694145758646E-4</v>
      </c>
      <c r="J75" s="11">
        <f t="shared" si="29"/>
        <v>8.7832125603864715E-4</v>
      </c>
      <c r="K75" s="11">
        <f t="shared" si="30"/>
        <v>9.1824494949494938E-4</v>
      </c>
      <c r="L75" s="11">
        <f t="shared" si="31"/>
        <v>9.6197089947089938E-4</v>
      </c>
      <c r="M75" s="25">
        <f>WO2025Jan7men119151719232529313335394143454749555759636567697173757779[[#This Row],[Thresh]]</f>
        <v>9.1824494949494938E-4</v>
      </c>
      <c r="N75" s="28">
        <f>WO2025Jan7men119151719232529313335394143454749555759636567697173757779[[#This Row],[Thresh]]*2.5</f>
        <v>2.2956123737373733E-3</v>
      </c>
      <c r="O75" s="25">
        <f>WO2025Jan7men119151719232529313335394143454749555759636567697173757779[[#This Row],[VO2]]</f>
        <v>8.0805555555555546E-4</v>
      </c>
      <c r="P75" s="25"/>
      <c r="Q75" s="25"/>
      <c r="R75" s="28"/>
      <c r="S75" s="25"/>
      <c r="T75" s="25"/>
      <c r="U75" s="28"/>
      <c r="V75" s="25"/>
      <c r="W75" s="15" t="s">
        <v>35</v>
      </c>
      <c r="X75" s="52"/>
    </row>
    <row r="76" spans="1:24" ht="20.45" customHeight="1">
      <c r="A76" s="10" t="s">
        <v>115</v>
      </c>
      <c r="B76" s="11">
        <v>1.0416666666666666E-2</v>
      </c>
      <c r="C76" s="11"/>
      <c r="D76" s="11">
        <f t="shared" si="24"/>
        <v>6.0604166666666662E-3</v>
      </c>
      <c r="E76" s="12">
        <v>0.58179999999999998</v>
      </c>
      <c r="F76" s="11">
        <f t="shared" si="25"/>
        <v>0</v>
      </c>
      <c r="G76" s="11">
        <f t="shared" si="26"/>
        <v>8.0805555555555546E-4</v>
      </c>
      <c r="H76" s="11">
        <f t="shared" si="27"/>
        <v>8.3333333333333328E-4</v>
      </c>
      <c r="I76" s="11">
        <f t="shared" si="28"/>
        <v>8.6887694145758646E-4</v>
      </c>
      <c r="J76" s="11">
        <f t="shared" si="29"/>
        <v>8.7832125603864715E-4</v>
      </c>
      <c r="K76" s="11">
        <f t="shared" si="30"/>
        <v>9.1824494949494938E-4</v>
      </c>
      <c r="L76" s="11">
        <f t="shared" si="31"/>
        <v>9.6197089947089938E-4</v>
      </c>
      <c r="M76" s="25">
        <f>WO2025Jan7men119151719232529313335394143454749555759636567697173757779[[#This Row],[Thresh]]</f>
        <v>9.1824494949494938E-4</v>
      </c>
      <c r="N76" s="28">
        <f>WO2025Jan7men119151719232529313335394143454749555759636567697173757779[[#This Row],[Thresh]]*2.5</f>
        <v>2.2956123737373733E-3</v>
      </c>
      <c r="O76" s="25">
        <f>WO2025Jan7men119151719232529313335394143454749555759636567697173757779[[#This Row],[VO2]]</f>
        <v>8.0805555555555546E-4</v>
      </c>
      <c r="P76" s="25"/>
      <c r="Q76" s="25"/>
      <c r="R76" s="28"/>
      <c r="S76" s="25"/>
      <c r="T76" s="25"/>
      <c r="U76" s="28"/>
      <c r="V76" s="28"/>
      <c r="W76" s="27" t="s">
        <v>48</v>
      </c>
      <c r="X76" s="52"/>
    </row>
    <row r="77" spans="1:24" ht="20.45" customHeight="1">
      <c r="A77" s="10" t="s">
        <v>94</v>
      </c>
      <c r="B77" s="11">
        <v>1.0416666666666666E-2</v>
      </c>
      <c r="C77" s="11">
        <v>2.8935185185185188E-3</v>
      </c>
      <c r="D77" s="11">
        <f t="shared" si="24"/>
        <v>6.0604166666666662E-3</v>
      </c>
      <c r="E77" s="12">
        <v>0.58179999999999998</v>
      </c>
      <c r="F77" s="11">
        <f t="shared" si="25"/>
        <v>7.233796296296297E-4</v>
      </c>
      <c r="G77" s="11">
        <f t="shared" si="26"/>
        <v>8.0805555555555546E-4</v>
      </c>
      <c r="H77" s="11">
        <f t="shared" si="27"/>
        <v>8.3333333333333328E-4</v>
      </c>
      <c r="I77" s="11">
        <f t="shared" si="28"/>
        <v>8.6887694145758646E-4</v>
      </c>
      <c r="J77" s="11">
        <f t="shared" si="29"/>
        <v>8.7832125603864715E-4</v>
      </c>
      <c r="K77" s="11">
        <f t="shared" si="30"/>
        <v>9.1824494949494938E-4</v>
      </c>
      <c r="L77" s="17">
        <f t="shared" si="31"/>
        <v>9.6197089947089938E-4</v>
      </c>
      <c r="M77" s="25">
        <f>WO2025Jan7men119151719232529313335394143454749555759636567697173757779[[#This Row],[Thresh]]</f>
        <v>9.1824494949494938E-4</v>
      </c>
      <c r="N77" s="28">
        <f>WO2025Jan7men119151719232529313335394143454749555759636567697173757779[[#This Row],[Thresh]]*2.5</f>
        <v>2.2956123737373733E-3</v>
      </c>
      <c r="O77" s="25">
        <f>WO2025Jan7men119151719232529313335394143454749555759636567697173757779[[#This Row],[VO2]]</f>
        <v>8.0805555555555546E-4</v>
      </c>
      <c r="P77" s="25"/>
      <c r="Q77" s="25"/>
      <c r="R77" s="25"/>
      <c r="S77" s="25"/>
      <c r="T77" s="25"/>
      <c r="U77" s="28"/>
      <c r="V77" s="25"/>
      <c r="W77" s="15" t="s">
        <v>35</v>
      </c>
      <c r="X77" s="52"/>
    </row>
    <row r="78" spans="1:24" ht="20.45" customHeight="1">
      <c r="A78" s="10" t="s">
        <v>119</v>
      </c>
      <c r="B78" s="11">
        <v>1.0416666666666666E-2</v>
      </c>
      <c r="C78" s="11"/>
      <c r="D78" s="11">
        <f t="shared" si="24"/>
        <v>6.0604166666666662E-3</v>
      </c>
      <c r="E78" s="12">
        <v>0.58179999999999998</v>
      </c>
      <c r="F78" s="11">
        <f t="shared" si="25"/>
        <v>0</v>
      </c>
      <c r="G78" s="11">
        <f t="shared" si="26"/>
        <v>8.0805555555555546E-4</v>
      </c>
      <c r="H78" s="11">
        <f t="shared" si="27"/>
        <v>8.3333333333333328E-4</v>
      </c>
      <c r="I78" s="11">
        <f t="shared" si="28"/>
        <v>8.6887694145758646E-4</v>
      </c>
      <c r="J78" s="11">
        <f t="shared" si="29"/>
        <v>8.7832125603864715E-4</v>
      </c>
      <c r="K78" s="11">
        <f t="shared" si="30"/>
        <v>9.1824494949494938E-4</v>
      </c>
      <c r="L78" s="11">
        <f t="shared" si="31"/>
        <v>9.6197089947089938E-4</v>
      </c>
      <c r="M78" s="25">
        <f>WO2025Jan7men119151719232529313335394143454749555759636567697173757779[[#This Row],[Thresh]]</f>
        <v>9.1824494949494938E-4</v>
      </c>
      <c r="N78" s="28">
        <f>WO2025Jan7men119151719232529313335394143454749555759636567697173757779[[#This Row],[Thresh]]*2.5</f>
        <v>2.2956123737373733E-3</v>
      </c>
      <c r="O78" s="25">
        <f>WO2025Jan7men119151719232529313335394143454749555759636567697173757779[[#This Row],[VO2]]</f>
        <v>8.0805555555555546E-4</v>
      </c>
      <c r="P78" s="25"/>
      <c r="Q78" s="25"/>
      <c r="R78" s="26"/>
      <c r="S78" s="14"/>
      <c r="T78" s="14"/>
      <c r="U78" s="26"/>
      <c r="V78" s="28"/>
      <c r="W78" s="27" t="s">
        <v>35</v>
      </c>
      <c r="X78" s="52" t="s">
        <v>346</v>
      </c>
    </row>
    <row r="79" spans="1:24" ht="20.45" customHeight="1">
      <c r="A79" s="10" t="s">
        <v>106</v>
      </c>
      <c r="B79" s="11">
        <v>1.0532407407407407E-2</v>
      </c>
      <c r="C79" s="11">
        <v>2.9745370370370373E-3</v>
      </c>
      <c r="D79" s="11">
        <f t="shared" si="24"/>
        <v>6.1277546296296288E-3</v>
      </c>
      <c r="E79" s="12">
        <v>0.58179999999999998</v>
      </c>
      <c r="F79" s="11">
        <f t="shared" si="25"/>
        <v>7.4363425925925931E-4</v>
      </c>
      <c r="G79" s="11">
        <f t="shared" si="26"/>
        <v>8.1703395061728389E-4</v>
      </c>
      <c r="H79" s="11">
        <f t="shared" si="27"/>
        <v>8.4259259259259259E-4</v>
      </c>
      <c r="I79" s="11">
        <f t="shared" si="28"/>
        <v>8.7853112969600415E-4</v>
      </c>
      <c r="J79" s="11">
        <f t="shared" si="29"/>
        <v>8.8808038110574329E-4</v>
      </c>
      <c r="K79" s="11">
        <f t="shared" si="30"/>
        <v>9.2844767115600447E-4</v>
      </c>
      <c r="L79" s="11">
        <f t="shared" si="31"/>
        <v>9.7265946502057604E-4</v>
      </c>
      <c r="M79" s="25">
        <f>WO2025Jan7men119151719232529313335394143454749555759636567697173757779[[#This Row],[Thresh]]</f>
        <v>9.2844767115600447E-4</v>
      </c>
      <c r="N79" s="28">
        <f>WO2025Jan7men119151719232529313335394143454749555759636567697173757779[[#This Row],[Thresh]]*2.5</f>
        <v>2.3211191778900113E-3</v>
      </c>
      <c r="O79" s="25">
        <f>WO2025Jan7men119151719232529313335394143454749555759636567697173757779[[#This Row],[VO2]]</f>
        <v>8.1703395061728389E-4</v>
      </c>
      <c r="P79" s="25"/>
      <c r="Q79" s="25"/>
      <c r="R79" s="25"/>
      <c r="S79" s="25"/>
      <c r="T79" s="25"/>
      <c r="U79" s="28"/>
      <c r="V79" s="25"/>
      <c r="W79" s="15" t="s">
        <v>48</v>
      </c>
      <c r="X79" s="52"/>
    </row>
    <row r="80" spans="1:24" ht="20.45" customHeight="1">
      <c r="A80" s="10" t="s">
        <v>120</v>
      </c>
      <c r="B80" s="11">
        <v>1.0532407407407407E-2</v>
      </c>
      <c r="C80" s="11">
        <v>3.1250000000000002E-3</v>
      </c>
      <c r="D80" s="11">
        <f t="shared" si="24"/>
        <v>6.1277546296296288E-3</v>
      </c>
      <c r="E80" s="12">
        <v>0.58179999999999998</v>
      </c>
      <c r="F80" s="11">
        <f t="shared" si="25"/>
        <v>7.8125000000000004E-4</v>
      </c>
      <c r="G80" s="11">
        <f t="shared" si="26"/>
        <v>8.1703395061728389E-4</v>
      </c>
      <c r="H80" s="11">
        <f t="shared" si="27"/>
        <v>8.4259259259259259E-4</v>
      </c>
      <c r="I80" s="11">
        <f t="shared" si="28"/>
        <v>8.7853112969600415E-4</v>
      </c>
      <c r="J80" s="11">
        <f t="shared" si="29"/>
        <v>8.8808038110574329E-4</v>
      </c>
      <c r="K80" s="11">
        <f t="shared" si="30"/>
        <v>9.2844767115600447E-4</v>
      </c>
      <c r="L80" s="11">
        <f t="shared" si="31"/>
        <v>9.7265946502057604E-4</v>
      </c>
      <c r="M80" s="25">
        <f>WO2025Jan7men119151719232529313335394143454749555759636567697173757779[[#This Row],[Thresh]]</f>
        <v>9.2844767115600447E-4</v>
      </c>
      <c r="N80" s="28">
        <f>WO2025Jan7men119151719232529313335394143454749555759636567697173757779[[#This Row],[Thresh]]*2.5</f>
        <v>2.3211191778900113E-3</v>
      </c>
      <c r="O80" s="25">
        <f>WO2025Jan7men119151719232529313335394143454749555759636567697173757779[[#This Row],[VO2]]</f>
        <v>8.1703395061728389E-4</v>
      </c>
      <c r="P80" s="25"/>
      <c r="Q80" s="25"/>
      <c r="R80" s="28"/>
      <c r="S80" s="25"/>
      <c r="T80" s="25"/>
      <c r="U80" s="28"/>
      <c r="V80" s="25"/>
      <c r="W80" s="15" t="s">
        <v>48</v>
      </c>
      <c r="X80" s="52"/>
    </row>
    <row r="81" spans="1:24" ht="20.45" customHeight="1">
      <c r="A81" s="10" t="s">
        <v>87</v>
      </c>
      <c r="B81" s="11">
        <v>1.0532407407407407E-2</v>
      </c>
      <c r="C81" s="11">
        <v>2.9745370370370373E-3</v>
      </c>
      <c r="D81" s="11">
        <f t="shared" si="16"/>
        <v>6.1277546296296288E-3</v>
      </c>
      <c r="E81" s="12">
        <v>0.58179999999999998</v>
      </c>
      <c r="F81" s="11">
        <f t="shared" si="17"/>
        <v>7.4363425925925931E-4</v>
      </c>
      <c r="G81" s="11">
        <f t="shared" si="18"/>
        <v>8.1703395061728389E-4</v>
      </c>
      <c r="H81" s="11">
        <f t="shared" si="19"/>
        <v>8.4259259259259259E-4</v>
      </c>
      <c r="I81" s="11">
        <f t="shared" si="20"/>
        <v>8.7853112969600415E-4</v>
      </c>
      <c r="J81" s="11">
        <f t="shared" si="21"/>
        <v>8.8808038110574329E-4</v>
      </c>
      <c r="K81" s="11">
        <f t="shared" si="22"/>
        <v>9.2844767115600447E-4</v>
      </c>
      <c r="L81" s="11">
        <f t="shared" si="23"/>
        <v>9.7265946502057604E-4</v>
      </c>
      <c r="M81" s="25">
        <f>WO2025Jan7men119151719232529313335394143454749555759636567697173757779[[#This Row],[Thresh]]</f>
        <v>9.2844767115600447E-4</v>
      </c>
      <c r="N81" s="28">
        <f>WO2025Jan7men119151719232529313335394143454749555759636567697173757779[[#This Row],[Thresh]]*2.5</f>
        <v>2.3211191778900113E-3</v>
      </c>
      <c r="O81" s="25">
        <f>WO2025Jan7men119151719232529313335394143454749555759636567697173757779[[#This Row],[VO2]]</f>
        <v>8.1703395061728389E-4</v>
      </c>
      <c r="P81" s="25"/>
      <c r="Q81" s="25"/>
      <c r="R81" s="25"/>
      <c r="S81" s="25"/>
      <c r="T81" s="25"/>
      <c r="U81" s="28"/>
      <c r="V81" s="25"/>
      <c r="W81" s="15" t="s">
        <v>26</v>
      </c>
      <c r="X81" s="52"/>
    </row>
    <row r="82" spans="1:24" ht="20.45" customHeight="1">
      <c r="A82" s="10" t="s">
        <v>123</v>
      </c>
      <c r="B82" s="11">
        <v>1.0532407407407407E-2</v>
      </c>
      <c r="C82" s="11">
        <v>3.1828703703703702E-3</v>
      </c>
      <c r="D82" s="11">
        <f t="shared" si="16"/>
        <v>6.1277546296296288E-3</v>
      </c>
      <c r="E82" s="12">
        <v>0.58179999999999998</v>
      </c>
      <c r="F82" s="11">
        <f t="shared" si="17"/>
        <v>7.9571759259259255E-4</v>
      </c>
      <c r="G82" s="11">
        <f t="shared" si="18"/>
        <v>8.1703395061728389E-4</v>
      </c>
      <c r="H82" s="11">
        <f t="shared" si="19"/>
        <v>8.4259259259259259E-4</v>
      </c>
      <c r="I82" s="11">
        <f t="shared" si="20"/>
        <v>8.7853112969600415E-4</v>
      </c>
      <c r="J82" s="11">
        <f t="shared" si="21"/>
        <v>8.8808038110574329E-4</v>
      </c>
      <c r="K82" s="11">
        <f t="shared" si="22"/>
        <v>9.2844767115600447E-4</v>
      </c>
      <c r="L82" s="11">
        <f t="shared" si="23"/>
        <v>9.7265946502057604E-4</v>
      </c>
      <c r="M82" s="25">
        <f>WO2025Jan7men119151719232529313335394143454749555759636567697173757779[[#This Row],[Thresh]]</f>
        <v>9.2844767115600447E-4</v>
      </c>
      <c r="N82" s="28">
        <f>WO2025Jan7men119151719232529313335394143454749555759636567697173757779[[#This Row],[Thresh]]*2.5</f>
        <v>2.3211191778900113E-3</v>
      </c>
      <c r="O82" s="25">
        <f>WO2025Jan7men119151719232529313335394143454749555759636567697173757779[[#This Row],[VO2]]</f>
        <v>8.1703395061728389E-4</v>
      </c>
      <c r="P82" s="25"/>
      <c r="Q82" s="25"/>
      <c r="R82" s="25"/>
      <c r="S82" s="25"/>
      <c r="T82" s="25"/>
      <c r="U82" s="28"/>
      <c r="V82" s="28"/>
      <c r="W82" s="15" t="s">
        <v>26</v>
      </c>
      <c r="X82" s="52"/>
    </row>
    <row r="83" spans="1:24" ht="20.45" customHeight="1">
      <c r="A83" s="10" t="s">
        <v>118</v>
      </c>
      <c r="B83" s="11">
        <v>1.0532407407407407E-2</v>
      </c>
      <c r="C83" s="11">
        <v>3.0671296296296297E-3</v>
      </c>
      <c r="D83" s="11">
        <f t="shared" si="16"/>
        <v>6.1277546296296288E-3</v>
      </c>
      <c r="E83" s="12">
        <v>0.58179999999999998</v>
      </c>
      <c r="F83" s="11">
        <f t="shared" si="17"/>
        <v>7.6678240740740743E-4</v>
      </c>
      <c r="G83" s="11">
        <f t="shared" si="18"/>
        <v>8.1703395061728389E-4</v>
      </c>
      <c r="H83" s="11">
        <f t="shared" si="19"/>
        <v>8.4259259259259259E-4</v>
      </c>
      <c r="I83" s="11">
        <f t="shared" si="20"/>
        <v>8.7853112969600415E-4</v>
      </c>
      <c r="J83" s="11">
        <f t="shared" si="21"/>
        <v>8.8808038110574329E-4</v>
      </c>
      <c r="K83" s="11">
        <f t="shared" si="22"/>
        <v>9.2844767115600447E-4</v>
      </c>
      <c r="L83" s="11">
        <f t="shared" si="23"/>
        <v>9.7265946502057604E-4</v>
      </c>
      <c r="M83" s="25">
        <f>WO2025Jan7men119151719232529313335394143454749555759636567697173757779[[#This Row],[Thresh]]</f>
        <v>9.2844767115600447E-4</v>
      </c>
      <c r="N83" s="28">
        <f>WO2025Jan7men119151719232529313335394143454749555759636567697173757779[[#This Row],[Thresh]]*2.5</f>
        <v>2.3211191778900113E-3</v>
      </c>
      <c r="O83" s="25">
        <f>WO2025Jan7men119151719232529313335394143454749555759636567697173757779[[#This Row],[VO2]]</f>
        <v>8.1703395061728389E-4</v>
      </c>
      <c r="P83" s="25"/>
      <c r="Q83" s="25"/>
      <c r="R83" s="28"/>
      <c r="S83" s="25"/>
      <c r="T83" s="25"/>
      <c r="U83" s="28"/>
      <c r="V83" s="25"/>
      <c r="W83" s="15" t="s">
        <v>26</v>
      </c>
      <c r="X83" s="52"/>
    </row>
    <row r="84" spans="1:24" ht="20.45" customHeight="1">
      <c r="A84" s="10" t="s">
        <v>122</v>
      </c>
      <c r="B84" s="11">
        <v>1.0590277777777778E-2</v>
      </c>
      <c r="C84" s="11">
        <v>3.0671296296296297E-3</v>
      </c>
      <c r="D84" s="11">
        <f>B84*E84</f>
        <v>6.1614236111111114E-3</v>
      </c>
      <c r="E84" s="12">
        <v>0.58179999999999998</v>
      </c>
      <c r="F84" s="11">
        <f>C84/4</f>
        <v>7.6678240740740743E-4</v>
      </c>
      <c r="G84" s="11">
        <f>D84/7.5</f>
        <v>8.2152314814814816E-4</v>
      </c>
      <c r="H84" s="11">
        <f>B84/12.5</f>
        <v>8.472222222222223E-4</v>
      </c>
      <c r="I84" s="11">
        <f>G84/0.93</f>
        <v>8.8335822381521299E-4</v>
      </c>
      <c r="J84" s="11">
        <f>G84/0.92</f>
        <v>8.9295994363929141E-4</v>
      </c>
      <c r="K84" s="11">
        <f>G84/0.88</f>
        <v>9.3354903198653201E-4</v>
      </c>
      <c r="L84" s="11">
        <f>G84/0.84</f>
        <v>9.7800374779541442E-4</v>
      </c>
      <c r="M84" s="25">
        <f>WO2025Jan7men119151719232529313335394143454749555759636567697173757779[[#This Row],[Thresh]]</f>
        <v>9.3354903198653201E-4</v>
      </c>
      <c r="N84" s="28">
        <f>WO2025Jan7men119151719232529313335394143454749555759636567697173757779[[#This Row],[Thresh]]*2.5</f>
        <v>2.33387257996633E-3</v>
      </c>
      <c r="O84" s="25">
        <f>WO2025Jan7men119151719232529313335394143454749555759636567697173757779[[#This Row],[VO2]]</f>
        <v>8.2152314814814816E-4</v>
      </c>
      <c r="P84" s="25"/>
      <c r="Q84" s="25"/>
      <c r="R84" s="28"/>
      <c r="S84" s="25"/>
      <c r="T84" s="25"/>
      <c r="U84" s="28"/>
      <c r="V84" s="25"/>
      <c r="W84" s="15" t="s">
        <v>48</v>
      </c>
      <c r="X84" s="52"/>
    </row>
    <row r="85" spans="1:24" ht="20.45" customHeight="1">
      <c r="A85" s="10" t="s">
        <v>88</v>
      </c>
      <c r="B85" s="11">
        <v>1.0590277777777778E-2</v>
      </c>
      <c r="C85" s="11">
        <v>3.0671296296296297E-3</v>
      </c>
      <c r="D85" s="11">
        <f>B85*E85</f>
        <v>6.1614236111111114E-3</v>
      </c>
      <c r="E85" s="12">
        <v>0.58179999999999998</v>
      </c>
      <c r="F85" s="11">
        <f>C85/4</f>
        <v>7.6678240740740743E-4</v>
      </c>
      <c r="G85" s="11">
        <f>D85/7.5</f>
        <v>8.2152314814814816E-4</v>
      </c>
      <c r="H85" s="11">
        <f>B85/12.5</f>
        <v>8.472222222222223E-4</v>
      </c>
      <c r="I85" s="11">
        <f>G85/0.93</f>
        <v>8.8335822381521299E-4</v>
      </c>
      <c r="J85" s="11">
        <f>G85/0.92</f>
        <v>8.9295994363929141E-4</v>
      </c>
      <c r="K85" s="11">
        <f>G85/0.88</f>
        <v>9.3354903198653201E-4</v>
      </c>
      <c r="L85" s="11">
        <f>G85/0.84</f>
        <v>9.7800374779541442E-4</v>
      </c>
      <c r="M85" s="25">
        <f>WO2025Jan7men119151719232529313335394143454749555759636567697173757779[[#This Row],[Thresh]]</f>
        <v>9.3354903198653201E-4</v>
      </c>
      <c r="N85" s="28">
        <f>WO2025Jan7men119151719232529313335394143454749555759636567697173757779[[#This Row],[Thresh]]*2.5</f>
        <v>2.33387257996633E-3</v>
      </c>
      <c r="O85" s="25">
        <f>WO2025Jan7men119151719232529313335394143454749555759636567697173757779[[#This Row],[VO2]]</f>
        <v>8.2152314814814816E-4</v>
      </c>
      <c r="P85" s="25"/>
      <c r="Q85" s="25"/>
      <c r="R85" s="28"/>
      <c r="S85" s="25"/>
      <c r="T85" s="25"/>
      <c r="U85" s="28"/>
      <c r="V85" s="44"/>
      <c r="W85" s="28" t="s">
        <v>26</v>
      </c>
      <c r="X85" s="52"/>
    </row>
    <row r="86" spans="1:24" ht="20.45" customHeight="1" thickBot="1">
      <c r="A86" s="10" t="s">
        <v>91</v>
      </c>
      <c r="B86" s="11">
        <v>1.0590277777777778E-2</v>
      </c>
      <c r="C86" s="11">
        <v>3.1249999999999997E-3</v>
      </c>
      <c r="D86" s="11">
        <f t="shared" si="16"/>
        <v>6.1614236111111114E-3</v>
      </c>
      <c r="E86" s="12">
        <v>0.58179999999999998</v>
      </c>
      <c r="F86" s="11">
        <f t="shared" si="17"/>
        <v>7.8124999999999993E-4</v>
      </c>
      <c r="G86" s="11">
        <f t="shared" si="18"/>
        <v>8.2152314814814816E-4</v>
      </c>
      <c r="H86" s="11">
        <f t="shared" si="19"/>
        <v>8.472222222222223E-4</v>
      </c>
      <c r="I86" s="11">
        <f t="shared" si="20"/>
        <v>8.8335822381521299E-4</v>
      </c>
      <c r="J86" s="11">
        <f t="shared" si="21"/>
        <v>8.9295994363929141E-4</v>
      </c>
      <c r="K86" s="11">
        <f t="shared" si="22"/>
        <v>9.3354903198653201E-4</v>
      </c>
      <c r="L86" s="11">
        <f t="shared" si="23"/>
        <v>9.7800374779541442E-4</v>
      </c>
      <c r="M86" s="25">
        <f>WO2025Jan7men119151719232529313335394143454749555759636567697173757779[[#This Row],[Thresh]]</f>
        <v>9.3354903198653201E-4</v>
      </c>
      <c r="N86" s="28">
        <f>WO2025Jan7men119151719232529313335394143454749555759636567697173757779[[#This Row],[Thresh]]*2.5</f>
        <v>2.33387257996633E-3</v>
      </c>
      <c r="O86" s="25">
        <f>WO2025Jan7men119151719232529313335394143454749555759636567697173757779[[#This Row],[VO2]]</f>
        <v>8.2152314814814816E-4</v>
      </c>
      <c r="P86" s="25"/>
      <c r="Q86" s="25"/>
      <c r="R86" s="28"/>
      <c r="S86" s="25"/>
      <c r="T86" s="25"/>
      <c r="U86" s="28"/>
      <c r="V86" s="25"/>
      <c r="W86" s="15" t="s">
        <v>35</v>
      </c>
      <c r="X86" s="52"/>
    </row>
    <row r="87" spans="1:24" ht="20.45" customHeight="1">
      <c r="A87" s="1" t="s">
        <v>338</v>
      </c>
      <c r="B87" s="6"/>
      <c r="C87" s="6"/>
      <c r="D87" s="6"/>
      <c r="E87" s="20"/>
      <c r="F87" s="6"/>
      <c r="G87" s="6"/>
      <c r="H87" s="6"/>
      <c r="I87" s="6"/>
      <c r="J87" s="6"/>
      <c r="K87" s="6"/>
      <c r="L87" s="6"/>
      <c r="M87" s="6" t="s">
        <v>12</v>
      </c>
      <c r="N87" s="6" t="s">
        <v>13</v>
      </c>
      <c r="O87" s="6" t="s">
        <v>158</v>
      </c>
      <c r="P87" s="6"/>
      <c r="Q87" s="22"/>
      <c r="R87" s="6"/>
      <c r="S87" s="6"/>
      <c r="T87" s="6"/>
      <c r="U87" s="6"/>
      <c r="V87" s="23"/>
      <c r="W87" s="35"/>
      <c r="X87" s="52"/>
    </row>
    <row r="88" spans="1:24" ht="20.45" customHeight="1">
      <c r="A88" s="10" t="s">
        <v>129</v>
      </c>
      <c r="B88" s="11">
        <v>1.0590277777777778E-2</v>
      </c>
      <c r="C88" s="11">
        <v>3.0092592592592593E-3</v>
      </c>
      <c r="D88" s="11">
        <f t="shared" ref="D88:D95" si="32">B88*E88</f>
        <v>6.1614236111111114E-3</v>
      </c>
      <c r="E88" s="12">
        <v>0.58179999999999998</v>
      </c>
      <c r="F88" s="11">
        <f t="shared" ref="F88:F95" si="33">C88/4</f>
        <v>7.5231481481481482E-4</v>
      </c>
      <c r="G88" s="11">
        <f t="shared" ref="G88:G95" si="34">D88/7.5</f>
        <v>8.2152314814814816E-4</v>
      </c>
      <c r="H88" s="11">
        <f t="shared" ref="H88:H95" si="35">B88/12.5</f>
        <v>8.472222222222223E-4</v>
      </c>
      <c r="I88" s="11">
        <f t="shared" ref="I88:I95" si="36">G88/0.93</f>
        <v>8.8335822381521299E-4</v>
      </c>
      <c r="J88" s="11">
        <f t="shared" ref="J88:J95" si="37">G88/0.92</f>
        <v>8.9295994363929141E-4</v>
      </c>
      <c r="K88" s="11">
        <f t="shared" ref="K88:K95" si="38">G88/0.88</f>
        <v>9.3354903198653201E-4</v>
      </c>
      <c r="L88" s="11">
        <f t="shared" ref="L88:L95" si="39">G88/0.84</f>
        <v>9.7800374779541442E-4</v>
      </c>
      <c r="M88" s="25">
        <f>WO2025Jan7men119151719232529313335394143454749555759636567697173757779[[#This Row],[Thresh]]</f>
        <v>9.3354903198653201E-4</v>
      </c>
      <c r="N88" s="28">
        <f>WO2025Jan7men119151719232529313335394143454749555759636567697173757779[[#This Row],[Thresh]]*2.5</f>
        <v>2.33387257996633E-3</v>
      </c>
      <c r="O88" s="25">
        <f>WO2025Jan7men119151719232529313335394143454749555759636567697173757779[[#This Row],[VO2]]</f>
        <v>8.2152314814814816E-4</v>
      </c>
      <c r="P88" s="25"/>
      <c r="Q88" s="25"/>
      <c r="R88" s="25"/>
      <c r="S88" s="25"/>
      <c r="T88" s="25"/>
      <c r="U88" s="28"/>
      <c r="V88" s="25"/>
      <c r="W88" s="15" t="s">
        <v>48</v>
      </c>
      <c r="X88" s="52" t="s">
        <v>331</v>
      </c>
    </row>
    <row r="89" spans="1:24" ht="20.45" customHeight="1">
      <c r="A89" s="10" t="s">
        <v>90</v>
      </c>
      <c r="B89" s="11">
        <v>1.0648148148148148E-2</v>
      </c>
      <c r="C89" s="11">
        <v>3.0671296296296297E-3</v>
      </c>
      <c r="D89" s="11">
        <f t="shared" si="32"/>
        <v>6.1950925925925923E-3</v>
      </c>
      <c r="E89" s="12">
        <v>0.58179999999999998</v>
      </c>
      <c r="F89" s="11">
        <f t="shared" si="33"/>
        <v>7.6678240740740743E-4</v>
      </c>
      <c r="G89" s="11">
        <f t="shared" si="34"/>
        <v>8.2601234567901232E-4</v>
      </c>
      <c r="H89" s="11">
        <f t="shared" si="35"/>
        <v>8.5185185185185179E-4</v>
      </c>
      <c r="I89" s="11">
        <f t="shared" si="36"/>
        <v>8.8818531793442184E-4</v>
      </c>
      <c r="J89" s="11">
        <f t="shared" si="37"/>
        <v>8.9783950617283942E-4</v>
      </c>
      <c r="K89" s="11">
        <f t="shared" si="38"/>
        <v>9.3865039281705945E-4</v>
      </c>
      <c r="L89" s="17">
        <f t="shared" si="39"/>
        <v>9.833480305702527E-4</v>
      </c>
      <c r="M89" s="25">
        <f>WO2025Jan7men119151719232529313335394143454749555759636567697173757779[[#This Row],[Thresh]]</f>
        <v>9.3865039281705945E-4</v>
      </c>
      <c r="N89" s="28">
        <f>WO2025Jan7men119151719232529313335394143454749555759636567697173757779[[#This Row],[Thresh]]*2.5</f>
        <v>2.3466259820426488E-3</v>
      </c>
      <c r="O89" s="25">
        <f>WO2025Jan7men119151719232529313335394143454749555759636567697173757779[[#This Row],[VO2]]</f>
        <v>8.2601234567901232E-4</v>
      </c>
      <c r="P89" s="25"/>
      <c r="Q89" s="25"/>
      <c r="R89" s="25"/>
      <c r="S89" s="25"/>
      <c r="T89" s="25"/>
      <c r="U89" s="28"/>
      <c r="V89" s="25"/>
      <c r="W89" s="15" t="s">
        <v>35</v>
      </c>
      <c r="X89" s="52"/>
    </row>
    <row r="90" spans="1:24" ht="20.45" customHeight="1">
      <c r="A90" s="10" t="s">
        <v>125</v>
      </c>
      <c r="B90" s="11">
        <v>1.0648148148148148E-2</v>
      </c>
      <c r="C90" s="11"/>
      <c r="D90" s="11">
        <f t="shared" si="32"/>
        <v>6.1950925925925923E-3</v>
      </c>
      <c r="E90" s="12">
        <v>0.58179999999999998</v>
      </c>
      <c r="F90" s="11">
        <f t="shared" si="33"/>
        <v>0</v>
      </c>
      <c r="G90" s="11">
        <f t="shared" si="34"/>
        <v>8.2601234567901232E-4</v>
      </c>
      <c r="H90" s="11">
        <f t="shared" si="35"/>
        <v>8.5185185185185179E-4</v>
      </c>
      <c r="I90" s="11">
        <f t="shared" si="36"/>
        <v>8.8818531793442184E-4</v>
      </c>
      <c r="J90" s="11">
        <f t="shared" si="37"/>
        <v>8.9783950617283942E-4</v>
      </c>
      <c r="K90" s="11">
        <f t="shared" si="38"/>
        <v>9.3865039281705945E-4</v>
      </c>
      <c r="L90" s="11">
        <f t="shared" si="39"/>
        <v>9.833480305702527E-4</v>
      </c>
      <c r="M90" s="25">
        <f>WO2025Jan7men119151719232529313335394143454749555759636567697173757779[[#This Row],[Thresh]]</f>
        <v>9.3865039281705945E-4</v>
      </c>
      <c r="N90" s="28">
        <f>WO2025Jan7men119151719232529313335394143454749555759636567697173757779[[#This Row],[Thresh]]*2.5</f>
        <v>2.3466259820426488E-3</v>
      </c>
      <c r="O90" s="25">
        <f>WO2025Jan7men119151719232529313335394143454749555759636567697173757779[[#This Row],[VO2]]</f>
        <v>8.2601234567901232E-4</v>
      </c>
      <c r="P90" s="25"/>
      <c r="Q90" s="25"/>
      <c r="R90" s="28"/>
      <c r="S90" s="25"/>
      <c r="T90" s="25"/>
      <c r="U90" s="28"/>
      <c r="V90" s="28"/>
      <c r="W90" s="15" t="s">
        <v>35</v>
      </c>
      <c r="X90" s="52"/>
    </row>
    <row r="91" spans="1:24" ht="20.45" customHeight="1">
      <c r="A91" s="10" t="s">
        <v>264</v>
      </c>
      <c r="B91" s="11">
        <v>1.0648148148148148E-2</v>
      </c>
      <c r="C91" s="11"/>
      <c r="D91" s="11">
        <f t="shared" si="32"/>
        <v>6.1950925925925923E-3</v>
      </c>
      <c r="E91" s="12">
        <v>0.58179999999999998</v>
      </c>
      <c r="F91" s="11">
        <f t="shared" si="33"/>
        <v>0</v>
      </c>
      <c r="G91" s="11">
        <f t="shared" si="34"/>
        <v>8.2601234567901232E-4</v>
      </c>
      <c r="H91" s="11">
        <f t="shared" si="35"/>
        <v>8.5185185185185179E-4</v>
      </c>
      <c r="I91" s="11">
        <f t="shared" si="36"/>
        <v>8.8818531793442184E-4</v>
      </c>
      <c r="J91" s="11">
        <f t="shared" si="37"/>
        <v>8.9783950617283942E-4</v>
      </c>
      <c r="K91" s="11">
        <f t="shared" si="38"/>
        <v>9.3865039281705945E-4</v>
      </c>
      <c r="L91" s="11">
        <f t="shared" si="39"/>
        <v>9.833480305702527E-4</v>
      </c>
      <c r="M91" s="25">
        <f>WO2025Jan7men119151719232529313335394143454749555759636567697173757779[[#This Row],[Thresh]]</f>
        <v>9.3865039281705945E-4</v>
      </c>
      <c r="N91" s="28">
        <f>WO2025Jan7men119151719232529313335394143454749555759636567697173757779[[#This Row],[Thresh]]*2.5</f>
        <v>2.3466259820426488E-3</v>
      </c>
      <c r="O91" s="25">
        <f>WO2025Jan7men119151719232529313335394143454749555759636567697173757779[[#This Row],[VO2]]</f>
        <v>8.2601234567901232E-4</v>
      </c>
      <c r="P91" s="25"/>
      <c r="Q91" s="25"/>
      <c r="R91" s="26"/>
      <c r="S91" s="14"/>
      <c r="T91" s="14"/>
      <c r="U91" s="26"/>
      <c r="V91" s="28"/>
      <c r="W91" s="27" t="s">
        <v>35</v>
      </c>
      <c r="X91" s="52"/>
    </row>
    <row r="92" spans="1:24" ht="20.45" customHeight="1">
      <c r="A92" s="10" t="s">
        <v>126</v>
      </c>
      <c r="B92" s="11">
        <v>1.0648148148148148E-2</v>
      </c>
      <c r="C92" s="11"/>
      <c r="D92" s="11">
        <f t="shared" si="32"/>
        <v>6.1950925925925923E-3</v>
      </c>
      <c r="E92" s="12">
        <v>0.58179999999999998</v>
      </c>
      <c r="F92" s="11">
        <f t="shared" si="33"/>
        <v>0</v>
      </c>
      <c r="G92" s="11">
        <f t="shared" si="34"/>
        <v>8.2601234567901232E-4</v>
      </c>
      <c r="H92" s="11">
        <f t="shared" si="35"/>
        <v>8.5185185185185179E-4</v>
      </c>
      <c r="I92" s="11">
        <f t="shared" si="36"/>
        <v>8.8818531793442184E-4</v>
      </c>
      <c r="J92" s="11">
        <f t="shared" si="37"/>
        <v>8.9783950617283942E-4</v>
      </c>
      <c r="K92" s="11">
        <f t="shared" si="38"/>
        <v>9.3865039281705945E-4</v>
      </c>
      <c r="L92" s="11">
        <f t="shared" si="39"/>
        <v>9.833480305702527E-4</v>
      </c>
      <c r="M92" s="25">
        <f>WO2025Jan7men119151719232529313335394143454749555759636567697173757779[[#This Row],[Thresh]]</f>
        <v>9.3865039281705945E-4</v>
      </c>
      <c r="N92" s="28">
        <f>WO2025Jan7men119151719232529313335394143454749555759636567697173757779[[#This Row],[Thresh]]*2.5</f>
        <v>2.3466259820426488E-3</v>
      </c>
      <c r="O92" s="25">
        <f>WO2025Jan7men119151719232529313335394143454749555759636567697173757779[[#This Row],[VO2]]</f>
        <v>8.2601234567901232E-4</v>
      </c>
      <c r="P92" s="25"/>
      <c r="Q92" s="25"/>
      <c r="R92" s="28"/>
      <c r="S92" s="25"/>
      <c r="T92" s="25"/>
      <c r="U92" s="28"/>
      <c r="V92" s="28"/>
      <c r="W92" s="27" t="s">
        <v>35</v>
      </c>
      <c r="X92" s="52"/>
    </row>
    <row r="93" spans="1:24" ht="20.45" customHeight="1">
      <c r="A93" s="10" t="s">
        <v>121</v>
      </c>
      <c r="B93" s="11">
        <v>1.0648148148148148E-2</v>
      </c>
      <c r="C93" s="11"/>
      <c r="D93" s="11">
        <f t="shared" si="32"/>
        <v>6.1950925925925923E-3</v>
      </c>
      <c r="E93" s="12">
        <v>0.58179999999999998</v>
      </c>
      <c r="F93" s="11">
        <f t="shared" si="33"/>
        <v>0</v>
      </c>
      <c r="G93" s="11">
        <f t="shared" si="34"/>
        <v>8.2601234567901232E-4</v>
      </c>
      <c r="H93" s="11">
        <f t="shared" si="35"/>
        <v>8.5185185185185179E-4</v>
      </c>
      <c r="I93" s="11">
        <f t="shared" si="36"/>
        <v>8.8818531793442184E-4</v>
      </c>
      <c r="J93" s="11">
        <f t="shared" si="37"/>
        <v>8.9783950617283942E-4</v>
      </c>
      <c r="K93" s="11">
        <f t="shared" si="38"/>
        <v>9.3865039281705945E-4</v>
      </c>
      <c r="L93" s="11">
        <f t="shared" si="39"/>
        <v>9.833480305702527E-4</v>
      </c>
      <c r="M93" s="25">
        <f>WO2025Jan7men119151719232529313335394143454749555759636567697173757779[[#This Row],[Thresh]]</f>
        <v>9.3865039281705945E-4</v>
      </c>
      <c r="N93" s="28">
        <f>WO2025Jan7men119151719232529313335394143454749555759636567697173757779[[#This Row],[Thresh]]*2.5</f>
        <v>2.3466259820426488E-3</v>
      </c>
      <c r="O93" s="25">
        <f>WO2025Jan7men119151719232529313335394143454749555759636567697173757779[[#This Row],[VO2]]</f>
        <v>8.2601234567901232E-4</v>
      </c>
      <c r="P93" s="25"/>
      <c r="Q93" s="25"/>
      <c r="R93" s="26"/>
      <c r="S93" s="14"/>
      <c r="T93" s="14"/>
      <c r="U93" s="26"/>
      <c r="V93" s="28"/>
      <c r="W93" s="27" t="s">
        <v>35</v>
      </c>
      <c r="X93" s="52"/>
    </row>
    <row r="94" spans="1:24" ht="20.45" customHeight="1">
      <c r="A94" s="10" t="s">
        <v>124</v>
      </c>
      <c r="B94" s="11">
        <v>1.0763888888888889E-2</v>
      </c>
      <c r="C94" s="11"/>
      <c r="D94" s="11">
        <f t="shared" si="32"/>
        <v>6.2624305555555549E-3</v>
      </c>
      <c r="E94" s="12">
        <v>0.58179999999999998</v>
      </c>
      <c r="F94" s="11">
        <f t="shared" si="33"/>
        <v>0</v>
      </c>
      <c r="G94" s="11">
        <f t="shared" si="34"/>
        <v>8.3499074074074064E-4</v>
      </c>
      <c r="H94" s="11">
        <f t="shared" si="35"/>
        <v>8.611111111111111E-4</v>
      </c>
      <c r="I94" s="11">
        <f t="shared" si="36"/>
        <v>8.9783950617283931E-4</v>
      </c>
      <c r="J94" s="11">
        <f t="shared" si="37"/>
        <v>9.0759863123993545E-4</v>
      </c>
      <c r="K94" s="11">
        <f t="shared" si="38"/>
        <v>9.4885311447811432E-4</v>
      </c>
      <c r="L94" s="11">
        <f t="shared" si="39"/>
        <v>9.9403659611992947E-4</v>
      </c>
      <c r="M94" s="25">
        <f>WO2025Jan7men119151719232529313335394143454749555759636567697173757779[[#This Row],[Thresh]]</f>
        <v>9.4885311447811432E-4</v>
      </c>
      <c r="N94" s="28">
        <f>WO2025Jan7men119151719232529313335394143454749555759636567697173757779[[#This Row],[Thresh]]*2.5</f>
        <v>2.3721327861952858E-3</v>
      </c>
      <c r="O94" s="25">
        <f>WO2025Jan7men119151719232529313335394143454749555759636567697173757779[[#This Row],[VO2]]</f>
        <v>8.3499074074074064E-4</v>
      </c>
      <c r="P94" s="25"/>
      <c r="Q94" s="25"/>
      <c r="R94" s="26"/>
      <c r="S94" s="14"/>
      <c r="T94" s="14"/>
      <c r="U94" s="26"/>
      <c r="V94" s="28"/>
      <c r="W94" s="27" t="s">
        <v>35</v>
      </c>
      <c r="X94" s="52"/>
    </row>
    <row r="95" spans="1:24" ht="20.45" customHeight="1">
      <c r="A95" s="10" t="s">
        <v>114</v>
      </c>
      <c r="B95" s="11">
        <v>1.0763888888888889E-2</v>
      </c>
      <c r="C95" s="11"/>
      <c r="D95" s="11">
        <f t="shared" si="32"/>
        <v>6.2624305555555549E-3</v>
      </c>
      <c r="E95" s="12">
        <v>0.58179999999999998</v>
      </c>
      <c r="F95" s="11">
        <f t="shared" si="33"/>
        <v>0</v>
      </c>
      <c r="G95" s="11">
        <f t="shared" si="34"/>
        <v>8.3499074074074064E-4</v>
      </c>
      <c r="H95" s="11">
        <f t="shared" si="35"/>
        <v>8.611111111111111E-4</v>
      </c>
      <c r="I95" s="11">
        <f t="shared" si="36"/>
        <v>8.9783950617283931E-4</v>
      </c>
      <c r="J95" s="11">
        <f t="shared" si="37"/>
        <v>9.0759863123993545E-4</v>
      </c>
      <c r="K95" s="11">
        <f t="shared" si="38"/>
        <v>9.4885311447811432E-4</v>
      </c>
      <c r="L95" s="11">
        <f t="shared" si="39"/>
        <v>9.9403659611992947E-4</v>
      </c>
      <c r="M95" s="25">
        <f>WO2025Jan7men119151719232529313335394143454749555759636567697173757779[[#This Row],[Thresh]]</f>
        <v>9.4885311447811432E-4</v>
      </c>
      <c r="N95" s="28">
        <f>WO2025Jan7men119151719232529313335394143454749555759636567697173757779[[#This Row],[Thresh]]*2.5</f>
        <v>2.3721327861952858E-3</v>
      </c>
      <c r="O95" s="25">
        <f>WO2025Jan7men119151719232529313335394143454749555759636567697173757779[[#This Row],[VO2]]</f>
        <v>8.3499074074074064E-4</v>
      </c>
      <c r="P95" s="25"/>
      <c r="Q95" s="25"/>
      <c r="R95" s="28"/>
      <c r="S95" s="25"/>
      <c r="T95" s="25"/>
      <c r="U95" s="28"/>
      <c r="V95" s="28"/>
      <c r="W95" s="15" t="s">
        <v>35</v>
      </c>
      <c r="X95" s="52"/>
    </row>
    <row r="96" spans="1:24" ht="20.45" customHeight="1">
      <c r="A96" s="10" t="s">
        <v>127</v>
      </c>
      <c r="B96" s="11">
        <v>1.0763888888888891E-2</v>
      </c>
      <c r="C96" s="11"/>
      <c r="D96" s="11">
        <f t="shared" ref="D96:D97" si="40">B96*E96</f>
        <v>6.2624305555555567E-3</v>
      </c>
      <c r="E96" s="12">
        <v>0.58179999999999998</v>
      </c>
      <c r="F96" s="11">
        <f t="shared" ref="F96:F97" si="41">C96/4</f>
        <v>0</v>
      </c>
      <c r="G96" s="11">
        <f t="shared" ref="G96:G97" si="42">D96/7.5</f>
        <v>8.3499074074074085E-4</v>
      </c>
      <c r="H96" s="11">
        <f t="shared" ref="H96:H97" si="43">B96/12.5</f>
        <v>8.6111111111111121E-4</v>
      </c>
      <c r="I96" s="11">
        <f t="shared" ref="I96:I97" si="44">G96/0.93</f>
        <v>8.9783950617283953E-4</v>
      </c>
      <c r="J96" s="11">
        <f t="shared" ref="J96:J97" si="45">G96/0.92</f>
        <v>9.0759863123993567E-4</v>
      </c>
      <c r="K96" s="11">
        <f t="shared" ref="K96:K97" si="46">G96/0.88</f>
        <v>9.4885311447811464E-4</v>
      </c>
      <c r="L96" s="11">
        <f t="shared" ref="L96:L97" si="47">G96/0.84</f>
        <v>9.9403659611992969E-4</v>
      </c>
      <c r="M96" s="25">
        <f>WO2025Jan7men119151719232529313335394143454749555759636567697173757779[[#This Row],[Thresh]]</f>
        <v>9.4885311447811464E-4</v>
      </c>
      <c r="N96" s="28">
        <f>WO2025Jan7men119151719232529313335394143454749555759636567697173757779[[#This Row],[Thresh]]*2.5</f>
        <v>2.3721327861952867E-3</v>
      </c>
      <c r="O96" s="25">
        <f>WO2025Jan7men119151719232529313335394143454749555759636567697173757779[[#This Row],[VO2]]</f>
        <v>8.3499074074074085E-4</v>
      </c>
      <c r="P96" s="25"/>
      <c r="Q96" s="25"/>
      <c r="R96" s="28"/>
      <c r="S96" s="25"/>
      <c r="T96" s="25"/>
      <c r="U96" s="28"/>
      <c r="V96" s="28"/>
      <c r="W96" s="15" t="s">
        <v>48</v>
      </c>
      <c r="X96" s="52"/>
    </row>
    <row r="97" spans="1:24" ht="20.45" customHeight="1">
      <c r="A97" s="10" t="s">
        <v>131</v>
      </c>
      <c r="B97" s="11">
        <v>1.0763888888888891E-2</v>
      </c>
      <c r="C97" s="11">
        <v>3.1828703703703702E-3</v>
      </c>
      <c r="D97" s="11">
        <f t="shared" si="40"/>
        <v>6.2624305555555567E-3</v>
      </c>
      <c r="E97" s="12">
        <v>0.58179999999999998</v>
      </c>
      <c r="F97" s="11">
        <f t="shared" si="41"/>
        <v>7.9571759259259255E-4</v>
      </c>
      <c r="G97" s="11">
        <f t="shared" si="42"/>
        <v>8.3499074074074085E-4</v>
      </c>
      <c r="H97" s="11">
        <f t="shared" si="43"/>
        <v>8.6111111111111121E-4</v>
      </c>
      <c r="I97" s="11">
        <f t="shared" si="44"/>
        <v>8.9783950617283953E-4</v>
      </c>
      <c r="J97" s="11">
        <f t="shared" si="45"/>
        <v>9.0759863123993567E-4</v>
      </c>
      <c r="K97" s="11">
        <f t="shared" si="46"/>
        <v>9.4885311447811464E-4</v>
      </c>
      <c r="L97" s="11">
        <f t="shared" si="47"/>
        <v>9.9403659611992969E-4</v>
      </c>
      <c r="M97" s="25">
        <f>WO2025Jan7men119151719232529313335394143454749555759636567697173757779[[#This Row],[Thresh]]</f>
        <v>9.4885311447811464E-4</v>
      </c>
      <c r="N97" s="28">
        <f>WO2025Jan7men119151719232529313335394143454749555759636567697173757779[[#This Row],[Thresh]]*2.5</f>
        <v>2.3721327861952867E-3</v>
      </c>
      <c r="O97" s="25">
        <f>WO2025Jan7men119151719232529313335394143454749555759636567697173757779[[#This Row],[VO2]]</f>
        <v>8.3499074074074085E-4</v>
      </c>
      <c r="P97" s="25"/>
      <c r="Q97" s="25"/>
      <c r="R97" s="28"/>
      <c r="S97" s="25"/>
      <c r="T97" s="25"/>
      <c r="U97" s="28"/>
      <c r="V97" s="28"/>
      <c r="W97" s="15" t="s">
        <v>35</v>
      </c>
      <c r="X97" s="52"/>
    </row>
    <row r="98" spans="1:24" ht="20.45" customHeight="1">
      <c r="A98" s="10" t="s">
        <v>130</v>
      </c>
      <c r="B98" s="11">
        <v>1.087962962962963E-2</v>
      </c>
      <c r="C98" s="11">
        <v>3.1828703703703702E-3</v>
      </c>
      <c r="D98" s="11">
        <f>B98*E98</f>
        <v>6.3297685185185184E-3</v>
      </c>
      <c r="E98" s="12">
        <v>0.58179999999999998</v>
      </c>
      <c r="F98" s="11">
        <f>C98/4</f>
        <v>7.9571759259259255E-4</v>
      </c>
      <c r="G98" s="11">
        <f>D98/7.5</f>
        <v>8.4396913580246917E-4</v>
      </c>
      <c r="H98" s="11">
        <f>B98/12.5</f>
        <v>8.7037037037037042E-4</v>
      </c>
      <c r="I98" s="11">
        <f>G98/0.93</f>
        <v>9.0749369441125711E-4</v>
      </c>
      <c r="J98" s="11">
        <f>G98/0.92</f>
        <v>9.173577563070317E-4</v>
      </c>
      <c r="K98" s="11">
        <f>G98/0.88</f>
        <v>9.5905583613916951E-4</v>
      </c>
      <c r="L98" s="11">
        <f>G98/0.84</f>
        <v>1.0047251616696062E-3</v>
      </c>
      <c r="M98" s="25">
        <f>WO2025Jan7men119151719232529313335394143454749555759636567697173757779[[#This Row],[Thresh]]</f>
        <v>9.5905583613916951E-4</v>
      </c>
      <c r="N98" s="28">
        <f>WO2025Jan7men119151719232529313335394143454749555759636567697173757779[[#This Row],[Thresh]]*2.5</f>
        <v>2.3976395903479238E-3</v>
      </c>
      <c r="O98" s="25">
        <f>WO2025Jan7men119151719232529313335394143454749555759636567697173757779[[#This Row],[VO2]]</f>
        <v>8.4396913580246917E-4</v>
      </c>
      <c r="P98" s="25"/>
      <c r="Q98" s="25"/>
      <c r="R98" s="28"/>
      <c r="S98" s="25"/>
      <c r="T98" s="25"/>
      <c r="U98" s="28"/>
      <c r="V98" s="28"/>
      <c r="W98" s="27" t="s">
        <v>35</v>
      </c>
      <c r="X98" s="50" t="s">
        <v>347</v>
      </c>
    </row>
    <row r="99" spans="1:24" ht="20.45" customHeight="1">
      <c r="A99" s="10" t="s">
        <v>137</v>
      </c>
      <c r="B99" s="11">
        <v>1.087962962962963E-2</v>
      </c>
      <c r="C99" s="11"/>
      <c r="D99" s="11">
        <f>B99*E99</f>
        <v>6.3297685185185184E-3</v>
      </c>
      <c r="E99" s="12">
        <v>0.58179999999999998</v>
      </c>
      <c r="F99" s="11">
        <f>C99/4</f>
        <v>0</v>
      </c>
      <c r="G99" s="11">
        <f>D99/7.5</f>
        <v>8.4396913580246917E-4</v>
      </c>
      <c r="H99" s="11">
        <f>B99/12.5</f>
        <v>8.7037037037037042E-4</v>
      </c>
      <c r="I99" s="11">
        <f>G99/0.93</f>
        <v>9.0749369441125711E-4</v>
      </c>
      <c r="J99" s="11">
        <f>G99/0.92</f>
        <v>9.173577563070317E-4</v>
      </c>
      <c r="K99" s="11">
        <f>G99/0.88</f>
        <v>9.5905583613916951E-4</v>
      </c>
      <c r="L99" s="11">
        <f>G99/0.84</f>
        <v>1.0047251616696062E-3</v>
      </c>
      <c r="M99" s="25">
        <f>WO2025Jan7men119151719232529313335394143454749555759636567697173757779[[#This Row],[Thresh]]</f>
        <v>9.5905583613916951E-4</v>
      </c>
      <c r="N99" s="28">
        <f>WO2025Jan7men119151719232529313335394143454749555759636567697173757779[[#This Row],[Thresh]]*2.5</f>
        <v>2.3976395903479238E-3</v>
      </c>
      <c r="O99" s="25">
        <f>WO2025Jan7men119151719232529313335394143454749555759636567697173757779[[#This Row],[VO2]]</f>
        <v>8.4396913580246917E-4</v>
      </c>
      <c r="P99" s="25"/>
      <c r="Q99" s="25"/>
      <c r="R99" s="28"/>
      <c r="S99" s="25"/>
      <c r="T99" s="25"/>
      <c r="U99" s="28"/>
      <c r="V99" s="28"/>
      <c r="W99" s="15" t="s">
        <v>48</v>
      </c>
      <c r="X99" s="50"/>
    </row>
    <row r="100" spans="1:24" ht="20.45" customHeight="1">
      <c r="A100" s="10" t="s">
        <v>132</v>
      </c>
      <c r="B100" s="11">
        <v>1.087962962962963E-2</v>
      </c>
      <c r="C100" s="11"/>
      <c r="D100" s="11">
        <f>B100*E100</f>
        <v>6.3297685185185184E-3</v>
      </c>
      <c r="E100" s="12">
        <v>0.58179999999999998</v>
      </c>
      <c r="F100" s="11">
        <f>C100/4</f>
        <v>0</v>
      </c>
      <c r="G100" s="11">
        <f>D100/7.5</f>
        <v>8.4396913580246917E-4</v>
      </c>
      <c r="H100" s="11">
        <f>B100/12.5</f>
        <v>8.7037037037037042E-4</v>
      </c>
      <c r="I100" s="11">
        <f>G100/0.93</f>
        <v>9.0749369441125711E-4</v>
      </c>
      <c r="J100" s="11">
        <f>G100/0.92</f>
        <v>9.173577563070317E-4</v>
      </c>
      <c r="K100" s="11">
        <f>G100/0.88</f>
        <v>9.5905583613916951E-4</v>
      </c>
      <c r="L100" s="11">
        <f>G100/0.84</f>
        <v>1.0047251616696062E-3</v>
      </c>
      <c r="M100" s="25">
        <f>WO2025Jan7men119151719232529313335394143454749555759636567697173757779[[#This Row],[Thresh]]</f>
        <v>9.5905583613916951E-4</v>
      </c>
      <c r="N100" s="28">
        <f>WO2025Jan7men119151719232529313335394143454749555759636567697173757779[[#This Row],[Thresh]]*2.5</f>
        <v>2.3976395903479238E-3</v>
      </c>
      <c r="O100" s="25">
        <f>WO2025Jan7men119151719232529313335394143454749555759636567697173757779[[#This Row],[VO2]]</f>
        <v>8.4396913580246917E-4</v>
      </c>
      <c r="P100" s="25"/>
      <c r="Q100" s="25"/>
      <c r="R100" s="26"/>
      <c r="S100" s="14"/>
      <c r="T100" s="14"/>
      <c r="U100" s="26"/>
      <c r="V100" s="28"/>
      <c r="W100" s="27" t="s">
        <v>35</v>
      </c>
      <c r="X100" s="50"/>
    </row>
    <row r="101" spans="1:24" ht="20.45" customHeight="1">
      <c r="A101" s="10" t="s">
        <v>133</v>
      </c>
      <c r="B101" s="11">
        <v>1.087962962962963E-2</v>
      </c>
      <c r="C101" s="11">
        <v>3.1250000000000002E-3</v>
      </c>
      <c r="D101" s="11">
        <f>B101*E101</f>
        <v>6.3297685185185184E-3</v>
      </c>
      <c r="E101" s="12">
        <v>0.58179999999999998</v>
      </c>
      <c r="F101" s="11">
        <f>C101/4</f>
        <v>7.8125000000000004E-4</v>
      </c>
      <c r="G101" s="11">
        <f>D101/7.5</f>
        <v>8.4396913580246917E-4</v>
      </c>
      <c r="H101" s="11">
        <f>B101/12.5</f>
        <v>8.7037037037037042E-4</v>
      </c>
      <c r="I101" s="11">
        <f>G101/0.93</f>
        <v>9.0749369441125711E-4</v>
      </c>
      <c r="J101" s="11">
        <f>G101/0.92</f>
        <v>9.173577563070317E-4</v>
      </c>
      <c r="K101" s="11">
        <f>G101/0.88</f>
        <v>9.5905583613916951E-4</v>
      </c>
      <c r="L101" s="11">
        <f>G101/0.84</f>
        <v>1.0047251616696062E-3</v>
      </c>
      <c r="M101" s="25">
        <f>WO2025Jan7men119151719232529313335394143454749555759636567697173757779[[#This Row],[Thresh]]</f>
        <v>9.5905583613916951E-4</v>
      </c>
      <c r="N101" s="28">
        <f>WO2025Jan7men119151719232529313335394143454749555759636567697173757779[[#This Row],[Thresh]]*2.5</f>
        <v>2.3976395903479238E-3</v>
      </c>
      <c r="O101" s="25">
        <f>WO2025Jan7men119151719232529313335394143454749555759636567697173757779[[#This Row],[VO2]]</f>
        <v>8.4396913580246917E-4</v>
      </c>
      <c r="P101" s="25"/>
      <c r="Q101" s="25"/>
      <c r="R101" s="25"/>
      <c r="S101" s="25"/>
      <c r="T101" s="25"/>
      <c r="U101" s="28"/>
      <c r="V101" s="25"/>
      <c r="W101" s="15" t="s">
        <v>35</v>
      </c>
      <c r="X101" s="50"/>
    </row>
    <row r="102" spans="1:24" ht="20.45" customHeight="1">
      <c r="A102" s="10" t="s">
        <v>113</v>
      </c>
      <c r="B102" s="11">
        <v>1.087962962962963E-2</v>
      </c>
      <c r="C102" s="11">
        <v>3.2986111111111111E-3</v>
      </c>
      <c r="D102" s="11">
        <f t="shared" ref="D102:D105" si="48">B102*E102</f>
        <v>6.3297685185185184E-3</v>
      </c>
      <c r="E102" s="12">
        <v>0.58179999999999998</v>
      </c>
      <c r="F102" s="11">
        <f t="shared" ref="F102:F105" si="49">C102/4</f>
        <v>8.2465277777777778E-4</v>
      </c>
      <c r="G102" s="11">
        <f t="shared" ref="G102:G105" si="50">D102/7.5</f>
        <v>8.4396913580246917E-4</v>
      </c>
      <c r="H102" s="11">
        <f t="shared" ref="H102:H105" si="51">B102/12.5</f>
        <v>8.7037037037037042E-4</v>
      </c>
      <c r="I102" s="11">
        <f t="shared" ref="I102:I105" si="52">G102/0.93</f>
        <v>9.0749369441125711E-4</v>
      </c>
      <c r="J102" s="11">
        <f t="shared" ref="J102:J105" si="53">G102/0.92</f>
        <v>9.173577563070317E-4</v>
      </c>
      <c r="K102" s="11">
        <f t="shared" ref="K102:K105" si="54">G102/0.88</f>
        <v>9.5905583613916951E-4</v>
      </c>
      <c r="L102" s="11">
        <f t="shared" ref="L102:L105" si="55">G102/0.84</f>
        <v>1.0047251616696062E-3</v>
      </c>
      <c r="M102" s="25">
        <f>WO2025Jan7men119151719232529313335394143454749555759636567697173757779[[#This Row],[Thresh]]</f>
        <v>9.5905583613916951E-4</v>
      </c>
      <c r="N102" s="28">
        <f>WO2025Jan7men119151719232529313335394143454749555759636567697173757779[[#This Row],[Thresh]]*2.5</f>
        <v>2.3976395903479238E-3</v>
      </c>
      <c r="O102" s="25">
        <f>WO2025Jan7men119151719232529313335394143454749555759636567697173757779[[#This Row],[VO2]]</f>
        <v>8.4396913580246917E-4</v>
      </c>
      <c r="P102" s="25"/>
      <c r="Q102" s="25"/>
      <c r="R102" s="28"/>
      <c r="S102" s="25"/>
      <c r="T102" s="25"/>
      <c r="U102" s="28"/>
      <c r="V102" s="25"/>
      <c r="W102" s="15" t="s">
        <v>35</v>
      </c>
      <c r="X102" s="50"/>
    </row>
    <row r="103" spans="1:24" ht="20.45" customHeight="1">
      <c r="A103" s="10" t="s">
        <v>128</v>
      </c>
      <c r="B103" s="11">
        <v>1.1111111111111112E-2</v>
      </c>
      <c r="C103" s="11"/>
      <c r="D103" s="11">
        <f>B103*E103</f>
        <v>6.4644444444444445E-3</v>
      </c>
      <c r="E103" s="12">
        <v>0.58179999999999998</v>
      </c>
      <c r="F103" s="11">
        <f>C103/4</f>
        <v>0</v>
      </c>
      <c r="G103" s="11">
        <f>D103/7.5</f>
        <v>8.6192592592592592E-4</v>
      </c>
      <c r="H103" s="11">
        <f>B103/12.5</f>
        <v>8.8888888888888893E-4</v>
      </c>
      <c r="I103" s="11">
        <f>G103/0.93</f>
        <v>9.2680207088809239E-4</v>
      </c>
      <c r="J103" s="11">
        <f>G103/0.92</f>
        <v>9.3687600644122375E-4</v>
      </c>
      <c r="K103" s="11">
        <f>G103/0.88</f>
        <v>9.7946127946127947E-4</v>
      </c>
      <c r="L103" s="11">
        <f>G103/0.84</f>
        <v>1.0261022927689596E-3</v>
      </c>
      <c r="M103" s="25">
        <f>WO2025Jan7men119151719232529313335394143454749555759636567697173757779[[#This Row],[Thresh]]</f>
        <v>9.7946127946127947E-4</v>
      </c>
      <c r="N103" s="28">
        <f>WO2025Jan7men119151719232529313335394143454749555759636567697173757779[[#This Row],[Thresh]]*2.5</f>
        <v>2.4486531986531988E-3</v>
      </c>
      <c r="O103" s="25">
        <f>WO2025Jan7men119151719232529313335394143454749555759636567697173757779[[#This Row],[VO2]]</f>
        <v>8.6192592592592592E-4</v>
      </c>
      <c r="P103" s="25"/>
      <c r="Q103" s="25"/>
      <c r="R103" s="26"/>
      <c r="S103" s="14"/>
      <c r="T103" s="14"/>
      <c r="U103" s="26"/>
      <c r="V103" s="28"/>
      <c r="W103" s="27" t="s">
        <v>48</v>
      </c>
      <c r="X103" s="50"/>
    </row>
    <row r="104" spans="1:24" ht="20.45" customHeight="1">
      <c r="A104" s="10" t="s">
        <v>136</v>
      </c>
      <c r="B104" s="11">
        <v>1.1111111111111112E-2</v>
      </c>
      <c r="C104" s="11">
        <v>3.1828703703703702E-3</v>
      </c>
      <c r="D104" s="11">
        <f>B104*E104</f>
        <v>6.4644444444444445E-3</v>
      </c>
      <c r="E104" s="12">
        <v>0.58179999999999998</v>
      </c>
      <c r="F104" s="11">
        <f>C104/4</f>
        <v>7.9571759259259255E-4</v>
      </c>
      <c r="G104" s="11">
        <f>D104/7.5</f>
        <v>8.6192592592592592E-4</v>
      </c>
      <c r="H104" s="11">
        <f>B104/12.5</f>
        <v>8.8888888888888893E-4</v>
      </c>
      <c r="I104" s="11">
        <f>G104/0.93</f>
        <v>9.2680207088809239E-4</v>
      </c>
      <c r="J104" s="11">
        <f>G104/0.92</f>
        <v>9.3687600644122375E-4</v>
      </c>
      <c r="K104" s="11">
        <f>G104/0.88</f>
        <v>9.7946127946127947E-4</v>
      </c>
      <c r="L104" s="11">
        <f>G104/0.84</f>
        <v>1.0261022927689596E-3</v>
      </c>
      <c r="M104" s="25">
        <f>WO2025Jan7men119151719232529313335394143454749555759636567697173757779[[#This Row],[Thresh]]</f>
        <v>9.7946127946127947E-4</v>
      </c>
      <c r="N104" s="28">
        <f>WO2025Jan7men119151719232529313335394143454749555759636567697173757779[[#This Row],[Thresh]]*2.5</f>
        <v>2.4486531986531988E-3</v>
      </c>
      <c r="O104" s="25">
        <f>WO2025Jan7men119151719232529313335394143454749555759636567697173757779[[#This Row],[VO2]]</f>
        <v>8.6192592592592592E-4</v>
      </c>
      <c r="P104" s="25"/>
      <c r="Q104" s="25"/>
      <c r="R104" s="25"/>
      <c r="S104" s="25"/>
      <c r="T104" s="25"/>
      <c r="U104" s="28"/>
      <c r="V104" s="25"/>
      <c r="W104" s="15" t="s">
        <v>35</v>
      </c>
      <c r="X104" s="50"/>
    </row>
    <row r="105" spans="1:24" ht="20.45" customHeight="1">
      <c r="A105" s="10" t="s">
        <v>107</v>
      </c>
      <c r="B105" s="11">
        <v>1.1111111111111112E-2</v>
      </c>
      <c r="C105" s="11">
        <v>3.2407407407407406E-3</v>
      </c>
      <c r="D105" s="11">
        <f t="shared" si="48"/>
        <v>6.4644444444444445E-3</v>
      </c>
      <c r="E105" s="12">
        <v>0.58179999999999998</v>
      </c>
      <c r="F105" s="11">
        <f t="shared" si="49"/>
        <v>8.1018518518518516E-4</v>
      </c>
      <c r="G105" s="11">
        <f t="shared" si="50"/>
        <v>8.6192592592592592E-4</v>
      </c>
      <c r="H105" s="11">
        <f t="shared" si="51"/>
        <v>8.8888888888888893E-4</v>
      </c>
      <c r="I105" s="11">
        <f t="shared" si="52"/>
        <v>9.2680207088809239E-4</v>
      </c>
      <c r="J105" s="11">
        <f t="shared" si="53"/>
        <v>9.3687600644122375E-4</v>
      </c>
      <c r="K105" s="11">
        <f t="shared" si="54"/>
        <v>9.7946127946127947E-4</v>
      </c>
      <c r="L105" s="11">
        <f t="shared" si="55"/>
        <v>1.0261022927689596E-3</v>
      </c>
      <c r="M105" s="25">
        <f>WO2025Jan7men119151719232529313335394143454749555759636567697173757779[[#This Row],[Thresh]]</f>
        <v>9.7946127946127947E-4</v>
      </c>
      <c r="N105" s="28">
        <f>WO2025Jan7men119151719232529313335394143454749555759636567697173757779[[#This Row],[Thresh]]*2.5</f>
        <v>2.4486531986531988E-3</v>
      </c>
      <c r="O105" s="25">
        <f>WO2025Jan7men119151719232529313335394143454749555759636567697173757779[[#This Row],[VO2]]</f>
        <v>8.6192592592592592E-4</v>
      </c>
      <c r="P105" s="25"/>
      <c r="Q105" s="25"/>
      <c r="R105" s="28"/>
      <c r="S105" s="25"/>
      <c r="T105" s="25"/>
      <c r="U105" s="28"/>
      <c r="V105" s="28"/>
      <c r="W105" s="15" t="s">
        <v>48</v>
      </c>
      <c r="X105" s="50"/>
    </row>
    <row r="106" spans="1:24" ht="20.45" customHeight="1">
      <c r="A106" s="10" t="s">
        <v>135</v>
      </c>
      <c r="B106" s="11">
        <v>1.1631944444444445E-2</v>
      </c>
      <c r="C106" s="11">
        <v>3.414351851851852E-3</v>
      </c>
      <c r="D106" s="11">
        <f>B106*E106</f>
        <v>6.7674652777777776E-3</v>
      </c>
      <c r="E106" s="12">
        <v>0.58179999999999998</v>
      </c>
      <c r="F106" s="11">
        <f>C106/4</f>
        <v>8.53587962962963E-4</v>
      </c>
      <c r="G106" s="11">
        <f>D106/7.5</f>
        <v>9.0232870370370369E-4</v>
      </c>
      <c r="H106" s="11">
        <f>B106/12.5</f>
        <v>9.3055555555555556E-4</v>
      </c>
      <c r="I106" s="11">
        <f>G106/0.93</f>
        <v>9.7024591796097167E-4</v>
      </c>
      <c r="J106" s="11">
        <f>G106/0.92</f>
        <v>9.8079206924315621E-4</v>
      </c>
      <c r="K106" s="11">
        <f>G106/0.88</f>
        <v>1.0253735269360269E-3</v>
      </c>
      <c r="L106" s="17">
        <f>G106/0.84</f>
        <v>1.0742008377425045E-3</v>
      </c>
      <c r="M106" s="25">
        <f>WO2025Jan7men119151719232529313335394143454749555759636567697173757779[[#This Row],[Thresh]]</f>
        <v>1.0253735269360269E-3</v>
      </c>
      <c r="N106" s="28">
        <f>WO2025Jan7men119151719232529313335394143454749555759636567697173757779[[#This Row],[Thresh]]*2.5</f>
        <v>2.5634338173400675E-3</v>
      </c>
      <c r="O106" s="25">
        <f>WO2025Jan7men119151719232529313335394143454749555759636567697173757779[[#This Row],[VO2]]</f>
        <v>9.0232870370370369E-4</v>
      </c>
      <c r="P106" s="25"/>
      <c r="Q106" s="25"/>
      <c r="R106" s="28"/>
      <c r="S106" s="25"/>
      <c r="T106" s="25"/>
      <c r="U106" s="28"/>
      <c r="V106" s="44"/>
      <c r="W106" s="28" t="s">
        <v>35</v>
      </c>
      <c r="X106" s="50"/>
    </row>
    <row r="107" spans="1:24" ht="20.45" customHeight="1">
      <c r="A107" s="10"/>
      <c r="B107" s="11"/>
      <c r="C107" s="11"/>
      <c r="D107" s="11"/>
      <c r="E107" s="12"/>
      <c r="F107" s="11"/>
      <c r="G107" s="11"/>
      <c r="H107" s="11"/>
      <c r="I107" s="11"/>
      <c r="J107" s="11"/>
      <c r="K107" s="11"/>
      <c r="L107" s="11"/>
      <c r="M107" s="25"/>
      <c r="N107" s="28"/>
      <c r="O107" s="25"/>
      <c r="P107" s="28"/>
      <c r="Q107" s="25"/>
      <c r="R107" s="28"/>
      <c r="S107" s="25"/>
      <c r="T107" s="28"/>
      <c r="U107" s="28"/>
      <c r="V107" s="25"/>
      <c r="W107" s="15"/>
      <c r="X107" s="50"/>
    </row>
    <row r="108" spans="1:24" ht="20.45" customHeight="1">
      <c r="A108" s="19"/>
      <c r="B108" s="6"/>
      <c r="C108" s="6"/>
      <c r="D108" s="6"/>
      <c r="E108" s="20"/>
      <c r="F108" s="6"/>
      <c r="G108" s="6"/>
      <c r="H108" s="6"/>
      <c r="I108" s="6"/>
      <c r="J108" s="6"/>
      <c r="K108" s="6"/>
      <c r="L108" s="6"/>
      <c r="M108" s="6" t="s">
        <v>172</v>
      </c>
      <c r="N108" s="6"/>
      <c r="O108" s="6"/>
      <c r="P108" s="6"/>
      <c r="Q108" s="6"/>
      <c r="R108" s="6"/>
      <c r="S108" s="6"/>
      <c r="T108" s="6"/>
      <c r="U108" s="6"/>
      <c r="V108" s="23"/>
      <c r="W108" s="35"/>
      <c r="X108" s="52" t="s">
        <v>256</v>
      </c>
    </row>
    <row r="109" spans="1:24" ht="20.45" customHeight="1">
      <c r="A109" s="10" t="s">
        <v>134</v>
      </c>
      <c r="B109" s="11">
        <v>1.1458333333333333E-2</v>
      </c>
      <c r="C109" s="11"/>
      <c r="D109" s="11">
        <f>B109*E109</f>
        <v>6.6664583333333324E-3</v>
      </c>
      <c r="E109" s="12">
        <v>0.58179999999999998</v>
      </c>
      <c r="F109" s="11">
        <f>C109/4</f>
        <v>0</v>
      </c>
      <c r="G109" s="11">
        <f>D109/7.5</f>
        <v>8.8886111111111099E-4</v>
      </c>
      <c r="H109" s="11">
        <f>B109/12.5</f>
        <v>9.1666666666666665E-4</v>
      </c>
      <c r="I109" s="11">
        <f>G109/0.93</f>
        <v>9.5576463560334514E-4</v>
      </c>
      <c r="J109" s="11">
        <f>G109/0.92</f>
        <v>9.6615338164251195E-4</v>
      </c>
      <c r="K109" s="11">
        <f>G109/0.88</f>
        <v>1.0100694444444443E-3</v>
      </c>
      <c r="L109" s="11">
        <f>G109/0.84</f>
        <v>1.0581679894179892E-3</v>
      </c>
      <c r="M109" s="25">
        <v>9.7946127946127947E-4</v>
      </c>
      <c r="N109" s="28"/>
      <c r="P109" s="26"/>
      <c r="Q109" s="26"/>
      <c r="R109" s="26"/>
      <c r="S109" s="14"/>
      <c r="T109" s="14"/>
      <c r="U109" s="26"/>
      <c r="V109" s="28"/>
      <c r="W109" s="27" t="s">
        <v>213</v>
      </c>
      <c r="X109" s="52"/>
    </row>
    <row r="110" spans="1:24" ht="20.45" customHeight="1">
      <c r="A110" s="10" t="s">
        <v>101</v>
      </c>
      <c r="B110" s="11">
        <v>1.1111111111111112E-2</v>
      </c>
      <c r="C110" s="11">
        <v>3.0671296296296297E-3</v>
      </c>
      <c r="D110" s="11">
        <f>B110*E110</f>
        <v>6.4644444444444445E-3</v>
      </c>
      <c r="E110" s="12">
        <v>0.58179999999999998</v>
      </c>
      <c r="F110" s="11">
        <f>C110/4</f>
        <v>7.6678240740740743E-4</v>
      </c>
      <c r="G110" s="11">
        <f>D110/7.5</f>
        <v>8.6192592592592592E-4</v>
      </c>
      <c r="H110" s="11">
        <f>B110/12.5</f>
        <v>8.8888888888888893E-4</v>
      </c>
      <c r="I110" s="11">
        <f>G110/0.93</f>
        <v>9.2680207088809239E-4</v>
      </c>
      <c r="J110" s="11">
        <f>G110/0.92</f>
        <v>9.3687600644122375E-4</v>
      </c>
      <c r="K110" s="11">
        <f>G110/0.88</f>
        <v>9.7946127946127947E-4</v>
      </c>
      <c r="L110" s="11">
        <f>G110/0.84</f>
        <v>1.0261022927689596E-3</v>
      </c>
      <c r="M110" s="25">
        <f>WO2025Jan7men119151719232529313335394143454749555759636567697173757779[[#This Row],[Thresh]]</f>
        <v>9.7946127946127947E-4</v>
      </c>
      <c r="N110" s="28"/>
      <c r="O110" s="25"/>
      <c r="P110" s="28"/>
      <c r="Q110" s="25"/>
      <c r="R110" s="28"/>
      <c r="S110" s="25"/>
      <c r="T110" s="28"/>
      <c r="U110" s="28"/>
      <c r="V110" s="25"/>
      <c r="W110" s="15" t="s">
        <v>213</v>
      </c>
      <c r="X110" s="52"/>
    </row>
    <row r="111" spans="1:24" ht="20.45" customHeight="1">
      <c r="A111" s="10"/>
      <c r="B111" s="11"/>
      <c r="C111" s="11"/>
      <c r="D111" s="11"/>
      <c r="E111" s="12"/>
      <c r="F111" s="11"/>
      <c r="G111" s="11"/>
      <c r="H111" s="11"/>
      <c r="I111" s="11"/>
      <c r="J111" s="11"/>
      <c r="K111" s="11"/>
      <c r="L111" s="11"/>
      <c r="M111" s="25"/>
      <c r="N111" s="28"/>
      <c r="O111" s="25"/>
      <c r="P111" s="25"/>
      <c r="Q111" s="25"/>
      <c r="R111" s="25"/>
      <c r="S111" s="25"/>
      <c r="T111" s="25"/>
      <c r="U111" s="28"/>
      <c r="V111" s="25"/>
      <c r="W111" s="15"/>
      <c r="X111" s="52"/>
    </row>
    <row r="112" spans="1:24" ht="20.45" customHeight="1">
      <c r="A112" s="10"/>
      <c r="B112" s="11"/>
      <c r="C112" s="11"/>
      <c r="D112" s="11"/>
      <c r="E112" s="12"/>
      <c r="F112" s="11"/>
      <c r="G112" s="11"/>
      <c r="H112" s="11"/>
      <c r="I112" s="11"/>
      <c r="J112" s="11"/>
      <c r="K112" s="11"/>
      <c r="L112" s="11"/>
      <c r="M112" s="25"/>
      <c r="N112" s="28"/>
      <c r="O112" s="25"/>
      <c r="P112" s="28"/>
      <c r="Q112" s="25"/>
      <c r="R112" s="28"/>
      <c r="S112" s="25"/>
      <c r="T112" s="25"/>
      <c r="U112" s="28"/>
      <c r="V112" s="25"/>
      <c r="W112" s="27"/>
      <c r="X112" s="52"/>
    </row>
    <row r="113" spans="1:24" ht="20.45" customHeight="1">
      <c r="A113" s="10"/>
      <c r="B113" s="11"/>
      <c r="C113" s="11"/>
      <c r="D113" s="11"/>
      <c r="E113" s="12"/>
      <c r="F113" s="11"/>
      <c r="G113" s="11"/>
      <c r="H113" s="11"/>
      <c r="I113" s="11"/>
      <c r="J113" s="11"/>
      <c r="K113" s="11"/>
      <c r="L113" s="11"/>
      <c r="M113" s="25"/>
      <c r="N113" s="28"/>
      <c r="O113" s="25"/>
      <c r="P113" s="25"/>
      <c r="Q113" s="25"/>
      <c r="R113" s="28"/>
      <c r="S113" s="25"/>
      <c r="T113" s="25"/>
      <c r="U113" s="28"/>
      <c r="V113" s="25"/>
      <c r="W113" s="15"/>
      <c r="X113" s="52"/>
    </row>
    <row r="114" spans="1:24" ht="20.45" customHeight="1">
      <c r="A114" s="10"/>
      <c r="B114" s="11"/>
      <c r="C114" s="11"/>
      <c r="D114" s="11"/>
      <c r="E114" s="12"/>
      <c r="F114" s="11"/>
      <c r="G114" s="11"/>
      <c r="H114" s="11"/>
      <c r="I114" s="11"/>
      <c r="J114" s="11"/>
      <c r="K114" s="11"/>
      <c r="L114" s="11"/>
      <c r="M114" s="25"/>
      <c r="N114" s="28"/>
      <c r="O114" s="25"/>
      <c r="P114" s="28"/>
      <c r="Q114" s="25"/>
      <c r="R114" s="28"/>
      <c r="S114" s="25"/>
      <c r="T114" s="25"/>
      <c r="U114" s="28"/>
      <c r="V114" s="28"/>
      <c r="W114" s="27"/>
      <c r="X114" s="52"/>
    </row>
    <row r="115" spans="1:24" ht="20.45" customHeight="1" thickBot="1">
      <c r="A115" s="10"/>
      <c r="B115" s="11"/>
      <c r="C115" s="11"/>
      <c r="D115" s="11"/>
      <c r="E115" s="12"/>
      <c r="F115" s="11"/>
      <c r="G115" s="11"/>
      <c r="H115" s="11"/>
      <c r="I115" s="11"/>
      <c r="J115" s="11"/>
      <c r="K115" s="11"/>
      <c r="L115" s="11"/>
      <c r="M115" s="25"/>
      <c r="N115" s="28"/>
      <c r="O115" s="25"/>
      <c r="P115" s="25"/>
      <c r="Q115" s="28"/>
      <c r="R115" s="28"/>
      <c r="S115" s="25"/>
      <c r="T115" s="25"/>
      <c r="U115" s="28"/>
      <c r="V115" s="28"/>
      <c r="W115" s="15"/>
      <c r="X115" s="52"/>
    </row>
    <row r="116" spans="1:24" ht="20.45" customHeight="1">
      <c r="A116" s="1" t="s">
        <v>338</v>
      </c>
      <c r="B116" s="6"/>
      <c r="C116" s="6"/>
      <c r="D116" s="6"/>
      <c r="E116" s="20"/>
      <c r="F116" s="6"/>
      <c r="G116" s="6"/>
      <c r="H116" s="6"/>
      <c r="I116" s="6"/>
      <c r="J116" s="6"/>
      <c r="K116" s="6"/>
      <c r="L116" s="6"/>
      <c r="M116" s="6" t="s">
        <v>12</v>
      </c>
      <c r="N116" s="6" t="s">
        <v>155</v>
      </c>
      <c r="O116" s="6"/>
      <c r="P116" s="6"/>
      <c r="Q116" s="22"/>
      <c r="R116" s="6"/>
      <c r="S116" s="6"/>
      <c r="T116" s="6"/>
      <c r="U116" s="6"/>
      <c r="V116" s="23"/>
      <c r="W116" s="35"/>
      <c r="X116" s="52"/>
    </row>
    <row r="117" spans="1:24" ht="20.45" customHeight="1">
      <c r="A117" s="10" t="s">
        <v>97</v>
      </c>
      <c r="B117" s="11">
        <v>1.0532407407407407E-2</v>
      </c>
      <c r="C117" s="11">
        <v>2.9513888888888888E-3</v>
      </c>
      <c r="D117" s="11">
        <f>B117*E117</f>
        <v>6.1277546296296288E-3</v>
      </c>
      <c r="E117" s="12">
        <v>0.58179999999999998</v>
      </c>
      <c r="F117" s="11">
        <f>C117/4</f>
        <v>7.378472222222222E-4</v>
      </c>
      <c r="G117" s="11">
        <f>D117/7.5</f>
        <v>8.1703395061728389E-4</v>
      </c>
      <c r="H117" s="11">
        <f>B117/12.5</f>
        <v>8.4259259259259259E-4</v>
      </c>
      <c r="I117" s="11">
        <f>G117/0.93</f>
        <v>8.7853112969600415E-4</v>
      </c>
      <c r="J117" s="11">
        <f>G117/0.92</f>
        <v>8.8808038110574329E-4</v>
      </c>
      <c r="K117" s="11">
        <f>G117/0.88</f>
        <v>9.2844767115600447E-4</v>
      </c>
      <c r="L117" s="11">
        <f>G117/0.84</f>
        <v>9.7265946502057604E-4</v>
      </c>
      <c r="M117" s="25">
        <f>WO2025Jan7men119151719232529313335394143454749555759636567697173757779[[#This Row],[Thresh]]</f>
        <v>9.2844767115600447E-4</v>
      </c>
      <c r="N117" s="28">
        <f>WO2025Jan7men119151719232529313335394143454749555759636567697173757779[[#This Row],[Thresh]]*2</f>
        <v>1.8568953423120089E-3</v>
      </c>
      <c r="O117" s="25"/>
      <c r="P117" s="28"/>
      <c r="Q117" s="25"/>
      <c r="R117" s="28"/>
      <c r="S117" s="25"/>
      <c r="T117" s="28"/>
      <c r="U117" s="28"/>
      <c r="V117" s="25"/>
      <c r="W117" s="15" t="s">
        <v>348</v>
      </c>
      <c r="X117" s="52"/>
    </row>
    <row r="118" spans="1:24" ht="20.45" customHeight="1">
      <c r="A118" s="10" t="s">
        <v>96</v>
      </c>
      <c r="B118" s="11">
        <v>1.0648148148148148E-2</v>
      </c>
      <c r="C118" s="11">
        <v>2.9513888888888888E-3</v>
      </c>
      <c r="D118" s="11">
        <f t="shared" ref="D118:D122" si="56">B118*E118</f>
        <v>6.1950925925925923E-3</v>
      </c>
      <c r="E118" s="12">
        <v>0.58179999999999998</v>
      </c>
      <c r="F118" s="11">
        <f t="shared" ref="F118:F122" si="57">C118/4</f>
        <v>7.378472222222222E-4</v>
      </c>
      <c r="G118" s="11">
        <f t="shared" ref="G118:G122" si="58">D118/7.5</f>
        <v>8.2601234567901232E-4</v>
      </c>
      <c r="H118" s="11">
        <f t="shared" ref="H118:H122" si="59">B118/12.5</f>
        <v>8.5185185185185179E-4</v>
      </c>
      <c r="I118" s="11">
        <f t="shared" ref="I118:I122" si="60">G118/0.93</f>
        <v>8.8818531793442184E-4</v>
      </c>
      <c r="J118" s="11">
        <f t="shared" ref="J118:J122" si="61">G118/0.92</f>
        <v>8.9783950617283942E-4</v>
      </c>
      <c r="K118" s="11">
        <f t="shared" ref="K118:K122" si="62">G118/0.88</f>
        <v>9.3865039281705945E-4</v>
      </c>
      <c r="L118" s="17">
        <f t="shared" ref="L118:L122" si="63">G118/0.84</f>
        <v>9.833480305702527E-4</v>
      </c>
      <c r="M118" s="25">
        <f>WO2025Jan7men119151719232529313335394143454749555759636567697173757779[[#This Row],[Thresh]]</f>
        <v>9.3865039281705945E-4</v>
      </c>
      <c r="N118" s="28">
        <f>WO2025Jan7men119151719232529313335394143454749555759636567697173757779[[#This Row],[Thresh]]*2</f>
        <v>1.8773007856341189E-3</v>
      </c>
      <c r="O118" s="25"/>
      <c r="P118" s="28"/>
      <c r="Q118" s="25"/>
      <c r="R118" s="28"/>
      <c r="S118" s="25"/>
      <c r="T118" s="28"/>
      <c r="U118" s="28"/>
      <c r="V118" s="25"/>
      <c r="W118" s="15" t="s">
        <v>348</v>
      </c>
      <c r="X118" s="50"/>
    </row>
    <row r="119" spans="1:24" ht="20.45" customHeight="1">
      <c r="A119" s="10" t="s">
        <v>100</v>
      </c>
      <c r="B119" s="11">
        <v>1.087962962962963E-2</v>
      </c>
      <c r="C119" s="11">
        <v>3.0671296296296297E-3</v>
      </c>
      <c r="D119" s="11">
        <f>B119*E119</f>
        <v>6.3297685185185184E-3</v>
      </c>
      <c r="E119" s="12">
        <v>0.58179999999999998</v>
      </c>
      <c r="F119" s="11">
        <f>C119/4</f>
        <v>7.6678240740740743E-4</v>
      </c>
      <c r="G119" s="11">
        <f>D119/7.5</f>
        <v>8.4396913580246917E-4</v>
      </c>
      <c r="H119" s="11">
        <f>B119/12.5</f>
        <v>8.7037037037037042E-4</v>
      </c>
      <c r="I119" s="11">
        <f>G119/0.93</f>
        <v>9.0749369441125711E-4</v>
      </c>
      <c r="J119" s="11">
        <f>G119/0.92</f>
        <v>9.173577563070317E-4</v>
      </c>
      <c r="K119" s="11">
        <f>G119/0.88</f>
        <v>9.5905583613916951E-4</v>
      </c>
      <c r="L119" s="17">
        <f>G119/0.84</f>
        <v>1.0047251616696062E-3</v>
      </c>
      <c r="M119" s="25">
        <f>WO2025Jan7men119151719232529313335394143454749555759636567697173757779[[#This Row],[Thresh]]</f>
        <v>9.5905583613916951E-4</v>
      </c>
      <c r="N119" s="28">
        <f>WO2025Jan7men119151719232529313335394143454749555759636567697173757779[[#This Row],[Thresh]]*2</f>
        <v>1.918111672278339E-3</v>
      </c>
      <c r="O119" s="25"/>
      <c r="P119" s="28"/>
      <c r="Q119" s="25"/>
      <c r="R119" s="28"/>
      <c r="S119" s="25"/>
      <c r="T119" s="28"/>
      <c r="U119" s="28"/>
      <c r="V119" s="25"/>
      <c r="W119" s="15" t="s">
        <v>348</v>
      </c>
      <c r="X119" s="50"/>
    </row>
    <row r="120" spans="1:24" ht="20.45" customHeight="1">
      <c r="A120" s="10" t="s">
        <v>98</v>
      </c>
      <c r="B120" s="11">
        <v>1.1111111111111112E-2</v>
      </c>
      <c r="C120" s="11"/>
      <c r="D120" s="11">
        <f>B120*E120</f>
        <v>6.4644444444444445E-3</v>
      </c>
      <c r="E120" s="12">
        <v>0.58179999999999998</v>
      </c>
      <c r="F120" s="11">
        <f>C120/4</f>
        <v>0</v>
      </c>
      <c r="G120" s="11">
        <f>D120/7.5</f>
        <v>8.6192592592592592E-4</v>
      </c>
      <c r="H120" s="11">
        <f>B120/12.5</f>
        <v>8.8888888888888893E-4</v>
      </c>
      <c r="I120" s="11">
        <f>G120/0.93</f>
        <v>9.2680207088809239E-4</v>
      </c>
      <c r="J120" s="11">
        <f>G120/0.92</f>
        <v>9.3687600644122375E-4</v>
      </c>
      <c r="K120" s="11">
        <f>G120/0.88</f>
        <v>9.7946127946127947E-4</v>
      </c>
      <c r="L120" s="11">
        <f>G120/0.84</f>
        <v>1.0261022927689596E-3</v>
      </c>
      <c r="M120" s="25">
        <f>WO2025Jan7men119151719232529313335394143454749555759636567697173757779[[#This Row],[Thresh]]</f>
        <v>9.7946127946127947E-4</v>
      </c>
      <c r="N120" s="28">
        <f>WO2025Jan7men119151719232529313335394143454749555759636567697173757779[[#This Row],[Thresh]]*2</f>
        <v>1.9589225589225589E-3</v>
      </c>
      <c r="O120" s="25"/>
      <c r="P120" s="28"/>
      <c r="Q120" s="25"/>
      <c r="R120" s="28"/>
      <c r="S120" s="25"/>
      <c r="T120" s="25"/>
      <c r="U120" s="28"/>
      <c r="V120" s="28"/>
      <c r="W120" s="27" t="s">
        <v>348</v>
      </c>
      <c r="X120" s="50"/>
    </row>
    <row r="121" spans="1:24" ht="20.45" customHeight="1">
      <c r="A121" s="10" t="s">
        <v>103</v>
      </c>
      <c r="B121" s="11">
        <v>1.1458333333333333E-2</v>
      </c>
      <c r="C121" s="11">
        <v>3.0671296296296297E-3</v>
      </c>
      <c r="D121" s="11">
        <f t="shared" si="56"/>
        <v>6.6664583333333324E-3</v>
      </c>
      <c r="E121" s="12">
        <v>0.58179999999999998</v>
      </c>
      <c r="F121" s="11">
        <f t="shared" si="57"/>
        <v>7.6678240740740743E-4</v>
      </c>
      <c r="G121" s="11">
        <f t="shared" si="58"/>
        <v>8.8886111111111099E-4</v>
      </c>
      <c r="H121" s="11">
        <f t="shared" si="59"/>
        <v>9.1666666666666665E-4</v>
      </c>
      <c r="I121" s="11">
        <f t="shared" si="60"/>
        <v>9.5576463560334514E-4</v>
      </c>
      <c r="J121" s="11">
        <f t="shared" si="61"/>
        <v>9.6615338164251195E-4</v>
      </c>
      <c r="K121" s="11">
        <f t="shared" si="62"/>
        <v>1.0100694444444443E-3</v>
      </c>
      <c r="L121" s="17">
        <f t="shared" si="63"/>
        <v>1.0581679894179892E-3</v>
      </c>
      <c r="M121" s="25">
        <f>WO2025Jan7men119151719232529313335394143454749555759636567697173757779[[#This Row],[Thresh]]</f>
        <v>1.0100694444444443E-3</v>
      </c>
      <c r="N121" s="28">
        <f>WO2025Jan7men119151719232529313335394143454749555759636567697173757779[[#This Row],[Thresh]]*2</f>
        <v>2.0201388888888886E-3</v>
      </c>
      <c r="O121" s="25"/>
      <c r="P121" s="28"/>
      <c r="Q121" s="25"/>
      <c r="R121" s="28"/>
      <c r="S121" s="25"/>
      <c r="T121" s="28"/>
      <c r="U121" s="28"/>
      <c r="V121" s="25"/>
      <c r="W121" s="15" t="s">
        <v>348</v>
      </c>
      <c r="X121" s="50"/>
    </row>
    <row r="122" spans="1:24" ht="20.45" customHeight="1">
      <c r="A122" s="10" t="s">
        <v>104</v>
      </c>
      <c r="B122" s="11">
        <v>1.1458333333333333E-2</v>
      </c>
      <c r="C122" s="11">
        <v>3.414351851851852E-3</v>
      </c>
      <c r="D122" s="11">
        <f t="shared" si="56"/>
        <v>6.6664583333333324E-3</v>
      </c>
      <c r="E122" s="12">
        <v>0.58179999999999998</v>
      </c>
      <c r="F122" s="11">
        <f t="shared" si="57"/>
        <v>8.53587962962963E-4</v>
      </c>
      <c r="G122" s="11">
        <f t="shared" si="58"/>
        <v>8.8886111111111099E-4</v>
      </c>
      <c r="H122" s="11">
        <f t="shared" si="59"/>
        <v>9.1666666666666665E-4</v>
      </c>
      <c r="I122" s="11">
        <f t="shared" si="60"/>
        <v>9.5576463560334514E-4</v>
      </c>
      <c r="J122" s="11">
        <f t="shared" si="61"/>
        <v>9.6615338164251195E-4</v>
      </c>
      <c r="K122" s="11">
        <f t="shared" si="62"/>
        <v>1.0100694444444443E-3</v>
      </c>
      <c r="L122" s="11">
        <f t="shared" si="63"/>
        <v>1.0581679894179892E-3</v>
      </c>
      <c r="M122" s="25">
        <f>WO2025Jan7men119151719232529313335394143454749555759636567697173757779[[#This Row],[Thresh]]</f>
        <v>1.0100694444444443E-3</v>
      </c>
      <c r="N122" s="28">
        <f>WO2025Jan7men119151719232529313335394143454749555759636567697173757779[[#This Row],[Thresh]]*2</f>
        <v>2.0201388888888886E-3</v>
      </c>
      <c r="O122" s="25"/>
      <c r="P122" s="28"/>
      <c r="Q122" s="25"/>
      <c r="R122" s="28"/>
      <c r="S122" s="25"/>
      <c r="T122" s="28"/>
      <c r="U122" s="28"/>
      <c r="V122" s="25"/>
      <c r="W122" s="15" t="s">
        <v>348</v>
      </c>
      <c r="X122" s="50"/>
    </row>
    <row r="123" spans="1:24" ht="20.45" customHeight="1">
      <c r="A123" s="10" t="s">
        <v>99</v>
      </c>
      <c r="B123" s="11">
        <v>1.1458333333333333E-2</v>
      </c>
      <c r="C123" s="11"/>
      <c r="D123" s="11">
        <f>B123*E123</f>
        <v>6.6664583333333324E-3</v>
      </c>
      <c r="E123" s="12">
        <v>0.58179999999999998</v>
      </c>
      <c r="F123" s="11">
        <f>C123/4</f>
        <v>0</v>
      </c>
      <c r="G123" s="11">
        <f>D123/7.5</f>
        <v>8.8886111111111099E-4</v>
      </c>
      <c r="H123" s="11">
        <f>B123/12.5</f>
        <v>9.1666666666666665E-4</v>
      </c>
      <c r="I123" s="11">
        <f>G123/0.93</f>
        <v>9.5576463560334514E-4</v>
      </c>
      <c r="J123" s="11">
        <f>G123/0.92</f>
        <v>9.6615338164251195E-4</v>
      </c>
      <c r="K123" s="11">
        <f>G123/0.88</f>
        <v>1.0100694444444443E-3</v>
      </c>
      <c r="L123" s="11">
        <f>G123/0.84</f>
        <v>1.0581679894179892E-3</v>
      </c>
      <c r="M123" s="25">
        <f>WO2025Jan7men119151719232529313335394143454749555759636567697173757779[[#This Row],[Thresh]]</f>
        <v>1.0100694444444443E-3</v>
      </c>
      <c r="N123" s="28">
        <f>WO2025Jan7men119151719232529313335394143454749555759636567697173757779[[#This Row],[Thresh]]*2</f>
        <v>2.0201388888888886E-3</v>
      </c>
      <c r="O123" s="25"/>
      <c r="P123" s="28"/>
      <c r="Q123" s="25"/>
      <c r="R123" s="28"/>
      <c r="S123" s="25"/>
      <c r="T123" s="25"/>
      <c r="U123" s="28"/>
      <c r="V123" s="28"/>
      <c r="W123" s="27" t="s">
        <v>348</v>
      </c>
      <c r="X123" s="50"/>
    </row>
    <row r="124" spans="1:24" ht="20.45" customHeight="1">
      <c r="A124" s="10" t="s">
        <v>102</v>
      </c>
      <c r="B124" s="11">
        <v>1.1458333333333333E-2</v>
      </c>
      <c r="C124" s="11"/>
      <c r="D124" s="11">
        <f>B124*E124</f>
        <v>6.6664583333333324E-3</v>
      </c>
      <c r="E124" s="12">
        <v>0.58179999999999998</v>
      </c>
      <c r="F124" s="11">
        <f>C124/4</f>
        <v>0</v>
      </c>
      <c r="G124" s="11">
        <f>D124/7.5</f>
        <v>8.8886111111111099E-4</v>
      </c>
      <c r="H124" s="11">
        <f>B124/12.5</f>
        <v>9.1666666666666665E-4</v>
      </c>
      <c r="I124" s="11">
        <f>G124/0.93</f>
        <v>9.5576463560334514E-4</v>
      </c>
      <c r="J124" s="11">
        <f>G124/0.92</f>
        <v>9.6615338164251195E-4</v>
      </c>
      <c r="K124" s="11">
        <f>G124/0.88</f>
        <v>1.0100694444444443E-3</v>
      </c>
      <c r="L124" s="11">
        <f>G124/0.84</f>
        <v>1.0581679894179892E-3</v>
      </c>
      <c r="M124" s="25">
        <f>WO2025Jan7men119151719232529313335394143454749555759636567697173757779[[#This Row],[Thresh]]</f>
        <v>1.0100694444444443E-3</v>
      </c>
      <c r="N124" s="28">
        <f>WO2025Jan7men119151719232529313335394143454749555759636567697173757779[[#This Row],[Thresh]]*2</f>
        <v>2.0201388888888886E-3</v>
      </c>
      <c r="O124" s="25"/>
      <c r="P124" s="26"/>
      <c r="Q124" s="26"/>
      <c r="R124" s="26"/>
      <c r="S124" s="14"/>
      <c r="T124" s="14"/>
      <c r="U124" s="26"/>
      <c r="V124" s="28"/>
      <c r="W124" s="27" t="s">
        <v>348</v>
      </c>
      <c r="X124" s="50"/>
    </row>
    <row r="125" spans="1:24" ht="20.45" customHeight="1">
      <c r="A125" s="10"/>
      <c r="B125" s="11"/>
      <c r="C125" s="11"/>
      <c r="D125" s="11"/>
      <c r="E125" s="12"/>
      <c r="F125" s="11"/>
      <c r="G125" s="11"/>
      <c r="H125" s="11"/>
      <c r="I125" s="11"/>
      <c r="J125" s="11"/>
      <c r="K125" s="11"/>
      <c r="L125" s="11"/>
      <c r="M125" s="25"/>
      <c r="N125" s="28"/>
      <c r="O125" s="25"/>
      <c r="P125" s="25"/>
      <c r="Q125" s="25"/>
      <c r="R125" s="25"/>
      <c r="S125" s="25"/>
      <c r="T125" s="25"/>
      <c r="U125" s="28"/>
      <c r="V125" s="25"/>
      <c r="W125" s="15"/>
      <c r="X125" s="50"/>
    </row>
    <row r="126" spans="1:24" ht="20.45" customHeight="1">
      <c r="A126" s="10"/>
      <c r="B126" s="11"/>
      <c r="C126" s="11"/>
      <c r="D126" s="11"/>
      <c r="E126" s="12"/>
      <c r="F126" s="11"/>
      <c r="G126" s="11"/>
      <c r="H126" s="11"/>
      <c r="I126" s="11"/>
      <c r="J126" s="11"/>
      <c r="K126" s="11"/>
      <c r="L126" s="11"/>
      <c r="M126" s="25"/>
      <c r="N126" s="28"/>
      <c r="O126" s="25"/>
      <c r="P126" s="25"/>
      <c r="Q126" s="25"/>
      <c r="R126" s="25"/>
      <c r="S126" s="25"/>
      <c r="T126" s="25"/>
      <c r="U126" s="28"/>
      <c r="V126" s="25"/>
      <c r="W126" s="15"/>
      <c r="X126" s="50"/>
    </row>
    <row r="127" spans="1:24" ht="20.45" customHeight="1">
      <c r="A127" s="10"/>
      <c r="B127" s="11"/>
      <c r="C127" s="11"/>
      <c r="D127" s="11"/>
      <c r="E127" s="12"/>
      <c r="F127" s="11"/>
      <c r="G127" s="11"/>
      <c r="H127" s="11"/>
      <c r="I127" s="11"/>
      <c r="J127" s="11"/>
      <c r="K127" s="11"/>
      <c r="L127" s="17"/>
      <c r="M127" s="11"/>
      <c r="N127" s="26"/>
      <c r="P127" s="26"/>
      <c r="Q127" s="26"/>
      <c r="R127" s="26"/>
      <c r="S127" s="14"/>
      <c r="T127" s="14"/>
      <c r="U127" s="26"/>
      <c r="V127" s="38"/>
      <c r="W127" s="31"/>
      <c r="X127" s="50"/>
    </row>
    <row r="128" spans="1:24" ht="20.45" customHeight="1">
      <c r="A128" s="10"/>
      <c r="B128" s="11"/>
      <c r="C128" s="11"/>
      <c r="D128" s="11"/>
      <c r="E128" s="12"/>
      <c r="F128" s="11"/>
      <c r="G128" s="11"/>
      <c r="H128" s="11"/>
      <c r="I128" s="11"/>
      <c r="J128" s="11"/>
      <c r="K128" s="11"/>
      <c r="L128" s="17"/>
      <c r="M128" s="11"/>
      <c r="N128" s="26"/>
      <c r="P128" s="26"/>
      <c r="Q128" s="26"/>
      <c r="R128" s="26"/>
      <c r="S128" s="14"/>
      <c r="T128" s="14"/>
      <c r="U128" s="26"/>
      <c r="V128" s="38"/>
      <c r="W128" s="31"/>
      <c r="X128" s="50"/>
    </row>
    <row r="129" spans="1:24" ht="20.45" customHeight="1">
      <c r="A129" s="10"/>
      <c r="B129" s="11"/>
      <c r="C129" s="11"/>
      <c r="D129" s="11"/>
      <c r="E129" s="12"/>
      <c r="F129" s="11"/>
      <c r="G129" s="11"/>
      <c r="H129" s="11"/>
      <c r="I129" s="11"/>
      <c r="J129" s="11"/>
      <c r="K129" s="11"/>
      <c r="L129" s="17"/>
      <c r="M129" s="11"/>
      <c r="N129" s="26"/>
      <c r="P129" s="26"/>
      <c r="Q129" s="26"/>
      <c r="R129" s="26"/>
      <c r="S129" s="14"/>
      <c r="T129" s="14"/>
      <c r="U129" s="26"/>
      <c r="V129" s="38"/>
      <c r="W129" s="31"/>
      <c r="X129" s="50"/>
    </row>
    <row r="130" spans="1:24" ht="20.45" customHeight="1">
      <c r="A130" s="10"/>
      <c r="B130" s="11"/>
      <c r="C130" s="11"/>
      <c r="D130" s="11"/>
      <c r="E130" s="12"/>
      <c r="F130" s="11"/>
      <c r="G130" s="11"/>
      <c r="H130" s="11"/>
      <c r="I130" s="11"/>
      <c r="J130" s="11"/>
      <c r="K130" s="11"/>
      <c r="L130" s="11"/>
      <c r="M130" s="25"/>
      <c r="N130" s="28"/>
      <c r="O130" s="25"/>
      <c r="P130" s="25"/>
      <c r="Q130" s="28"/>
      <c r="R130" s="28"/>
      <c r="S130" s="25"/>
      <c r="T130" s="25"/>
      <c r="U130" s="28"/>
      <c r="V130" s="25"/>
      <c r="W130" s="15"/>
      <c r="X130" s="50"/>
    </row>
    <row r="131" spans="1:24" ht="20.45" customHeight="1">
      <c r="A131" s="10"/>
      <c r="B131" s="11"/>
      <c r="C131" s="11"/>
      <c r="D131" s="11"/>
      <c r="E131" s="12"/>
      <c r="F131" s="11"/>
      <c r="G131" s="11"/>
      <c r="H131" s="11"/>
      <c r="I131" s="11"/>
      <c r="J131" s="11"/>
      <c r="K131" s="11"/>
      <c r="L131" s="11"/>
      <c r="M131" s="25"/>
      <c r="N131" s="28"/>
      <c r="O131" s="25"/>
      <c r="P131" s="25"/>
      <c r="Q131" s="25"/>
      <c r="R131" s="25"/>
      <c r="S131" s="25"/>
      <c r="T131" s="25"/>
      <c r="U131" s="28"/>
      <c r="V131" s="25"/>
      <c r="W131" s="15"/>
      <c r="X131" s="50"/>
    </row>
    <row r="132" spans="1:24" ht="20.45" customHeight="1">
      <c r="A132" s="10"/>
      <c r="B132" s="11"/>
      <c r="C132" s="11"/>
      <c r="D132" s="11"/>
      <c r="E132" s="12"/>
      <c r="F132" s="11"/>
      <c r="G132" s="11"/>
      <c r="H132" s="11"/>
      <c r="I132" s="11"/>
      <c r="J132" s="11"/>
      <c r="K132" s="11"/>
      <c r="L132" s="17"/>
      <c r="M132" s="25"/>
      <c r="N132" s="28"/>
      <c r="O132" s="25"/>
      <c r="P132" s="25"/>
      <c r="Q132" s="25"/>
      <c r="R132" s="25"/>
      <c r="S132" s="25"/>
      <c r="T132" s="25"/>
      <c r="U132" s="28"/>
      <c r="V132" s="25"/>
      <c r="W132" s="15"/>
      <c r="X132" s="50"/>
    </row>
    <row r="133" spans="1:24" ht="20.45" customHeight="1">
      <c r="A133" s="10"/>
      <c r="B133" s="11"/>
      <c r="C133" s="11"/>
      <c r="D133" s="11"/>
      <c r="E133" s="12"/>
      <c r="F133" s="11"/>
      <c r="G133" s="11"/>
      <c r="H133" s="11"/>
      <c r="I133" s="11"/>
      <c r="J133" s="11"/>
      <c r="K133" s="11"/>
      <c r="L133" s="11"/>
      <c r="M133" s="25"/>
      <c r="N133" s="28"/>
      <c r="O133" s="25"/>
      <c r="P133" s="25"/>
      <c r="Q133" s="25"/>
      <c r="R133" s="28"/>
      <c r="S133" s="25"/>
      <c r="T133" s="25"/>
      <c r="U133" s="28"/>
      <c r="V133" s="25"/>
      <c r="W133" s="15"/>
      <c r="X133" s="50"/>
    </row>
    <row r="134" spans="1:24" ht="20.45" customHeight="1">
      <c r="A134" s="10"/>
      <c r="B134" s="11"/>
      <c r="C134" s="11"/>
      <c r="D134" s="11"/>
      <c r="E134" s="12"/>
      <c r="F134" s="11"/>
      <c r="G134" s="11"/>
      <c r="H134" s="11"/>
      <c r="I134" s="11"/>
      <c r="J134" s="11"/>
      <c r="K134" s="11"/>
      <c r="L134" s="17"/>
      <c r="M134" s="25"/>
      <c r="N134" s="28"/>
      <c r="O134" s="25"/>
      <c r="P134" s="25"/>
      <c r="Q134" s="25"/>
      <c r="R134" s="25"/>
      <c r="S134" s="25"/>
      <c r="T134" s="25"/>
      <c r="U134" s="28"/>
      <c r="V134" s="25"/>
      <c r="W134" s="15"/>
      <c r="X134" s="50"/>
    </row>
    <row r="135" spans="1:24" ht="20.45" customHeight="1">
      <c r="A135" s="10"/>
      <c r="B135" s="11"/>
      <c r="C135" s="11"/>
      <c r="D135" s="11"/>
      <c r="E135" s="12"/>
      <c r="F135" s="11"/>
      <c r="G135" s="11"/>
      <c r="H135" s="11"/>
      <c r="I135" s="11"/>
      <c r="J135" s="11"/>
      <c r="K135" s="11"/>
      <c r="L135" s="11"/>
      <c r="M135" s="25"/>
      <c r="N135" s="28"/>
      <c r="O135" s="25"/>
      <c r="P135" s="25"/>
      <c r="Q135" s="25"/>
      <c r="R135" s="28"/>
      <c r="S135" s="25"/>
      <c r="T135" s="25"/>
      <c r="U135" s="28"/>
      <c r="V135" s="25"/>
      <c r="W135" s="15"/>
      <c r="X135" s="50"/>
    </row>
    <row r="136" spans="1:24" ht="20.45" customHeight="1">
      <c r="A136" s="10"/>
      <c r="B136" s="11"/>
      <c r="C136" s="11"/>
      <c r="D136" s="11"/>
      <c r="E136" s="12"/>
      <c r="F136" s="11"/>
      <c r="G136" s="11"/>
      <c r="H136" s="11"/>
      <c r="I136" s="11"/>
      <c r="J136" s="11"/>
      <c r="K136" s="11"/>
      <c r="L136" s="17"/>
      <c r="M136" s="25"/>
      <c r="N136" s="28"/>
      <c r="O136" s="25"/>
      <c r="P136" s="25"/>
      <c r="Q136" s="25"/>
      <c r="R136" s="28"/>
      <c r="S136" s="25"/>
      <c r="T136" s="25"/>
      <c r="U136" s="28"/>
      <c r="V136" s="25"/>
      <c r="W136" s="15"/>
      <c r="X136" s="50"/>
    </row>
    <row r="137" spans="1:24" ht="20.45" customHeight="1">
      <c r="A137" s="10"/>
      <c r="B137" s="11"/>
      <c r="C137" s="11"/>
      <c r="D137" s="11"/>
      <c r="E137" s="12"/>
      <c r="F137" s="11"/>
      <c r="G137" s="11"/>
      <c r="H137" s="11"/>
      <c r="I137" s="11"/>
      <c r="J137" s="11"/>
      <c r="K137" s="11"/>
      <c r="L137" s="11"/>
      <c r="M137" s="25"/>
      <c r="N137" s="28"/>
      <c r="O137" s="25"/>
      <c r="P137" s="25"/>
      <c r="Q137" s="28"/>
      <c r="R137" s="28"/>
      <c r="S137" s="25"/>
      <c r="T137" s="25"/>
      <c r="U137" s="28"/>
      <c r="V137" s="25"/>
      <c r="W137" s="15"/>
      <c r="X137" s="50"/>
    </row>
    <row r="138" spans="1:24" ht="20.45" customHeight="1">
      <c r="A138" s="10"/>
      <c r="B138" s="11"/>
      <c r="C138" s="11"/>
      <c r="D138" s="11"/>
      <c r="E138" s="12"/>
      <c r="F138" s="11"/>
      <c r="G138" s="11"/>
      <c r="H138" s="11"/>
      <c r="I138" s="11"/>
      <c r="J138" s="11"/>
      <c r="K138" s="11"/>
      <c r="L138" s="11"/>
      <c r="M138" s="25"/>
      <c r="N138" s="28"/>
      <c r="O138" s="25"/>
      <c r="P138" s="28"/>
      <c r="Q138" s="25"/>
      <c r="R138" s="28"/>
      <c r="S138" s="25"/>
      <c r="T138" s="28"/>
      <c r="U138" s="28"/>
      <c r="V138" s="25"/>
      <c r="W138" s="15"/>
      <c r="X138" s="51"/>
    </row>
    <row r="139" spans="1:24" ht="20.45" customHeight="1">
      <c r="A139" s="10"/>
      <c r="B139" s="11"/>
      <c r="C139" s="11"/>
      <c r="D139" s="11"/>
      <c r="E139" s="12"/>
      <c r="F139" s="11"/>
      <c r="G139" s="11"/>
      <c r="H139" s="11"/>
      <c r="I139" s="11"/>
      <c r="J139" s="11"/>
      <c r="K139" s="11"/>
      <c r="L139" s="11"/>
      <c r="M139" s="25"/>
      <c r="N139" s="28"/>
      <c r="O139" s="25"/>
      <c r="P139" s="25"/>
      <c r="Q139" s="25"/>
      <c r="R139" s="25"/>
      <c r="S139" s="25"/>
      <c r="T139" s="25"/>
      <c r="U139" s="28"/>
      <c r="V139" s="25"/>
      <c r="W139" s="15"/>
      <c r="X139" s="51"/>
    </row>
    <row r="140" spans="1:24" ht="20.45" customHeight="1">
      <c r="A140" s="10"/>
      <c r="B140" s="11"/>
      <c r="C140" s="11"/>
      <c r="D140" s="11"/>
      <c r="E140" s="12"/>
      <c r="F140" s="11"/>
      <c r="G140" s="11"/>
      <c r="H140" s="11"/>
      <c r="I140" s="11"/>
      <c r="J140" s="11"/>
      <c r="K140" s="11"/>
      <c r="L140" s="17"/>
      <c r="M140" s="25"/>
      <c r="N140" s="28"/>
      <c r="O140" s="25"/>
      <c r="P140" s="28"/>
      <c r="Q140" s="25"/>
      <c r="R140" s="28"/>
      <c r="S140" s="25"/>
      <c r="T140" s="25"/>
      <c r="U140" s="28"/>
      <c r="V140" s="28"/>
      <c r="W140" s="27"/>
      <c r="X140" s="51"/>
    </row>
    <row r="141" spans="1:24" ht="20.45" customHeight="1">
      <c r="A141" s="10"/>
      <c r="B141" s="11"/>
      <c r="C141" s="11"/>
      <c r="D141" s="11"/>
      <c r="E141" s="12"/>
      <c r="F141" s="11"/>
      <c r="G141" s="11"/>
      <c r="H141" s="11"/>
      <c r="I141" s="11"/>
      <c r="J141" s="11"/>
      <c r="K141" s="11"/>
      <c r="L141" s="11"/>
      <c r="M141" s="11"/>
      <c r="N141" s="26"/>
      <c r="P141" s="26"/>
      <c r="Q141" s="26"/>
      <c r="R141" s="26"/>
      <c r="S141" s="14"/>
      <c r="T141" s="14"/>
      <c r="U141" s="26"/>
      <c r="V141" s="28"/>
      <c r="W141" s="27"/>
      <c r="X141" s="51"/>
    </row>
    <row r="142" spans="1:24" ht="20.100000000000001" customHeight="1">
      <c r="A142" s="10"/>
      <c r="B142" s="11"/>
      <c r="C142" s="11"/>
      <c r="D142" s="11">
        <f>B142*E142</f>
        <v>0</v>
      </c>
      <c r="E142" s="12"/>
      <c r="F142" s="11">
        <f>C142/4</f>
        <v>0</v>
      </c>
      <c r="G142" s="11">
        <f>D142/7.5</f>
        <v>0</v>
      </c>
      <c r="H142" s="11">
        <f>B142/12.5</f>
        <v>0</v>
      </c>
      <c r="I142" s="11">
        <f>G142/0.93</f>
        <v>0</v>
      </c>
      <c r="J142" s="11">
        <f>G142/0.92</f>
        <v>0</v>
      </c>
      <c r="K142" s="11">
        <f>G142/0.88</f>
        <v>0</v>
      </c>
      <c r="L142" s="17">
        <f>G142/0.84</f>
        <v>0</v>
      </c>
      <c r="M142" s="11"/>
      <c r="N142" s="26"/>
      <c r="P142" s="26"/>
      <c r="Q142" s="26"/>
      <c r="R142" s="26"/>
      <c r="S142" s="14"/>
      <c r="T142" s="14"/>
      <c r="U142" s="26"/>
      <c r="V142" s="38"/>
      <c r="W142" s="31"/>
      <c r="X142" s="51"/>
    </row>
    <row r="143" spans="1:24" ht="20.100000000000001" customHeight="1">
      <c r="A143" s="10"/>
      <c r="B143" s="11"/>
      <c r="C143" s="11"/>
      <c r="D143" s="11">
        <f>B143*E143</f>
        <v>0</v>
      </c>
      <c r="E143" s="12"/>
      <c r="F143" s="11">
        <f>C143/4</f>
        <v>0</v>
      </c>
      <c r="G143" s="11">
        <f>D143/7.5</f>
        <v>0</v>
      </c>
      <c r="H143" s="11">
        <f>B143/12.5</f>
        <v>0</v>
      </c>
      <c r="I143" s="11">
        <f>G143/0.93</f>
        <v>0</v>
      </c>
      <c r="J143" s="11">
        <f>G143/0.92</f>
        <v>0</v>
      </c>
      <c r="K143" s="11">
        <f>G143/0.88</f>
        <v>0</v>
      </c>
      <c r="L143" s="17">
        <f>G143/0.84</f>
        <v>0</v>
      </c>
      <c r="M143" s="11"/>
      <c r="N143" s="26"/>
      <c r="P143" s="26"/>
      <c r="Q143" s="26"/>
      <c r="R143" s="26"/>
      <c r="S143" s="14"/>
      <c r="T143" s="14"/>
      <c r="U143" s="26"/>
      <c r="V143" s="38"/>
      <c r="W143" s="31"/>
      <c r="X143" s="51"/>
    </row>
    <row r="144" spans="1:24" ht="20.100000000000001" customHeight="1">
      <c r="A144" s="10"/>
      <c r="B144" s="11"/>
      <c r="C144" s="11"/>
      <c r="D144" s="11">
        <f>B144*E144</f>
        <v>0</v>
      </c>
      <c r="E144" s="12"/>
      <c r="F144" s="11">
        <f>C144/4</f>
        <v>0</v>
      </c>
      <c r="G144" s="11">
        <f>D144/7.5</f>
        <v>0</v>
      </c>
      <c r="H144" s="11">
        <f>B144/12.5</f>
        <v>0</v>
      </c>
      <c r="I144" s="11">
        <f>G144/0.93</f>
        <v>0</v>
      </c>
      <c r="J144" s="11">
        <f>G144/0.92</f>
        <v>0</v>
      </c>
      <c r="K144" s="11">
        <f>G144/0.88</f>
        <v>0</v>
      </c>
      <c r="L144" s="17">
        <f>G144/0.84</f>
        <v>0</v>
      </c>
      <c r="M144" s="11"/>
      <c r="N144" s="26"/>
      <c r="P144" s="26"/>
      <c r="Q144" s="26"/>
      <c r="R144" s="26"/>
      <c r="S144" s="14"/>
      <c r="T144" s="14"/>
      <c r="U144" s="26"/>
      <c r="V144" s="38"/>
      <c r="W144" s="31"/>
      <c r="X144" s="51"/>
    </row>
  </sheetData>
  <mergeCells count="15">
    <mergeCell ref="X118:X127"/>
    <mergeCell ref="X128:X137"/>
    <mergeCell ref="X138:X144"/>
    <mergeCell ref="X58:X67"/>
    <mergeCell ref="X68:X77"/>
    <mergeCell ref="X78:X87"/>
    <mergeCell ref="X88:X97"/>
    <mergeCell ref="X98:X107"/>
    <mergeCell ref="X108:X117"/>
    <mergeCell ref="X51:X57"/>
    <mergeCell ref="X1:X10"/>
    <mergeCell ref="X11:X20"/>
    <mergeCell ref="X21:X30"/>
    <mergeCell ref="X31:X40"/>
    <mergeCell ref="X41:X50"/>
  </mergeCells>
  <pageMargins left="0.25" right="0.25" top="0.25" bottom="0.25" header="0" footer="0"/>
  <pageSetup scale="95" fitToHeight="0" orientation="landscape" r:id="rId1"/>
  <tableParts count="2">
    <tablePart r:id="rId2"/>
    <tablePart r:id="rId3"/>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A4354-3B69-1540-92CB-D88B4ACD308E}">
  <sheetPr>
    <pageSetUpPr fitToPage="1"/>
  </sheetPr>
  <dimension ref="A1:Z144"/>
  <sheetViews>
    <sheetView topLeftCell="A55" zoomScale="85" zoomScaleNormal="85" workbookViewId="0">
      <selection activeCell="X58" sqref="X58:X67"/>
    </sheetView>
  </sheetViews>
  <sheetFormatPr defaultColWidth="8.7109375" defaultRowHeight="14.45"/>
  <cols>
    <col min="1" max="1" width="19.5703125" customWidth="1"/>
    <col min="2" max="2" width="8.7109375" style="29" hidden="1" customWidth="1"/>
    <col min="3" max="3" width="10.140625" hidden="1" customWidth="1"/>
    <col min="4" max="4" width="8.7109375" style="29" hidden="1" customWidth="1"/>
    <col min="5" max="5" width="9.28515625" hidden="1" customWidth="1"/>
    <col min="6" max="6" width="8.7109375" hidden="1" customWidth="1"/>
    <col min="7" max="7" width="9.28515625" hidden="1" customWidth="1"/>
    <col min="8" max="9" width="8.7109375" hidden="1" customWidth="1"/>
    <col min="10" max="10" width="10.7109375" hidden="1" customWidth="1"/>
    <col min="11" max="11" width="11.42578125" hidden="1" customWidth="1"/>
    <col min="12" max="12" width="6.140625" hidden="1" customWidth="1"/>
    <col min="13" max="13" width="8.7109375" customWidth="1"/>
    <col min="14" max="19" width="10.140625" customWidth="1"/>
    <col min="20" max="22" width="8.7109375" customWidth="1"/>
    <col min="23" max="23" width="3.42578125" customWidth="1"/>
    <col min="24" max="24" width="20.42578125" customWidth="1"/>
    <col min="25" max="25" width="12.28515625" bestFit="1" customWidth="1"/>
    <col min="26" max="27" width="12.85546875" bestFit="1" customWidth="1"/>
  </cols>
  <sheetData>
    <row r="1" spans="1:26" ht="14.45" customHeight="1">
      <c r="A1" s="1" t="s">
        <v>349</v>
      </c>
      <c r="B1" s="2" t="s">
        <v>1</v>
      </c>
      <c r="C1" s="2" t="s">
        <v>2</v>
      </c>
      <c r="D1" s="2" t="s">
        <v>3</v>
      </c>
      <c r="E1" s="3" t="s">
        <v>4</v>
      </c>
      <c r="F1" s="2" t="s">
        <v>5</v>
      </c>
      <c r="G1" s="2" t="s">
        <v>6</v>
      </c>
      <c r="H1" s="2" t="s">
        <v>7</v>
      </c>
      <c r="I1" s="4" t="s">
        <v>8</v>
      </c>
      <c r="J1" s="2" t="s">
        <v>9</v>
      </c>
      <c r="K1" s="2" t="s">
        <v>10</v>
      </c>
      <c r="L1" s="2" t="s">
        <v>11</v>
      </c>
      <c r="M1" s="5" t="s">
        <v>158</v>
      </c>
      <c r="N1" s="6" t="s">
        <v>12</v>
      </c>
      <c r="O1" s="7" t="s">
        <v>174</v>
      </c>
      <c r="P1" s="8" t="s">
        <v>209</v>
      </c>
      <c r="Q1" s="8" t="s">
        <v>147</v>
      </c>
      <c r="R1" s="7" t="s">
        <v>148</v>
      </c>
      <c r="S1" s="7" t="s">
        <v>149</v>
      </c>
      <c r="T1" s="7" t="s">
        <v>77</v>
      </c>
      <c r="U1" s="8" t="s">
        <v>20</v>
      </c>
      <c r="V1" s="7" t="s">
        <v>21</v>
      </c>
      <c r="W1" s="9" t="s">
        <v>22</v>
      </c>
      <c r="X1" s="52" t="s">
        <v>350</v>
      </c>
    </row>
    <row r="2" spans="1:26" ht="21" customHeight="1">
      <c r="A2" s="10" t="s">
        <v>34</v>
      </c>
      <c r="B2" s="11">
        <v>1.2152777777777778E-2</v>
      </c>
      <c r="C2" s="11">
        <v>3.472222222222222E-3</v>
      </c>
      <c r="D2" s="11">
        <f>B2*E2</f>
        <v>7.0704861111111107E-3</v>
      </c>
      <c r="E2" s="12">
        <v>0.58179999999999998</v>
      </c>
      <c r="F2" s="11">
        <f>C2/4</f>
        <v>8.6805555555555551E-4</v>
      </c>
      <c r="G2" s="11">
        <f>D2/7.5</f>
        <v>9.4273148148148146E-4</v>
      </c>
      <c r="H2" s="11">
        <f>B2/12.5</f>
        <v>9.7222222222222219E-4</v>
      </c>
      <c r="I2" s="11">
        <f>G2/0.93</f>
        <v>1.0136897650338511E-3</v>
      </c>
      <c r="J2" s="11">
        <f>G2/0.92</f>
        <v>1.0247081320450884E-3</v>
      </c>
      <c r="K2" s="11">
        <f>G2/0.88</f>
        <v>1.0712857744107744E-3</v>
      </c>
      <c r="L2" s="11">
        <f>G2/0.84</f>
        <v>1.1222993827160494E-3</v>
      </c>
      <c r="M2" s="25">
        <f>WO2025Jan710814161822242830323438404244464854565862646668707274766[[#This Row],[VO2]]</f>
        <v>9.4273148148148146E-4</v>
      </c>
      <c r="N2" s="28">
        <f>WO2025Jan710814161822242830323438404244464854565862646668707274766[[#This Row],[Thresh]]</f>
        <v>1.0712857744107744E-3</v>
      </c>
      <c r="O2" s="25">
        <f>WO2025Jan710814161822242830323438404244464854565862646668707274766[[#This Row],[Thresh]]*3</f>
        <v>3.2138573232323234E-3</v>
      </c>
      <c r="P2" s="28"/>
      <c r="Q2" s="25"/>
      <c r="R2" s="25"/>
      <c r="S2" s="25"/>
      <c r="T2" s="28"/>
      <c r="U2" s="11"/>
      <c r="V2" s="36"/>
      <c r="W2" s="15" t="s">
        <v>26</v>
      </c>
      <c r="X2" s="52"/>
    </row>
    <row r="3" spans="1:26" ht="21" customHeight="1">
      <c r="A3" s="10" t="s">
        <v>38</v>
      </c>
      <c r="B3" s="11">
        <v>1.238425925925926E-2</v>
      </c>
      <c r="C3" s="11">
        <v>3.5300925925925925E-3</v>
      </c>
      <c r="D3" s="11">
        <f>B3*E3</f>
        <v>7.2051620370370368E-3</v>
      </c>
      <c r="E3" s="12">
        <v>0.58179999999999998</v>
      </c>
      <c r="F3" s="11">
        <f>C3/4</f>
        <v>8.8252314814814812E-4</v>
      </c>
      <c r="G3" s="11">
        <f>D3/7.5</f>
        <v>9.6068827160493821E-4</v>
      </c>
      <c r="H3" s="11">
        <f>B3/12.5</f>
        <v>9.9074074074074082E-4</v>
      </c>
      <c r="I3" s="11">
        <f>G3/0.93</f>
        <v>1.0329981415106862E-3</v>
      </c>
      <c r="J3" s="11">
        <f>G3/0.92</f>
        <v>1.0442263821792807E-3</v>
      </c>
      <c r="K3" s="11">
        <f>G3/0.88</f>
        <v>1.0916912177328843E-3</v>
      </c>
      <c r="L3" s="11">
        <f>G3/0.84</f>
        <v>1.1436765138154027E-3</v>
      </c>
      <c r="M3" s="25">
        <f>WO2025Jan710814161822242830323438404244464854565862646668707274766[[#This Row],[VO2]]</f>
        <v>9.6068827160493821E-4</v>
      </c>
      <c r="N3" s="28">
        <f>WO2025Jan710814161822242830323438404244464854565862646668707274766[[#This Row],[Thresh]]</f>
        <v>1.0916912177328843E-3</v>
      </c>
      <c r="O3" s="25">
        <f>WO2025Jan710814161822242830323438404244464854565862646668707274766[[#This Row],[Thresh]]*3</f>
        <v>3.275073653198653E-3</v>
      </c>
      <c r="P3" s="28"/>
      <c r="Q3" s="25"/>
      <c r="R3" s="25"/>
      <c r="S3" s="28"/>
      <c r="T3" s="28"/>
      <c r="U3" s="28"/>
      <c r="V3" s="28"/>
      <c r="W3" s="15" t="s">
        <v>26</v>
      </c>
      <c r="X3" s="52"/>
      <c r="Z3" s="16"/>
    </row>
    <row r="4" spans="1:26" ht="21" customHeight="1">
      <c r="A4" s="10" t="s">
        <v>24</v>
      </c>
      <c r="B4" s="11">
        <v>1.238425925925926E-2</v>
      </c>
      <c r="C4" s="11">
        <v>3.5300925925925925E-3</v>
      </c>
      <c r="D4" s="11">
        <f>B4*E4</f>
        <v>7.2051620370370368E-3</v>
      </c>
      <c r="E4" s="12">
        <v>0.58179999999999998</v>
      </c>
      <c r="F4" s="11">
        <f>C4/4</f>
        <v>8.8252314814814812E-4</v>
      </c>
      <c r="G4" s="11">
        <f>D4/7.5</f>
        <v>9.6068827160493821E-4</v>
      </c>
      <c r="H4" s="11">
        <f>B4/12.5</f>
        <v>9.9074074074074082E-4</v>
      </c>
      <c r="I4" s="11">
        <f>G4/0.93</f>
        <v>1.0329981415106862E-3</v>
      </c>
      <c r="J4" s="11">
        <f>G4/0.92</f>
        <v>1.0442263821792807E-3</v>
      </c>
      <c r="K4" s="11">
        <f>G4/0.88</f>
        <v>1.0916912177328843E-3</v>
      </c>
      <c r="L4" s="11">
        <f>G4/0.84</f>
        <v>1.1436765138154027E-3</v>
      </c>
      <c r="M4" s="25">
        <f>WO2025Jan710814161822242830323438404244464854565862646668707274766[[#This Row],[VO2]]</f>
        <v>9.6068827160493821E-4</v>
      </c>
      <c r="N4" s="28">
        <f>WO2025Jan710814161822242830323438404244464854565862646668707274766[[#This Row],[Thresh]]</f>
        <v>1.0916912177328843E-3</v>
      </c>
      <c r="O4" s="25">
        <f>WO2025Jan710814161822242830323438404244464854565862646668707274766[[#This Row],[Thresh]]*3</f>
        <v>3.275073653198653E-3</v>
      </c>
      <c r="P4" s="25"/>
      <c r="Q4" s="25"/>
      <c r="R4" s="25"/>
      <c r="S4" s="28"/>
      <c r="T4" s="28"/>
      <c r="U4" s="28"/>
      <c r="V4" s="28"/>
      <c r="W4" s="15" t="s">
        <v>26</v>
      </c>
      <c r="X4" s="52"/>
    </row>
    <row r="5" spans="1:26" ht="21" customHeight="1">
      <c r="A5" s="10" t="s">
        <v>59</v>
      </c>
      <c r="B5" s="11">
        <v>1.2500000000000001E-2</v>
      </c>
      <c r="C5" s="11">
        <v>3.7037037037037038E-3</v>
      </c>
      <c r="D5" s="11">
        <f t="shared" ref="D5:D14" si="0">B5*E5</f>
        <v>7.2725000000000003E-3</v>
      </c>
      <c r="E5" s="12">
        <v>0.58179999999999998</v>
      </c>
      <c r="F5" s="11">
        <f t="shared" ref="F5:F14" si="1">C5/4</f>
        <v>9.2592592592592596E-4</v>
      </c>
      <c r="G5" s="11">
        <f t="shared" ref="G5:G14" si="2">D5/7.5</f>
        <v>9.6966666666666675E-4</v>
      </c>
      <c r="H5" s="11">
        <f t="shared" ref="H5:H14" si="3">B5/12.5</f>
        <v>1E-3</v>
      </c>
      <c r="I5" s="11">
        <f t="shared" ref="I5:I14" si="4">G5/0.93</f>
        <v>1.0426523297491039E-3</v>
      </c>
      <c r="J5" s="11">
        <f t="shared" ref="J5:J14" si="5">G5/0.92</f>
        <v>1.0539855072463768E-3</v>
      </c>
      <c r="K5" s="11">
        <f t="shared" ref="K5:K14" si="6">G5/0.88</f>
        <v>1.1018939393939394E-3</v>
      </c>
      <c r="L5" s="17">
        <f t="shared" ref="L5:L14" si="7">G5/0.84</f>
        <v>1.1543650793650795E-3</v>
      </c>
      <c r="M5" s="25">
        <f>WO2025Jan710814161822242830323438404244464854565862646668707274766[[#This Row],[VO2]]</f>
        <v>9.6966666666666675E-4</v>
      </c>
      <c r="N5" s="28">
        <f>WO2025Jan710814161822242830323438404244464854565862646668707274766[[#This Row],[Thresh]]</f>
        <v>1.1018939393939394E-3</v>
      </c>
      <c r="O5" s="25">
        <f>WO2025Jan710814161822242830323438404244464854565862646668707274766[[#This Row],[Thresh]]*3</f>
        <v>3.3056818181818183E-3</v>
      </c>
      <c r="P5" s="25"/>
      <c r="Q5" s="25"/>
      <c r="R5" s="28"/>
      <c r="S5" s="11"/>
      <c r="T5" s="28"/>
      <c r="U5" s="28"/>
      <c r="V5" s="38"/>
      <c r="W5" s="15" t="s">
        <v>26</v>
      </c>
      <c r="X5" s="52"/>
    </row>
    <row r="6" spans="1:26" ht="21" customHeight="1">
      <c r="A6" s="10" t="s">
        <v>28</v>
      </c>
      <c r="B6" s="11">
        <v>1.2500000000000001E-2</v>
      </c>
      <c r="C6" s="11">
        <v>3.9351851851851857E-3</v>
      </c>
      <c r="D6" s="11">
        <f t="shared" si="0"/>
        <v>7.2725000000000003E-3</v>
      </c>
      <c r="E6" s="12">
        <v>0.58179999999999998</v>
      </c>
      <c r="F6" s="11">
        <f t="shared" si="1"/>
        <v>9.8379629629629642E-4</v>
      </c>
      <c r="G6" s="11">
        <f t="shared" si="2"/>
        <v>9.6966666666666675E-4</v>
      </c>
      <c r="H6" s="11">
        <f t="shared" si="3"/>
        <v>1E-3</v>
      </c>
      <c r="I6" s="11">
        <f t="shared" si="4"/>
        <v>1.0426523297491039E-3</v>
      </c>
      <c r="J6" s="11">
        <f t="shared" si="5"/>
        <v>1.0539855072463768E-3</v>
      </c>
      <c r="K6" s="11">
        <f t="shared" si="6"/>
        <v>1.1018939393939394E-3</v>
      </c>
      <c r="L6" s="11">
        <f t="shared" si="7"/>
        <v>1.1543650793650795E-3</v>
      </c>
      <c r="M6" s="25">
        <f>WO2025Jan710814161822242830323438404244464854565862646668707274766[[#This Row],[VO2]]</f>
        <v>9.6966666666666675E-4</v>
      </c>
      <c r="N6" s="28">
        <f>WO2025Jan710814161822242830323438404244464854565862646668707274766[[#This Row],[Thresh]]</f>
        <v>1.1018939393939394E-3</v>
      </c>
      <c r="O6" s="25">
        <f>WO2025Jan710814161822242830323438404244464854565862646668707274766[[#This Row],[Thresh]]*3</f>
        <v>3.3056818181818183E-3</v>
      </c>
      <c r="P6" s="28"/>
      <c r="Q6" s="25"/>
      <c r="R6" s="28"/>
      <c r="S6" s="11"/>
      <c r="T6" s="28"/>
      <c r="U6" s="28"/>
      <c r="V6" s="28"/>
      <c r="W6" s="15" t="s">
        <v>26</v>
      </c>
      <c r="X6" s="52"/>
    </row>
    <row r="7" spans="1:26" ht="21" customHeight="1">
      <c r="A7" s="10" t="s">
        <v>27</v>
      </c>
      <c r="B7" s="11">
        <v>1.2500000000000001E-2</v>
      </c>
      <c r="C7" s="11">
        <v>3.6458333333333334E-3</v>
      </c>
      <c r="D7" s="11">
        <f t="shared" ref="D7:D13" si="8">B7*E7</f>
        <v>7.2725000000000003E-3</v>
      </c>
      <c r="E7" s="12">
        <v>0.58179999999999998</v>
      </c>
      <c r="F7" s="11">
        <f t="shared" ref="F7:F13" si="9">C7/4</f>
        <v>9.1145833333333335E-4</v>
      </c>
      <c r="G7" s="11">
        <f t="shared" ref="G7:G13" si="10">D7/7.5</f>
        <v>9.6966666666666675E-4</v>
      </c>
      <c r="H7" s="11">
        <f t="shared" ref="H7:H13" si="11">B7/12.5</f>
        <v>1E-3</v>
      </c>
      <c r="I7" s="11">
        <f t="shared" ref="I7:I13" si="12">G7/0.93</f>
        <v>1.0426523297491039E-3</v>
      </c>
      <c r="J7" s="11">
        <f t="shared" ref="J7:J13" si="13">G7/0.92</f>
        <v>1.0539855072463768E-3</v>
      </c>
      <c r="K7" s="11">
        <f t="shared" ref="K7:K13" si="14">G7/0.88</f>
        <v>1.1018939393939394E-3</v>
      </c>
      <c r="L7" s="11">
        <f t="shared" ref="L7:L13" si="15">G7/0.84</f>
        <v>1.1543650793650795E-3</v>
      </c>
      <c r="M7" s="25">
        <f>WO2025Jan710814161822242830323438404244464854565862646668707274766[[#This Row],[VO2]]</f>
        <v>9.6966666666666675E-4</v>
      </c>
      <c r="N7" s="28">
        <f>WO2025Jan710814161822242830323438404244464854565862646668707274766[[#This Row],[Thresh]]</f>
        <v>1.1018939393939394E-3</v>
      </c>
      <c r="O7" s="25">
        <f>WO2025Jan710814161822242830323438404244464854565862646668707274766[[#This Row],[Thresh]]*3</f>
        <v>3.3056818181818183E-3</v>
      </c>
      <c r="P7" s="25"/>
      <c r="Q7" s="25"/>
      <c r="R7" s="28"/>
      <c r="S7" s="11"/>
      <c r="T7" s="28"/>
      <c r="U7" s="28"/>
      <c r="V7" s="28"/>
      <c r="W7" s="15" t="s">
        <v>26</v>
      </c>
      <c r="X7" s="52"/>
    </row>
    <row r="8" spans="1:26" ht="21" customHeight="1">
      <c r="A8" s="10" t="s">
        <v>60</v>
      </c>
      <c r="B8" s="11">
        <v>1.2500000000000001E-2</v>
      </c>
      <c r="C8" s="11">
        <v>3.6458333333333334E-3</v>
      </c>
      <c r="D8" s="11">
        <f t="shared" si="8"/>
        <v>7.2725000000000003E-3</v>
      </c>
      <c r="E8" s="12">
        <v>0.58179999999999998</v>
      </c>
      <c r="F8" s="11">
        <f t="shared" si="9"/>
        <v>9.1145833333333335E-4</v>
      </c>
      <c r="G8" s="11">
        <f t="shared" si="10"/>
        <v>9.6966666666666675E-4</v>
      </c>
      <c r="H8" s="11">
        <f t="shared" si="11"/>
        <v>1E-3</v>
      </c>
      <c r="I8" s="11">
        <f t="shared" si="12"/>
        <v>1.0426523297491039E-3</v>
      </c>
      <c r="J8" s="11">
        <f t="shared" si="13"/>
        <v>1.0539855072463768E-3</v>
      </c>
      <c r="K8" s="11">
        <f t="shared" si="14"/>
        <v>1.1018939393939394E-3</v>
      </c>
      <c r="L8" s="11">
        <f t="shared" si="15"/>
        <v>1.1543650793650795E-3</v>
      </c>
      <c r="M8" s="25">
        <f>WO2025Jan710814161822242830323438404244464854565862646668707274766[[#This Row],[VO2]]</f>
        <v>9.6966666666666675E-4</v>
      </c>
      <c r="N8" s="28">
        <f>WO2025Jan710814161822242830323438404244464854565862646668707274766[[#This Row],[Thresh]]</f>
        <v>1.1018939393939394E-3</v>
      </c>
      <c r="O8" s="25">
        <f>WO2025Jan710814161822242830323438404244464854565862646668707274766[[#This Row],[Thresh]]*3</f>
        <v>3.3056818181818183E-3</v>
      </c>
      <c r="P8" s="25"/>
      <c r="Q8" s="25"/>
      <c r="R8" s="28"/>
      <c r="S8" s="11"/>
      <c r="T8" s="28"/>
      <c r="U8" s="28"/>
      <c r="V8" s="28"/>
      <c r="W8" s="15" t="s">
        <v>26</v>
      </c>
      <c r="X8" s="52"/>
    </row>
    <row r="9" spans="1:26" ht="21" customHeight="1">
      <c r="A9" s="10" t="s">
        <v>63</v>
      </c>
      <c r="B9" s="11">
        <v>1.2500000000000001E-2</v>
      </c>
      <c r="C9" s="11"/>
      <c r="D9" s="11">
        <f t="shared" si="8"/>
        <v>7.2725000000000003E-3</v>
      </c>
      <c r="E9" s="12">
        <v>0.58179999999999998</v>
      </c>
      <c r="F9" s="11">
        <f t="shared" si="9"/>
        <v>0</v>
      </c>
      <c r="G9" s="11">
        <f t="shared" si="10"/>
        <v>9.6966666666666675E-4</v>
      </c>
      <c r="H9" s="11">
        <f t="shared" si="11"/>
        <v>1E-3</v>
      </c>
      <c r="I9" s="11">
        <f t="shared" si="12"/>
        <v>1.0426523297491039E-3</v>
      </c>
      <c r="J9" s="11">
        <f t="shared" si="13"/>
        <v>1.0539855072463768E-3</v>
      </c>
      <c r="K9" s="11">
        <f t="shared" si="14"/>
        <v>1.1018939393939394E-3</v>
      </c>
      <c r="L9" s="11">
        <f t="shared" si="15"/>
        <v>1.1543650793650795E-3</v>
      </c>
      <c r="M9" s="25">
        <f>WO2025Jan710814161822242830323438404244464854565862646668707274766[[#This Row],[VO2]]</f>
        <v>9.6966666666666675E-4</v>
      </c>
      <c r="N9" s="28">
        <f>WO2025Jan710814161822242830323438404244464854565862646668707274766[[#This Row],[Thresh]]</f>
        <v>1.1018939393939394E-3</v>
      </c>
      <c r="O9" s="25">
        <f>WO2025Jan710814161822242830323438404244464854565862646668707274766[[#This Row],[Thresh]]*3</f>
        <v>3.3056818181818183E-3</v>
      </c>
      <c r="P9" s="28"/>
      <c r="Q9" s="25"/>
      <c r="R9" s="25"/>
      <c r="S9" s="25"/>
      <c r="T9" s="28"/>
      <c r="U9" s="11"/>
      <c r="V9" s="36"/>
      <c r="W9" s="15" t="s">
        <v>26</v>
      </c>
      <c r="X9" s="52"/>
    </row>
    <row r="10" spans="1:26" ht="21" customHeight="1">
      <c r="A10" s="10" t="s">
        <v>29</v>
      </c>
      <c r="B10" s="11">
        <v>1.2500000000000001E-2</v>
      </c>
      <c r="C10" s="11">
        <v>3.8194444444444443E-3</v>
      </c>
      <c r="D10" s="11">
        <f t="shared" si="8"/>
        <v>7.2725000000000003E-3</v>
      </c>
      <c r="E10" s="12">
        <v>0.58179999999999998</v>
      </c>
      <c r="F10" s="11">
        <f t="shared" si="9"/>
        <v>9.5486111111111108E-4</v>
      </c>
      <c r="G10" s="11">
        <f t="shared" si="10"/>
        <v>9.6966666666666675E-4</v>
      </c>
      <c r="H10" s="11">
        <f t="shared" si="11"/>
        <v>1E-3</v>
      </c>
      <c r="I10" s="11">
        <f t="shared" si="12"/>
        <v>1.0426523297491039E-3</v>
      </c>
      <c r="J10" s="11">
        <f t="shared" si="13"/>
        <v>1.0539855072463768E-3</v>
      </c>
      <c r="K10" s="11">
        <f t="shared" si="14"/>
        <v>1.1018939393939394E-3</v>
      </c>
      <c r="L10" s="11">
        <f t="shared" si="15"/>
        <v>1.1543650793650795E-3</v>
      </c>
      <c r="M10" s="25">
        <f>WO2025Jan710814161822242830323438404244464854565862646668707274766[[#This Row],[VO2]]</f>
        <v>9.6966666666666675E-4</v>
      </c>
      <c r="N10" s="28">
        <f>WO2025Jan710814161822242830323438404244464854565862646668707274766[[#This Row],[Thresh]]</f>
        <v>1.1018939393939394E-3</v>
      </c>
      <c r="O10" s="25">
        <f>WO2025Jan710814161822242830323438404244464854565862646668707274766[[#This Row],[Thresh]]*3</f>
        <v>3.3056818181818183E-3</v>
      </c>
      <c r="P10" s="25"/>
      <c r="Q10" s="25"/>
      <c r="R10" s="25"/>
      <c r="S10" s="28"/>
      <c r="T10" s="28"/>
      <c r="U10" s="28"/>
      <c r="V10" s="38"/>
      <c r="W10" s="18" t="s">
        <v>26</v>
      </c>
      <c r="X10" s="52"/>
    </row>
    <row r="11" spans="1:26" ht="21" customHeight="1">
      <c r="A11" s="10" t="s">
        <v>55</v>
      </c>
      <c r="B11" s="11">
        <v>1.2731481481481481E-2</v>
      </c>
      <c r="C11" s="11"/>
      <c r="D11" s="11">
        <f t="shared" si="8"/>
        <v>7.4071759259259256E-3</v>
      </c>
      <c r="E11" s="12">
        <v>0.58179999999999998</v>
      </c>
      <c r="F11" s="11">
        <f t="shared" si="9"/>
        <v>0</v>
      </c>
      <c r="G11" s="11">
        <f t="shared" si="10"/>
        <v>9.8762345679012349E-4</v>
      </c>
      <c r="H11" s="11">
        <f t="shared" si="11"/>
        <v>1.0185185185185184E-3</v>
      </c>
      <c r="I11" s="11">
        <f t="shared" si="12"/>
        <v>1.0619607062259391E-3</v>
      </c>
      <c r="J11" s="11">
        <f t="shared" si="13"/>
        <v>1.073503757380569E-3</v>
      </c>
      <c r="K11" s="11">
        <f t="shared" si="14"/>
        <v>1.1222993827160494E-3</v>
      </c>
      <c r="L11" s="11">
        <f t="shared" si="15"/>
        <v>1.1757422104644328E-3</v>
      </c>
      <c r="M11" s="25">
        <f>WO2025Jan710814161822242830323438404244464854565862646668707274766[[#This Row],[VO2]]</f>
        <v>9.8762345679012349E-4</v>
      </c>
      <c r="N11" s="28">
        <f>WO2025Jan710814161822242830323438404244464854565862646668707274766[[#This Row],[Thresh]]</f>
        <v>1.1222993827160494E-3</v>
      </c>
      <c r="O11" s="25">
        <f>WO2025Jan710814161822242830323438404244464854565862646668707274766[[#This Row],[Thresh]]*3</f>
        <v>3.3668981481481484E-3</v>
      </c>
      <c r="P11" s="11"/>
      <c r="Q11" s="14"/>
      <c r="R11" s="11"/>
      <c r="S11" s="14"/>
      <c r="T11" s="14"/>
      <c r="U11" s="14"/>
      <c r="V11" s="17"/>
      <c r="W11" s="18" t="s">
        <v>26</v>
      </c>
      <c r="X11" s="52" t="s">
        <v>351</v>
      </c>
    </row>
    <row r="12" spans="1:26" ht="21" customHeight="1">
      <c r="A12" s="10" t="s">
        <v>31</v>
      </c>
      <c r="B12" s="11">
        <v>1.2731481481481481E-2</v>
      </c>
      <c r="C12" s="11"/>
      <c r="D12" s="11">
        <f t="shared" si="8"/>
        <v>7.4071759259259256E-3</v>
      </c>
      <c r="E12" s="12">
        <v>0.58179999999999998</v>
      </c>
      <c r="F12" s="11">
        <f t="shared" si="9"/>
        <v>0</v>
      </c>
      <c r="G12" s="11">
        <f t="shared" si="10"/>
        <v>9.8762345679012349E-4</v>
      </c>
      <c r="H12" s="11">
        <f t="shared" si="11"/>
        <v>1.0185185185185184E-3</v>
      </c>
      <c r="I12" s="11">
        <f t="shared" si="12"/>
        <v>1.0619607062259391E-3</v>
      </c>
      <c r="J12" s="11">
        <f t="shared" si="13"/>
        <v>1.073503757380569E-3</v>
      </c>
      <c r="K12" s="11">
        <f t="shared" si="14"/>
        <v>1.1222993827160494E-3</v>
      </c>
      <c r="L12" s="11">
        <f t="shared" si="15"/>
        <v>1.1757422104644328E-3</v>
      </c>
      <c r="M12" s="25">
        <f>WO2025Jan710814161822242830323438404244464854565862646668707274766[[#This Row],[VO2]]</f>
        <v>9.8762345679012349E-4</v>
      </c>
      <c r="N12" s="28">
        <f>WO2025Jan710814161822242830323438404244464854565862646668707274766[[#This Row],[Thresh]]</f>
        <v>1.1222993827160494E-3</v>
      </c>
      <c r="O12" s="25">
        <f>WO2025Jan710814161822242830323438404244464854565862646668707274766[[#This Row],[Thresh]]*3</f>
        <v>3.3668981481481484E-3</v>
      </c>
      <c r="P12" s="25"/>
      <c r="Q12" s="25"/>
      <c r="R12" s="28"/>
      <c r="S12" s="11"/>
      <c r="T12" s="11"/>
      <c r="U12" s="28"/>
      <c r="V12" s="28"/>
      <c r="W12" s="15" t="s">
        <v>26</v>
      </c>
      <c r="X12" s="52"/>
    </row>
    <row r="13" spans="1:26" ht="21" customHeight="1">
      <c r="A13" s="10" t="s">
        <v>62</v>
      </c>
      <c r="B13" s="11">
        <v>1.2731481481481481E-2</v>
      </c>
      <c r="C13" s="11"/>
      <c r="D13" s="11">
        <f t="shared" si="8"/>
        <v>7.4071759259259256E-3</v>
      </c>
      <c r="E13" s="12">
        <v>0.58179999999999998</v>
      </c>
      <c r="F13" s="11">
        <f t="shared" si="9"/>
        <v>0</v>
      </c>
      <c r="G13" s="11">
        <f t="shared" si="10"/>
        <v>9.8762345679012349E-4</v>
      </c>
      <c r="H13" s="11">
        <f t="shared" si="11"/>
        <v>1.0185185185185184E-3</v>
      </c>
      <c r="I13" s="11">
        <f t="shared" si="12"/>
        <v>1.0619607062259391E-3</v>
      </c>
      <c r="J13" s="11">
        <f t="shared" si="13"/>
        <v>1.073503757380569E-3</v>
      </c>
      <c r="K13" s="11">
        <f t="shared" si="14"/>
        <v>1.1222993827160494E-3</v>
      </c>
      <c r="L13" s="11">
        <f t="shared" si="15"/>
        <v>1.1757422104644328E-3</v>
      </c>
      <c r="M13" s="25">
        <f>WO2025Jan710814161822242830323438404244464854565862646668707274766[[#This Row],[VO2]]</f>
        <v>9.8762345679012349E-4</v>
      </c>
      <c r="N13" s="28">
        <f>WO2025Jan710814161822242830323438404244464854565862646668707274766[[#This Row],[Thresh]]</f>
        <v>1.1222993827160494E-3</v>
      </c>
      <c r="O13" s="25">
        <f>WO2025Jan710814161822242830323438404244464854565862646668707274766[[#This Row],[Thresh]]*3</f>
        <v>3.3668981481481484E-3</v>
      </c>
      <c r="P13" s="25"/>
      <c r="Q13" s="28"/>
      <c r="R13" s="28"/>
      <c r="S13" s="25"/>
      <c r="T13" s="28"/>
      <c r="U13" s="36"/>
      <c r="V13" s="17"/>
      <c r="W13" s="18" t="s">
        <v>26</v>
      </c>
      <c r="X13" s="52"/>
    </row>
    <row r="14" spans="1:26" ht="21" customHeight="1">
      <c r="A14" s="10" t="s">
        <v>71</v>
      </c>
      <c r="B14" s="11">
        <v>1.3194444444444444E-2</v>
      </c>
      <c r="C14" s="11">
        <v>4.0509259259259257E-3</v>
      </c>
      <c r="D14" s="11">
        <f t="shared" si="0"/>
        <v>7.6765277777777778E-3</v>
      </c>
      <c r="E14" s="12">
        <v>0.58179999999999998</v>
      </c>
      <c r="F14" s="11">
        <f t="shared" si="1"/>
        <v>1.0127314814814814E-3</v>
      </c>
      <c r="G14" s="11">
        <f t="shared" si="2"/>
        <v>1.023537037037037E-3</v>
      </c>
      <c r="H14" s="11">
        <f t="shared" si="3"/>
        <v>1.0555555555555555E-3</v>
      </c>
      <c r="I14" s="11">
        <f t="shared" si="4"/>
        <v>1.1005774591796096E-3</v>
      </c>
      <c r="J14" s="11">
        <f t="shared" si="5"/>
        <v>1.1125402576489531E-3</v>
      </c>
      <c r="K14" s="11">
        <f t="shared" si="6"/>
        <v>1.1631102693602693E-3</v>
      </c>
      <c r="L14" s="11">
        <f t="shared" si="7"/>
        <v>1.2184964726631392E-3</v>
      </c>
      <c r="M14" s="25">
        <f>WO2025Jan710814161822242830323438404244464854565862646668707274766[[#This Row],[VO2]]</f>
        <v>1.023537037037037E-3</v>
      </c>
      <c r="N14" s="28">
        <f>WO2025Jan710814161822242830323438404244464854565862646668707274766[[#This Row],[Thresh]]</f>
        <v>1.1631102693602693E-3</v>
      </c>
      <c r="O14" s="25">
        <f>WO2025Jan710814161822242830323438404244464854565862646668707274766[[#This Row],[Thresh]]*3</f>
        <v>3.4893308080808077E-3</v>
      </c>
      <c r="P14" s="25"/>
      <c r="Q14" s="25"/>
      <c r="R14" s="28"/>
      <c r="S14" s="11"/>
      <c r="T14" s="28"/>
      <c r="U14" s="28"/>
      <c r="V14" s="38"/>
      <c r="W14" s="18" t="s">
        <v>26</v>
      </c>
      <c r="X14" s="52"/>
    </row>
    <row r="15" spans="1:26" ht="21" customHeight="1">
      <c r="A15" s="10"/>
      <c r="B15" s="11"/>
      <c r="C15" s="11"/>
      <c r="D15" s="11"/>
      <c r="E15" s="12"/>
      <c r="F15" s="11"/>
      <c r="G15" s="11"/>
      <c r="H15" s="11"/>
      <c r="I15" s="11"/>
      <c r="J15" s="11"/>
      <c r="K15" s="11"/>
      <c r="L15" s="11"/>
      <c r="M15" s="14"/>
      <c r="O15" s="14"/>
      <c r="P15" s="11"/>
      <c r="Q15" s="14"/>
      <c r="R15" s="11"/>
      <c r="S15" s="14"/>
      <c r="T15" s="14"/>
      <c r="U15" s="14"/>
      <c r="V15" s="11"/>
      <c r="W15" s="15"/>
      <c r="X15" s="52"/>
    </row>
    <row r="16" spans="1:26" ht="21" customHeight="1">
      <c r="A16" s="19"/>
      <c r="B16" s="6"/>
      <c r="C16" s="6"/>
      <c r="D16" s="6"/>
      <c r="E16" s="20"/>
      <c r="F16" s="6"/>
      <c r="G16" s="6"/>
      <c r="H16" s="6"/>
      <c r="I16" s="6"/>
      <c r="J16" s="6"/>
      <c r="K16" s="6"/>
      <c r="L16" s="6"/>
      <c r="M16" s="6" t="s">
        <v>16</v>
      </c>
      <c r="N16" s="6"/>
      <c r="O16" s="6"/>
      <c r="P16" s="6"/>
      <c r="Q16" s="6"/>
      <c r="R16" s="6"/>
      <c r="S16" s="6"/>
      <c r="T16" s="6"/>
      <c r="U16" s="6"/>
      <c r="V16" s="21"/>
      <c r="W16" s="43"/>
      <c r="X16" s="52"/>
    </row>
    <row r="17" spans="1:24" ht="21" customHeight="1">
      <c r="A17" s="10" t="s">
        <v>49</v>
      </c>
      <c r="B17" s="11">
        <v>1.2731481481481481E-2</v>
      </c>
      <c r="C17" s="11"/>
      <c r="D17" s="11">
        <f t="shared" ref="D17:D25" si="16">B17*E17</f>
        <v>7.4071759259259256E-3</v>
      </c>
      <c r="E17" s="12">
        <v>0.58179999999999998</v>
      </c>
      <c r="F17" s="11">
        <f t="shared" ref="F17:F25" si="17">C17/4</f>
        <v>0</v>
      </c>
      <c r="G17" s="11">
        <f t="shared" ref="G17:G25" si="18">D17/7.5</f>
        <v>9.8762345679012349E-4</v>
      </c>
      <c r="H17" s="11">
        <f t="shared" ref="H17:H25" si="19">B17/12.5</f>
        <v>1.0185185185185184E-3</v>
      </c>
      <c r="I17" s="11">
        <f t="shared" ref="I17:I25" si="20">G17/0.93</f>
        <v>1.0619607062259391E-3</v>
      </c>
      <c r="J17" s="11">
        <f t="shared" ref="J17:J25" si="21">G17/0.92</f>
        <v>1.073503757380569E-3</v>
      </c>
      <c r="K17" s="11">
        <f t="shared" ref="K17:K25" si="22">G17/0.88</f>
        <v>1.1222993827160494E-3</v>
      </c>
      <c r="L17" s="11">
        <f t="shared" ref="L17:L25" si="23">G17/0.84</f>
        <v>1.1757422104644328E-3</v>
      </c>
      <c r="M17" s="25">
        <f>WO2025Jan710814161822242830323438404244464854565862646668707274766[[#This Row],[VO2]]/2</f>
        <v>4.9381172839506175E-4</v>
      </c>
      <c r="O17" s="14"/>
      <c r="P17" s="11"/>
      <c r="Q17" s="14"/>
      <c r="R17" s="11"/>
      <c r="S17" s="14"/>
      <c r="T17" s="14"/>
      <c r="U17" s="14"/>
      <c r="V17" s="11"/>
      <c r="W17" s="15" t="s">
        <v>35</v>
      </c>
      <c r="X17" s="52"/>
    </row>
    <row r="18" spans="1:24" ht="21" customHeight="1">
      <c r="A18" s="10" t="s">
        <v>65</v>
      </c>
      <c r="B18" s="11">
        <v>1.2731481481481481E-2</v>
      </c>
      <c r="C18" s="11">
        <v>3.8194444444444443E-3</v>
      </c>
      <c r="D18" s="11">
        <f t="shared" si="16"/>
        <v>7.4071759259259256E-3</v>
      </c>
      <c r="E18" s="12">
        <v>0.58179999999999998</v>
      </c>
      <c r="F18" s="11">
        <f t="shared" si="17"/>
        <v>9.5486111111111108E-4</v>
      </c>
      <c r="G18" s="11">
        <f t="shared" si="18"/>
        <v>9.8762345679012349E-4</v>
      </c>
      <c r="H18" s="11">
        <f t="shared" si="19"/>
        <v>1.0185185185185184E-3</v>
      </c>
      <c r="I18" s="11">
        <f t="shared" si="20"/>
        <v>1.0619607062259391E-3</v>
      </c>
      <c r="J18" s="11">
        <f t="shared" si="21"/>
        <v>1.073503757380569E-3</v>
      </c>
      <c r="K18" s="11">
        <f t="shared" si="22"/>
        <v>1.1222993827160494E-3</v>
      </c>
      <c r="L18" s="11">
        <f t="shared" si="23"/>
        <v>1.1757422104644328E-3</v>
      </c>
      <c r="M18" s="25">
        <f>WO2025Jan710814161822242830323438404244464854565862646668707274766[[#This Row],[VO2]]/2</f>
        <v>4.9381172839506175E-4</v>
      </c>
      <c r="N18" s="28"/>
      <c r="O18" s="28"/>
      <c r="P18" s="28"/>
      <c r="Q18" s="25"/>
      <c r="R18" s="28"/>
      <c r="S18" s="11"/>
      <c r="T18" s="28"/>
      <c r="U18" s="28"/>
      <c r="V18" s="28"/>
      <c r="W18" s="15" t="s">
        <v>35</v>
      </c>
      <c r="X18" s="52"/>
    </row>
    <row r="19" spans="1:24" ht="21" customHeight="1">
      <c r="A19" s="10" t="s">
        <v>64</v>
      </c>
      <c r="B19" s="11">
        <v>1.2731481481481481E-2</v>
      </c>
      <c r="C19" s="11">
        <v>3.5879629629629629E-3</v>
      </c>
      <c r="D19" s="11">
        <f t="shared" si="16"/>
        <v>7.4071759259259256E-3</v>
      </c>
      <c r="E19" s="12">
        <v>0.58179999999999998</v>
      </c>
      <c r="F19" s="11">
        <f t="shared" si="17"/>
        <v>8.9699074074074073E-4</v>
      </c>
      <c r="G19" s="11">
        <f t="shared" si="18"/>
        <v>9.8762345679012349E-4</v>
      </c>
      <c r="H19" s="11">
        <f t="shared" si="19"/>
        <v>1.0185185185185184E-3</v>
      </c>
      <c r="I19" s="11">
        <f t="shared" si="20"/>
        <v>1.0619607062259391E-3</v>
      </c>
      <c r="J19" s="11">
        <f t="shared" si="21"/>
        <v>1.073503757380569E-3</v>
      </c>
      <c r="K19" s="11">
        <f t="shared" si="22"/>
        <v>1.1222993827160494E-3</v>
      </c>
      <c r="L19" s="11">
        <f t="shared" si="23"/>
        <v>1.1757422104644328E-3</v>
      </c>
      <c r="M19" s="25">
        <f>WO2025Jan710814161822242830323438404244464854565862646668707274766[[#This Row],[VO2]]/2</f>
        <v>4.9381172839506175E-4</v>
      </c>
      <c r="N19" s="28"/>
      <c r="O19" s="25"/>
      <c r="P19" s="28"/>
      <c r="Q19" s="25"/>
      <c r="R19" s="25"/>
      <c r="S19" s="28"/>
      <c r="T19" s="28"/>
      <c r="U19" s="28"/>
      <c r="V19" s="28"/>
      <c r="W19" s="15" t="s">
        <v>35</v>
      </c>
      <c r="X19" s="52"/>
    </row>
    <row r="20" spans="1:24" ht="21" customHeight="1">
      <c r="A20" s="10" t="s">
        <v>67</v>
      </c>
      <c r="B20" s="11">
        <v>1.3020833333333334E-2</v>
      </c>
      <c r="C20" s="11">
        <v>3.8194444444444443E-3</v>
      </c>
      <c r="D20" s="11">
        <f t="shared" si="16"/>
        <v>7.5755208333333334E-3</v>
      </c>
      <c r="E20" s="12">
        <v>0.58179999999999998</v>
      </c>
      <c r="F20" s="11">
        <f t="shared" si="17"/>
        <v>9.5486111111111108E-4</v>
      </c>
      <c r="G20" s="11">
        <f t="shared" si="18"/>
        <v>1.0100694444444445E-3</v>
      </c>
      <c r="H20" s="11">
        <f t="shared" si="19"/>
        <v>1.0416666666666667E-3</v>
      </c>
      <c r="I20" s="11">
        <f t="shared" si="20"/>
        <v>1.0860961768219832E-3</v>
      </c>
      <c r="J20" s="11">
        <f t="shared" si="21"/>
        <v>1.0979015700483092E-3</v>
      </c>
      <c r="K20" s="11">
        <f t="shared" si="22"/>
        <v>1.1478061868686869E-3</v>
      </c>
      <c r="L20" s="11">
        <f t="shared" si="23"/>
        <v>1.2024636243386244E-3</v>
      </c>
      <c r="M20" s="25">
        <f>WO2025Jan710814161822242830323438404244464854565862646668707274766[[#This Row],[VO2]]/2</f>
        <v>5.0503472222222226E-4</v>
      </c>
      <c r="N20" s="28"/>
      <c r="O20" s="25"/>
      <c r="P20" s="25"/>
      <c r="Q20" s="25"/>
      <c r="R20" s="25"/>
      <c r="S20" s="28"/>
      <c r="T20" s="28"/>
      <c r="U20" s="28"/>
      <c r="V20" s="28"/>
      <c r="W20" s="18" t="s">
        <v>35</v>
      </c>
      <c r="X20" s="52"/>
    </row>
    <row r="21" spans="1:24" ht="21" customHeight="1">
      <c r="A21" s="10" t="s">
        <v>66</v>
      </c>
      <c r="B21" s="11">
        <v>1.3020833333333334E-2</v>
      </c>
      <c r="C21" s="11">
        <v>3.7037037037037038E-3</v>
      </c>
      <c r="D21" s="11">
        <f t="shared" si="16"/>
        <v>7.5755208333333334E-3</v>
      </c>
      <c r="E21" s="12">
        <v>0.58179999999999998</v>
      </c>
      <c r="F21" s="11">
        <f t="shared" si="17"/>
        <v>9.2592592592592596E-4</v>
      </c>
      <c r="G21" s="11">
        <f t="shared" si="18"/>
        <v>1.0100694444444445E-3</v>
      </c>
      <c r="H21" s="11">
        <f t="shared" si="19"/>
        <v>1.0416666666666667E-3</v>
      </c>
      <c r="I21" s="11">
        <f t="shared" si="20"/>
        <v>1.0860961768219832E-3</v>
      </c>
      <c r="J21" s="11">
        <f t="shared" si="21"/>
        <v>1.0979015700483092E-3</v>
      </c>
      <c r="K21" s="11">
        <f t="shared" si="22"/>
        <v>1.1478061868686869E-3</v>
      </c>
      <c r="L21" s="17">
        <f t="shared" si="23"/>
        <v>1.2024636243386244E-3</v>
      </c>
      <c r="M21" s="25">
        <f>WO2025Jan710814161822242830323438404244464854565862646668707274766[[#This Row],[VO2]]/2</f>
        <v>5.0503472222222226E-4</v>
      </c>
      <c r="N21" s="28"/>
      <c r="O21" s="25"/>
      <c r="P21" s="28"/>
      <c r="Q21" s="25"/>
      <c r="R21" s="25"/>
      <c r="S21" s="25"/>
      <c r="T21" s="28"/>
      <c r="U21" s="11"/>
      <c r="V21" s="36"/>
      <c r="W21" s="15" t="s">
        <v>35</v>
      </c>
      <c r="X21" s="50"/>
    </row>
    <row r="22" spans="1:24" ht="21" customHeight="1">
      <c r="A22" s="10" t="s">
        <v>69</v>
      </c>
      <c r="B22" s="11">
        <v>1.3368055555555555E-2</v>
      </c>
      <c r="C22" s="11"/>
      <c r="D22" s="11">
        <f t="shared" si="16"/>
        <v>7.7775347222222213E-3</v>
      </c>
      <c r="E22" s="12">
        <v>0.58179999999999998</v>
      </c>
      <c r="F22" s="11">
        <f t="shared" si="17"/>
        <v>0</v>
      </c>
      <c r="G22" s="11">
        <f t="shared" si="18"/>
        <v>1.0370046296296295E-3</v>
      </c>
      <c r="H22" s="11">
        <f t="shared" si="19"/>
        <v>1.0694444444444445E-3</v>
      </c>
      <c r="I22" s="11">
        <f t="shared" si="20"/>
        <v>1.1150587415372358E-3</v>
      </c>
      <c r="J22" s="11">
        <f t="shared" si="21"/>
        <v>1.1271789452495973E-3</v>
      </c>
      <c r="K22" s="11">
        <f t="shared" si="22"/>
        <v>1.1784143518518517E-3</v>
      </c>
      <c r="L22" s="11">
        <f t="shared" si="23"/>
        <v>1.2345293209876543E-3</v>
      </c>
      <c r="M22" s="25">
        <f>WO2025Jan710814161822242830323438404244464854565862646668707274766[[#This Row],[VO2]]/2</f>
        <v>5.1850231481481474E-4</v>
      </c>
      <c r="N22" s="28"/>
      <c r="O22" s="25"/>
      <c r="P22" s="28"/>
      <c r="Q22" s="25"/>
      <c r="R22" s="25"/>
      <c r="S22" s="25"/>
      <c r="T22" s="28"/>
      <c r="U22" s="11"/>
      <c r="V22" s="36"/>
      <c r="W22" s="15" t="s">
        <v>35</v>
      </c>
      <c r="X22" s="50"/>
    </row>
    <row r="23" spans="1:24" ht="21" customHeight="1">
      <c r="A23" s="10" t="s">
        <v>58</v>
      </c>
      <c r="B23" s="11">
        <v>1.3368055555555555E-2</v>
      </c>
      <c r="C23" s="11">
        <v>4.1087962962962962E-3</v>
      </c>
      <c r="D23" s="11">
        <f t="shared" si="16"/>
        <v>7.7775347222222213E-3</v>
      </c>
      <c r="E23" s="12">
        <v>0.58179999999999998</v>
      </c>
      <c r="F23" s="11">
        <f t="shared" si="17"/>
        <v>1.027199074074074E-3</v>
      </c>
      <c r="G23" s="11">
        <f t="shared" si="18"/>
        <v>1.0370046296296295E-3</v>
      </c>
      <c r="H23" s="11">
        <f t="shared" si="19"/>
        <v>1.0694444444444445E-3</v>
      </c>
      <c r="I23" s="11">
        <f t="shared" si="20"/>
        <v>1.1150587415372358E-3</v>
      </c>
      <c r="J23" s="11">
        <f t="shared" si="21"/>
        <v>1.1271789452495973E-3</v>
      </c>
      <c r="K23" s="11">
        <f t="shared" si="22"/>
        <v>1.1784143518518517E-3</v>
      </c>
      <c r="L23" s="11">
        <f t="shared" si="23"/>
        <v>1.2345293209876543E-3</v>
      </c>
      <c r="M23" s="25">
        <f>WO2025Jan710814161822242830323438404244464854565862646668707274766[[#This Row],[VO2]]/2</f>
        <v>5.1850231481481474E-4</v>
      </c>
      <c r="N23" s="28"/>
      <c r="O23" s="25"/>
      <c r="P23" s="25"/>
      <c r="Q23" s="25"/>
      <c r="R23" s="25"/>
      <c r="S23" s="28"/>
      <c r="T23" s="28"/>
      <c r="U23" s="28"/>
      <c r="V23" s="38"/>
      <c r="W23" s="15" t="s">
        <v>35</v>
      </c>
      <c r="X23" s="50"/>
    </row>
    <row r="24" spans="1:24" ht="21" customHeight="1">
      <c r="A24" s="10" t="s">
        <v>70</v>
      </c>
      <c r="B24" s="11">
        <v>1.3541666666666667E-2</v>
      </c>
      <c r="C24" s="11">
        <v>4.0509259259259257E-3</v>
      </c>
      <c r="D24" s="11">
        <f t="shared" si="16"/>
        <v>7.8785416666666674E-3</v>
      </c>
      <c r="E24" s="12">
        <v>0.58179999999999998</v>
      </c>
      <c r="F24" s="11">
        <f t="shared" si="17"/>
        <v>1.0127314814814814E-3</v>
      </c>
      <c r="G24" s="11">
        <f t="shared" si="18"/>
        <v>1.0504722222222224E-3</v>
      </c>
      <c r="H24" s="11">
        <f t="shared" si="19"/>
        <v>1.0833333333333333E-3</v>
      </c>
      <c r="I24" s="11">
        <f t="shared" si="20"/>
        <v>1.1295400238948627E-3</v>
      </c>
      <c r="J24" s="11">
        <f t="shared" si="21"/>
        <v>1.1418176328502417E-3</v>
      </c>
      <c r="K24" s="11">
        <f t="shared" si="22"/>
        <v>1.1937184343434346E-3</v>
      </c>
      <c r="L24" s="11">
        <f t="shared" si="23"/>
        <v>1.2505621693121695E-3</v>
      </c>
      <c r="M24" s="25">
        <f>WO2025Jan710814161822242830323438404244464854565862646668707274766[[#This Row],[VO2]]/2</f>
        <v>5.2523611111111119E-4</v>
      </c>
      <c r="N24" s="28"/>
      <c r="O24" s="25"/>
      <c r="P24" s="25"/>
      <c r="Q24" s="25"/>
      <c r="R24" s="25"/>
      <c r="S24" s="28"/>
      <c r="T24" s="28"/>
      <c r="U24" s="28"/>
      <c r="V24" s="38"/>
      <c r="W24" s="15" t="s">
        <v>35</v>
      </c>
      <c r="X24" s="50"/>
    </row>
    <row r="25" spans="1:24" ht="21" customHeight="1">
      <c r="A25" s="10" t="s">
        <v>75</v>
      </c>
      <c r="B25" s="11">
        <v>1.3541666666666667E-2</v>
      </c>
      <c r="C25" s="11"/>
      <c r="D25" s="11">
        <f t="shared" si="16"/>
        <v>7.8785416666666674E-3</v>
      </c>
      <c r="E25" s="12">
        <v>0.58179999999999998</v>
      </c>
      <c r="F25" s="11">
        <f t="shared" si="17"/>
        <v>0</v>
      </c>
      <c r="G25" s="11">
        <f t="shared" si="18"/>
        <v>1.0504722222222224E-3</v>
      </c>
      <c r="H25" s="11">
        <f t="shared" si="19"/>
        <v>1.0833333333333333E-3</v>
      </c>
      <c r="I25" s="11">
        <f t="shared" si="20"/>
        <v>1.1295400238948627E-3</v>
      </c>
      <c r="J25" s="11">
        <f t="shared" si="21"/>
        <v>1.1418176328502417E-3</v>
      </c>
      <c r="K25" s="11">
        <f t="shared" si="22"/>
        <v>1.1937184343434346E-3</v>
      </c>
      <c r="L25" s="11">
        <f t="shared" si="23"/>
        <v>1.2505621693121695E-3</v>
      </c>
      <c r="M25" s="25">
        <f>WO2025Jan710814161822242830323438404244464854565862646668707274766[[#This Row],[VO2]]/2</f>
        <v>5.2523611111111119E-4</v>
      </c>
      <c r="N25" s="28"/>
      <c r="O25" s="25"/>
      <c r="P25" s="25"/>
      <c r="Q25" s="25"/>
      <c r="R25" s="25"/>
      <c r="S25" s="25"/>
      <c r="T25" s="25"/>
      <c r="U25" s="25"/>
      <c r="V25" s="11"/>
      <c r="W25" s="15" t="s">
        <v>35</v>
      </c>
      <c r="X25" s="50"/>
    </row>
    <row r="26" spans="1:24" ht="21" customHeight="1">
      <c r="A26" s="10" t="s">
        <v>73</v>
      </c>
      <c r="B26" s="11">
        <v>1.4236111111111111E-2</v>
      </c>
      <c r="C26" s="11">
        <v>4.3981481481481484E-3</v>
      </c>
      <c r="D26" s="11">
        <f t="shared" ref="D26:D27" si="24">B26*E26</f>
        <v>8.2825694444444448E-3</v>
      </c>
      <c r="E26" s="12">
        <v>0.58179999999999998</v>
      </c>
      <c r="F26" s="11">
        <f t="shared" ref="F26:F27" si="25">C26/4</f>
        <v>1.0995370370370371E-3</v>
      </c>
      <c r="G26" s="11">
        <f t="shared" ref="G26:G27" si="26">D26/7.5</f>
        <v>1.1043425925925927E-3</v>
      </c>
      <c r="H26" s="11">
        <f t="shared" ref="H26:H27" si="27">B26/12.5</f>
        <v>1.1388888888888889E-3</v>
      </c>
      <c r="I26" s="11">
        <f t="shared" ref="I26:I27" si="28">G26/0.93</f>
        <v>1.1874651533253684E-3</v>
      </c>
      <c r="J26" s="11">
        <f t="shared" ref="J26:J27" si="29">G26/0.92</f>
        <v>1.2003723832528181E-3</v>
      </c>
      <c r="K26" s="11">
        <f t="shared" ref="K26:K27" si="30">G26/0.88</f>
        <v>1.2549347643097644E-3</v>
      </c>
      <c r="L26" s="11">
        <f t="shared" ref="L26:L27" si="31">G26/0.84</f>
        <v>1.3146935626102295E-3</v>
      </c>
      <c r="M26" s="25">
        <f>WO2025Jan710814161822242830323438404244464854565862646668707274766[[#This Row],[VO2]]/2</f>
        <v>5.5217129629629637E-4</v>
      </c>
      <c r="N26" s="28"/>
      <c r="O26" s="25"/>
      <c r="P26" s="25"/>
      <c r="Q26" s="25"/>
      <c r="R26" s="25"/>
      <c r="S26" s="28"/>
      <c r="T26" s="28"/>
      <c r="U26" s="28"/>
      <c r="V26" s="28"/>
      <c r="W26" s="15" t="s">
        <v>35</v>
      </c>
      <c r="X26" s="50"/>
    </row>
    <row r="27" spans="1:24" ht="21" customHeight="1">
      <c r="A27" s="10" t="s">
        <v>76</v>
      </c>
      <c r="B27" s="11">
        <v>1.4236111111111111E-2</v>
      </c>
      <c r="C27" s="11"/>
      <c r="D27" s="11">
        <f t="shared" si="24"/>
        <v>8.2825694444444448E-3</v>
      </c>
      <c r="E27" s="12">
        <v>0.58179999999999998</v>
      </c>
      <c r="F27" s="11">
        <f t="shared" si="25"/>
        <v>0</v>
      </c>
      <c r="G27" s="11">
        <f t="shared" si="26"/>
        <v>1.1043425925925927E-3</v>
      </c>
      <c r="H27" s="11">
        <f t="shared" si="27"/>
        <v>1.1388888888888889E-3</v>
      </c>
      <c r="I27" s="11">
        <f t="shared" si="28"/>
        <v>1.1874651533253684E-3</v>
      </c>
      <c r="J27" s="11">
        <f t="shared" si="29"/>
        <v>1.2003723832528181E-3</v>
      </c>
      <c r="K27" s="11">
        <f t="shared" si="30"/>
        <v>1.2549347643097644E-3</v>
      </c>
      <c r="L27" s="11">
        <f t="shared" si="31"/>
        <v>1.3146935626102295E-3</v>
      </c>
      <c r="M27" s="25">
        <f>WO2025Jan710814161822242830323438404244464854565862646668707274766[[#This Row],[VO2]]/2</f>
        <v>5.5217129629629637E-4</v>
      </c>
      <c r="N27" s="28"/>
      <c r="O27" s="25"/>
      <c r="P27" s="25"/>
      <c r="Q27" s="25"/>
      <c r="R27" s="25"/>
      <c r="S27" s="28"/>
      <c r="T27" s="28"/>
      <c r="U27" s="28"/>
      <c r="V27" s="28"/>
      <c r="W27" s="15" t="s">
        <v>35</v>
      </c>
      <c r="X27" s="50"/>
    </row>
    <row r="28" spans="1:24" ht="21" customHeight="1">
      <c r="A28" s="10" t="s">
        <v>61</v>
      </c>
      <c r="B28" s="11">
        <v>1.4930555555555556E-2</v>
      </c>
      <c r="C28" s="11">
        <v>4.3981481481481484E-3</v>
      </c>
      <c r="D28" s="11">
        <f>B28*E28</f>
        <v>8.6865972222222223E-3</v>
      </c>
      <c r="E28" s="12">
        <v>0.58179999999999998</v>
      </c>
      <c r="F28" s="11">
        <f>C28/4</f>
        <v>1.0995370370370371E-3</v>
      </c>
      <c r="G28" s="11">
        <f>D28/7.5</f>
        <v>1.1582129629629629E-3</v>
      </c>
      <c r="H28" s="11">
        <f>B28/12.5</f>
        <v>1.1944444444444446E-3</v>
      </c>
      <c r="I28" s="11">
        <f>G28/0.93</f>
        <v>1.2453902827558739E-3</v>
      </c>
      <c r="J28" s="11">
        <f>G28/0.92</f>
        <v>1.2589271336553944E-3</v>
      </c>
      <c r="K28" s="11">
        <f>G28/0.88</f>
        <v>1.3161510942760941E-3</v>
      </c>
      <c r="L28" s="11">
        <f>G28/0.84</f>
        <v>1.3788249559082892E-3</v>
      </c>
      <c r="M28" s="25">
        <f>WO2025Jan710814161822242830323438404244464854565862646668707274766[[#This Row],[VO2]]/2</f>
        <v>5.7910648148148144E-4</v>
      </c>
      <c r="N28" s="28"/>
      <c r="O28" s="25"/>
      <c r="P28" s="25"/>
      <c r="Q28" s="25"/>
      <c r="R28" s="25"/>
      <c r="S28" s="28"/>
      <c r="T28" s="28"/>
      <c r="U28" s="28"/>
      <c r="V28" s="28" t="s">
        <v>352</v>
      </c>
      <c r="W28" s="15" t="s">
        <v>203</v>
      </c>
      <c r="X28" s="50"/>
    </row>
    <row r="29" spans="1:24" ht="21" customHeight="1" thickBot="1">
      <c r="A29" s="10"/>
      <c r="B29" s="11"/>
      <c r="C29" s="11"/>
      <c r="D29" s="11"/>
      <c r="E29" s="12"/>
      <c r="F29" s="11"/>
      <c r="G29" s="11"/>
      <c r="H29" s="11"/>
      <c r="I29" s="11"/>
      <c r="J29" s="11"/>
      <c r="K29" s="11"/>
      <c r="L29" s="11"/>
      <c r="M29" s="25"/>
      <c r="N29" s="28"/>
      <c r="O29" s="25"/>
      <c r="P29" s="28"/>
      <c r="Q29" s="25"/>
      <c r="R29" s="11"/>
      <c r="S29" s="14"/>
      <c r="T29" s="11"/>
      <c r="U29" s="11"/>
      <c r="V29" s="17"/>
      <c r="W29" s="18"/>
      <c r="X29" s="50"/>
    </row>
    <row r="30" spans="1:24" ht="21" customHeight="1">
      <c r="A30" s="1" t="s">
        <v>349</v>
      </c>
      <c r="B30" s="6"/>
      <c r="C30" s="6"/>
      <c r="D30" s="6"/>
      <c r="E30" s="20"/>
      <c r="F30" s="6"/>
      <c r="G30" s="6"/>
      <c r="H30" s="6"/>
      <c r="I30" s="6"/>
      <c r="J30" s="6"/>
      <c r="K30" s="6"/>
      <c r="L30" s="6"/>
      <c r="M30" s="6" t="s">
        <v>16</v>
      </c>
      <c r="N30" s="6"/>
      <c r="O30" s="6"/>
      <c r="P30" s="6"/>
      <c r="Q30" s="6"/>
      <c r="R30" s="6"/>
      <c r="S30" s="6"/>
      <c r="T30" s="6"/>
      <c r="U30" s="6"/>
      <c r="V30" s="21"/>
      <c r="W30" s="35"/>
      <c r="X30" s="50"/>
    </row>
    <row r="31" spans="1:24" ht="21" customHeight="1">
      <c r="A31" s="10" t="s">
        <v>50</v>
      </c>
      <c r="B31" s="11">
        <v>1.3020833333333334E-2</v>
      </c>
      <c r="C31" s="11">
        <v>3.6458333333333334E-3</v>
      </c>
      <c r="D31" s="11">
        <f>B31*E31</f>
        <v>7.5755208333333334E-3</v>
      </c>
      <c r="E31" s="12">
        <v>0.58179999999999998</v>
      </c>
      <c r="F31" s="11">
        <f>C31/4</f>
        <v>9.1145833333333335E-4</v>
      </c>
      <c r="G31" s="11">
        <f>D31/7.5</f>
        <v>1.0100694444444445E-3</v>
      </c>
      <c r="H31" s="11">
        <f>B31/12.5</f>
        <v>1.0416666666666667E-3</v>
      </c>
      <c r="I31" s="11">
        <f>G31/0.93</f>
        <v>1.0860961768219832E-3</v>
      </c>
      <c r="J31" s="11">
        <f>G31/0.92</f>
        <v>1.0979015700483092E-3</v>
      </c>
      <c r="K31" s="11">
        <f>G31/0.88</f>
        <v>1.1478061868686869E-3</v>
      </c>
      <c r="L31" s="11">
        <f>G31/0.84</f>
        <v>1.2024636243386244E-3</v>
      </c>
      <c r="M31" s="25">
        <f>WO2025Jan710814161822242830323438404244464854565862646668707274766[[#This Row],[VO2]]/2</f>
        <v>5.0503472222222226E-4</v>
      </c>
      <c r="N31" s="28"/>
      <c r="O31" s="25"/>
      <c r="P31" s="28"/>
      <c r="Q31" s="25"/>
      <c r="R31" s="25"/>
      <c r="S31" s="25"/>
      <c r="T31" s="28"/>
      <c r="U31" s="11"/>
      <c r="V31" s="36"/>
      <c r="W31" s="15" t="s">
        <v>48</v>
      </c>
      <c r="X31" s="50" t="s">
        <v>353</v>
      </c>
    </row>
    <row r="32" spans="1:24" ht="21" customHeight="1">
      <c r="A32" s="10" t="s">
        <v>74</v>
      </c>
      <c r="B32" s="11">
        <v>1.3020833333333334E-2</v>
      </c>
      <c r="C32" s="11">
        <v>3.7037037037037038E-3</v>
      </c>
      <c r="D32" s="11">
        <f>B32*E32</f>
        <v>7.5755208333333334E-3</v>
      </c>
      <c r="E32" s="12">
        <v>0.58179999999999998</v>
      </c>
      <c r="F32" s="11">
        <f>C32/4</f>
        <v>9.2592592592592596E-4</v>
      </c>
      <c r="G32" s="11">
        <f>D32/7.5</f>
        <v>1.0100694444444445E-3</v>
      </c>
      <c r="H32" s="11">
        <f>B32/12.5</f>
        <v>1.0416666666666667E-3</v>
      </c>
      <c r="I32" s="11">
        <f>G32/0.93</f>
        <v>1.0860961768219832E-3</v>
      </c>
      <c r="J32" s="11">
        <f>G32/0.92</f>
        <v>1.0979015700483092E-3</v>
      </c>
      <c r="K32" s="11">
        <f>G32/0.88</f>
        <v>1.1478061868686869E-3</v>
      </c>
      <c r="L32" s="11">
        <f>G32/0.84</f>
        <v>1.2024636243386244E-3</v>
      </c>
      <c r="M32" s="25">
        <f>WO2025Jan710814161822242830323438404244464854565862646668707274766[[#This Row],[VO2]]/2</f>
        <v>5.0503472222222226E-4</v>
      </c>
      <c r="N32" s="28"/>
      <c r="O32" s="25"/>
      <c r="P32" s="28"/>
      <c r="Q32" s="25"/>
      <c r="R32" s="25"/>
      <c r="S32" s="25"/>
      <c r="T32" s="28"/>
      <c r="U32" s="11"/>
      <c r="V32" s="36"/>
      <c r="W32" s="15" t="s">
        <v>48</v>
      </c>
      <c r="X32" s="50"/>
    </row>
    <row r="33" spans="1:24" ht="21" customHeight="1">
      <c r="A33" s="10" t="s">
        <v>36</v>
      </c>
      <c r="B33" s="11">
        <v>1.3020833333333334E-2</v>
      </c>
      <c r="C33" s="11"/>
      <c r="D33" s="11">
        <f>B33*E33</f>
        <v>7.5755208333333334E-3</v>
      </c>
      <c r="E33" s="12">
        <v>0.58179999999999998</v>
      </c>
      <c r="F33" s="11">
        <f>C33/4</f>
        <v>0</v>
      </c>
      <c r="G33" s="11">
        <f>D33/7.5</f>
        <v>1.0100694444444445E-3</v>
      </c>
      <c r="H33" s="11">
        <f>B33/12.5</f>
        <v>1.0416666666666667E-3</v>
      </c>
      <c r="I33" s="11">
        <f>G33/0.93</f>
        <v>1.0860961768219832E-3</v>
      </c>
      <c r="J33" s="11">
        <f>G33/0.92</f>
        <v>1.0979015700483092E-3</v>
      </c>
      <c r="K33" s="11">
        <f>G33/0.88</f>
        <v>1.1478061868686869E-3</v>
      </c>
      <c r="L33" s="11">
        <f>G33/0.84</f>
        <v>1.2024636243386244E-3</v>
      </c>
      <c r="M33" s="25">
        <f>WO2025Jan710814161822242830323438404244464854565862646668707274766[[#This Row],[VO2]]/2</f>
        <v>5.0503472222222226E-4</v>
      </c>
      <c r="N33" s="28"/>
      <c r="O33" s="25"/>
      <c r="P33" s="28"/>
      <c r="Q33" s="25"/>
      <c r="R33" s="25"/>
      <c r="S33" s="25"/>
      <c r="T33" s="28"/>
      <c r="U33" s="11"/>
      <c r="V33" s="36"/>
      <c r="W33" s="15" t="s">
        <v>48</v>
      </c>
      <c r="X33" s="50"/>
    </row>
    <row r="34" spans="1:24" ht="21" customHeight="1">
      <c r="A34" s="10" t="s">
        <v>47</v>
      </c>
      <c r="B34" s="11">
        <v>1.3194444444444444E-2</v>
      </c>
      <c r="C34" s="11">
        <v>3.7037037037037038E-3</v>
      </c>
      <c r="D34" s="11">
        <f>B34*E34</f>
        <v>7.6765277777777778E-3</v>
      </c>
      <c r="E34" s="12">
        <v>0.58179999999999998</v>
      </c>
      <c r="F34" s="11">
        <f>C34/4</f>
        <v>9.2592592592592596E-4</v>
      </c>
      <c r="G34" s="11">
        <f>D34/7.5</f>
        <v>1.023537037037037E-3</v>
      </c>
      <c r="H34" s="11">
        <f>B34/12.5</f>
        <v>1.0555555555555555E-3</v>
      </c>
      <c r="I34" s="11">
        <f>G34/0.93</f>
        <v>1.1005774591796096E-3</v>
      </c>
      <c r="J34" s="11">
        <f>G34/0.92</f>
        <v>1.1125402576489531E-3</v>
      </c>
      <c r="K34" s="11">
        <f>G34/0.88</f>
        <v>1.1631102693602693E-3</v>
      </c>
      <c r="L34" s="11">
        <f>G34/0.84</f>
        <v>1.2184964726631392E-3</v>
      </c>
      <c r="M34" s="25">
        <f>WO2025Jan710814161822242830323438404244464854565862646668707274766[[#This Row],[VO2]]/2</f>
        <v>5.117685185185185E-4</v>
      </c>
      <c r="N34" s="28"/>
      <c r="O34" s="25"/>
      <c r="P34" s="28"/>
      <c r="Q34" s="25"/>
      <c r="R34" s="25"/>
      <c r="S34" s="25"/>
      <c r="T34" s="28"/>
      <c r="U34" s="11"/>
      <c r="V34" s="36"/>
      <c r="W34" s="15" t="s">
        <v>48</v>
      </c>
      <c r="X34" s="50"/>
    </row>
    <row r="35" spans="1:24" ht="21" customHeight="1">
      <c r="A35" s="10" t="s">
        <v>198</v>
      </c>
      <c r="B35" s="11">
        <v>1.4583333333333334E-2</v>
      </c>
      <c r="C35" s="11">
        <v>4.1666666666666666E-3</v>
      </c>
      <c r="D35" s="11">
        <f>B35*E35</f>
        <v>8.4845833333333336E-3</v>
      </c>
      <c r="E35" s="12">
        <v>0.58179999999999998</v>
      </c>
      <c r="F35" s="11">
        <f>C35/4</f>
        <v>1.0416666666666667E-3</v>
      </c>
      <c r="G35" s="11">
        <f>D35/7.5</f>
        <v>1.1312777777777777E-3</v>
      </c>
      <c r="H35" s="11">
        <f>B35/12.5</f>
        <v>1.1666666666666668E-3</v>
      </c>
      <c r="I35" s="11">
        <f>G35/0.93</f>
        <v>1.2164277180406211E-3</v>
      </c>
      <c r="J35" s="11">
        <f>G35/0.92</f>
        <v>1.2296497584541061E-3</v>
      </c>
      <c r="K35" s="11">
        <f>G35/0.88</f>
        <v>1.2855429292929293E-3</v>
      </c>
      <c r="L35" s="11">
        <f>G35/0.84</f>
        <v>1.3467592592592591E-3</v>
      </c>
      <c r="M35" s="25">
        <f>WO2025Jan710814161822242830323438404244464854565862646668707274766[[#This Row],[VO2]]/2</f>
        <v>5.6563888888888885E-4</v>
      </c>
      <c r="N35" s="28"/>
      <c r="O35" s="25"/>
      <c r="P35" s="28"/>
      <c r="Q35" s="25"/>
      <c r="R35" s="25"/>
      <c r="S35" s="25"/>
      <c r="T35" s="28"/>
      <c r="U35" s="11"/>
      <c r="V35" s="36"/>
      <c r="W35" s="15" t="s">
        <v>48</v>
      </c>
      <c r="X35" s="50"/>
    </row>
    <row r="36" spans="1:24" ht="21" customHeight="1">
      <c r="A36" s="10"/>
      <c r="B36" s="11"/>
      <c r="C36" s="11"/>
      <c r="D36" s="11"/>
      <c r="E36" s="12"/>
      <c r="F36" s="11"/>
      <c r="G36" s="11"/>
      <c r="H36" s="11"/>
      <c r="I36" s="11"/>
      <c r="J36" s="11"/>
      <c r="K36" s="11"/>
      <c r="L36" s="11"/>
      <c r="M36" s="14"/>
      <c r="N36" s="11"/>
      <c r="O36" s="14"/>
      <c r="P36" s="11"/>
      <c r="Q36" s="14"/>
      <c r="R36" s="11"/>
      <c r="S36" s="14"/>
      <c r="T36" s="14"/>
      <c r="U36" s="14"/>
      <c r="V36" s="11"/>
      <c r="W36" s="15"/>
      <c r="X36" s="50"/>
    </row>
    <row r="37" spans="1:24" ht="21" customHeight="1">
      <c r="A37" s="19"/>
      <c r="B37" s="6"/>
      <c r="C37" s="6"/>
      <c r="D37" s="6"/>
      <c r="E37" s="20"/>
      <c r="F37" s="6"/>
      <c r="G37" s="6"/>
      <c r="H37" s="6"/>
      <c r="I37" s="6"/>
      <c r="J37" s="6"/>
      <c r="K37" s="6"/>
      <c r="L37" s="6"/>
      <c r="M37" s="6" t="s">
        <v>12</v>
      </c>
      <c r="N37" s="6" t="s">
        <v>155</v>
      </c>
      <c r="O37" s="6"/>
      <c r="P37" s="6"/>
      <c r="Q37" s="6"/>
      <c r="R37" s="6"/>
      <c r="S37" s="6"/>
      <c r="T37" s="6"/>
      <c r="U37" s="6"/>
      <c r="V37" s="6"/>
      <c r="W37" s="35"/>
      <c r="X37" s="50"/>
    </row>
    <row r="38" spans="1:24" ht="21" customHeight="1">
      <c r="A38" s="10" t="s">
        <v>51</v>
      </c>
      <c r="B38" s="11">
        <v>1.238425925925926E-2</v>
      </c>
      <c r="C38" s="11">
        <v>3.5879629629629629E-3</v>
      </c>
      <c r="D38" s="11">
        <f>B38*E38</f>
        <v>7.2051620370370368E-3</v>
      </c>
      <c r="E38" s="12">
        <v>0.58179999999999998</v>
      </c>
      <c r="F38" s="11">
        <f>C38/4</f>
        <v>8.9699074074074073E-4</v>
      </c>
      <c r="G38" s="11">
        <f>D38/7.5</f>
        <v>9.6068827160493821E-4</v>
      </c>
      <c r="H38" s="11">
        <f>B38/12.5</f>
        <v>9.9074074074074082E-4</v>
      </c>
      <c r="I38" s="11">
        <f>G38/0.93</f>
        <v>1.0329981415106862E-3</v>
      </c>
      <c r="J38" s="11">
        <f>G38/0.92</f>
        <v>1.0442263821792807E-3</v>
      </c>
      <c r="K38" s="11">
        <f>G38/0.88</f>
        <v>1.0916912177328843E-3</v>
      </c>
      <c r="L38" s="11">
        <f>G38/0.84</f>
        <v>1.1436765138154027E-3</v>
      </c>
      <c r="M38" s="25">
        <f>WO2025Jan710814161822242830323438404244464854565862646668707274766[[#This Row],[Thresh]]</f>
        <v>1.0916912177328843E-3</v>
      </c>
      <c r="N38" s="28">
        <f>WO2025Jan710814161822242830323438404244464854565862646668707274766[[#This Row],[Thresh]]*2</f>
        <v>2.1833824354657687E-3</v>
      </c>
      <c r="O38" s="25"/>
      <c r="P38" s="28"/>
      <c r="Q38" s="25"/>
      <c r="R38" s="28"/>
      <c r="S38" s="11"/>
      <c r="T38" s="11"/>
      <c r="U38" s="11"/>
      <c r="V38" s="11"/>
      <c r="W38" s="15" t="s">
        <v>213</v>
      </c>
      <c r="X38" s="50"/>
    </row>
    <row r="39" spans="1:24" ht="21" customHeight="1">
      <c r="A39" s="10" t="s">
        <v>30</v>
      </c>
      <c r="B39" s="11">
        <v>1.2500000000000001E-2</v>
      </c>
      <c r="C39" s="11">
        <v>3.6458333333333334E-3</v>
      </c>
      <c r="D39" s="11">
        <f>B39*E39</f>
        <v>7.2725000000000003E-3</v>
      </c>
      <c r="E39" s="12">
        <v>0.58179999999999998</v>
      </c>
      <c r="F39" s="11">
        <f>C39/4</f>
        <v>9.1145833333333335E-4</v>
      </c>
      <c r="G39" s="11">
        <f>D39/7.5</f>
        <v>9.6966666666666675E-4</v>
      </c>
      <c r="H39" s="11">
        <f>B39/12.5</f>
        <v>1E-3</v>
      </c>
      <c r="I39" s="11">
        <f>G39/0.93</f>
        <v>1.0426523297491039E-3</v>
      </c>
      <c r="J39" s="11">
        <f>G39/0.92</f>
        <v>1.0539855072463768E-3</v>
      </c>
      <c r="K39" s="11">
        <f>G39/0.88</f>
        <v>1.1018939393939394E-3</v>
      </c>
      <c r="L39" s="11">
        <f>G39/0.84</f>
        <v>1.1543650793650795E-3</v>
      </c>
      <c r="M39" s="25">
        <f>WO2025Jan710814161822242830323438404244464854565862646668707274766[[#This Row],[Thresh]]</f>
        <v>1.1018939393939394E-3</v>
      </c>
      <c r="N39" s="28">
        <f>WO2025Jan710814161822242830323438404244464854565862646668707274766[[#This Row],[Thresh]]*2</f>
        <v>2.2037878787878789E-3</v>
      </c>
      <c r="O39" s="28"/>
      <c r="P39" s="28"/>
      <c r="Q39" s="25"/>
      <c r="R39" s="25"/>
      <c r="S39" s="11"/>
      <c r="T39" s="28"/>
      <c r="U39" s="28"/>
      <c r="V39" s="28"/>
      <c r="W39" s="15" t="s">
        <v>213</v>
      </c>
      <c r="X39" s="50"/>
    </row>
    <row r="40" spans="1:24" ht="21" customHeight="1">
      <c r="A40" s="10" t="s">
        <v>53</v>
      </c>
      <c r="B40" s="11">
        <v>1.3020833333333334E-2</v>
      </c>
      <c r="C40" s="11"/>
      <c r="D40" s="11">
        <f>B40*E40</f>
        <v>7.5755208333333334E-3</v>
      </c>
      <c r="E40" s="12">
        <v>0.58179999999999998</v>
      </c>
      <c r="F40" s="11">
        <f>C40/4</f>
        <v>0</v>
      </c>
      <c r="G40" s="11">
        <f>D40/7.5</f>
        <v>1.0100694444444445E-3</v>
      </c>
      <c r="H40" s="11">
        <f>B40/12.5</f>
        <v>1.0416666666666667E-3</v>
      </c>
      <c r="I40" s="11">
        <f>G40/0.93</f>
        <v>1.0860961768219832E-3</v>
      </c>
      <c r="J40" s="11">
        <f>G40/0.92</f>
        <v>1.0979015700483092E-3</v>
      </c>
      <c r="K40" s="11">
        <f>G40/0.88</f>
        <v>1.1478061868686869E-3</v>
      </c>
      <c r="L40" s="11">
        <f>G40/0.84</f>
        <v>1.2024636243386244E-3</v>
      </c>
      <c r="M40" s="25">
        <f>WO2025Jan710814161822242830323438404244464854565862646668707274766[[#This Row],[Thresh]]</f>
        <v>1.1478061868686869E-3</v>
      </c>
      <c r="N40" s="28">
        <f>WO2025Jan710814161822242830323438404244464854565862646668707274766[[#This Row],[Thresh]]*2</f>
        <v>2.2956123737373738E-3</v>
      </c>
      <c r="O40" s="25"/>
      <c r="P40" s="28"/>
      <c r="Q40" s="25"/>
      <c r="R40" s="28"/>
      <c r="S40" s="28"/>
      <c r="T40" s="11"/>
      <c r="U40" s="11"/>
      <c r="V40" s="17"/>
      <c r="W40" s="18" t="s">
        <v>213</v>
      </c>
      <c r="X40" s="50"/>
    </row>
    <row r="41" spans="1:24" ht="21" customHeight="1">
      <c r="A41" s="10" t="s">
        <v>72</v>
      </c>
      <c r="B41" s="11">
        <v>1.3541666666666667E-2</v>
      </c>
      <c r="C41" s="11">
        <v>4.0509259259259257E-3</v>
      </c>
      <c r="D41" s="11">
        <f>B41*E41</f>
        <v>7.8785416666666674E-3</v>
      </c>
      <c r="E41" s="12">
        <v>0.58179999999999998</v>
      </c>
      <c r="F41" s="11">
        <f>C41/4</f>
        <v>1.0127314814814814E-3</v>
      </c>
      <c r="G41" s="11">
        <f>D41/7.5</f>
        <v>1.0504722222222224E-3</v>
      </c>
      <c r="H41" s="11">
        <f>B41/12.5</f>
        <v>1.0833333333333333E-3</v>
      </c>
      <c r="I41" s="11">
        <f>G41/0.93</f>
        <v>1.1295400238948627E-3</v>
      </c>
      <c r="J41" s="11">
        <f>G41/0.92</f>
        <v>1.1418176328502417E-3</v>
      </c>
      <c r="K41" s="11">
        <f>G41/0.88</f>
        <v>1.1937184343434346E-3</v>
      </c>
      <c r="L41" s="11">
        <f>G41/0.84</f>
        <v>1.2505621693121695E-3</v>
      </c>
      <c r="M41" s="25">
        <f>WO2025Jan710814161822242830323438404244464854565862646668707274766[[#This Row],[Thresh]]</f>
        <v>1.1937184343434346E-3</v>
      </c>
      <c r="N41" s="28">
        <f>WO2025Jan710814161822242830323438404244464854565862646668707274766[[#This Row],[Thresh]]*2</f>
        <v>2.3874368686868691E-3</v>
      </c>
      <c r="O41" s="25"/>
      <c r="P41" s="25"/>
      <c r="Q41" s="25"/>
      <c r="R41" s="28"/>
      <c r="S41" s="11"/>
      <c r="T41" s="28"/>
      <c r="U41" s="28"/>
      <c r="V41" s="28"/>
      <c r="W41" s="15" t="s">
        <v>213</v>
      </c>
      <c r="X41" s="50" t="s">
        <v>354</v>
      </c>
    </row>
    <row r="42" spans="1:24" ht="21" customHeight="1">
      <c r="A42" s="10" t="s">
        <v>68</v>
      </c>
      <c r="B42" s="11">
        <v>1.4236111111111111E-2</v>
      </c>
      <c r="C42" s="11"/>
      <c r="D42" s="11">
        <f>B42*E42</f>
        <v>8.2825694444444448E-3</v>
      </c>
      <c r="E42" s="12">
        <v>0.58179999999999998</v>
      </c>
      <c r="F42" s="11">
        <f>C42/4</f>
        <v>0</v>
      </c>
      <c r="G42" s="11">
        <f>D42/7.5</f>
        <v>1.1043425925925927E-3</v>
      </c>
      <c r="H42" s="11">
        <f>B42/12.5</f>
        <v>1.1388888888888889E-3</v>
      </c>
      <c r="I42" s="11">
        <f>G42/0.93</f>
        <v>1.1874651533253684E-3</v>
      </c>
      <c r="J42" s="11">
        <f>G42/0.92</f>
        <v>1.2003723832528181E-3</v>
      </c>
      <c r="K42" s="11">
        <f>G42/0.88</f>
        <v>1.2549347643097644E-3</v>
      </c>
      <c r="L42" s="11">
        <f>G42/0.84</f>
        <v>1.3146935626102295E-3</v>
      </c>
      <c r="M42" s="25">
        <f>WO2025Jan710814161822242830323438404244464854565862646668707274766[[#This Row],[Thresh]]</f>
        <v>1.2549347643097644E-3</v>
      </c>
      <c r="N42" s="28">
        <f>WO2025Jan710814161822242830323438404244464854565862646668707274766[[#This Row],[Thresh]]*2</f>
        <v>2.5098695286195289E-3</v>
      </c>
      <c r="O42" s="25"/>
      <c r="P42" s="28"/>
      <c r="Q42" s="25"/>
      <c r="R42" s="28"/>
      <c r="S42" s="11"/>
      <c r="T42" s="11"/>
      <c r="U42" s="11"/>
      <c r="V42" s="11"/>
      <c r="W42" s="15" t="s">
        <v>213</v>
      </c>
      <c r="X42" s="50"/>
    </row>
    <row r="43" spans="1:24" ht="21" customHeight="1">
      <c r="A43" s="39"/>
      <c r="B43" s="40"/>
      <c r="C43" s="40"/>
      <c r="D43" s="40"/>
      <c r="E43" s="41"/>
      <c r="F43" s="40"/>
      <c r="G43" s="40"/>
      <c r="H43" s="40"/>
      <c r="I43" s="40"/>
      <c r="J43" s="40"/>
      <c r="K43" s="40"/>
      <c r="L43" s="40"/>
      <c r="M43" s="40"/>
      <c r="N43" s="40"/>
      <c r="O43" s="40"/>
      <c r="P43" s="40"/>
      <c r="Q43" s="40"/>
      <c r="R43" s="40"/>
      <c r="S43" s="40"/>
      <c r="T43" s="40"/>
      <c r="U43" s="40"/>
      <c r="V43" s="40"/>
      <c r="W43" s="42"/>
      <c r="X43" s="50"/>
    </row>
    <row r="44" spans="1:24" ht="21" customHeight="1">
      <c r="A44" s="19"/>
      <c r="B44" s="6"/>
      <c r="C44" s="6"/>
      <c r="D44" s="6"/>
      <c r="E44" s="20"/>
      <c r="F44" s="6"/>
      <c r="G44" s="6"/>
      <c r="H44" s="6"/>
      <c r="I44" s="6"/>
      <c r="J44" s="6"/>
      <c r="K44" s="6"/>
      <c r="L44" s="6"/>
      <c r="M44" s="6"/>
      <c r="N44" s="6"/>
      <c r="O44" s="6"/>
      <c r="P44" s="6"/>
      <c r="Q44" s="6"/>
      <c r="R44" s="6"/>
      <c r="S44" s="6"/>
      <c r="T44" s="6"/>
      <c r="U44" s="6"/>
      <c r="V44" s="6"/>
      <c r="W44" s="35"/>
      <c r="X44" s="50"/>
    </row>
    <row r="45" spans="1:24" ht="21" customHeight="1">
      <c r="A45" s="10" t="s">
        <v>57</v>
      </c>
      <c r="B45" s="11"/>
      <c r="C45" s="11"/>
      <c r="D45" s="11"/>
      <c r="E45" s="12"/>
      <c r="F45" s="11"/>
      <c r="G45" s="11"/>
      <c r="H45" s="11"/>
      <c r="I45" s="11"/>
      <c r="J45" s="11"/>
      <c r="K45" s="11"/>
      <c r="L45" s="11"/>
      <c r="M45" s="25"/>
      <c r="N45" s="28"/>
      <c r="O45" s="25"/>
      <c r="P45" s="28"/>
      <c r="Q45" s="25"/>
      <c r="R45" s="28"/>
      <c r="S45" s="28"/>
      <c r="T45" s="11"/>
      <c r="U45" s="11"/>
      <c r="V45" s="11"/>
      <c r="W45" s="15" t="s">
        <v>52</v>
      </c>
      <c r="X45" s="50"/>
    </row>
    <row r="46" spans="1:24" ht="21" customHeight="1">
      <c r="A46" s="10" t="s">
        <v>164</v>
      </c>
      <c r="B46" s="11">
        <v>1.1342592592592593E-2</v>
      </c>
      <c r="C46" s="11">
        <v>3.2407407407407406E-3</v>
      </c>
      <c r="D46" s="11">
        <f>B46*E46</f>
        <v>6.5991203703703706E-3</v>
      </c>
      <c r="E46" s="12">
        <v>0.58179999999999998</v>
      </c>
      <c r="F46" s="11">
        <f>C46/4</f>
        <v>8.1018518518518516E-4</v>
      </c>
      <c r="G46" s="11">
        <f>D46/7.5</f>
        <v>8.7988271604938278E-4</v>
      </c>
      <c r="H46" s="11">
        <f>B46/12.5</f>
        <v>9.0740740740740745E-4</v>
      </c>
      <c r="I46" s="11">
        <f>G46/0.93</f>
        <v>9.4611044736492766E-4</v>
      </c>
      <c r="J46" s="11">
        <f>G46/0.92</f>
        <v>9.5639425657541603E-4</v>
      </c>
      <c r="K46" s="11">
        <f>G46/0.88</f>
        <v>9.9986672278338943E-4</v>
      </c>
      <c r="L46" s="11">
        <f>G46/0.84</f>
        <v>1.0474794238683129E-3</v>
      </c>
      <c r="M46" s="25"/>
      <c r="N46" s="28"/>
      <c r="O46" s="25"/>
      <c r="P46" s="28"/>
      <c r="Q46" s="28"/>
      <c r="R46" s="11"/>
      <c r="S46" s="14"/>
      <c r="T46" s="14"/>
      <c r="U46" s="26"/>
      <c r="V46" s="28"/>
      <c r="W46" s="27" t="s">
        <v>52</v>
      </c>
      <c r="X46" s="50"/>
    </row>
    <row r="47" spans="1:24" ht="21" customHeight="1">
      <c r="A47" s="10" t="s">
        <v>108</v>
      </c>
      <c r="B47" s="11">
        <v>1.0763888888888891E-2</v>
      </c>
      <c r="C47" s="11">
        <v>3.0671296296296297E-3</v>
      </c>
      <c r="D47" s="11">
        <f>B47*E47</f>
        <v>6.2624305555555567E-3</v>
      </c>
      <c r="E47" s="12">
        <v>0.58179999999999998</v>
      </c>
      <c r="F47" s="11">
        <f>C47/4</f>
        <v>7.6678240740740743E-4</v>
      </c>
      <c r="G47" s="11">
        <f>D47/7.5</f>
        <v>8.3499074074074085E-4</v>
      </c>
      <c r="H47" s="11">
        <f>B47/12.5</f>
        <v>8.6111111111111121E-4</v>
      </c>
      <c r="I47" s="11">
        <f>G47/0.93</f>
        <v>8.9783950617283953E-4</v>
      </c>
      <c r="J47" s="11">
        <f>G47/0.92</f>
        <v>9.0759863123993567E-4</v>
      </c>
      <c r="K47" s="11">
        <f>G47/0.88</f>
        <v>9.4885311447811464E-4</v>
      </c>
      <c r="L47" s="11">
        <f>G47/0.84</f>
        <v>9.9403659611992969E-4</v>
      </c>
      <c r="M47" s="25"/>
      <c r="N47" s="28"/>
      <c r="O47" s="25"/>
      <c r="P47" s="28"/>
      <c r="Q47" s="25"/>
      <c r="R47" s="28"/>
      <c r="S47" s="25"/>
      <c r="T47" s="25"/>
      <c r="U47" s="28"/>
      <c r="V47" s="28"/>
      <c r="W47" s="15" t="s">
        <v>52</v>
      </c>
      <c r="X47" s="50"/>
    </row>
    <row r="48" spans="1:24" ht="21" customHeight="1">
      <c r="A48" s="10" t="s">
        <v>105</v>
      </c>
      <c r="B48" s="11">
        <v>1.0648148148148148E-2</v>
      </c>
      <c r="C48" s="11">
        <v>2.9745370370370373E-3</v>
      </c>
      <c r="D48" s="11">
        <f>B48*E48</f>
        <v>6.1950925925925923E-3</v>
      </c>
      <c r="E48" s="12">
        <v>0.58179999999999998</v>
      </c>
      <c r="F48" s="11">
        <f>C48/4</f>
        <v>7.4363425925925931E-4</v>
      </c>
      <c r="G48" s="11">
        <f>D48/7.5</f>
        <v>8.2601234567901232E-4</v>
      </c>
      <c r="H48" s="11">
        <f>B48/12.5</f>
        <v>8.5185185185185179E-4</v>
      </c>
      <c r="I48" s="11">
        <f>G48/0.93</f>
        <v>8.8818531793442184E-4</v>
      </c>
      <c r="J48" s="11">
        <f>G48/0.92</f>
        <v>8.9783950617283942E-4</v>
      </c>
      <c r="K48" s="11">
        <f>G48/0.88</f>
        <v>9.3865039281705945E-4</v>
      </c>
      <c r="L48" s="11">
        <f>G48/0.84</f>
        <v>9.833480305702527E-4</v>
      </c>
      <c r="M48" s="37"/>
      <c r="N48" s="28"/>
      <c r="O48" s="25"/>
      <c r="P48" s="25"/>
      <c r="Q48" s="25"/>
      <c r="R48" s="25"/>
      <c r="S48" s="25"/>
      <c r="T48" s="25"/>
      <c r="U48" s="28"/>
      <c r="V48" s="25"/>
      <c r="W48" s="15" t="s">
        <v>52</v>
      </c>
      <c r="X48" s="50"/>
    </row>
    <row r="49" spans="1:24" ht="21" customHeight="1">
      <c r="A49" s="10"/>
      <c r="B49" s="11"/>
      <c r="C49" s="11"/>
      <c r="D49" s="11"/>
      <c r="E49" s="12"/>
      <c r="F49" s="11"/>
      <c r="G49" s="11"/>
      <c r="H49" s="11"/>
      <c r="I49" s="11"/>
      <c r="J49" s="11"/>
      <c r="K49" s="11"/>
      <c r="L49" s="17"/>
      <c r="M49" s="14"/>
      <c r="N49" s="11"/>
      <c r="O49" s="11"/>
      <c r="P49" s="11"/>
      <c r="Q49" s="14"/>
      <c r="R49" s="11"/>
      <c r="S49" s="14"/>
      <c r="T49" s="11"/>
      <c r="U49" s="11"/>
      <c r="V49" s="11"/>
      <c r="W49" s="15"/>
      <c r="X49" s="50"/>
    </row>
    <row r="50" spans="1:24" ht="21" customHeight="1">
      <c r="A50" s="10"/>
      <c r="B50" s="11"/>
      <c r="C50" s="11"/>
      <c r="D50" s="11"/>
      <c r="E50" s="12"/>
      <c r="F50" s="11"/>
      <c r="G50" s="11"/>
      <c r="H50" s="11"/>
      <c r="I50" s="11"/>
      <c r="J50" s="11"/>
      <c r="K50" s="11"/>
      <c r="L50" s="11"/>
      <c r="M50" s="13"/>
      <c r="N50" s="11"/>
      <c r="O50" s="11"/>
      <c r="P50" s="11"/>
      <c r="Q50" s="14"/>
      <c r="R50" s="11"/>
      <c r="S50" s="14"/>
      <c r="T50" s="14"/>
      <c r="U50" s="14"/>
      <c r="V50" s="17"/>
      <c r="W50" s="18"/>
      <c r="X50" s="50"/>
    </row>
    <row r="51" spans="1:24" ht="21" customHeight="1">
      <c r="A51" s="10"/>
      <c r="B51" s="11"/>
      <c r="C51" s="11"/>
      <c r="D51" s="11"/>
      <c r="E51" s="12"/>
      <c r="F51" s="11"/>
      <c r="G51" s="11"/>
      <c r="H51" s="11"/>
      <c r="I51" s="11"/>
      <c r="J51" s="11"/>
      <c r="K51" s="11"/>
      <c r="L51" s="11"/>
      <c r="M51" s="13"/>
      <c r="N51" s="11"/>
      <c r="O51" s="11"/>
      <c r="P51" s="11"/>
      <c r="Q51" s="14"/>
      <c r="R51" s="11"/>
      <c r="S51" s="14"/>
      <c r="T51" s="14"/>
      <c r="U51" s="14"/>
      <c r="V51" s="17"/>
      <c r="W51" s="18"/>
      <c r="X51" s="52" t="s">
        <v>355</v>
      </c>
    </row>
    <row r="52" spans="1:24" ht="21" customHeight="1">
      <c r="A52" s="10"/>
      <c r="B52" s="11"/>
      <c r="C52" s="11"/>
      <c r="D52" s="11"/>
      <c r="E52" s="12"/>
      <c r="F52" s="11"/>
      <c r="G52" s="11"/>
      <c r="H52" s="11"/>
      <c r="I52" s="11"/>
      <c r="J52" s="11"/>
      <c r="K52" s="11"/>
      <c r="L52" s="11"/>
      <c r="M52" s="13"/>
      <c r="N52" s="11"/>
      <c r="O52" s="11"/>
      <c r="P52" s="11"/>
      <c r="Q52" s="14"/>
      <c r="R52" s="11"/>
      <c r="S52" s="14"/>
      <c r="T52" s="14"/>
      <c r="U52" s="14"/>
      <c r="V52" s="17"/>
      <c r="W52" s="18"/>
      <c r="X52" s="52"/>
    </row>
    <row r="53" spans="1:24" ht="21" customHeight="1">
      <c r="A53" s="10"/>
      <c r="B53" s="11"/>
      <c r="C53" s="11"/>
      <c r="D53" s="11"/>
      <c r="E53" s="12"/>
      <c r="F53" s="11"/>
      <c r="G53" s="11"/>
      <c r="H53" s="11"/>
      <c r="I53" s="11"/>
      <c r="J53" s="11"/>
      <c r="K53" s="11"/>
      <c r="L53" s="11"/>
      <c r="M53" s="13"/>
      <c r="N53" s="11"/>
      <c r="O53" s="11"/>
      <c r="P53" s="11"/>
      <c r="Q53" s="14"/>
      <c r="R53" s="11"/>
      <c r="S53" s="14"/>
      <c r="T53" s="14"/>
      <c r="U53" s="14"/>
      <c r="V53" s="17"/>
      <c r="W53" s="18"/>
      <c r="X53" s="52"/>
    </row>
    <row r="54" spans="1:24" ht="21" customHeight="1">
      <c r="A54" s="10"/>
      <c r="B54" s="11"/>
      <c r="C54" s="11"/>
      <c r="D54" s="11"/>
      <c r="E54" s="12"/>
      <c r="F54" s="11"/>
      <c r="G54" s="11"/>
      <c r="H54" s="11"/>
      <c r="I54" s="11"/>
      <c r="J54" s="11"/>
      <c r="K54" s="11"/>
      <c r="L54" s="11"/>
      <c r="M54" s="13"/>
      <c r="N54" s="11"/>
      <c r="O54" s="11"/>
      <c r="P54" s="11"/>
      <c r="Q54" s="14"/>
      <c r="R54" s="11"/>
      <c r="S54" s="14"/>
      <c r="T54" s="14"/>
      <c r="U54" s="14"/>
      <c r="V54" s="17"/>
      <c r="W54" s="18"/>
      <c r="X54" s="52"/>
    </row>
    <row r="55" spans="1:24" ht="21" customHeight="1">
      <c r="A55" s="10"/>
      <c r="B55" s="11"/>
      <c r="C55" s="11"/>
      <c r="D55" s="11"/>
      <c r="E55" s="12"/>
      <c r="F55" s="11"/>
      <c r="G55" s="11"/>
      <c r="H55" s="11"/>
      <c r="I55" s="11"/>
      <c r="J55" s="11"/>
      <c r="K55" s="11"/>
      <c r="L55" s="11"/>
      <c r="M55" s="13"/>
      <c r="N55" s="11"/>
      <c r="O55" s="14"/>
      <c r="P55" s="11"/>
      <c r="Q55" s="14"/>
      <c r="R55" s="11"/>
      <c r="S55" s="14"/>
      <c r="T55" s="14"/>
      <c r="U55" s="14"/>
      <c r="V55" s="11"/>
      <c r="W55" s="18"/>
      <c r="X55" s="52"/>
    </row>
    <row r="56" spans="1:24" ht="21" customHeight="1">
      <c r="A56" s="10"/>
      <c r="B56" s="11"/>
      <c r="C56" s="11"/>
      <c r="D56" s="11"/>
      <c r="E56" s="12"/>
      <c r="F56" s="11"/>
      <c r="G56" s="11"/>
      <c r="H56" s="11"/>
      <c r="I56" s="11"/>
      <c r="J56" s="11"/>
      <c r="K56" s="11"/>
      <c r="L56" s="11"/>
      <c r="M56" s="13"/>
      <c r="N56" s="11"/>
      <c r="O56" s="11"/>
      <c r="P56" s="11"/>
      <c r="Q56" s="14"/>
      <c r="R56" s="11"/>
      <c r="S56" s="14"/>
      <c r="T56" s="14"/>
      <c r="U56" s="14"/>
      <c r="V56" s="17"/>
      <c r="W56" s="18"/>
      <c r="X56" s="52"/>
    </row>
    <row r="57" spans="1:24" ht="21" customHeight="1" thickBot="1">
      <c r="A57" s="10"/>
      <c r="B57" s="11"/>
      <c r="C57" s="11"/>
      <c r="D57" s="11"/>
      <c r="E57" s="12"/>
      <c r="F57" s="11"/>
      <c r="G57" s="11"/>
      <c r="H57" s="11"/>
      <c r="I57" s="11"/>
      <c r="J57" s="11"/>
      <c r="K57" s="11"/>
      <c r="L57" s="11"/>
      <c r="M57" s="13"/>
      <c r="N57" s="11"/>
      <c r="O57" s="11"/>
      <c r="P57" s="11"/>
      <c r="Q57" s="14"/>
      <c r="R57" s="11"/>
      <c r="S57" s="14"/>
      <c r="T57" s="14"/>
      <c r="U57" s="14"/>
      <c r="V57" s="17"/>
      <c r="W57" s="18"/>
      <c r="X57" s="52"/>
    </row>
    <row r="58" spans="1:24" ht="20.45" customHeight="1">
      <c r="A58" s="1" t="s">
        <v>349</v>
      </c>
      <c r="B58" s="2" t="s">
        <v>1</v>
      </c>
      <c r="C58" s="2" t="s">
        <v>2</v>
      </c>
      <c r="D58" s="2" t="s">
        <v>3</v>
      </c>
      <c r="E58" s="3" t="s">
        <v>4</v>
      </c>
      <c r="F58" s="2" t="s">
        <v>5</v>
      </c>
      <c r="G58" s="2" t="s">
        <v>6</v>
      </c>
      <c r="H58" s="2" t="s">
        <v>7</v>
      </c>
      <c r="I58" s="4" t="s">
        <v>8</v>
      </c>
      <c r="J58" s="2" t="s">
        <v>9</v>
      </c>
      <c r="K58" s="2" t="s">
        <v>10</v>
      </c>
      <c r="L58" s="2" t="s">
        <v>11</v>
      </c>
      <c r="M58" s="5" t="s">
        <v>12</v>
      </c>
      <c r="N58" s="6" t="s">
        <v>145</v>
      </c>
      <c r="O58" s="7" t="s">
        <v>208</v>
      </c>
      <c r="P58" s="8" t="s">
        <v>209</v>
      </c>
      <c r="Q58" s="8" t="s">
        <v>147</v>
      </c>
      <c r="R58" s="7" t="s">
        <v>148</v>
      </c>
      <c r="S58" s="7" t="s">
        <v>149</v>
      </c>
      <c r="T58" s="7" t="s">
        <v>77</v>
      </c>
      <c r="U58" s="8" t="s">
        <v>20</v>
      </c>
      <c r="V58" s="8" t="s">
        <v>21</v>
      </c>
      <c r="W58" s="24" t="s">
        <v>22</v>
      </c>
      <c r="X58" s="52" t="s">
        <v>356</v>
      </c>
    </row>
    <row r="59" spans="1:24" ht="20.45" customHeight="1">
      <c r="A59" s="10" t="s">
        <v>79</v>
      </c>
      <c r="B59" s="11">
        <v>9.8379629629629633E-3</v>
      </c>
      <c r="C59" s="11">
        <v>2.9745370370370373E-3</v>
      </c>
      <c r="D59" s="11">
        <f>B59*E59</f>
        <v>5.7237268518518522E-3</v>
      </c>
      <c r="E59" s="12">
        <v>0.58179999999999998</v>
      </c>
      <c r="F59" s="11">
        <f>C59/4</f>
        <v>7.4363425925925931E-4</v>
      </c>
      <c r="G59" s="11">
        <f>D59/7.5</f>
        <v>7.6316358024691364E-4</v>
      </c>
      <c r="H59" s="11">
        <f>B59/12.5</f>
        <v>7.8703703703703705E-4</v>
      </c>
      <c r="I59" s="11">
        <f>G59/0.93</f>
        <v>8.2060600026549854E-4</v>
      </c>
      <c r="J59" s="11">
        <f>G59/0.92</f>
        <v>8.29525630703167E-4</v>
      </c>
      <c r="K59" s="11">
        <f>G59/0.88</f>
        <v>8.6723134118967459E-4</v>
      </c>
      <c r="L59" s="11">
        <f>G59/0.84</f>
        <v>9.085280717225163E-4</v>
      </c>
      <c r="M59" s="25">
        <f>WO2025Jan7men11915171923252931333539414345474955575963656769717375777[[#This Row],[Thresh]]</f>
        <v>8.6723134118967459E-4</v>
      </c>
      <c r="N59" s="28">
        <f>WO2025Jan7men11915171923252931333539414345474955575963656769717375777[[#This Row],[Thresh]]*1.5</f>
        <v>1.3008470117845119E-3</v>
      </c>
      <c r="O59" s="25"/>
      <c r="P59" s="25"/>
      <c r="Q59" s="25"/>
      <c r="R59" s="28"/>
      <c r="S59" s="25"/>
      <c r="T59" s="25"/>
      <c r="U59" s="28"/>
      <c r="V59" s="25"/>
      <c r="W59" s="15" t="s">
        <v>26</v>
      </c>
      <c r="X59" s="52"/>
    </row>
    <row r="60" spans="1:24" ht="20.45" customHeight="1">
      <c r="A60" s="10" t="s">
        <v>109</v>
      </c>
      <c r="B60" s="11">
        <v>9.8379629629629633E-3</v>
      </c>
      <c r="C60" s="11">
        <v>2.9745370370370373E-3</v>
      </c>
      <c r="D60" s="11">
        <f>B60*E60</f>
        <v>5.7237268518518522E-3</v>
      </c>
      <c r="E60" s="12">
        <v>0.58179999999999998</v>
      </c>
      <c r="F60" s="11">
        <f>C60/4</f>
        <v>7.4363425925925931E-4</v>
      </c>
      <c r="G60" s="11">
        <f>D60/7.5</f>
        <v>7.6316358024691364E-4</v>
      </c>
      <c r="H60" s="11">
        <f>B60/12.5</f>
        <v>7.8703703703703705E-4</v>
      </c>
      <c r="I60" s="11">
        <f>G60/0.93</f>
        <v>8.2060600026549854E-4</v>
      </c>
      <c r="J60" s="11">
        <f>G60/0.92</f>
        <v>8.29525630703167E-4</v>
      </c>
      <c r="K60" s="11">
        <f>G60/0.88</f>
        <v>8.6723134118967459E-4</v>
      </c>
      <c r="L60" s="11">
        <f>G60/0.84</f>
        <v>9.085280717225163E-4</v>
      </c>
      <c r="M60" s="25">
        <f>WO2025Jan7men11915171923252931333539414345474955575963656769717375777[[#This Row],[Thresh]]</f>
        <v>8.6723134118967459E-4</v>
      </c>
      <c r="N60" s="28">
        <f>WO2025Jan7men11915171923252931333539414345474955575963656769717375777[[#This Row],[Thresh]]*1.5</f>
        <v>1.3008470117845119E-3</v>
      </c>
      <c r="O60" s="25"/>
      <c r="P60" s="25"/>
      <c r="Q60" s="25"/>
      <c r="R60" s="28"/>
      <c r="S60" s="25"/>
      <c r="T60" s="25"/>
      <c r="U60" s="28"/>
      <c r="V60" s="25"/>
      <c r="W60" s="15" t="s">
        <v>26</v>
      </c>
      <c r="X60" s="52"/>
    </row>
    <row r="61" spans="1:24" ht="20.45" customHeight="1">
      <c r="A61" s="10" t="s">
        <v>81</v>
      </c>
      <c r="B61" s="11">
        <v>9.9537037037037042E-3</v>
      </c>
      <c r="C61" s="11">
        <v>2.9745370370370373E-3</v>
      </c>
      <c r="D61" s="11">
        <f>B61*E61</f>
        <v>5.7910648148148149E-3</v>
      </c>
      <c r="E61" s="12">
        <v>0.58179999999999998</v>
      </c>
      <c r="F61" s="11">
        <f>C61/4</f>
        <v>7.4363425925925931E-4</v>
      </c>
      <c r="G61" s="11">
        <f>D61/7.5</f>
        <v>7.7214197530864196E-4</v>
      </c>
      <c r="H61" s="11">
        <f>B61/12.5</f>
        <v>7.9629629629629636E-4</v>
      </c>
      <c r="I61" s="11">
        <f>G61/0.93</f>
        <v>8.3026018850391602E-4</v>
      </c>
      <c r="J61" s="11">
        <f>G61/0.92</f>
        <v>8.3928475577026292E-4</v>
      </c>
      <c r="K61" s="11">
        <f>G61/0.88</f>
        <v>8.7743406285072947E-4</v>
      </c>
      <c r="L61" s="11">
        <f>G61/0.84</f>
        <v>9.1921663727219285E-4</v>
      </c>
      <c r="M61" s="25">
        <f>WO2025Jan7men11915171923252931333539414345474955575963656769717375777[[#This Row],[Thresh]]</f>
        <v>8.7743406285072947E-4</v>
      </c>
      <c r="N61" s="28">
        <f>WO2025Jan7men11915171923252931333539414345474955575963656769717375777[[#This Row],[Thresh]]*1.5</f>
        <v>1.3161510942760941E-3</v>
      </c>
      <c r="O61" s="25"/>
      <c r="P61" s="25"/>
      <c r="Q61" s="25"/>
      <c r="R61" s="28"/>
      <c r="S61" s="25"/>
      <c r="T61" s="25"/>
      <c r="U61" s="28"/>
      <c r="V61" s="25"/>
      <c r="W61" s="15" t="s">
        <v>26</v>
      </c>
      <c r="X61" s="52"/>
    </row>
    <row r="62" spans="1:24" ht="20.45" customHeight="1">
      <c r="A62" s="10" t="s">
        <v>84</v>
      </c>
      <c r="B62" s="11">
        <v>1.0069444444444445E-2</v>
      </c>
      <c r="C62" s="11">
        <v>3.0092592592592593E-3</v>
      </c>
      <c r="D62" s="11">
        <f t="shared" ref="D62:D74" si="32">B62*E62</f>
        <v>5.8584027777777783E-3</v>
      </c>
      <c r="E62" s="12">
        <v>0.58179999999999998</v>
      </c>
      <c r="F62" s="11">
        <f t="shared" ref="F62:F74" si="33">C62/4</f>
        <v>7.5231481481481482E-4</v>
      </c>
      <c r="G62" s="11">
        <f t="shared" ref="G62:G74" si="34">D62/7.5</f>
        <v>7.811203703703705E-4</v>
      </c>
      <c r="H62" s="11">
        <f t="shared" ref="H62:H74" si="35">B62/12.5</f>
        <v>8.0555555555555556E-4</v>
      </c>
      <c r="I62" s="11">
        <f t="shared" ref="I62:I74" si="36">G62/0.93</f>
        <v>8.3991437674233382E-4</v>
      </c>
      <c r="J62" s="11">
        <f t="shared" ref="J62:J74" si="37">G62/0.92</f>
        <v>8.4904388083735917E-4</v>
      </c>
      <c r="K62" s="11">
        <f t="shared" ref="K62:K74" si="38">G62/0.88</f>
        <v>8.8763678451178466E-4</v>
      </c>
      <c r="L62" s="11">
        <f t="shared" ref="L62:L74" si="39">G62/0.84</f>
        <v>9.2990520282186973E-4</v>
      </c>
      <c r="M62" s="25">
        <f>WO2025Jan7men11915171923252931333539414345474955575963656769717375777[[#This Row],[Thresh]]</f>
        <v>8.8763678451178466E-4</v>
      </c>
      <c r="N62" s="28">
        <f>WO2025Jan7men11915171923252931333539414345474955575963656769717375777[[#This Row],[Thresh]]*1.5</f>
        <v>1.3314551767676769E-3</v>
      </c>
      <c r="O62" s="25"/>
      <c r="P62" s="25"/>
      <c r="Q62" s="25"/>
      <c r="R62" s="25"/>
      <c r="S62" s="25"/>
      <c r="T62" s="25"/>
      <c r="U62" s="28"/>
      <c r="V62" s="25"/>
      <c r="W62" s="15" t="s">
        <v>26</v>
      </c>
      <c r="X62" s="52"/>
    </row>
    <row r="63" spans="1:24" ht="20.45" customHeight="1">
      <c r="A63" s="10" t="s">
        <v>83</v>
      </c>
      <c r="B63" s="11">
        <v>1.0243055555555556E-2</v>
      </c>
      <c r="C63" s="11">
        <v>3.0671296296296297E-3</v>
      </c>
      <c r="D63" s="11">
        <f t="shared" si="32"/>
        <v>5.9594097222222218E-3</v>
      </c>
      <c r="E63" s="12">
        <v>0.58179999999999998</v>
      </c>
      <c r="F63" s="11">
        <f t="shared" si="33"/>
        <v>7.6678240740740743E-4</v>
      </c>
      <c r="G63" s="11">
        <f t="shared" si="34"/>
        <v>7.9458796296296287E-4</v>
      </c>
      <c r="H63" s="11">
        <f t="shared" si="35"/>
        <v>8.1944444444444447E-4</v>
      </c>
      <c r="I63" s="11">
        <f t="shared" si="36"/>
        <v>8.5439565909996003E-4</v>
      </c>
      <c r="J63" s="11">
        <f t="shared" si="37"/>
        <v>8.636825684380031E-4</v>
      </c>
      <c r="K63" s="11">
        <f t="shared" si="38"/>
        <v>9.0294086700336686E-4</v>
      </c>
      <c r="L63" s="11">
        <f t="shared" si="39"/>
        <v>9.4593805114638445E-4</v>
      </c>
      <c r="M63" s="25">
        <f>WO2025Jan7men11915171923252931333539414345474955575963656769717375777[[#This Row],[Thresh]]</f>
        <v>9.0294086700336686E-4</v>
      </c>
      <c r="N63" s="28">
        <f>WO2025Jan7men11915171923252931333539414345474955575963656769717375777[[#This Row],[Thresh]]*1.5</f>
        <v>1.3544113005050503E-3</v>
      </c>
      <c r="O63" s="25"/>
      <c r="P63" s="25"/>
      <c r="Q63" s="25"/>
      <c r="R63" s="28"/>
      <c r="S63" s="25"/>
      <c r="T63" s="25"/>
      <c r="U63" s="28"/>
      <c r="V63" s="28"/>
      <c r="W63" s="15" t="s">
        <v>26</v>
      </c>
      <c r="X63" s="52"/>
    </row>
    <row r="64" spans="1:24" ht="20.45" customHeight="1">
      <c r="A64" s="10" t="s">
        <v>112</v>
      </c>
      <c r="B64" s="11">
        <v>1.0243055555555556E-2</v>
      </c>
      <c r="C64" s="11">
        <v>2.8587962962962963E-3</v>
      </c>
      <c r="D64" s="11">
        <f t="shared" ref="D64:D69" si="40">B64*E64</f>
        <v>5.9594097222222218E-3</v>
      </c>
      <c r="E64" s="12">
        <v>0.58179999999999998</v>
      </c>
      <c r="F64" s="11">
        <f t="shared" ref="F64:F69" si="41">C64/4</f>
        <v>7.1469907407407409E-4</v>
      </c>
      <c r="G64" s="11">
        <f t="shared" ref="G64:G69" si="42">D64/7.5</f>
        <v>7.9458796296296287E-4</v>
      </c>
      <c r="H64" s="11">
        <f t="shared" ref="H64:H69" si="43">B64/12.5</f>
        <v>8.1944444444444447E-4</v>
      </c>
      <c r="I64" s="11">
        <f t="shared" ref="I64:I69" si="44">G64/0.93</f>
        <v>8.5439565909996003E-4</v>
      </c>
      <c r="J64" s="11">
        <f t="shared" ref="J64:J69" si="45">G64/0.92</f>
        <v>8.636825684380031E-4</v>
      </c>
      <c r="K64" s="11">
        <f t="shared" ref="K64:K69" si="46">G64/0.88</f>
        <v>9.0294086700336686E-4</v>
      </c>
      <c r="L64" s="11">
        <f t="shared" ref="L64:L69" si="47">G64/0.84</f>
        <v>9.4593805114638445E-4</v>
      </c>
      <c r="M64" s="25">
        <f>WO2025Jan7men11915171923252931333539414345474955575963656769717375777[[#This Row],[Thresh]]</f>
        <v>9.0294086700336686E-4</v>
      </c>
      <c r="N64" s="28">
        <f>WO2025Jan7men11915171923252931333539414345474955575963656769717375777[[#This Row],[Thresh]]*1.5</f>
        <v>1.3544113005050503E-3</v>
      </c>
      <c r="O64" s="25"/>
      <c r="P64" s="25"/>
      <c r="Q64" s="25"/>
      <c r="R64" s="25"/>
      <c r="S64" s="25"/>
      <c r="T64" s="25"/>
      <c r="U64" s="28"/>
      <c r="V64" s="25"/>
      <c r="W64" s="15" t="s">
        <v>26</v>
      </c>
      <c r="X64" s="52"/>
    </row>
    <row r="65" spans="1:24" ht="20.45" customHeight="1">
      <c r="A65" s="10" t="s">
        <v>92</v>
      </c>
      <c r="B65" s="11">
        <v>1.0243055555555556E-2</v>
      </c>
      <c r="C65" s="11">
        <v>2.9745370370370373E-3</v>
      </c>
      <c r="D65" s="11">
        <f t="shared" si="40"/>
        <v>5.9594097222222218E-3</v>
      </c>
      <c r="E65" s="12">
        <v>0.58179999999999998</v>
      </c>
      <c r="F65" s="11">
        <f t="shared" si="41"/>
        <v>7.4363425925925931E-4</v>
      </c>
      <c r="G65" s="11">
        <f t="shared" si="42"/>
        <v>7.9458796296296287E-4</v>
      </c>
      <c r="H65" s="11">
        <f t="shared" si="43"/>
        <v>8.1944444444444447E-4</v>
      </c>
      <c r="I65" s="11">
        <f t="shared" si="44"/>
        <v>8.5439565909996003E-4</v>
      </c>
      <c r="J65" s="11">
        <f t="shared" si="45"/>
        <v>8.636825684380031E-4</v>
      </c>
      <c r="K65" s="11">
        <f t="shared" si="46"/>
        <v>9.0294086700336686E-4</v>
      </c>
      <c r="L65" s="11">
        <f t="shared" si="47"/>
        <v>9.4593805114638445E-4</v>
      </c>
      <c r="M65" s="25">
        <f>WO2025Jan7men11915171923252931333539414345474955575963656769717375777[[#This Row],[Thresh]]</f>
        <v>9.0294086700336686E-4</v>
      </c>
      <c r="N65" s="28">
        <f>WO2025Jan7men11915171923252931333539414345474955575963656769717375777[[#This Row],[Thresh]]*1.5</f>
        <v>1.3544113005050503E-3</v>
      </c>
      <c r="O65" s="25"/>
      <c r="P65" s="25"/>
      <c r="Q65" s="25"/>
      <c r="R65" s="25"/>
      <c r="S65" s="25"/>
      <c r="T65" s="25"/>
      <c r="U65" s="28"/>
      <c r="V65" s="25"/>
      <c r="W65" s="15" t="s">
        <v>26</v>
      </c>
      <c r="X65" s="52"/>
    </row>
    <row r="66" spans="1:24" ht="20.45" customHeight="1">
      <c r="A66" s="10" t="s">
        <v>93</v>
      </c>
      <c r="B66" s="11">
        <v>1.0243055555555556E-2</v>
      </c>
      <c r="C66" s="11"/>
      <c r="D66" s="11">
        <f t="shared" si="40"/>
        <v>5.9594097222222218E-3</v>
      </c>
      <c r="E66" s="12">
        <v>0.58179999999999998</v>
      </c>
      <c r="F66" s="11">
        <f t="shared" si="41"/>
        <v>0</v>
      </c>
      <c r="G66" s="11">
        <f t="shared" si="42"/>
        <v>7.9458796296296287E-4</v>
      </c>
      <c r="H66" s="11">
        <f t="shared" si="43"/>
        <v>8.1944444444444447E-4</v>
      </c>
      <c r="I66" s="11">
        <f t="shared" si="44"/>
        <v>8.5439565909996003E-4</v>
      </c>
      <c r="J66" s="11">
        <f t="shared" si="45"/>
        <v>8.636825684380031E-4</v>
      </c>
      <c r="K66" s="11">
        <f t="shared" si="46"/>
        <v>9.0294086700336686E-4</v>
      </c>
      <c r="L66" s="11">
        <f t="shared" si="47"/>
        <v>9.4593805114638445E-4</v>
      </c>
      <c r="M66" s="25">
        <f>WO2025Jan7men11915171923252931333539414345474955575963656769717375777[[#This Row],[Thresh]]</f>
        <v>9.0294086700336686E-4</v>
      </c>
      <c r="N66" s="28">
        <f>WO2025Jan7men11915171923252931333539414345474955575963656769717375777[[#This Row],[Thresh]]*1.5</f>
        <v>1.3544113005050503E-3</v>
      </c>
      <c r="O66" s="25"/>
      <c r="P66" s="28"/>
      <c r="Q66" s="25"/>
      <c r="R66" s="28"/>
      <c r="S66" s="25"/>
      <c r="T66" s="25"/>
      <c r="U66" s="28"/>
      <c r="V66" s="28"/>
      <c r="W66" s="27" t="s">
        <v>26</v>
      </c>
      <c r="X66" s="52"/>
    </row>
    <row r="67" spans="1:24" ht="20.45" customHeight="1">
      <c r="A67" s="10" t="s">
        <v>86</v>
      </c>
      <c r="B67" s="11">
        <v>1.0300925925925925E-2</v>
      </c>
      <c r="C67" s="11">
        <v>3.0671296296296297E-3</v>
      </c>
      <c r="D67" s="11">
        <f t="shared" si="40"/>
        <v>5.9930787037037027E-3</v>
      </c>
      <c r="E67" s="12">
        <v>0.58179999999999998</v>
      </c>
      <c r="F67" s="11">
        <f t="shared" si="41"/>
        <v>7.6678240740740743E-4</v>
      </c>
      <c r="G67" s="11">
        <f t="shared" si="42"/>
        <v>7.9907716049382703E-4</v>
      </c>
      <c r="H67" s="11">
        <f t="shared" si="43"/>
        <v>8.2407407407407397E-4</v>
      </c>
      <c r="I67" s="11">
        <f t="shared" si="44"/>
        <v>8.5922275321916877E-4</v>
      </c>
      <c r="J67" s="11">
        <f t="shared" si="45"/>
        <v>8.6856213097155112E-4</v>
      </c>
      <c r="K67" s="11">
        <f t="shared" si="46"/>
        <v>9.080422278338944E-4</v>
      </c>
      <c r="L67" s="11">
        <f t="shared" si="47"/>
        <v>9.5128233392122272E-4</v>
      </c>
      <c r="M67" s="25">
        <f>WO2025Jan7men11915171923252931333539414345474955575963656769717375777[[#This Row],[Thresh]]</f>
        <v>9.080422278338944E-4</v>
      </c>
      <c r="N67" s="28">
        <f>WO2025Jan7men11915171923252931333539414345474955575963656769717375777[[#This Row],[Thresh]]*1.5</f>
        <v>1.3620633417508415E-3</v>
      </c>
      <c r="O67" s="25"/>
      <c r="P67" s="25"/>
      <c r="Q67" s="25"/>
      <c r="R67" s="25"/>
      <c r="S67" s="25"/>
      <c r="T67" s="25"/>
      <c r="U67" s="28"/>
      <c r="V67" s="25"/>
      <c r="W67" s="15" t="s">
        <v>26</v>
      </c>
      <c r="X67" s="52"/>
    </row>
    <row r="68" spans="1:24" ht="20.45" customHeight="1">
      <c r="A68" s="10" t="s">
        <v>87</v>
      </c>
      <c r="B68" s="11">
        <v>1.0532407407407407E-2</v>
      </c>
      <c r="C68" s="11">
        <v>2.9745370370370373E-3</v>
      </c>
      <c r="D68" s="11">
        <f t="shared" si="40"/>
        <v>6.1277546296296288E-3</v>
      </c>
      <c r="E68" s="12">
        <v>0.58179999999999998</v>
      </c>
      <c r="F68" s="11">
        <f t="shared" si="41"/>
        <v>7.4363425925925931E-4</v>
      </c>
      <c r="G68" s="11">
        <f t="shared" si="42"/>
        <v>8.1703395061728389E-4</v>
      </c>
      <c r="H68" s="11">
        <f t="shared" si="43"/>
        <v>8.4259259259259259E-4</v>
      </c>
      <c r="I68" s="11">
        <f t="shared" si="44"/>
        <v>8.7853112969600415E-4</v>
      </c>
      <c r="J68" s="11">
        <f t="shared" si="45"/>
        <v>8.8808038110574329E-4</v>
      </c>
      <c r="K68" s="11">
        <f t="shared" si="46"/>
        <v>9.2844767115600447E-4</v>
      </c>
      <c r="L68" s="11">
        <f t="shared" si="47"/>
        <v>9.7265946502057604E-4</v>
      </c>
      <c r="M68" s="25">
        <f>WO2025Jan7men11915171923252931333539414345474955575963656769717375777[[#This Row],[Thresh]]</f>
        <v>9.2844767115600447E-4</v>
      </c>
      <c r="N68" s="28">
        <f>WO2025Jan7men11915171923252931333539414345474955575963656769717375777[[#This Row],[Thresh]]*1.5</f>
        <v>1.3926715067340066E-3</v>
      </c>
      <c r="O68" s="25"/>
      <c r="P68" s="25"/>
      <c r="Q68" s="25"/>
      <c r="R68" s="25"/>
      <c r="S68" s="25"/>
      <c r="T68" s="25"/>
      <c r="U68" s="28"/>
      <c r="V68" s="25"/>
      <c r="W68" s="15" t="s">
        <v>26</v>
      </c>
      <c r="X68" s="52"/>
    </row>
    <row r="69" spans="1:24" ht="20.45" customHeight="1">
      <c r="A69" s="10" t="s">
        <v>123</v>
      </c>
      <c r="B69" s="11">
        <v>1.0532407407407407E-2</v>
      </c>
      <c r="C69" s="11">
        <v>3.1828703703703702E-3</v>
      </c>
      <c r="D69" s="11">
        <f t="shared" si="40"/>
        <v>6.1277546296296288E-3</v>
      </c>
      <c r="E69" s="12">
        <v>0.58179999999999998</v>
      </c>
      <c r="F69" s="11">
        <f t="shared" si="41"/>
        <v>7.9571759259259255E-4</v>
      </c>
      <c r="G69" s="11">
        <f t="shared" si="42"/>
        <v>8.1703395061728389E-4</v>
      </c>
      <c r="H69" s="11">
        <f t="shared" si="43"/>
        <v>8.4259259259259259E-4</v>
      </c>
      <c r="I69" s="11">
        <f t="shared" si="44"/>
        <v>8.7853112969600415E-4</v>
      </c>
      <c r="J69" s="11">
        <f t="shared" si="45"/>
        <v>8.8808038110574329E-4</v>
      </c>
      <c r="K69" s="11">
        <f t="shared" si="46"/>
        <v>9.2844767115600447E-4</v>
      </c>
      <c r="L69" s="11">
        <f t="shared" si="47"/>
        <v>9.7265946502057604E-4</v>
      </c>
      <c r="M69" s="25">
        <f>WO2025Jan7men11915171923252931333539414345474955575963656769717375777[[#This Row],[Thresh]]</f>
        <v>9.2844767115600447E-4</v>
      </c>
      <c r="N69" s="28">
        <f>WO2025Jan7men11915171923252931333539414345474955575963656769717375777[[#This Row],[Thresh]]*1.5</f>
        <v>1.3926715067340066E-3</v>
      </c>
      <c r="O69" s="25"/>
      <c r="P69" s="25"/>
      <c r="Q69" s="28"/>
      <c r="R69" s="25"/>
      <c r="S69" s="25"/>
      <c r="T69" s="25"/>
      <c r="U69" s="28"/>
      <c r="V69" s="28"/>
      <c r="W69" s="15" t="s">
        <v>26</v>
      </c>
      <c r="X69" s="52"/>
    </row>
    <row r="70" spans="1:24" ht="20.45" customHeight="1">
      <c r="A70" s="10" t="s">
        <v>118</v>
      </c>
      <c r="B70" s="11">
        <v>1.0532407407407407E-2</v>
      </c>
      <c r="C70" s="11">
        <v>3.0671296296296297E-3</v>
      </c>
      <c r="D70" s="11">
        <f t="shared" si="32"/>
        <v>6.1277546296296288E-3</v>
      </c>
      <c r="E70" s="12">
        <v>0.58179999999999998</v>
      </c>
      <c r="F70" s="11">
        <f t="shared" si="33"/>
        <v>7.6678240740740743E-4</v>
      </c>
      <c r="G70" s="11">
        <f t="shared" si="34"/>
        <v>8.1703395061728389E-4</v>
      </c>
      <c r="H70" s="11">
        <f t="shared" si="35"/>
        <v>8.4259259259259259E-4</v>
      </c>
      <c r="I70" s="11">
        <f t="shared" si="36"/>
        <v>8.7853112969600415E-4</v>
      </c>
      <c r="J70" s="11">
        <f t="shared" si="37"/>
        <v>8.8808038110574329E-4</v>
      </c>
      <c r="K70" s="11">
        <f t="shared" si="38"/>
        <v>9.2844767115600447E-4</v>
      </c>
      <c r="L70" s="11">
        <f t="shared" si="39"/>
        <v>9.7265946502057604E-4</v>
      </c>
      <c r="M70" s="25">
        <f>WO2025Jan7men11915171923252931333539414345474955575963656769717375777[[#This Row],[Thresh]]</f>
        <v>9.2844767115600447E-4</v>
      </c>
      <c r="N70" s="28">
        <f>WO2025Jan7men11915171923252931333539414345474955575963656769717375777[[#This Row],[Thresh]]*1.5</f>
        <v>1.3926715067340066E-3</v>
      </c>
      <c r="O70" s="25"/>
      <c r="P70" s="25"/>
      <c r="Q70" s="28"/>
      <c r="R70" s="28"/>
      <c r="S70" s="25"/>
      <c r="T70" s="25"/>
      <c r="U70" s="28"/>
      <c r="V70" s="25"/>
      <c r="W70" s="15" t="s">
        <v>26</v>
      </c>
      <c r="X70" s="52"/>
    </row>
    <row r="71" spans="1:24" ht="20.45" customHeight="1">
      <c r="A71" s="10" t="s">
        <v>85</v>
      </c>
      <c r="B71" s="11">
        <v>1.0532407407407407E-2</v>
      </c>
      <c r="C71" s="11">
        <v>3.0671296296296297E-3</v>
      </c>
      <c r="D71" s="11">
        <f>B71*E71</f>
        <v>6.1277546296296288E-3</v>
      </c>
      <c r="E71" s="12">
        <v>0.58179999999999998</v>
      </c>
      <c r="F71" s="11">
        <f>C71/4</f>
        <v>7.6678240740740743E-4</v>
      </c>
      <c r="G71" s="11">
        <f>D71/7.5</f>
        <v>8.1703395061728389E-4</v>
      </c>
      <c r="H71" s="11">
        <f>B71/12.5</f>
        <v>8.4259259259259259E-4</v>
      </c>
      <c r="I71" s="11">
        <f>G71/0.93</f>
        <v>8.7853112969600415E-4</v>
      </c>
      <c r="J71" s="11">
        <f>G71/0.92</f>
        <v>8.8808038110574329E-4</v>
      </c>
      <c r="K71" s="11">
        <f>G71/0.88</f>
        <v>9.2844767115600447E-4</v>
      </c>
      <c r="L71" s="17">
        <f>G71/0.84</f>
        <v>9.7265946502057604E-4</v>
      </c>
      <c r="M71" s="25">
        <f>WO2025Jan7men11915171923252931333539414345474955575963656769717375777[[#This Row],[Thresh]]</f>
        <v>9.2844767115600447E-4</v>
      </c>
      <c r="N71" s="28">
        <f>WO2025Jan7men11915171923252931333539414345474955575963656769717375777[[#This Row],[Thresh]]*1.5</f>
        <v>1.3926715067340066E-3</v>
      </c>
      <c r="O71" s="25"/>
      <c r="P71" s="25"/>
      <c r="Q71" s="25"/>
      <c r="R71" s="25"/>
      <c r="S71" s="25"/>
      <c r="T71" s="25"/>
      <c r="U71" s="28"/>
      <c r="V71" s="25"/>
      <c r="W71" s="15" t="s">
        <v>26</v>
      </c>
      <c r="X71" s="52"/>
    </row>
    <row r="72" spans="1:24" ht="20.45" customHeight="1">
      <c r="A72" s="10" t="s">
        <v>122</v>
      </c>
      <c r="B72" s="11">
        <v>1.0590277777777778E-2</v>
      </c>
      <c r="C72" s="11">
        <v>3.0671296296296297E-3</v>
      </c>
      <c r="D72" s="11">
        <f>B72*E72</f>
        <v>6.1614236111111114E-3</v>
      </c>
      <c r="E72" s="12">
        <v>0.58179999999999998</v>
      </c>
      <c r="F72" s="11">
        <f>C72/4</f>
        <v>7.6678240740740743E-4</v>
      </c>
      <c r="G72" s="11">
        <f>D72/7.5</f>
        <v>8.2152314814814816E-4</v>
      </c>
      <c r="H72" s="11">
        <f>B72/12.5</f>
        <v>8.472222222222223E-4</v>
      </c>
      <c r="I72" s="11">
        <f>G72/0.93</f>
        <v>8.8335822381521299E-4</v>
      </c>
      <c r="J72" s="11">
        <f>G72/0.92</f>
        <v>8.9295994363929141E-4</v>
      </c>
      <c r="K72" s="11">
        <f>G72/0.88</f>
        <v>9.3354903198653201E-4</v>
      </c>
      <c r="L72" s="11">
        <f>G72/0.84</f>
        <v>9.7800374779541442E-4</v>
      </c>
      <c r="M72" s="25">
        <f>WO2025Jan7men11915171923252931333539414345474955575963656769717375777[[#This Row],[Thresh]]</f>
        <v>9.3354903198653201E-4</v>
      </c>
      <c r="N72" s="28">
        <f>WO2025Jan7men11915171923252931333539414345474955575963656769717375777[[#This Row],[Thresh]]*1.5</f>
        <v>1.400323547979798E-3</v>
      </c>
      <c r="O72" s="25"/>
      <c r="P72" s="25"/>
      <c r="Q72" s="28"/>
      <c r="R72" s="28"/>
      <c r="S72" s="25"/>
      <c r="T72" s="25"/>
      <c r="U72" s="28"/>
      <c r="V72" s="25"/>
      <c r="W72" s="15" t="s">
        <v>26</v>
      </c>
      <c r="X72" s="52"/>
    </row>
    <row r="73" spans="1:24" ht="20.45" customHeight="1">
      <c r="A73" s="10" t="s">
        <v>88</v>
      </c>
      <c r="B73" s="11">
        <v>1.0590277777777778E-2</v>
      </c>
      <c r="C73" s="11">
        <v>3.0671296296296297E-3</v>
      </c>
      <c r="D73" s="11">
        <f>B73*E73</f>
        <v>6.1614236111111114E-3</v>
      </c>
      <c r="E73" s="12">
        <v>0.58179999999999998</v>
      </c>
      <c r="F73" s="11">
        <f>C73/4</f>
        <v>7.6678240740740743E-4</v>
      </c>
      <c r="G73" s="11">
        <f>D73/7.5</f>
        <v>8.2152314814814816E-4</v>
      </c>
      <c r="H73" s="11">
        <f>B73/12.5</f>
        <v>8.472222222222223E-4</v>
      </c>
      <c r="I73" s="11">
        <f>G73/0.93</f>
        <v>8.8335822381521299E-4</v>
      </c>
      <c r="J73" s="11">
        <f>G73/0.92</f>
        <v>8.9295994363929141E-4</v>
      </c>
      <c r="K73" s="11">
        <f>G73/0.88</f>
        <v>9.3354903198653201E-4</v>
      </c>
      <c r="L73" s="11">
        <f>G73/0.84</f>
        <v>9.7800374779541442E-4</v>
      </c>
      <c r="M73" s="25">
        <f>WO2025Jan7men11915171923252931333539414345474955575963656769717375777[[#This Row],[Thresh]]</f>
        <v>9.3354903198653201E-4</v>
      </c>
      <c r="N73" s="28">
        <f>WO2025Jan7men11915171923252931333539414345474955575963656769717375777[[#This Row],[Thresh]]*1.5</f>
        <v>1.400323547979798E-3</v>
      </c>
      <c r="O73" s="25"/>
      <c r="P73" s="25"/>
      <c r="Q73" s="28"/>
      <c r="R73" s="28"/>
      <c r="S73" s="25"/>
      <c r="T73" s="25"/>
      <c r="U73" s="28"/>
      <c r="V73" s="44"/>
      <c r="W73" s="28" t="s">
        <v>26</v>
      </c>
      <c r="X73" s="52"/>
    </row>
    <row r="74" spans="1:24" ht="20.45" customHeight="1">
      <c r="A74" s="10" t="s">
        <v>91</v>
      </c>
      <c r="B74" s="11">
        <v>1.0590277777777778E-2</v>
      </c>
      <c r="C74" s="11">
        <v>3.1249999999999997E-3</v>
      </c>
      <c r="D74" s="11">
        <f t="shared" si="32"/>
        <v>6.1614236111111114E-3</v>
      </c>
      <c r="E74" s="12">
        <v>0.58179999999999998</v>
      </c>
      <c r="F74" s="11">
        <f t="shared" si="33"/>
        <v>7.8124999999999993E-4</v>
      </c>
      <c r="G74" s="11">
        <f t="shared" si="34"/>
        <v>8.2152314814814816E-4</v>
      </c>
      <c r="H74" s="11">
        <f t="shared" si="35"/>
        <v>8.472222222222223E-4</v>
      </c>
      <c r="I74" s="11">
        <f t="shared" si="36"/>
        <v>8.8335822381521299E-4</v>
      </c>
      <c r="J74" s="11">
        <f t="shared" si="37"/>
        <v>8.9295994363929141E-4</v>
      </c>
      <c r="K74" s="11">
        <f t="shared" si="38"/>
        <v>9.3354903198653201E-4</v>
      </c>
      <c r="L74" s="11">
        <f t="shared" si="39"/>
        <v>9.7800374779541442E-4</v>
      </c>
      <c r="M74" s="25">
        <f>WO2025Jan7men11915171923252931333539414345474955575963656769717375777[[#This Row],[Thresh]]</f>
        <v>9.3354903198653201E-4</v>
      </c>
      <c r="N74" s="28">
        <f>WO2025Jan7men11915171923252931333539414345474955575963656769717375777[[#This Row],[Thresh]]*1.5</f>
        <v>1.400323547979798E-3</v>
      </c>
      <c r="O74" s="25"/>
      <c r="P74" s="25"/>
      <c r="Q74" s="28"/>
      <c r="R74" s="28"/>
      <c r="S74" s="25"/>
      <c r="T74" s="25"/>
      <c r="U74" s="28"/>
      <c r="V74" s="25"/>
      <c r="W74" s="15" t="s">
        <v>26</v>
      </c>
      <c r="X74" s="52"/>
    </row>
    <row r="75" spans="1:24" ht="20.45" customHeight="1">
      <c r="A75" s="10" t="s">
        <v>90</v>
      </c>
      <c r="B75" s="11">
        <v>1.0648148148148148E-2</v>
      </c>
      <c r="C75" s="11">
        <v>3.0671296296296297E-3</v>
      </c>
      <c r="D75" s="11">
        <f>B75*E75</f>
        <v>6.1950925925925923E-3</v>
      </c>
      <c r="E75" s="12">
        <v>0.58179999999999998</v>
      </c>
      <c r="F75" s="11">
        <f>C75/4</f>
        <v>7.6678240740740743E-4</v>
      </c>
      <c r="G75" s="11">
        <f>D75/7.5</f>
        <v>8.2601234567901232E-4</v>
      </c>
      <c r="H75" s="11">
        <f>B75/12.5</f>
        <v>8.5185185185185179E-4</v>
      </c>
      <c r="I75" s="11">
        <f>G75/0.93</f>
        <v>8.8818531793442184E-4</v>
      </c>
      <c r="J75" s="11">
        <f>G75/0.92</f>
        <v>8.9783950617283942E-4</v>
      </c>
      <c r="K75" s="11">
        <f>G75/0.88</f>
        <v>9.3865039281705945E-4</v>
      </c>
      <c r="L75" s="17">
        <f>G75/0.84</f>
        <v>9.833480305702527E-4</v>
      </c>
      <c r="M75" s="25">
        <f>WO2025Jan7men11915171923252931333539414345474955575963656769717375777[[#This Row],[Thresh]]</f>
        <v>9.3865039281705945E-4</v>
      </c>
      <c r="N75" s="28">
        <f>WO2025Jan7men11915171923252931333539414345474955575963656769717375777[[#This Row],[Thresh]]*1.5</f>
        <v>1.4079755892255892E-3</v>
      </c>
      <c r="O75" s="25"/>
      <c r="P75" s="25"/>
      <c r="Q75" s="25"/>
      <c r="R75" s="25"/>
      <c r="S75" s="25"/>
      <c r="T75" s="25"/>
      <c r="U75" s="28"/>
      <c r="V75" s="25"/>
      <c r="W75" s="15" t="s">
        <v>26</v>
      </c>
      <c r="X75" s="52"/>
    </row>
    <row r="76" spans="1:24" ht="20.45" customHeight="1">
      <c r="A76" s="10"/>
      <c r="B76" s="11"/>
      <c r="C76" s="11"/>
      <c r="D76" s="11"/>
      <c r="E76" s="12"/>
      <c r="F76" s="11"/>
      <c r="G76" s="11"/>
      <c r="H76" s="11"/>
      <c r="I76" s="11"/>
      <c r="J76" s="11"/>
      <c r="K76" s="11"/>
      <c r="L76" s="11"/>
      <c r="M76" s="25"/>
      <c r="N76" s="28"/>
      <c r="O76" s="25"/>
      <c r="P76" s="28"/>
      <c r="Q76" s="25"/>
      <c r="R76" s="28"/>
      <c r="S76" s="25"/>
      <c r="T76" s="28"/>
      <c r="U76" s="28"/>
      <c r="V76" s="25"/>
      <c r="W76" s="15"/>
      <c r="X76" s="52"/>
    </row>
    <row r="77" spans="1:24" ht="20.45" customHeight="1">
      <c r="A77" s="19"/>
      <c r="B77" s="6"/>
      <c r="C77" s="6"/>
      <c r="D77" s="6"/>
      <c r="E77" s="20"/>
      <c r="F77" s="6"/>
      <c r="G77" s="6"/>
      <c r="H77" s="6"/>
      <c r="I77" s="6"/>
      <c r="J77" s="6"/>
      <c r="K77" s="6"/>
      <c r="L77" s="6"/>
      <c r="M77" s="6" t="s">
        <v>12</v>
      </c>
      <c r="N77" s="6" t="s">
        <v>145</v>
      </c>
      <c r="O77" s="6" t="s">
        <v>158</v>
      </c>
      <c r="P77" s="6" t="s">
        <v>14</v>
      </c>
      <c r="Q77" s="6" t="s">
        <v>15</v>
      </c>
      <c r="R77" s="6"/>
      <c r="S77" s="6"/>
      <c r="T77" s="6"/>
      <c r="U77" s="6"/>
      <c r="V77" s="23"/>
      <c r="W77" s="35"/>
      <c r="X77" s="52"/>
    </row>
    <row r="78" spans="1:24" ht="20.45" customHeight="1">
      <c r="A78" s="10" t="s">
        <v>80</v>
      </c>
      <c r="B78" s="11">
        <v>9.8379629629629633E-3</v>
      </c>
      <c r="C78" s="11">
        <v>2.8587962962962963E-3</v>
      </c>
      <c r="D78" s="11">
        <f t="shared" ref="D78:D85" si="48">B78*E78</f>
        <v>5.7237268518518522E-3</v>
      </c>
      <c r="E78" s="12">
        <v>0.58179999999999998</v>
      </c>
      <c r="F78" s="11">
        <f t="shared" ref="F78:F85" si="49">C78/4</f>
        <v>7.1469907407407409E-4</v>
      </c>
      <c r="G78" s="11">
        <f t="shared" ref="G78:G85" si="50">D78/7.5</f>
        <v>7.6316358024691364E-4</v>
      </c>
      <c r="H78" s="11">
        <f t="shared" ref="H78:H85" si="51">B78/12.5</f>
        <v>7.8703703703703705E-4</v>
      </c>
      <c r="I78" s="11">
        <f t="shared" ref="I78:I85" si="52">G78/0.93</f>
        <v>8.2060600026549854E-4</v>
      </c>
      <c r="J78" s="11">
        <f t="shared" ref="J78:J85" si="53">G78/0.92</f>
        <v>8.29525630703167E-4</v>
      </c>
      <c r="K78" s="11">
        <f t="shared" ref="K78:K85" si="54">G78/0.88</f>
        <v>8.6723134118967459E-4</v>
      </c>
      <c r="L78" s="11">
        <f t="shared" ref="L78:L85" si="55">G78/0.84</f>
        <v>9.085280717225163E-4</v>
      </c>
      <c r="M78" s="25">
        <f>WO2025Jan7men11915171923252931333539414345474955575963656769717375777[[#This Row],[Thresh]]</f>
        <v>8.6723134118967459E-4</v>
      </c>
      <c r="N78" s="28">
        <f>WO2025Jan7men11915171923252931333539414345474955575963656769717375777[[#This Row],[Thresh]]*1.5</f>
        <v>1.3008470117845119E-3</v>
      </c>
      <c r="O78" s="25">
        <f>WO2025Jan7men11915171923252931333539414345474955575963656769717375777[[#This Row],[VO2]]</f>
        <v>7.6316358024691364E-4</v>
      </c>
      <c r="P78" s="25">
        <f>WO2025Jan7men11915171923252931333539414345474955575963656769717375777[[#This Row],[CV]]</f>
        <v>8.29525630703167E-4</v>
      </c>
      <c r="Q78" s="25">
        <f>WO2025Jan7men11915171923252931333539414345474955575963656769717375777[[#This Row],[CV]]*1.5</f>
        <v>1.2442884460547505E-3</v>
      </c>
      <c r="R78" s="25"/>
      <c r="S78" s="25"/>
      <c r="T78" s="25"/>
      <c r="U78" s="28"/>
      <c r="V78" s="25"/>
      <c r="W78" s="15" t="s">
        <v>213</v>
      </c>
      <c r="X78" s="50" t="s">
        <v>357</v>
      </c>
    </row>
    <row r="79" spans="1:24" ht="20.45" customHeight="1">
      <c r="A79" s="10" t="s">
        <v>106</v>
      </c>
      <c r="B79" s="11">
        <v>1.0416666666666666E-2</v>
      </c>
      <c r="C79" s="11">
        <v>2.9745370370370373E-3</v>
      </c>
      <c r="D79" s="11">
        <f t="shared" si="48"/>
        <v>6.0604166666666662E-3</v>
      </c>
      <c r="E79" s="12">
        <v>0.58179999999999998</v>
      </c>
      <c r="F79" s="11">
        <f t="shared" si="49"/>
        <v>7.4363425925925931E-4</v>
      </c>
      <c r="G79" s="11">
        <f t="shared" si="50"/>
        <v>8.0805555555555546E-4</v>
      </c>
      <c r="H79" s="11">
        <f t="shared" si="51"/>
        <v>8.3333333333333328E-4</v>
      </c>
      <c r="I79" s="11">
        <f t="shared" si="52"/>
        <v>8.6887694145758646E-4</v>
      </c>
      <c r="J79" s="11">
        <f t="shared" si="53"/>
        <v>8.7832125603864715E-4</v>
      </c>
      <c r="K79" s="11">
        <f t="shared" si="54"/>
        <v>9.1824494949494938E-4</v>
      </c>
      <c r="L79" s="11">
        <f t="shared" si="55"/>
        <v>9.6197089947089938E-4</v>
      </c>
      <c r="M79" s="25">
        <f>WO2025Jan7men11915171923252931333539414345474955575963656769717375777[[#This Row],[Thresh]]</f>
        <v>9.1824494949494938E-4</v>
      </c>
      <c r="N79" s="28">
        <f>WO2025Jan7men11915171923252931333539414345474955575963656769717375777[[#This Row],[Thresh]]*1.5</f>
        <v>1.3773674242424242E-3</v>
      </c>
      <c r="O79" s="25">
        <f>WO2025Jan7men11915171923252931333539414345474955575963656769717375777[[#This Row],[VO2]]</f>
        <v>8.0805555555555546E-4</v>
      </c>
      <c r="P79" s="25">
        <f>WO2025Jan7men11915171923252931333539414345474955575963656769717375777[[#This Row],[CV]]</f>
        <v>8.7832125603864715E-4</v>
      </c>
      <c r="Q79" s="25">
        <f>WO2025Jan7men11915171923252931333539414345474955575963656769717375777[[#This Row],[CV]]*1.5</f>
        <v>1.3174818840579706E-3</v>
      </c>
      <c r="R79" s="25"/>
      <c r="S79" s="25"/>
      <c r="T79" s="25"/>
      <c r="U79" s="28"/>
      <c r="V79" s="25"/>
      <c r="W79" s="15" t="s">
        <v>213</v>
      </c>
      <c r="X79" s="50"/>
    </row>
    <row r="80" spans="1:24" ht="20.45" customHeight="1">
      <c r="A80" s="10" t="s">
        <v>111</v>
      </c>
      <c r="B80" s="11">
        <v>1.0416666666666666E-2</v>
      </c>
      <c r="C80" s="11">
        <v>3.0092592592592588E-3</v>
      </c>
      <c r="D80" s="11">
        <f t="shared" si="48"/>
        <v>6.0604166666666662E-3</v>
      </c>
      <c r="E80" s="12">
        <v>0.58179999999999998</v>
      </c>
      <c r="F80" s="11">
        <f t="shared" si="49"/>
        <v>7.5231481481481471E-4</v>
      </c>
      <c r="G80" s="11">
        <f t="shared" si="50"/>
        <v>8.0805555555555546E-4</v>
      </c>
      <c r="H80" s="11">
        <f t="shared" si="51"/>
        <v>8.3333333333333328E-4</v>
      </c>
      <c r="I80" s="11">
        <f t="shared" si="52"/>
        <v>8.6887694145758646E-4</v>
      </c>
      <c r="J80" s="11">
        <f t="shared" si="53"/>
        <v>8.7832125603864715E-4</v>
      </c>
      <c r="K80" s="11">
        <f t="shared" si="54"/>
        <v>9.1824494949494938E-4</v>
      </c>
      <c r="L80" s="11">
        <f t="shared" si="55"/>
        <v>9.6197089947089938E-4</v>
      </c>
      <c r="M80" s="25">
        <f>WO2025Jan7men11915171923252931333539414345474955575963656769717375777[[#This Row],[Thresh]]</f>
        <v>9.1824494949494938E-4</v>
      </c>
      <c r="N80" s="28">
        <f>WO2025Jan7men11915171923252931333539414345474955575963656769717375777[[#This Row],[Thresh]]*1.5</f>
        <v>1.3773674242424242E-3</v>
      </c>
      <c r="O80" s="25">
        <f>WO2025Jan7men11915171923252931333539414345474955575963656769717375777[[#This Row],[VO2]]</f>
        <v>8.0805555555555546E-4</v>
      </c>
      <c r="P80" s="25">
        <f>WO2025Jan7men11915171923252931333539414345474955575963656769717375777[[#This Row],[CV]]</f>
        <v>8.7832125603864715E-4</v>
      </c>
      <c r="Q80" s="25">
        <f>WO2025Jan7men11915171923252931333539414345474955575963656769717375777[[#This Row],[CV]]*1.5</f>
        <v>1.3174818840579706E-3</v>
      </c>
      <c r="R80" s="25"/>
      <c r="S80" s="25"/>
      <c r="T80" s="25"/>
      <c r="U80" s="28"/>
      <c r="V80" s="25"/>
      <c r="W80" s="15" t="s">
        <v>213</v>
      </c>
      <c r="X80" s="50"/>
    </row>
    <row r="81" spans="1:24" ht="20.45" customHeight="1">
      <c r="A81" s="10" t="s">
        <v>117</v>
      </c>
      <c r="B81" s="11">
        <v>1.0416666666666666E-2</v>
      </c>
      <c r="C81" s="11">
        <v>3.0671296296296297E-3</v>
      </c>
      <c r="D81" s="11">
        <f t="shared" si="48"/>
        <v>6.0604166666666662E-3</v>
      </c>
      <c r="E81" s="12">
        <v>0.58179999999999998</v>
      </c>
      <c r="F81" s="11">
        <f t="shared" si="49"/>
        <v>7.6678240740740743E-4</v>
      </c>
      <c r="G81" s="11">
        <f t="shared" si="50"/>
        <v>8.0805555555555546E-4</v>
      </c>
      <c r="H81" s="11">
        <f t="shared" si="51"/>
        <v>8.3333333333333328E-4</v>
      </c>
      <c r="I81" s="11">
        <f t="shared" si="52"/>
        <v>8.6887694145758646E-4</v>
      </c>
      <c r="J81" s="11">
        <f t="shared" si="53"/>
        <v>8.7832125603864715E-4</v>
      </c>
      <c r="K81" s="11">
        <f t="shared" si="54"/>
        <v>9.1824494949494938E-4</v>
      </c>
      <c r="L81" s="11">
        <f t="shared" si="55"/>
        <v>9.6197089947089938E-4</v>
      </c>
      <c r="M81" s="25">
        <f>WO2025Jan7men11915171923252931333539414345474955575963656769717375777[[#This Row],[Thresh]]</f>
        <v>9.1824494949494938E-4</v>
      </c>
      <c r="N81" s="28">
        <f>WO2025Jan7men11915171923252931333539414345474955575963656769717375777[[#This Row],[Thresh]]*1.5</f>
        <v>1.3773674242424242E-3</v>
      </c>
      <c r="O81" s="25">
        <f>WO2025Jan7men11915171923252931333539414345474955575963656769717375777[[#This Row],[VO2]]</f>
        <v>8.0805555555555546E-4</v>
      </c>
      <c r="P81" s="25">
        <f>WO2025Jan7men11915171923252931333539414345474955575963656769717375777[[#This Row],[CV]]</f>
        <v>8.7832125603864715E-4</v>
      </c>
      <c r="Q81" s="25">
        <f>WO2025Jan7men11915171923252931333539414345474955575963656769717375777[[#This Row],[CV]]*1.5</f>
        <v>1.3174818840579706E-3</v>
      </c>
      <c r="R81" s="28"/>
      <c r="S81" s="25"/>
      <c r="T81" s="25"/>
      <c r="U81" s="28"/>
      <c r="V81" s="25"/>
      <c r="W81" s="15" t="s">
        <v>213</v>
      </c>
      <c r="X81" s="50"/>
    </row>
    <row r="82" spans="1:24" ht="20.45" customHeight="1">
      <c r="A82" s="10" t="s">
        <v>115</v>
      </c>
      <c r="B82" s="11">
        <v>1.0416666666666666E-2</v>
      </c>
      <c r="C82" s="11"/>
      <c r="D82" s="11">
        <f t="shared" si="48"/>
        <v>6.0604166666666662E-3</v>
      </c>
      <c r="E82" s="12">
        <v>0.58179999999999998</v>
      </c>
      <c r="F82" s="11">
        <f t="shared" si="49"/>
        <v>0</v>
      </c>
      <c r="G82" s="11">
        <f t="shared" si="50"/>
        <v>8.0805555555555546E-4</v>
      </c>
      <c r="H82" s="11">
        <f t="shared" si="51"/>
        <v>8.3333333333333328E-4</v>
      </c>
      <c r="I82" s="11">
        <f t="shared" si="52"/>
        <v>8.6887694145758646E-4</v>
      </c>
      <c r="J82" s="11">
        <f t="shared" si="53"/>
        <v>8.7832125603864715E-4</v>
      </c>
      <c r="K82" s="11">
        <f t="shared" si="54"/>
        <v>9.1824494949494938E-4</v>
      </c>
      <c r="L82" s="11">
        <f t="shared" si="55"/>
        <v>9.6197089947089938E-4</v>
      </c>
      <c r="M82" s="25">
        <f>WO2025Jan7men11915171923252931333539414345474955575963656769717375777[[#This Row],[Thresh]]</f>
        <v>9.1824494949494938E-4</v>
      </c>
      <c r="N82" s="28">
        <f>WO2025Jan7men11915171923252931333539414345474955575963656769717375777[[#This Row],[Thresh]]*1.5</f>
        <v>1.3773674242424242E-3</v>
      </c>
      <c r="O82" s="25">
        <f>WO2025Jan7men11915171923252931333539414345474955575963656769717375777[[#This Row],[VO2]]</f>
        <v>8.0805555555555546E-4</v>
      </c>
      <c r="P82" s="25">
        <f>WO2025Jan7men11915171923252931333539414345474955575963656769717375777[[#This Row],[CV]]</f>
        <v>8.7832125603864715E-4</v>
      </c>
      <c r="Q82" s="25">
        <f>WO2025Jan7men11915171923252931333539414345474955575963656769717375777[[#This Row],[CV]]*1.5</f>
        <v>1.3174818840579706E-3</v>
      </c>
      <c r="R82" s="28"/>
      <c r="S82" s="25"/>
      <c r="T82" s="25"/>
      <c r="U82" s="28"/>
      <c r="V82" s="28"/>
      <c r="W82" s="27" t="s">
        <v>213</v>
      </c>
      <c r="X82" s="50"/>
    </row>
    <row r="83" spans="1:24" ht="20.45" customHeight="1">
      <c r="A83" s="10" t="s">
        <v>129</v>
      </c>
      <c r="B83" s="11">
        <v>1.0590277777777778E-2</v>
      </c>
      <c r="C83" s="11">
        <v>3.0092592592592593E-3</v>
      </c>
      <c r="D83" s="11">
        <f t="shared" si="48"/>
        <v>6.1614236111111114E-3</v>
      </c>
      <c r="E83" s="12">
        <v>0.58179999999999998</v>
      </c>
      <c r="F83" s="11">
        <f t="shared" si="49"/>
        <v>7.5231481481481482E-4</v>
      </c>
      <c r="G83" s="11">
        <f t="shared" si="50"/>
        <v>8.2152314814814816E-4</v>
      </c>
      <c r="H83" s="11">
        <f t="shared" si="51"/>
        <v>8.472222222222223E-4</v>
      </c>
      <c r="I83" s="11">
        <f t="shared" si="52"/>
        <v>8.8335822381521299E-4</v>
      </c>
      <c r="J83" s="11">
        <f t="shared" si="53"/>
        <v>8.9295994363929141E-4</v>
      </c>
      <c r="K83" s="11">
        <f t="shared" si="54"/>
        <v>9.3354903198653201E-4</v>
      </c>
      <c r="L83" s="11">
        <f t="shared" si="55"/>
        <v>9.7800374779541442E-4</v>
      </c>
      <c r="M83" s="25">
        <f>WO2025Jan7men11915171923252931333539414345474955575963656769717375777[[#This Row],[Thresh]]</f>
        <v>9.3354903198653201E-4</v>
      </c>
      <c r="N83" s="28">
        <f>WO2025Jan7men11915171923252931333539414345474955575963656769717375777[[#This Row],[Thresh]]*1.5</f>
        <v>1.400323547979798E-3</v>
      </c>
      <c r="O83" s="25">
        <f>WO2025Jan7men11915171923252931333539414345474955575963656769717375777[[#This Row],[VO2]]</f>
        <v>8.2152314814814816E-4</v>
      </c>
      <c r="P83" s="25">
        <f>WO2025Jan7men11915171923252931333539414345474955575963656769717375777[[#This Row],[CV]]</f>
        <v>8.9295994363929141E-4</v>
      </c>
      <c r="Q83" s="25">
        <f>WO2025Jan7men11915171923252931333539414345474955575963656769717375777[[#This Row],[CV]]*1.5</f>
        <v>1.3394399154589372E-3</v>
      </c>
      <c r="R83" s="25"/>
      <c r="S83" s="25"/>
      <c r="T83" s="25"/>
      <c r="U83" s="28"/>
      <c r="V83" s="25"/>
      <c r="W83" s="15" t="s">
        <v>213</v>
      </c>
      <c r="X83" s="50"/>
    </row>
    <row r="84" spans="1:24" ht="20.45" customHeight="1">
      <c r="A84" s="10" t="s">
        <v>127</v>
      </c>
      <c r="B84" s="11">
        <v>1.0763888888888891E-2</v>
      </c>
      <c r="C84" s="11"/>
      <c r="D84" s="11">
        <f t="shared" si="48"/>
        <v>6.2624305555555567E-3</v>
      </c>
      <c r="E84" s="12">
        <v>0.58179999999999998</v>
      </c>
      <c r="F84" s="11">
        <f t="shared" si="49"/>
        <v>0</v>
      </c>
      <c r="G84" s="11">
        <f t="shared" si="50"/>
        <v>8.3499074074074085E-4</v>
      </c>
      <c r="H84" s="11">
        <f t="shared" si="51"/>
        <v>8.6111111111111121E-4</v>
      </c>
      <c r="I84" s="11">
        <f t="shared" si="52"/>
        <v>8.9783950617283953E-4</v>
      </c>
      <c r="J84" s="11">
        <f t="shared" si="53"/>
        <v>9.0759863123993567E-4</v>
      </c>
      <c r="K84" s="11">
        <f t="shared" si="54"/>
        <v>9.4885311447811464E-4</v>
      </c>
      <c r="L84" s="11">
        <f t="shared" si="55"/>
        <v>9.9403659611992969E-4</v>
      </c>
      <c r="M84" s="25">
        <f>WO2025Jan7men11915171923252931333539414345474955575963656769717375777[[#This Row],[Thresh]]</f>
        <v>9.4885311447811464E-4</v>
      </c>
      <c r="N84" s="28">
        <f>WO2025Jan7men11915171923252931333539414345474955575963656769717375777[[#This Row],[Thresh]]*1.5</f>
        <v>1.4232796717171719E-3</v>
      </c>
      <c r="O84" s="25">
        <f>WO2025Jan7men11915171923252931333539414345474955575963656769717375777[[#This Row],[VO2]]</f>
        <v>8.3499074074074085E-4</v>
      </c>
      <c r="P84" s="25">
        <f>WO2025Jan7men11915171923252931333539414345474955575963656769717375777[[#This Row],[CV]]</f>
        <v>9.0759863123993567E-4</v>
      </c>
      <c r="Q84" s="25">
        <f>WO2025Jan7men11915171923252931333539414345474955575963656769717375777[[#This Row],[CV]]*1.5</f>
        <v>1.3613979468599035E-3</v>
      </c>
      <c r="R84" s="28"/>
      <c r="S84" s="25"/>
      <c r="T84" s="25"/>
      <c r="U84" s="28"/>
      <c r="V84" s="28"/>
      <c r="W84" s="15" t="s">
        <v>213</v>
      </c>
      <c r="X84" s="50"/>
    </row>
    <row r="85" spans="1:24" ht="20.45" customHeight="1">
      <c r="A85" s="10" t="s">
        <v>131</v>
      </c>
      <c r="B85" s="11">
        <v>1.087962962962963E-2</v>
      </c>
      <c r="C85" s="11">
        <v>3.1828703703703702E-3</v>
      </c>
      <c r="D85" s="11">
        <f t="shared" si="48"/>
        <v>6.3297685185185184E-3</v>
      </c>
      <c r="E85" s="12">
        <v>0.58179999999999998</v>
      </c>
      <c r="F85" s="11">
        <f t="shared" si="49"/>
        <v>7.9571759259259255E-4</v>
      </c>
      <c r="G85" s="11">
        <f t="shared" si="50"/>
        <v>8.4396913580246917E-4</v>
      </c>
      <c r="H85" s="11">
        <f t="shared" si="51"/>
        <v>8.7037037037037042E-4</v>
      </c>
      <c r="I85" s="11">
        <f t="shared" si="52"/>
        <v>9.0749369441125711E-4</v>
      </c>
      <c r="J85" s="11">
        <f t="shared" si="53"/>
        <v>9.173577563070317E-4</v>
      </c>
      <c r="K85" s="11">
        <f t="shared" si="54"/>
        <v>9.5905583613916951E-4</v>
      </c>
      <c r="L85" s="11">
        <f t="shared" si="55"/>
        <v>1.0047251616696062E-3</v>
      </c>
      <c r="M85" s="25">
        <f>WO2025Jan7men11915171923252931333539414345474955575963656769717375777[[#This Row],[Thresh]]</f>
        <v>9.5905583613916951E-4</v>
      </c>
      <c r="N85" s="28">
        <f>WO2025Jan7men11915171923252931333539414345474955575963656769717375777[[#This Row],[Thresh]]*1.5</f>
        <v>1.4385837542087543E-3</v>
      </c>
      <c r="O85" s="25">
        <f>WO2025Jan7men11915171923252931333539414345474955575963656769717375777[[#This Row],[VO2]]</f>
        <v>8.4396913580246917E-4</v>
      </c>
      <c r="P85" s="25">
        <f>WO2025Jan7men11915171923252931333539414345474955575963656769717375777[[#This Row],[CV]]</f>
        <v>9.173577563070317E-4</v>
      </c>
      <c r="Q85" s="25">
        <f>WO2025Jan7men11915171923252931333539414345474955575963656769717375777[[#This Row],[CV]]*1.5</f>
        <v>1.3760366344605477E-3</v>
      </c>
      <c r="R85" s="28"/>
      <c r="S85" s="25"/>
      <c r="T85" s="25"/>
      <c r="U85" s="28"/>
      <c r="V85" s="28"/>
      <c r="W85" s="15" t="s">
        <v>213</v>
      </c>
      <c r="X85" s="50"/>
    </row>
    <row r="86" spans="1:24" ht="20.45" customHeight="1" thickBot="1">
      <c r="A86" s="10"/>
      <c r="B86" s="11"/>
      <c r="C86" s="11"/>
      <c r="D86" s="11"/>
      <c r="E86" s="12"/>
      <c r="F86" s="11"/>
      <c r="G86" s="11"/>
      <c r="H86" s="11"/>
      <c r="I86" s="11"/>
      <c r="J86" s="11"/>
      <c r="K86" s="11"/>
      <c r="L86" s="11"/>
      <c r="M86" s="25"/>
      <c r="N86" s="28"/>
      <c r="O86" s="25"/>
      <c r="P86" s="25"/>
      <c r="Q86" s="25"/>
      <c r="R86" s="25"/>
      <c r="S86" s="25"/>
      <c r="T86" s="25"/>
      <c r="U86" s="28"/>
      <c r="V86" s="25"/>
      <c r="W86" s="15"/>
      <c r="X86" s="50"/>
    </row>
    <row r="87" spans="1:24" ht="20.45" customHeight="1">
      <c r="A87" s="1" t="s">
        <v>349</v>
      </c>
      <c r="B87" s="6"/>
      <c r="C87" s="6"/>
      <c r="D87" s="6"/>
      <c r="E87" s="20"/>
      <c r="F87" s="6"/>
      <c r="G87" s="6"/>
      <c r="H87" s="6"/>
      <c r="I87" s="6"/>
      <c r="J87" s="6"/>
      <c r="K87" s="6"/>
      <c r="L87" s="6"/>
      <c r="M87" s="6"/>
      <c r="N87" s="6"/>
      <c r="O87" s="6"/>
      <c r="P87" s="6"/>
      <c r="Q87" s="22"/>
      <c r="R87" s="6"/>
      <c r="S87" s="6"/>
      <c r="T87" s="6"/>
      <c r="U87" s="6"/>
      <c r="V87" s="23"/>
      <c r="W87" s="35"/>
      <c r="X87" s="50"/>
    </row>
    <row r="88" spans="1:24" ht="20.45" customHeight="1">
      <c r="A88" s="10" t="s">
        <v>82</v>
      </c>
      <c r="B88" s="11">
        <v>1.0069444444444445E-2</v>
      </c>
      <c r="C88" s="11">
        <v>2.8935185185185188E-3</v>
      </c>
      <c r="D88" s="11">
        <f>B88*E88</f>
        <v>5.8584027777777783E-3</v>
      </c>
      <c r="E88" s="12">
        <v>0.58179999999999998</v>
      </c>
      <c r="F88" s="11">
        <f>C88/4</f>
        <v>7.233796296296297E-4</v>
      </c>
      <c r="G88" s="11">
        <f>D88/7.5</f>
        <v>7.811203703703705E-4</v>
      </c>
      <c r="H88" s="11">
        <f>B88/12.5</f>
        <v>8.0555555555555556E-4</v>
      </c>
      <c r="I88" s="11">
        <f>G88/0.93</f>
        <v>8.3991437674233382E-4</v>
      </c>
      <c r="J88" s="11">
        <f>G88/0.92</f>
        <v>8.4904388083735917E-4</v>
      </c>
      <c r="K88" s="11">
        <f>G88/0.88</f>
        <v>8.8763678451178466E-4</v>
      </c>
      <c r="L88" s="11">
        <f>G88/0.84</f>
        <v>9.2990520282186973E-4</v>
      </c>
      <c r="M88" s="25">
        <f>WO2025Jan7men11915171923252931333539414345474955575963656769717375777[[#This Row],[Thresh]]</f>
        <v>8.8763678451178466E-4</v>
      </c>
      <c r="N88" s="28">
        <f>WO2025Jan7men11915171923252931333539414345474955575963656769717375777[[#This Row],[Thresh]]*1.5</f>
        <v>1.3314551767676769E-3</v>
      </c>
      <c r="O88" s="25"/>
      <c r="P88" s="25"/>
      <c r="Q88" s="25"/>
      <c r="R88" s="25"/>
      <c r="S88" s="25"/>
      <c r="T88" s="25"/>
      <c r="U88" s="28"/>
      <c r="V88" s="25"/>
      <c r="W88" s="15" t="s">
        <v>35</v>
      </c>
      <c r="X88" s="52" t="s">
        <v>358</v>
      </c>
    </row>
    <row r="89" spans="1:24" ht="20.45" customHeight="1">
      <c r="A89" s="10" t="s">
        <v>110</v>
      </c>
      <c r="B89" s="11">
        <v>1.0069444444444445E-2</v>
      </c>
      <c r="C89" s="11">
        <v>2.8935185185185184E-3</v>
      </c>
      <c r="D89" s="11">
        <f>B89*E89</f>
        <v>5.8584027777777783E-3</v>
      </c>
      <c r="E89" s="12">
        <v>0.58179999999999998</v>
      </c>
      <c r="F89" s="11">
        <f>C89/4</f>
        <v>7.2337962962962959E-4</v>
      </c>
      <c r="G89" s="11">
        <f>D89/7.5</f>
        <v>7.811203703703705E-4</v>
      </c>
      <c r="H89" s="11">
        <f>B89/12.5</f>
        <v>8.0555555555555556E-4</v>
      </c>
      <c r="I89" s="11">
        <f>G89/0.93</f>
        <v>8.3991437674233382E-4</v>
      </c>
      <c r="J89" s="11">
        <f>G89/0.92</f>
        <v>8.4904388083735917E-4</v>
      </c>
      <c r="K89" s="11">
        <f>G89/0.88</f>
        <v>8.8763678451178466E-4</v>
      </c>
      <c r="L89" s="11">
        <f>G89/0.84</f>
        <v>9.2990520282186973E-4</v>
      </c>
      <c r="M89" s="25">
        <f>WO2025Jan7men11915171923252931333539414345474955575963656769717375777[[#This Row],[Thresh]]</f>
        <v>8.8763678451178466E-4</v>
      </c>
      <c r="N89" s="28">
        <f>WO2025Jan7men11915171923252931333539414345474955575963656769717375777[[#This Row],[Thresh]]*1.5</f>
        <v>1.3314551767676769E-3</v>
      </c>
      <c r="O89" s="25"/>
      <c r="P89" s="25"/>
      <c r="Q89" s="25"/>
      <c r="R89" s="25"/>
      <c r="S89" s="25"/>
      <c r="T89" s="25"/>
      <c r="U89" s="28"/>
      <c r="V89" s="25"/>
      <c r="W89" s="15" t="s">
        <v>35</v>
      </c>
      <c r="X89" s="52"/>
    </row>
    <row r="90" spans="1:24" ht="20.45" customHeight="1">
      <c r="A90" s="10" t="s">
        <v>116</v>
      </c>
      <c r="B90" s="11">
        <v>1.0243055555555556E-2</v>
      </c>
      <c r="C90" s="11">
        <v>2.9513888888888888E-3</v>
      </c>
      <c r="D90" s="11">
        <f>B90*E90</f>
        <v>5.9594097222222218E-3</v>
      </c>
      <c r="E90" s="12">
        <v>0.58179999999999998</v>
      </c>
      <c r="F90" s="11">
        <f>C90/4</f>
        <v>7.378472222222222E-4</v>
      </c>
      <c r="G90" s="11">
        <f>D90/7.5</f>
        <v>7.9458796296296287E-4</v>
      </c>
      <c r="H90" s="11">
        <f>B90/12.5</f>
        <v>8.1944444444444447E-4</v>
      </c>
      <c r="I90" s="11">
        <f>G90/0.93</f>
        <v>8.5439565909996003E-4</v>
      </c>
      <c r="J90" s="11">
        <f>G90/0.92</f>
        <v>8.636825684380031E-4</v>
      </c>
      <c r="K90" s="11">
        <f>G90/0.88</f>
        <v>9.0294086700336686E-4</v>
      </c>
      <c r="L90" s="17">
        <f>G90/0.84</f>
        <v>9.4593805114638445E-4</v>
      </c>
      <c r="M90" s="25">
        <f>WO2025Jan7men11915171923252931333539414345474955575963656769717375777[[#This Row],[Thresh]]</f>
        <v>9.0294086700336686E-4</v>
      </c>
      <c r="N90" s="28">
        <f>WO2025Jan7men11915171923252931333539414345474955575963656769717375777[[#This Row],[Thresh]]*1.5</f>
        <v>1.3544113005050503E-3</v>
      </c>
      <c r="O90" s="25"/>
      <c r="P90" s="25"/>
      <c r="Q90" s="25"/>
      <c r="R90" s="25"/>
      <c r="S90" s="25"/>
      <c r="T90" s="25"/>
      <c r="U90" s="28"/>
      <c r="V90" s="25"/>
      <c r="W90" s="15" t="s">
        <v>35</v>
      </c>
      <c r="X90" s="52"/>
    </row>
    <row r="91" spans="1:24" ht="20.45" customHeight="1">
      <c r="A91" s="10" t="s">
        <v>95</v>
      </c>
      <c r="B91" s="11">
        <v>1.0243055555555556E-2</v>
      </c>
      <c r="C91" s="11">
        <v>2.9513888888888888E-3</v>
      </c>
      <c r="D91" s="11">
        <f t="shared" ref="D91:D109" si="56">B91*E91</f>
        <v>5.9594097222222218E-3</v>
      </c>
      <c r="E91" s="12">
        <v>0.58179999999999998</v>
      </c>
      <c r="F91" s="11">
        <f t="shared" ref="F91:F109" si="57">C91/4</f>
        <v>7.378472222222222E-4</v>
      </c>
      <c r="G91" s="11">
        <f t="shared" ref="G91:G109" si="58">D91/7.5</f>
        <v>7.9458796296296287E-4</v>
      </c>
      <c r="H91" s="11">
        <f t="shared" ref="H91:H109" si="59">B91/12.5</f>
        <v>8.1944444444444447E-4</v>
      </c>
      <c r="I91" s="11">
        <f t="shared" ref="I91:I109" si="60">G91/0.93</f>
        <v>8.5439565909996003E-4</v>
      </c>
      <c r="J91" s="11">
        <f t="shared" ref="J91:J109" si="61">G91/0.92</f>
        <v>8.636825684380031E-4</v>
      </c>
      <c r="K91" s="11">
        <f t="shared" ref="K91:K109" si="62">G91/0.88</f>
        <v>9.0294086700336686E-4</v>
      </c>
      <c r="L91" s="11">
        <f t="shared" ref="L91:L109" si="63">G91/0.84</f>
        <v>9.4593805114638445E-4</v>
      </c>
      <c r="M91" s="25">
        <f>WO2025Jan7men11915171923252931333539414345474955575963656769717375777[[#This Row],[Thresh]]</f>
        <v>9.0294086700336686E-4</v>
      </c>
      <c r="N91" s="28">
        <f>WO2025Jan7men11915171923252931333539414345474955575963656769717375777[[#This Row],[Thresh]]*1.5</f>
        <v>1.3544113005050503E-3</v>
      </c>
      <c r="O91" s="25"/>
      <c r="P91" s="28"/>
      <c r="Q91" s="25"/>
      <c r="R91" s="28"/>
      <c r="S91" s="25"/>
      <c r="T91" s="28"/>
      <c r="U91" s="28"/>
      <c r="V91" s="25"/>
      <c r="W91" s="15" t="s">
        <v>35</v>
      </c>
      <c r="X91" s="52"/>
    </row>
    <row r="92" spans="1:24" ht="20.45" customHeight="1">
      <c r="A92" s="10" t="s">
        <v>94</v>
      </c>
      <c r="B92" s="11">
        <v>1.0416666666666666E-2</v>
      </c>
      <c r="C92" s="11">
        <v>2.8935185185185188E-3</v>
      </c>
      <c r="D92" s="11">
        <f t="shared" ref="D92:D98" si="64">B92*E92</f>
        <v>6.0604166666666662E-3</v>
      </c>
      <c r="E92" s="12">
        <v>0.58179999999999998</v>
      </c>
      <c r="F92" s="11">
        <f t="shared" ref="F92:F98" si="65">C92/4</f>
        <v>7.233796296296297E-4</v>
      </c>
      <c r="G92" s="11">
        <f t="shared" ref="G92:G98" si="66">D92/7.5</f>
        <v>8.0805555555555546E-4</v>
      </c>
      <c r="H92" s="11">
        <f t="shared" ref="H92:H98" si="67">B92/12.5</f>
        <v>8.3333333333333328E-4</v>
      </c>
      <c r="I92" s="11">
        <f t="shared" ref="I92:I98" si="68">G92/0.93</f>
        <v>8.6887694145758646E-4</v>
      </c>
      <c r="J92" s="11">
        <f t="shared" ref="J92:J98" si="69">G92/0.92</f>
        <v>8.7832125603864715E-4</v>
      </c>
      <c r="K92" s="11">
        <f t="shared" ref="K92:K98" si="70">G92/0.88</f>
        <v>9.1824494949494938E-4</v>
      </c>
      <c r="L92" s="17">
        <f t="shared" ref="L92:L98" si="71">G92/0.84</f>
        <v>9.6197089947089938E-4</v>
      </c>
      <c r="M92" s="25">
        <f>WO2025Jan7men11915171923252931333539414345474955575963656769717375777[[#This Row],[Thresh]]</f>
        <v>9.1824494949494938E-4</v>
      </c>
      <c r="N92" s="28">
        <f>WO2025Jan7men11915171923252931333539414345474955575963656769717375777[[#This Row],[Thresh]]*1.5</f>
        <v>1.3773674242424242E-3</v>
      </c>
      <c r="O92" s="25"/>
      <c r="P92" s="25"/>
      <c r="Q92" s="25"/>
      <c r="R92" s="25"/>
      <c r="S92" s="25"/>
      <c r="T92" s="25"/>
      <c r="U92" s="28"/>
      <c r="V92" s="25"/>
      <c r="W92" s="15" t="s">
        <v>35</v>
      </c>
      <c r="X92" s="52"/>
    </row>
    <row r="93" spans="1:24" ht="20.45" customHeight="1">
      <c r="A93" s="10" t="s">
        <v>119</v>
      </c>
      <c r="B93" s="11">
        <v>1.0416666666666666E-2</v>
      </c>
      <c r="C93" s="11"/>
      <c r="D93" s="11">
        <f t="shared" si="64"/>
        <v>6.0604166666666662E-3</v>
      </c>
      <c r="E93" s="12">
        <v>0.58179999999999998</v>
      </c>
      <c r="F93" s="11">
        <f t="shared" si="65"/>
        <v>0</v>
      </c>
      <c r="G93" s="11">
        <f t="shared" si="66"/>
        <v>8.0805555555555546E-4</v>
      </c>
      <c r="H93" s="11">
        <f t="shared" si="67"/>
        <v>8.3333333333333328E-4</v>
      </c>
      <c r="I93" s="11">
        <f t="shared" si="68"/>
        <v>8.6887694145758646E-4</v>
      </c>
      <c r="J93" s="11">
        <f t="shared" si="69"/>
        <v>8.7832125603864715E-4</v>
      </c>
      <c r="K93" s="11">
        <f t="shared" si="70"/>
        <v>9.1824494949494938E-4</v>
      </c>
      <c r="L93" s="11">
        <f t="shared" si="71"/>
        <v>9.6197089947089938E-4</v>
      </c>
      <c r="M93" s="25">
        <f>WO2025Jan7men11915171923252931333539414345474955575963656769717375777[[#This Row],[Thresh]]</f>
        <v>9.1824494949494938E-4</v>
      </c>
      <c r="N93" s="28">
        <f>WO2025Jan7men11915171923252931333539414345474955575963656769717375777[[#This Row],[Thresh]]*1.5</f>
        <v>1.3773674242424242E-3</v>
      </c>
      <c r="P93" s="26"/>
      <c r="Q93" s="26"/>
      <c r="R93" s="26"/>
      <c r="S93" s="14"/>
      <c r="T93" s="14"/>
      <c r="U93" s="26"/>
      <c r="V93" s="28"/>
      <c r="W93" s="27" t="s">
        <v>35</v>
      </c>
      <c r="X93" s="52"/>
    </row>
    <row r="94" spans="1:24" ht="20.45" customHeight="1">
      <c r="A94" s="10" t="s">
        <v>120</v>
      </c>
      <c r="B94" s="11">
        <v>1.0532407407407407E-2</v>
      </c>
      <c r="C94" s="11">
        <v>3.1250000000000002E-3</v>
      </c>
      <c r="D94" s="11">
        <f t="shared" si="64"/>
        <v>6.1277546296296288E-3</v>
      </c>
      <c r="E94" s="12">
        <v>0.58179999999999998</v>
      </c>
      <c r="F94" s="11">
        <f t="shared" si="65"/>
        <v>7.8125000000000004E-4</v>
      </c>
      <c r="G94" s="11">
        <f t="shared" si="66"/>
        <v>8.1703395061728389E-4</v>
      </c>
      <c r="H94" s="11">
        <f t="shared" si="67"/>
        <v>8.4259259259259259E-4</v>
      </c>
      <c r="I94" s="11">
        <f t="shared" si="68"/>
        <v>8.7853112969600415E-4</v>
      </c>
      <c r="J94" s="11">
        <f t="shared" si="69"/>
        <v>8.8808038110574329E-4</v>
      </c>
      <c r="K94" s="11">
        <f t="shared" si="70"/>
        <v>9.2844767115600447E-4</v>
      </c>
      <c r="L94" s="11">
        <f t="shared" si="71"/>
        <v>9.7265946502057604E-4</v>
      </c>
      <c r="M94" s="25">
        <f>WO2025Jan7men11915171923252931333539414345474955575963656769717375777[[#This Row],[Thresh]]</f>
        <v>9.2844767115600447E-4</v>
      </c>
      <c r="N94" s="28">
        <f>WO2025Jan7men11915171923252931333539414345474955575963656769717375777[[#This Row],[Thresh]]*1.5</f>
        <v>1.3926715067340066E-3</v>
      </c>
      <c r="O94" s="25"/>
      <c r="P94" s="25"/>
      <c r="Q94" s="25"/>
      <c r="R94" s="28"/>
      <c r="S94" s="25"/>
      <c r="T94" s="25"/>
      <c r="U94" s="28"/>
      <c r="V94" s="25"/>
      <c r="W94" s="15" t="s">
        <v>35</v>
      </c>
      <c r="X94" s="52"/>
    </row>
    <row r="95" spans="1:24" ht="20.45" customHeight="1">
      <c r="A95" s="10" t="s">
        <v>125</v>
      </c>
      <c r="B95" s="11">
        <v>1.0648148148148148E-2</v>
      </c>
      <c r="C95" s="11"/>
      <c r="D95" s="11">
        <f t="shared" si="64"/>
        <v>6.1950925925925923E-3</v>
      </c>
      <c r="E95" s="12">
        <v>0.58179999999999998</v>
      </c>
      <c r="F95" s="11">
        <f t="shared" si="65"/>
        <v>0</v>
      </c>
      <c r="G95" s="11">
        <f t="shared" si="66"/>
        <v>8.2601234567901232E-4</v>
      </c>
      <c r="H95" s="11">
        <f t="shared" si="67"/>
        <v>8.5185185185185179E-4</v>
      </c>
      <c r="I95" s="11">
        <f t="shared" si="68"/>
        <v>8.8818531793442184E-4</v>
      </c>
      <c r="J95" s="11">
        <f t="shared" si="69"/>
        <v>8.9783950617283942E-4</v>
      </c>
      <c r="K95" s="11">
        <f t="shared" si="70"/>
        <v>9.3865039281705945E-4</v>
      </c>
      <c r="L95" s="11">
        <f t="shared" si="71"/>
        <v>9.833480305702527E-4</v>
      </c>
      <c r="M95" s="25">
        <f>WO2025Jan7men11915171923252931333539414345474955575963656769717375777[[#This Row],[Thresh]]</f>
        <v>9.3865039281705945E-4</v>
      </c>
      <c r="N95" s="28">
        <f>WO2025Jan7men11915171923252931333539414345474955575963656769717375777[[#This Row],[Thresh]]*1.5</f>
        <v>1.4079755892255892E-3</v>
      </c>
      <c r="O95" s="25"/>
      <c r="P95" s="28"/>
      <c r="Q95" s="25"/>
      <c r="R95" s="28"/>
      <c r="S95" s="25"/>
      <c r="T95" s="25"/>
      <c r="U95" s="28"/>
      <c r="V95" s="28"/>
      <c r="W95" s="15" t="s">
        <v>35</v>
      </c>
      <c r="X95" s="52"/>
    </row>
    <row r="96" spans="1:24" ht="20.45" customHeight="1">
      <c r="A96" s="10" t="s">
        <v>264</v>
      </c>
      <c r="B96" s="11">
        <v>1.0648148148148148E-2</v>
      </c>
      <c r="C96" s="11"/>
      <c r="D96" s="11">
        <f t="shared" si="64"/>
        <v>6.1950925925925923E-3</v>
      </c>
      <c r="E96" s="12">
        <v>0.58179999999999998</v>
      </c>
      <c r="F96" s="11">
        <f t="shared" si="65"/>
        <v>0</v>
      </c>
      <c r="G96" s="11">
        <f t="shared" si="66"/>
        <v>8.2601234567901232E-4</v>
      </c>
      <c r="H96" s="11">
        <f t="shared" si="67"/>
        <v>8.5185185185185179E-4</v>
      </c>
      <c r="I96" s="11">
        <f t="shared" si="68"/>
        <v>8.8818531793442184E-4</v>
      </c>
      <c r="J96" s="11">
        <f t="shared" si="69"/>
        <v>8.9783950617283942E-4</v>
      </c>
      <c r="K96" s="11">
        <f t="shared" si="70"/>
        <v>9.3865039281705945E-4</v>
      </c>
      <c r="L96" s="11">
        <f t="shared" si="71"/>
        <v>9.833480305702527E-4</v>
      </c>
      <c r="M96" s="25">
        <f>WO2025Jan7men11915171923252931333539414345474955575963656769717375777[[#This Row],[Thresh]]</f>
        <v>9.3865039281705945E-4</v>
      </c>
      <c r="N96" s="28">
        <f>WO2025Jan7men11915171923252931333539414345474955575963656769717375777[[#This Row],[Thresh]]*1.5</f>
        <v>1.4079755892255892E-3</v>
      </c>
      <c r="P96" s="26"/>
      <c r="Q96" s="26"/>
      <c r="R96" s="26"/>
      <c r="S96" s="14"/>
      <c r="T96" s="14"/>
      <c r="U96" s="26"/>
      <c r="V96" s="28"/>
      <c r="W96" s="27" t="s">
        <v>35</v>
      </c>
      <c r="X96" s="52"/>
    </row>
    <row r="97" spans="1:24" ht="20.45" customHeight="1">
      <c r="A97" s="10" t="s">
        <v>126</v>
      </c>
      <c r="B97" s="11">
        <v>1.0648148148148148E-2</v>
      </c>
      <c r="C97" s="11"/>
      <c r="D97" s="11">
        <f t="shared" si="64"/>
        <v>6.1950925925925923E-3</v>
      </c>
      <c r="E97" s="12">
        <v>0.58179999999999998</v>
      </c>
      <c r="F97" s="11">
        <f t="shared" si="65"/>
        <v>0</v>
      </c>
      <c r="G97" s="11">
        <f t="shared" si="66"/>
        <v>8.2601234567901232E-4</v>
      </c>
      <c r="H97" s="11">
        <f t="shared" si="67"/>
        <v>8.5185185185185179E-4</v>
      </c>
      <c r="I97" s="11">
        <f t="shared" si="68"/>
        <v>8.8818531793442184E-4</v>
      </c>
      <c r="J97" s="11">
        <f t="shared" si="69"/>
        <v>8.9783950617283942E-4</v>
      </c>
      <c r="K97" s="11">
        <f t="shared" si="70"/>
        <v>9.3865039281705945E-4</v>
      </c>
      <c r="L97" s="11">
        <f t="shared" si="71"/>
        <v>9.833480305702527E-4</v>
      </c>
      <c r="M97" s="25">
        <f>WO2025Jan7men11915171923252931333539414345474955575963656769717375777[[#This Row],[Thresh]]</f>
        <v>9.3865039281705945E-4</v>
      </c>
      <c r="N97" s="28">
        <f>WO2025Jan7men11915171923252931333539414345474955575963656769717375777[[#This Row],[Thresh]]*1.5</f>
        <v>1.4079755892255892E-3</v>
      </c>
      <c r="O97" s="25"/>
      <c r="P97" s="28"/>
      <c r="Q97" s="25"/>
      <c r="R97" s="28"/>
      <c r="S97" s="25"/>
      <c r="T97" s="25"/>
      <c r="U97" s="28"/>
      <c r="V97" s="28"/>
      <c r="W97" s="27" t="s">
        <v>35</v>
      </c>
      <c r="X97" s="52"/>
    </row>
    <row r="98" spans="1:24" ht="20.45" customHeight="1">
      <c r="A98" s="10" t="s">
        <v>121</v>
      </c>
      <c r="B98" s="11">
        <v>1.0648148148148148E-2</v>
      </c>
      <c r="C98" s="11"/>
      <c r="D98" s="11">
        <f t="shared" si="64"/>
        <v>6.1950925925925923E-3</v>
      </c>
      <c r="E98" s="12">
        <v>0.58179999999999998</v>
      </c>
      <c r="F98" s="11">
        <f t="shared" si="65"/>
        <v>0</v>
      </c>
      <c r="G98" s="11">
        <f t="shared" si="66"/>
        <v>8.2601234567901232E-4</v>
      </c>
      <c r="H98" s="11">
        <f t="shared" si="67"/>
        <v>8.5185185185185179E-4</v>
      </c>
      <c r="I98" s="11">
        <f t="shared" si="68"/>
        <v>8.8818531793442184E-4</v>
      </c>
      <c r="J98" s="11">
        <f t="shared" si="69"/>
        <v>8.9783950617283942E-4</v>
      </c>
      <c r="K98" s="11">
        <f t="shared" si="70"/>
        <v>9.3865039281705945E-4</v>
      </c>
      <c r="L98" s="11">
        <f t="shared" si="71"/>
        <v>9.833480305702527E-4</v>
      </c>
      <c r="M98" s="25">
        <f>WO2025Jan7men11915171923252931333539414345474955575963656769717375777[[#This Row],[Thresh]]</f>
        <v>9.3865039281705945E-4</v>
      </c>
      <c r="N98" s="28">
        <f>WO2025Jan7men11915171923252931333539414345474955575963656769717375777[[#This Row],[Thresh]]*1.5</f>
        <v>1.4079755892255892E-3</v>
      </c>
      <c r="P98" s="26"/>
      <c r="Q98" s="26"/>
      <c r="R98" s="26"/>
      <c r="S98" s="14"/>
      <c r="T98" s="14"/>
      <c r="U98" s="26"/>
      <c r="V98" s="28"/>
      <c r="W98" s="27" t="s">
        <v>35</v>
      </c>
      <c r="X98" s="50"/>
    </row>
    <row r="99" spans="1:24" ht="20.45" customHeight="1">
      <c r="A99" s="10" t="s">
        <v>124</v>
      </c>
      <c r="B99" s="11">
        <v>1.0763888888888889E-2</v>
      </c>
      <c r="C99" s="11"/>
      <c r="D99" s="11">
        <f t="shared" ref="D99:D100" si="72">B99*E99</f>
        <v>6.2624305555555549E-3</v>
      </c>
      <c r="E99" s="12">
        <v>0.58179999999999998</v>
      </c>
      <c r="F99" s="11">
        <f t="shared" ref="F99:F100" si="73">C99/4</f>
        <v>0</v>
      </c>
      <c r="G99" s="11">
        <f t="shared" ref="G99:G100" si="74">D99/7.5</f>
        <v>8.3499074074074064E-4</v>
      </c>
      <c r="H99" s="11">
        <f t="shared" ref="H99:H100" si="75">B99/12.5</f>
        <v>8.611111111111111E-4</v>
      </c>
      <c r="I99" s="11">
        <f t="shared" ref="I99:I100" si="76">G99/0.93</f>
        <v>8.9783950617283931E-4</v>
      </c>
      <c r="J99" s="11">
        <f t="shared" ref="J99:J100" si="77">G99/0.92</f>
        <v>9.0759863123993545E-4</v>
      </c>
      <c r="K99" s="11">
        <f t="shared" ref="K99:K100" si="78">G99/0.88</f>
        <v>9.4885311447811432E-4</v>
      </c>
      <c r="L99" s="11">
        <f t="shared" ref="L99:L100" si="79">G99/0.84</f>
        <v>9.9403659611992947E-4</v>
      </c>
      <c r="M99" s="25">
        <f>WO2025Jan7men11915171923252931333539414345474955575963656769717375777[[#This Row],[Thresh]]</f>
        <v>9.4885311447811432E-4</v>
      </c>
      <c r="N99" s="28">
        <f>WO2025Jan7men11915171923252931333539414345474955575963656769717375777[[#This Row],[Thresh]]*1.5</f>
        <v>1.4232796717171714E-3</v>
      </c>
      <c r="P99" s="26"/>
      <c r="Q99" s="26"/>
      <c r="R99" s="26"/>
      <c r="S99" s="14"/>
      <c r="T99" s="14"/>
      <c r="U99" s="26"/>
      <c r="V99" s="28"/>
      <c r="W99" s="27" t="s">
        <v>35</v>
      </c>
      <c r="X99" s="50"/>
    </row>
    <row r="100" spans="1:24" ht="20.45" customHeight="1">
      <c r="A100" s="10" t="s">
        <v>114</v>
      </c>
      <c r="B100" s="11">
        <v>1.0763888888888889E-2</v>
      </c>
      <c r="C100" s="11"/>
      <c r="D100" s="11">
        <f t="shared" si="72"/>
        <v>6.2624305555555549E-3</v>
      </c>
      <c r="E100" s="12">
        <v>0.58179999999999998</v>
      </c>
      <c r="F100" s="11">
        <f t="shared" si="73"/>
        <v>0</v>
      </c>
      <c r="G100" s="11">
        <f t="shared" si="74"/>
        <v>8.3499074074074064E-4</v>
      </c>
      <c r="H100" s="11">
        <f t="shared" si="75"/>
        <v>8.611111111111111E-4</v>
      </c>
      <c r="I100" s="11">
        <f t="shared" si="76"/>
        <v>8.9783950617283931E-4</v>
      </c>
      <c r="J100" s="11">
        <f t="shared" si="77"/>
        <v>9.0759863123993545E-4</v>
      </c>
      <c r="K100" s="11">
        <f t="shared" si="78"/>
        <v>9.4885311447811432E-4</v>
      </c>
      <c r="L100" s="11">
        <f t="shared" si="79"/>
        <v>9.9403659611992947E-4</v>
      </c>
      <c r="M100" s="25">
        <f>WO2025Jan7men11915171923252931333539414345474955575963656769717375777[[#This Row],[Thresh]]</f>
        <v>9.4885311447811432E-4</v>
      </c>
      <c r="N100" s="28">
        <f>WO2025Jan7men11915171923252931333539414345474955575963656769717375777[[#This Row],[Thresh]]*1.5</f>
        <v>1.4232796717171714E-3</v>
      </c>
      <c r="O100" s="25"/>
      <c r="P100" s="28"/>
      <c r="Q100" s="25"/>
      <c r="R100" s="28"/>
      <c r="S100" s="25"/>
      <c r="T100" s="25"/>
      <c r="U100" s="28"/>
      <c r="V100" s="28"/>
      <c r="W100" s="15" t="s">
        <v>35</v>
      </c>
      <c r="X100" s="50"/>
    </row>
    <row r="101" spans="1:24" ht="20.45" customHeight="1">
      <c r="A101" s="10" t="s">
        <v>130</v>
      </c>
      <c r="B101" s="11">
        <v>1.087962962962963E-2</v>
      </c>
      <c r="C101" s="11">
        <v>3.1828703703703702E-3</v>
      </c>
      <c r="D101" s="11">
        <f>B101*E101</f>
        <v>6.3297685185185184E-3</v>
      </c>
      <c r="E101" s="12">
        <v>0.58179999999999998</v>
      </c>
      <c r="F101" s="11">
        <f>C101/4</f>
        <v>7.9571759259259255E-4</v>
      </c>
      <c r="G101" s="11">
        <f>D101/7.5</f>
        <v>8.4396913580246917E-4</v>
      </c>
      <c r="H101" s="11">
        <f>B101/12.5</f>
        <v>8.7037037037037042E-4</v>
      </c>
      <c r="I101" s="11">
        <f>G101/0.93</f>
        <v>9.0749369441125711E-4</v>
      </c>
      <c r="J101" s="11">
        <f>G101/0.92</f>
        <v>9.173577563070317E-4</v>
      </c>
      <c r="K101" s="11">
        <f>G101/0.88</f>
        <v>9.5905583613916951E-4</v>
      </c>
      <c r="L101" s="11">
        <f>G101/0.84</f>
        <v>1.0047251616696062E-3</v>
      </c>
      <c r="M101" s="25">
        <f>WO2025Jan7men11915171923252931333539414345474955575963656769717375777[[#This Row],[Thresh]]</f>
        <v>9.5905583613916951E-4</v>
      </c>
      <c r="N101" s="28">
        <f>WO2025Jan7men11915171923252931333539414345474955575963656769717375777[[#This Row],[Thresh]]*1.5</f>
        <v>1.4385837542087543E-3</v>
      </c>
      <c r="O101" s="25"/>
      <c r="P101" s="28"/>
      <c r="Q101" s="25"/>
      <c r="R101" s="28"/>
      <c r="S101" s="25"/>
      <c r="T101" s="25"/>
      <c r="U101" s="28"/>
      <c r="V101" s="28"/>
      <c r="W101" s="27" t="s">
        <v>35</v>
      </c>
      <c r="X101" s="50"/>
    </row>
    <row r="102" spans="1:24" ht="20.45" customHeight="1">
      <c r="A102" s="10" t="s">
        <v>137</v>
      </c>
      <c r="B102" s="11">
        <v>1.087962962962963E-2</v>
      </c>
      <c r="C102" s="11"/>
      <c r="D102" s="11">
        <f>B102*E102</f>
        <v>6.3297685185185184E-3</v>
      </c>
      <c r="E102" s="12">
        <v>0.58179999999999998</v>
      </c>
      <c r="F102" s="11">
        <f>C102/4</f>
        <v>0</v>
      </c>
      <c r="G102" s="11">
        <f>D102/7.5</f>
        <v>8.4396913580246917E-4</v>
      </c>
      <c r="H102" s="11">
        <f>B102/12.5</f>
        <v>8.7037037037037042E-4</v>
      </c>
      <c r="I102" s="11">
        <f>G102/0.93</f>
        <v>9.0749369441125711E-4</v>
      </c>
      <c r="J102" s="11">
        <f>G102/0.92</f>
        <v>9.173577563070317E-4</v>
      </c>
      <c r="K102" s="11">
        <f>G102/0.88</f>
        <v>9.5905583613916951E-4</v>
      </c>
      <c r="L102" s="11">
        <f>G102/0.84</f>
        <v>1.0047251616696062E-3</v>
      </c>
      <c r="M102" s="25">
        <f>WO2025Jan7men11915171923252931333539414345474955575963656769717375777[[#This Row],[Thresh]]</f>
        <v>9.5905583613916951E-4</v>
      </c>
      <c r="N102" s="28">
        <f>WO2025Jan7men11915171923252931333539414345474955575963656769717375777[[#This Row],[Thresh]]*1.5</f>
        <v>1.4385837542087543E-3</v>
      </c>
      <c r="O102" s="25"/>
      <c r="P102" s="28"/>
      <c r="Q102" s="25"/>
      <c r="R102" s="28"/>
      <c r="S102" s="25"/>
      <c r="T102" s="25"/>
      <c r="U102" s="28"/>
      <c r="V102" s="28"/>
      <c r="W102" s="15" t="s">
        <v>35</v>
      </c>
      <c r="X102" s="50"/>
    </row>
    <row r="103" spans="1:24" ht="20.45" customHeight="1">
      <c r="A103" s="10" t="s">
        <v>132</v>
      </c>
      <c r="B103" s="11">
        <v>1.087962962962963E-2</v>
      </c>
      <c r="C103" s="11"/>
      <c r="D103" s="11">
        <f>B103*E103</f>
        <v>6.3297685185185184E-3</v>
      </c>
      <c r="E103" s="12">
        <v>0.58179999999999998</v>
      </c>
      <c r="F103" s="11">
        <f>C103/4</f>
        <v>0</v>
      </c>
      <c r="G103" s="11">
        <f>D103/7.5</f>
        <v>8.4396913580246917E-4</v>
      </c>
      <c r="H103" s="11">
        <f>B103/12.5</f>
        <v>8.7037037037037042E-4</v>
      </c>
      <c r="I103" s="11">
        <f>G103/0.93</f>
        <v>9.0749369441125711E-4</v>
      </c>
      <c r="J103" s="11">
        <f>G103/0.92</f>
        <v>9.173577563070317E-4</v>
      </c>
      <c r="K103" s="11">
        <f>G103/0.88</f>
        <v>9.5905583613916951E-4</v>
      </c>
      <c r="L103" s="11">
        <f>G103/0.84</f>
        <v>1.0047251616696062E-3</v>
      </c>
      <c r="M103" s="25">
        <f>WO2025Jan7men11915171923252931333539414345474955575963656769717375777[[#This Row],[Thresh]]</f>
        <v>9.5905583613916951E-4</v>
      </c>
      <c r="N103" s="28">
        <f>WO2025Jan7men11915171923252931333539414345474955575963656769717375777[[#This Row],[Thresh]]*1.5</f>
        <v>1.4385837542087543E-3</v>
      </c>
      <c r="P103" s="26"/>
      <c r="Q103" s="26"/>
      <c r="R103" s="26"/>
      <c r="S103" s="14"/>
      <c r="T103" s="14"/>
      <c r="U103" s="26"/>
      <c r="V103" s="28"/>
      <c r="W103" s="27" t="s">
        <v>35</v>
      </c>
      <c r="X103" s="50"/>
    </row>
    <row r="104" spans="1:24" ht="20.45" customHeight="1">
      <c r="A104" s="10" t="s">
        <v>100</v>
      </c>
      <c r="B104" s="11">
        <v>1.087962962962963E-2</v>
      </c>
      <c r="C104" s="11">
        <v>3.0671296296296297E-3</v>
      </c>
      <c r="D104" s="11">
        <f>B104*E104</f>
        <v>6.3297685185185184E-3</v>
      </c>
      <c r="E104" s="12">
        <v>0.58179999999999998</v>
      </c>
      <c r="F104" s="11">
        <f>C104/4</f>
        <v>7.6678240740740743E-4</v>
      </c>
      <c r="G104" s="11">
        <f>D104/7.5</f>
        <v>8.4396913580246917E-4</v>
      </c>
      <c r="H104" s="11">
        <f>B104/12.5</f>
        <v>8.7037037037037042E-4</v>
      </c>
      <c r="I104" s="11">
        <f>G104/0.93</f>
        <v>9.0749369441125711E-4</v>
      </c>
      <c r="J104" s="11">
        <f>G104/0.92</f>
        <v>9.173577563070317E-4</v>
      </c>
      <c r="K104" s="11">
        <f>G104/0.88</f>
        <v>9.5905583613916951E-4</v>
      </c>
      <c r="L104" s="17">
        <f>G104/0.84</f>
        <v>1.0047251616696062E-3</v>
      </c>
      <c r="M104" s="25">
        <f>WO2025Jan7men11915171923252931333539414345474955575963656769717375777[[#This Row],[Thresh]]</f>
        <v>9.5905583613916951E-4</v>
      </c>
      <c r="N104" s="28">
        <f>WO2025Jan7men11915171923252931333539414345474955575963656769717375777[[#This Row],[Thresh]]*1.5</f>
        <v>1.4385837542087543E-3</v>
      </c>
      <c r="O104" s="25"/>
      <c r="P104" s="28"/>
      <c r="Q104" s="25"/>
      <c r="R104" s="28"/>
      <c r="S104" s="25"/>
      <c r="T104" s="28"/>
      <c r="U104" s="28"/>
      <c r="V104" s="25"/>
      <c r="W104" s="15" t="s">
        <v>35</v>
      </c>
      <c r="X104" s="50"/>
    </row>
    <row r="105" spans="1:24" ht="20.45" customHeight="1">
      <c r="A105" s="10" t="s">
        <v>133</v>
      </c>
      <c r="B105" s="11">
        <v>1.0937499999999999E-2</v>
      </c>
      <c r="C105" s="11">
        <v>3.1250000000000002E-3</v>
      </c>
      <c r="D105" s="11">
        <f>B105*E105</f>
        <v>6.3634374999999993E-3</v>
      </c>
      <c r="E105" s="12">
        <v>0.58179999999999998</v>
      </c>
      <c r="F105" s="11">
        <f>C105/4</f>
        <v>7.8125000000000004E-4</v>
      </c>
      <c r="G105" s="11">
        <f>D105/7.5</f>
        <v>8.4845833333333323E-4</v>
      </c>
      <c r="H105" s="11">
        <f>B105/12.5</f>
        <v>8.7499999999999991E-4</v>
      </c>
      <c r="I105" s="11">
        <f>G105/0.93</f>
        <v>9.1232078853046574E-4</v>
      </c>
      <c r="J105" s="11">
        <f>G105/0.92</f>
        <v>9.222373188405796E-4</v>
      </c>
      <c r="K105" s="11">
        <f>G105/0.88</f>
        <v>9.6415719696969684E-4</v>
      </c>
      <c r="L105" s="11">
        <f>G105/0.84</f>
        <v>1.0100694444444443E-3</v>
      </c>
      <c r="M105" s="25">
        <f>WO2025Jan7men11915171923252931333539414345474955575963656769717375777[[#This Row],[Thresh]]</f>
        <v>9.6415719696969684E-4</v>
      </c>
      <c r="N105" s="28">
        <f>WO2025Jan7men11915171923252931333539414345474955575963656769717375777[[#This Row],[Thresh]]*1.5</f>
        <v>1.4462357954545453E-3</v>
      </c>
      <c r="O105" s="25"/>
      <c r="P105" s="25"/>
      <c r="Q105" s="25"/>
      <c r="R105" s="25"/>
      <c r="S105" s="25"/>
      <c r="T105" s="25"/>
      <c r="U105" s="28"/>
      <c r="V105" s="25"/>
      <c r="W105" s="15" t="s">
        <v>35</v>
      </c>
      <c r="X105" s="50"/>
    </row>
    <row r="106" spans="1:24" ht="20.45" customHeight="1">
      <c r="A106" s="10" t="s">
        <v>113</v>
      </c>
      <c r="B106" s="11">
        <v>1.0937499999999999E-2</v>
      </c>
      <c r="C106" s="11">
        <v>3.2986111111111111E-3</v>
      </c>
      <c r="D106" s="11">
        <f t="shared" si="56"/>
        <v>6.3634374999999993E-3</v>
      </c>
      <c r="E106" s="12">
        <v>0.58179999999999998</v>
      </c>
      <c r="F106" s="11">
        <f t="shared" si="57"/>
        <v>8.2465277777777778E-4</v>
      </c>
      <c r="G106" s="11">
        <f t="shared" si="58"/>
        <v>8.4845833333333323E-4</v>
      </c>
      <c r="H106" s="11">
        <f t="shared" si="59"/>
        <v>8.7499999999999991E-4</v>
      </c>
      <c r="I106" s="11">
        <f t="shared" si="60"/>
        <v>9.1232078853046574E-4</v>
      </c>
      <c r="J106" s="11">
        <f t="shared" si="61"/>
        <v>9.222373188405796E-4</v>
      </c>
      <c r="K106" s="11">
        <f t="shared" si="62"/>
        <v>9.6415719696969684E-4</v>
      </c>
      <c r="L106" s="11">
        <f t="shared" si="63"/>
        <v>1.0100694444444443E-3</v>
      </c>
      <c r="M106" s="25">
        <f>WO2025Jan7men11915171923252931333539414345474955575963656769717375777[[#This Row],[Thresh]]</f>
        <v>9.6415719696969684E-4</v>
      </c>
      <c r="N106" s="28">
        <f>WO2025Jan7men11915171923252931333539414345474955575963656769717375777[[#This Row],[Thresh]]*1.5</f>
        <v>1.4462357954545453E-3</v>
      </c>
      <c r="O106" s="25"/>
      <c r="P106" s="25"/>
      <c r="Q106" s="28"/>
      <c r="R106" s="28"/>
      <c r="S106" s="25"/>
      <c r="T106" s="25"/>
      <c r="U106" s="28"/>
      <c r="V106" s="25"/>
      <c r="W106" s="15" t="s">
        <v>35</v>
      </c>
      <c r="X106" s="50"/>
    </row>
    <row r="107" spans="1:24" ht="20.45" customHeight="1">
      <c r="A107" s="10" t="s">
        <v>128</v>
      </c>
      <c r="B107" s="11">
        <v>1.1111111111111112E-2</v>
      </c>
      <c r="C107" s="11"/>
      <c r="D107" s="11">
        <f>B107*E107</f>
        <v>6.4644444444444445E-3</v>
      </c>
      <c r="E107" s="12">
        <v>0.58179999999999998</v>
      </c>
      <c r="F107" s="11">
        <f>C107/4</f>
        <v>0</v>
      </c>
      <c r="G107" s="11">
        <f>D107/7.5</f>
        <v>8.6192592592592592E-4</v>
      </c>
      <c r="H107" s="11">
        <f>B107/12.5</f>
        <v>8.8888888888888893E-4</v>
      </c>
      <c r="I107" s="11">
        <f>G107/0.93</f>
        <v>9.2680207088809239E-4</v>
      </c>
      <c r="J107" s="11">
        <f>G107/0.92</f>
        <v>9.3687600644122375E-4</v>
      </c>
      <c r="K107" s="11">
        <f>G107/0.88</f>
        <v>9.7946127946127947E-4</v>
      </c>
      <c r="L107" s="11">
        <f>G107/0.84</f>
        <v>1.0261022927689596E-3</v>
      </c>
      <c r="M107" s="25">
        <f>WO2025Jan7men11915171923252931333539414345474955575963656769717375777[[#This Row],[Thresh]]</f>
        <v>9.7946127946127947E-4</v>
      </c>
      <c r="N107" s="28">
        <f>WO2025Jan7men11915171923252931333539414345474955575963656769717375777[[#This Row],[Thresh]]*1.5</f>
        <v>1.4691919191919191E-3</v>
      </c>
      <c r="P107" s="26"/>
      <c r="Q107" s="26"/>
      <c r="R107" s="26"/>
      <c r="S107" s="14"/>
      <c r="T107" s="14"/>
      <c r="U107" s="26"/>
      <c r="V107" s="28"/>
      <c r="W107" s="27" t="s">
        <v>35</v>
      </c>
      <c r="X107" s="50"/>
    </row>
    <row r="108" spans="1:24" ht="20.45" customHeight="1">
      <c r="A108" s="10" t="s">
        <v>136</v>
      </c>
      <c r="B108" s="11">
        <v>1.1111111111111112E-2</v>
      </c>
      <c r="C108" s="11">
        <v>3.1828703703703702E-3</v>
      </c>
      <c r="D108" s="11">
        <f>B108*E108</f>
        <v>6.4644444444444445E-3</v>
      </c>
      <c r="E108" s="12">
        <v>0.58179999999999998</v>
      </c>
      <c r="F108" s="11">
        <f>C108/4</f>
        <v>7.9571759259259255E-4</v>
      </c>
      <c r="G108" s="11">
        <f>D108/7.5</f>
        <v>8.6192592592592592E-4</v>
      </c>
      <c r="H108" s="11">
        <f>B108/12.5</f>
        <v>8.8888888888888893E-4</v>
      </c>
      <c r="I108" s="11">
        <f>G108/0.93</f>
        <v>9.2680207088809239E-4</v>
      </c>
      <c r="J108" s="11">
        <f>G108/0.92</f>
        <v>9.3687600644122375E-4</v>
      </c>
      <c r="K108" s="11">
        <f>G108/0.88</f>
        <v>9.7946127946127947E-4</v>
      </c>
      <c r="L108" s="11">
        <f>G108/0.84</f>
        <v>1.0261022927689596E-3</v>
      </c>
      <c r="M108" s="25">
        <f>WO2025Jan7men11915171923252931333539414345474955575963656769717375777[[#This Row],[Thresh]]</f>
        <v>9.7946127946127947E-4</v>
      </c>
      <c r="N108" s="28">
        <f>WO2025Jan7men11915171923252931333539414345474955575963656769717375777[[#This Row],[Thresh]]*1.5</f>
        <v>1.4691919191919191E-3</v>
      </c>
      <c r="O108" s="25"/>
      <c r="P108" s="25"/>
      <c r="Q108" s="25"/>
      <c r="R108" s="25"/>
      <c r="S108" s="25"/>
      <c r="T108" s="25"/>
      <c r="U108" s="28"/>
      <c r="V108" s="25"/>
      <c r="W108" s="15" t="s">
        <v>35</v>
      </c>
      <c r="X108" s="52"/>
    </row>
    <row r="109" spans="1:24" ht="20.45" customHeight="1">
      <c r="A109" s="10" t="s">
        <v>107</v>
      </c>
      <c r="B109" s="11">
        <v>1.1111111111111112E-2</v>
      </c>
      <c r="C109" s="11">
        <v>3.2407407407407406E-3</v>
      </c>
      <c r="D109" s="11">
        <f t="shared" si="56"/>
        <v>6.4644444444444445E-3</v>
      </c>
      <c r="E109" s="12">
        <v>0.58179999999999998</v>
      </c>
      <c r="F109" s="11">
        <f t="shared" si="57"/>
        <v>8.1018518518518516E-4</v>
      </c>
      <c r="G109" s="11">
        <f t="shared" si="58"/>
        <v>8.6192592592592592E-4</v>
      </c>
      <c r="H109" s="11">
        <f t="shared" si="59"/>
        <v>8.8888888888888893E-4</v>
      </c>
      <c r="I109" s="11">
        <f t="shared" si="60"/>
        <v>9.2680207088809239E-4</v>
      </c>
      <c r="J109" s="11">
        <f t="shared" si="61"/>
        <v>9.3687600644122375E-4</v>
      </c>
      <c r="K109" s="11">
        <f t="shared" si="62"/>
        <v>9.7946127946127947E-4</v>
      </c>
      <c r="L109" s="11">
        <f t="shared" si="63"/>
        <v>1.0261022927689596E-3</v>
      </c>
      <c r="M109" s="25">
        <f>WO2025Jan7men11915171923252931333539414345474955575963656769717375777[[#This Row],[Thresh]]</f>
        <v>9.7946127946127947E-4</v>
      </c>
      <c r="N109" s="28">
        <f>WO2025Jan7men11915171923252931333539414345474955575963656769717375777[[#This Row],[Thresh]]*1.5</f>
        <v>1.4691919191919191E-3</v>
      </c>
      <c r="O109" s="25"/>
      <c r="P109" s="28"/>
      <c r="Q109" s="25"/>
      <c r="R109" s="28"/>
      <c r="S109" s="25"/>
      <c r="T109" s="25"/>
      <c r="U109" s="28"/>
      <c r="V109" s="28"/>
      <c r="W109" s="15" t="s">
        <v>35</v>
      </c>
      <c r="X109" s="52"/>
    </row>
    <row r="110" spans="1:24" ht="20.45" customHeight="1">
      <c r="A110" s="10" t="s">
        <v>134</v>
      </c>
      <c r="B110" s="11">
        <v>1.1458333333333333E-2</v>
      </c>
      <c r="C110" s="11"/>
      <c r="D110" s="11">
        <f>B110*E110</f>
        <v>6.6664583333333324E-3</v>
      </c>
      <c r="E110" s="12">
        <v>0.58179999999999998</v>
      </c>
      <c r="F110" s="11">
        <f>C110/4</f>
        <v>0</v>
      </c>
      <c r="G110" s="11">
        <f>D110/7.5</f>
        <v>8.8886111111111099E-4</v>
      </c>
      <c r="H110" s="11">
        <f>B110/12.5</f>
        <v>9.1666666666666665E-4</v>
      </c>
      <c r="I110" s="11">
        <f>G110/0.93</f>
        <v>9.5576463560334514E-4</v>
      </c>
      <c r="J110" s="11">
        <f>G110/0.92</f>
        <v>9.6615338164251195E-4</v>
      </c>
      <c r="K110" s="11">
        <f>G110/0.88</f>
        <v>1.0100694444444443E-3</v>
      </c>
      <c r="L110" s="11">
        <f>G110/0.84</f>
        <v>1.0581679894179892E-3</v>
      </c>
      <c r="M110" s="25">
        <f>WO2025Jan7men11915171923252931333539414345474955575963656769717375777[[#This Row],[Thresh]]</f>
        <v>1.0100694444444443E-3</v>
      </c>
      <c r="N110" s="28">
        <f>WO2025Jan7men11915171923252931333539414345474955575963656769717375777[[#This Row],[Thresh]]*1.5</f>
        <v>1.5151041666666663E-3</v>
      </c>
      <c r="P110" s="26"/>
      <c r="Q110" s="26"/>
      <c r="R110" s="26"/>
      <c r="S110" s="14"/>
      <c r="T110" s="14"/>
      <c r="U110" s="26"/>
      <c r="V110" s="28"/>
      <c r="W110" s="27" t="s">
        <v>35</v>
      </c>
      <c r="X110" s="52"/>
    </row>
    <row r="111" spans="1:24" ht="20.45" customHeight="1">
      <c r="A111" s="10" t="s">
        <v>135</v>
      </c>
      <c r="B111" s="11">
        <v>1.1631944444444445E-2</v>
      </c>
      <c r="C111" s="11">
        <v>3.414351851851852E-3</v>
      </c>
      <c r="D111" s="11">
        <f>B111*E111</f>
        <v>6.7674652777777776E-3</v>
      </c>
      <c r="E111" s="12">
        <v>0.58179999999999998</v>
      </c>
      <c r="F111" s="11">
        <f>C111/4</f>
        <v>8.53587962962963E-4</v>
      </c>
      <c r="G111" s="11">
        <f>D111/7.5</f>
        <v>9.0232870370370369E-4</v>
      </c>
      <c r="H111" s="11">
        <f>B111/12.5</f>
        <v>9.3055555555555556E-4</v>
      </c>
      <c r="I111" s="11">
        <f>G111/0.93</f>
        <v>9.7024591796097167E-4</v>
      </c>
      <c r="J111" s="11">
        <f>G111/0.92</f>
        <v>9.8079206924315621E-4</v>
      </c>
      <c r="K111" s="11">
        <f>G111/0.88</f>
        <v>1.0253735269360269E-3</v>
      </c>
      <c r="L111" s="17">
        <f>G111/0.84</f>
        <v>1.0742008377425045E-3</v>
      </c>
      <c r="M111" s="25">
        <f>WO2025Jan7men11915171923252931333539414345474955575963656769717375777[[#This Row],[Thresh]]</f>
        <v>1.0253735269360269E-3</v>
      </c>
      <c r="N111" s="28">
        <f>WO2025Jan7men11915171923252931333539414345474955575963656769717375777[[#This Row],[Thresh]]*1.5</f>
        <v>1.5380602904040404E-3</v>
      </c>
      <c r="O111" s="25"/>
      <c r="P111" s="25"/>
      <c r="Q111" s="28"/>
      <c r="R111" s="28"/>
      <c r="S111" s="25"/>
      <c r="T111" s="25"/>
      <c r="U111" s="28"/>
      <c r="V111" s="44"/>
      <c r="W111" s="28" t="s">
        <v>35</v>
      </c>
      <c r="X111" s="52"/>
    </row>
    <row r="112" spans="1:24" ht="20.45" customHeight="1">
      <c r="A112" s="10"/>
      <c r="B112" s="11"/>
      <c r="C112" s="11"/>
      <c r="D112" s="11"/>
      <c r="E112" s="12"/>
      <c r="F112" s="11"/>
      <c r="G112" s="11"/>
      <c r="H112" s="11"/>
      <c r="I112" s="11"/>
      <c r="J112" s="11"/>
      <c r="K112" s="11"/>
      <c r="L112" s="11"/>
      <c r="M112" s="25"/>
      <c r="N112" s="28"/>
      <c r="O112" s="25"/>
      <c r="P112" s="28"/>
      <c r="Q112" s="25"/>
      <c r="R112" s="28"/>
      <c r="S112" s="25"/>
      <c r="T112" s="25"/>
      <c r="U112" s="28"/>
      <c r="V112" s="25"/>
      <c r="W112" s="27"/>
      <c r="X112" s="52"/>
    </row>
    <row r="113" spans="1:24" ht="20.45" customHeight="1">
      <c r="A113" s="10"/>
      <c r="B113" s="11"/>
      <c r="C113" s="11"/>
      <c r="D113" s="11"/>
      <c r="E113" s="12"/>
      <c r="F113" s="11"/>
      <c r="G113" s="11"/>
      <c r="H113" s="11"/>
      <c r="I113" s="11"/>
      <c r="J113" s="11"/>
      <c r="K113" s="11"/>
      <c r="L113" s="11"/>
      <c r="M113" s="25"/>
      <c r="N113" s="28"/>
      <c r="O113" s="25"/>
      <c r="P113" s="25"/>
      <c r="Q113" s="25"/>
      <c r="R113" s="28"/>
      <c r="S113" s="25"/>
      <c r="T113" s="25"/>
      <c r="U113" s="28"/>
      <c r="V113" s="25"/>
      <c r="W113" s="15"/>
      <c r="X113" s="52"/>
    </row>
    <row r="114" spans="1:24" ht="20.45" customHeight="1">
      <c r="A114" s="10"/>
      <c r="B114" s="11"/>
      <c r="C114" s="11"/>
      <c r="D114" s="11"/>
      <c r="E114" s="12"/>
      <c r="F114" s="11"/>
      <c r="G114" s="11"/>
      <c r="H114" s="11"/>
      <c r="I114" s="11"/>
      <c r="J114" s="11"/>
      <c r="K114" s="11"/>
      <c r="L114" s="11"/>
      <c r="M114" s="25"/>
      <c r="N114" s="28"/>
      <c r="O114" s="25"/>
      <c r="P114" s="28"/>
      <c r="Q114" s="25"/>
      <c r="R114" s="28"/>
      <c r="S114" s="25"/>
      <c r="T114" s="25"/>
      <c r="U114" s="28"/>
      <c r="V114" s="28"/>
      <c r="W114" s="27"/>
      <c r="X114" s="52"/>
    </row>
    <row r="115" spans="1:24" ht="20.45" customHeight="1" thickBot="1">
      <c r="A115" s="10"/>
      <c r="B115" s="11"/>
      <c r="C115" s="11"/>
      <c r="D115" s="11"/>
      <c r="E115" s="12"/>
      <c r="F115" s="11"/>
      <c r="G115" s="11"/>
      <c r="H115" s="11"/>
      <c r="I115" s="11"/>
      <c r="J115" s="11"/>
      <c r="K115" s="11"/>
      <c r="L115" s="11"/>
      <c r="M115" s="25"/>
      <c r="N115" s="28"/>
      <c r="O115" s="25"/>
      <c r="P115" s="25"/>
      <c r="Q115" s="28"/>
      <c r="R115" s="28"/>
      <c r="S115" s="25"/>
      <c r="T115" s="25"/>
      <c r="U115" s="28"/>
      <c r="V115" s="28"/>
      <c r="W115" s="15"/>
      <c r="X115" s="52"/>
    </row>
    <row r="116" spans="1:24" ht="20.45" customHeight="1">
      <c r="A116" s="1" t="s">
        <v>349</v>
      </c>
      <c r="B116" s="6"/>
      <c r="C116" s="6"/>
      <c r="D116" s="6"/>
      <c r="E116" s="20"/>
      <c r="F116" s="6"/>
      <c r="G116" s="6"/>
      <c r="H116" s="6"/>
      <c r="I116" s="6"/>
      <c r="J116" s="6"/>
      <c r="K116" s="6"/>
      <c r="L116" s="6"/>
      <c r="M116" s="6"/>
      <c r="N116" s="6"/>
      <c r="O116" s="6"/>
      <c r="P116" s="6"/>
      <c r="Q116" s="22"/>
      <c r="R116" s="6"/>
      <c r="S116" s="6"/>
      <c r="T116" s="6"/>
      <c r="U116" s="6"/>
      <c r="V116" s="23"/>
      <c r="W116" s="35"/>
      <c r="X116" s="52"/>
    </row>
    <row r="117" spans="1:24" ht="20.45" customHeight="1">
      <c r="A117" s="10" t="s">
        <v>101</v>
      </c>
      <c r="B117" s="11">
        <v>1.1111111111111112E-2</v>
      </c>
      <c r="C117" s="11">
        <v>3.0671296296296297E-3</v>
      </c>
      <c r="D117" s="11">
        <f t="shared" ref="D117:D121" si="80">B117*E117</f>
        <v>6.4644444444444445E-3</v>
      </c>
      <c r="E117" s="12">
        <v>0.58179999999999998</v>
      </c>
      <c r="F117" s="11">
        <f t="shared" ref="F117:F121" si="81">C117/4</f>
        <v>7.6678240740740743E-4</v>
      </c>
      <c r="G117" s="11">
        <f t="shared" ref="G117:G121" si="82">D117/7.5</f>
        <v>8.6192592592592592E-4</v>
      </c>
      <c r="H117" s="11">
        <f t="shared" ref="H117:H121" si="83">B117/12.5</f>
        <v>8.8888888888888893E-4</v>
      </c>
      <c r="I117" s="11">
        <f t="shared" ref="I117:I121" si="84">G117/0.93</f>
        <v>9.2680207088809239E-4</v>
      </c>
      <c r="J117" s="11">
        <f t="shared" ref="J117:J121" si="85">G117/0.92</f>
        <v>9.3687600644122375E-4</v>
      </c>
      <c r="K117" s="11">
        <f t="shared" ref="K117:K121" si="86">G117/0.88</f>
        <v>9.7946127946127947E-4</v>
      </c>
      <c r="L117" s="11">
        <f t="shared" ref="L117:L121" si="87">G117/0.84</f>
        <v>1.0261022927689596E-3</v>
      </c>
      <c r="M117" s="25"/>
      <c r="N117" s="28"/>
      <c r="O117" s="25"/>
      <c r="P117" s="28"/>
      <c r="Q117" s="25"/>
      <c r="R117" s="28"/>
      <c r="S117" s="25"/>
      <c r="T117" s="28"/>
      <c r="U117" s="28"/>
      <c r="V117" s="25"/>
      <c r="W117" s="15" t="s">
        <v>48</v>
      </c>
      <c r="X117" s="52"/>
    </row>
    <row r="118" spans="1:24" ht="20.45" customHeight="1">
      <c r="A118" s="10" t="s">
        <v>96</v>
      </c>
      <c r="B118" s="11">
        <v>1.0648148148148148E-2</v>
      </c>
      <c r="C118" s="11">
        <v>2.9513888888888888E-3</v>
      </c>
      <c r="D118" s="11">
        <f t="shared" si="80"/>
        <v>6.1950925925925923E-3</v>
      </c>
      <c r="E118" s="12">
        <v>0.58179999999999998</v>
      </c>
      <c r="F118" s="11">
        <f t="shared" si="81"/>
        <v>7.378472222222222E-4</v>
      </c>
      <c r="G118" s="11">
        <f t="shared" si="82"/>
        <v>8.2601234567901232E-4</v>
      </c>
      <c r="H118" s="11">
        <f t="shared" si="83"/>
        <v>8.5185185185185179E-4</v>
      </c>
      <c r="I118" s="11">
        <f t="shared" si="84"/>
        <v>8.8818531793442184E-4</v>
      </c>
      <c r="J118" s="11">
        <f t="shared" si="85"/>
        <v>8.9783950617283942E-4</v>
      </c>
      <c r="K118" s="11">
        <f t="shared" si="86"/>
        <v>9.3865039281705945E-4</v>
      </c>
      <c r="L118" s="17">
        <f t="shared" si="87"/>
        <v>9.833480305702527E-4</v>
      </c>
      <c r="M118" s="25"/>
      <c r="N118" s="28"/>
      <c r="O118" s="25"/>
      <c r="P118" s="28"/>
      <c r="Q118" s="25"/>
      <c r="R118" s="28"/>
      <c r="S118" s="25"/>
      <c r="T118" s="28"/>
      <c r="U118" s="28"/>
      <c r="V118" s="25"/>
      <c r="W118" s="15" t="s">
        <v>48</v>
      </c>
      <c r="X118" s="50" t="s">
        <v>359</v>
      </c>
    </row>
    <row r="119" spans="1:24" ht="20.45" customHeight="1">
      <c r="A119" s="10" t="s">
        <v>103</v>
      </c>
      <c r="B119" s="11">
        <v>1.1458333333333333E-2</v>
      </c>
      <c r="C119" s="11">
        <v>3.0671296296296297E-3</v>
      </c>
      <c r="D119" s="11">
        <f t="shared" si="80"/>
        <v>6.6664583333333324E-3</v>
      </c>
      <c r="E119" s="12">
        <v>0.58179999999999998</v>
      </c>
      <c r="F119" s="11">
        <f t="shared" si="81"/>
        <v>7.6678240740740743E-4</v>
      </c>
      <c r="G119" s="11">
        <f t="shared" si="82"/>
        <v>8.8886111111111099E-4</v>
      </c>
      <c r="H119" s="11">
        <f t="shared" si="83"/>
        <v>9.1666666666666665E-4</v>
      </c>
      <c r="I119" s="11">
        <f t="shared" si="84"/>
        <v>9.5576463560334514E-4</v>
      </c>
      <c r="J119" s="11">
        <f t="shared" si="85"/>
        <v>9.6615338164251195E-4</v>
      </c>
      <c r="K119" s="11">
        <f t="shared" si="86"/>
        <v>1.0100694444444443E-3</v>
      </c>
      <c r="L119" s="17">
        <f t="shared" si="87"/>
        <v>1.0581679894179892E-3</v>
      </c>
      <c r="M119" s="37"/>
      <c r="N119" s="28"/>
      <c r="O119" s="25"/>
      <c r="P119" s="28"/>
      <c r="Q119" s="25"/>
      <c r="R119" s="28"/>
      <c r="S119" s="25"/>
      <c r="T119" s="28"/>
      <c r="U119" s="28"/>
      <c r="V119" s="25"/>
      <c r="W119" s="15" t="s">
        <v>48</v>
      </c>
      <c r="X119" s="50"/>
    </row>
    <row r="120" spans="1:24" ht="20.45" customHeight="1">
      <c r="A120" s="10" t="s">
        <v>104</v>
      </c>
      <c r="B120" s="11">
        <v>1.1458333333333333E-2</v>
      </c>
      <c r="C120" s="11">
        <v>3.414351851851852E-3</v>
      </c>
      <c r="D120" s="11">
        <f t="shared" si="80"/>
        <v>6.6664583333333324E-3</v>
      </c>
      <c r="E120" s="12">
        <v>0.58179999999999998</v>
      </c>
      <c r="F120" s="11">
        <f t="shared" si="81"/>
        <v>8.53587962962963E-4</v>
      </c>
      <c r="G120" s="11">
        <f t="shared" si="82"/>
        <v>8.8886111111111099E-4</v>
      </c>
      <c r="H120" s="11">
        <f t="shared" si="83"/>
        <v>9.1666666666666665E-4</v>
      </c>
      <c r="I120" s="11">
        <f t="shared" si="84"/>
        <v>9.5576463560334514E-4</v>
      </c>
      <c r="J120" s="11">
        <f t="shared" si="85"/>
        <v>9.6615338164251195E-4</v>
      </c>
      <c r="K120" s="11">
        <f t="shared" si="86"/>
        <v>1.0100694444444443E-3</v>
      </c>
      <c r="L120" s="11">
        <f t="shared" si="87"/>
        <v>1.0581679894179892E-3</v>
      </c>
      <c r="M120" s="25"/>
      <c r="N120" s="28"/>
      <c r="O120" s="25"/>
      <c r="P120" s="28"/>
      <c r="Q120" s="25"/>
      <c r="R120" s="28"/>
      <c r="S120" s="25"/>
      <c r="T120" s="28"/>
      <c r="U120" s="28"/>
      <c r="V120" s="25"/>
      <c r="W120" s="15" t="s">
        <v>48</v>
      </c>
      <c r="X120" s="50"/>
    </row>
    <row r="121" spans="1:24" ht="20.45" customHeight="1">
      <c r="A121" s="10" t="s">
        <v>97</v>
      </c>
      <c r="B121" s="11">
        <v>1.0532407407407407E-2</v>
      </c>
      <c r="C121" s="11">
        <v>2.9513888888888888E-3</v>
      </c>
      <c r="D121" s="11">
        <f t="shared" si="80"/>
        <v>6.1277546296296288E-3</v>
      </c>
      <c r="E121" s="12">
        <v>0.58179999999999998</v>
      </c>
      <c r="F121" s="11">
        <f t="shared" si="81"/>
        <v>7.378472222222222E-4</v>
      </c>
      <c r="G121" s="11">
        <f t="shared" si="82"/>
        <v>8.1703395061728389E-4</v>
      </c>
      <c r="H121" s="11">
        <f t="shared" si="83"/>
        <v>8.4259259259259259E-4</v>
      </c>
      <c r="I121" s="11">
        <f t="shared" si="84"/>
        <v>8.7853112969600415E-4</v>
      </c>
      <c r="J121" s="11">
        <f t="shared" si="85"/>
        <v>8.8808038110574329E-4</v>
      </c>
      <c r="K121" s="11">
        <f t="shared" si="86"/>
        <v>9.2844767115600447E-4</v>
      </c>
      <c r="L121" s="11">
        <f t="shared" si="87"/>
        <v>9.7265946502057604E-4</v>
      </c>
      <c r="M121" s="25"/>
      <c r="N121" s="28"/>
      <c r="O121" s="25"/>
      <c r="P121" s="28"/>
      <c r="Q121" s="25"/>
      <c r="R121" s="28"/>
      <c r="S121" s="25"/>
      <c r="T121" s="28"/>
      <c r="U121" s="28"/>
      <c r="V121" s="25"/>
      <c r="W121" s="15" t="s">
        <v>48</v>
      </c>
      <c r="X121" s="50"/>
    </row>
    <row r="122" spans="1:24" ht="20.45" customHeight="1">
      <c r="A122" s="10" t="s">
        <v>99</v>
      </c>
      <c r="B122" s="11">
        <v>1.1458333333333333E-2</v>
      </c>
      <c r="C122" s="11"/>
      <c r="D122" s="11">
        <f>B122*E122</f>
        <v>6.6664583333333324E-3</v>
      </c>
      <c r="E122" s="12">
        <v>0.58179999999999998</v>
      </c>
      <c r="F122" s="11">
        <f>C122/4</f>
        <v>0</v>
      </c>
      <c r="G122" s="11">
        <f>D122/7.5</f>
        <v>8.8886111111111099E-4</v>
      </c>
      <c r="H122" s="11">
        <f>B122/12.5</f>
        <v>9.1666666666666665E-4</v>
      </c>
      <c r="I122" s="11">
        <f>G122/0.93</f>
        <v>9.5576463560334514E-4</v>
      </c>
      <c r="J122" s="11">
        <f>G122/0.92</f>
        <v>9.6615338164251195E-4</v>
      </c>
      <c r="K122" s="11">
        <f>G122/0.88</f>
        <v>1.0100694444444443E-3</v>
      </c>
      <c r="L122" s="11">
        <f>G122/0.84</f>
        <v>1.0581679894179892E-3</v>
      </c>
      <c r="M122" s="25"/>
      <c r="N122" s="28"/>
      <c r="O122" s="25"/>
      <c r="P122" s="28"/>
      <c r="Q122" s="25"/>
      <c r="R122" s="28"/>
      <c r="S122" s="25"/>
      <c r="T122" s="25"/>
      <c r="U122" s="28"/>
      <c r="V122" s="28"/>
      <c r="W122" s="27" t="s">
        <v>48</v>
      </c>
      <c r="X122" s="50"/>
    </row>
    <row r="123" spans="1:24" ht="20.45" customHeight="1">
      <c r="A123" s="10" t="s">
        <v>102</v>
      </c>
      <c r="B123" s="11">
        <v>1.1458333333333333E-2</v>
      </c>
      <c r="C123" s="11"/>
      <c r="D123" s="11">
        <f>B123*E123</f>
        <v>6.6664583333333324E-3</v>
      </c>
      <c r="E123" s="12">
        <v>0.58179999999999998</v>
      </c>
      <c r="F123" s="11">
        <f>C123/4</f>
        <v>0</v>
      </c>
      <c r="G123" s="11">
        <f>D123/7.5</f>
        <v>8.8886111111111099E-4</v>
      </c>
      <c r="H123" s="11">
        <f>B123/12.5</f>
        <v>9.1666666666666665E-4</v>
      </c>
      <c r="I123" s="11">
        <f>G123/0.93</f>
        <v>9.5576463560334514E-4</v>
      </c>
      <c r="J123" s="11">
        <f>G123/0.92</f>
        <v>9.6615338164251195E-4</v>
      </c>
      <c r="K123" s="11">
        <f>G123/0.88</f>
        <v>1.0100694444444443E-3</v>
      </c>
      <c r="L123" s="11">
        <f>G123/0.84</f>
        <v>1.0581679894179892E-3</v>
      </c>
      <c r="M123" s="11"/>
      <c r="N123" s="26"/>
      <c r="P123" s="26"/>
      <c r="Q123" s="26"/>
      <c r="R123" s="26"/>
      <c r="S123" s="14"/>
      <c r="T123" s="14"/>
      <c r="U123" s="26"/>
      <c r="V123" s="28"/>
      <c r="W123" s="27" t="s">
        <v>48</v>
      </c>
      <c r="X123" s="50"/>
    </row>
    <row r="124" spans="1:24" ht="20.45" customHeight="1">
      <c r="A124" s="10" t="s">
        <v>98</v>
      </c>
      <c r="B124" s="11">
        <v>1.1111111111111112E-2</v>
      </c>
      <c r="C124" s="11"/>
      <c r="D124" s="11">
        <f>B124*E124</f>
        <v>6.4644444444444445E-3</v>
      </c>
      <c r="E124" s="12">
        <v>0.58179999999999998</v>
      </c>
      <c r="F124" s="11">
        <f>C124/4</f>
        <v>0</v>
      </c>
      <c r="G124" s="11">
        <f>D124/7.5</f>
        <v>8.6192592592592592E-4</v>
      </c>
      <c r="H124" s="11">
        <f>B124/12.5</f>
        <v>8.8888888888888893E-4</v>
      </c>
      <c r="I124" s="11">
        <f>G124/0.93</f>
        <v>9.2680207088809239E-4</v>
      </c>
      <c r="J124" s="11">
        <f>G124/0.92</f>
        <v>9.3687600644122375E-4</v>
      </c>
      <c r="K124" s="11">
        <f>G124/0.88</f>
        <v>9.7946127946127947E-4</v>
      </c>
      <c r="L124" s="11">
        <f>G124/0.84</f>
        <v>1.0261022927689596E-3</v>
      </c>
      <c r="M124" s="25"/>
      <c r="N124" s="28"/>
      <c r="O124" s="25"/>
      <c r="P124" s="28"/>
      <c r="Q124" s="25"/>
      <c r="R124" s="28"/>
      <c r="S124" s="25"/>
      <c r="T124" s="25"/>
      <c r="U124" s="28"/>
      <c r="V124" s="28"/>
      <c r="W124" s="27" t="s">
        <v>48</v>
      </c>
      <c r="X124" s="50"/>
    </row>
    <row r="125" spans="1:24" ht="20.45" customHeight="1">
      <c r="A125" s="10"/>
      <c r="B125" s="11"/>
      <c r="C125" s="11"/>
      <c r="D125" s="11"/>
      <c r="E125" s="12"/>
      <c r="F125" s="11"/>
      <c r="G125" s="11"/>
      <c r="H125" s="11"/>
      <c r="I125" s="11"/>
      <c r="J125" s="11"/>
      <c r="K125" s="11"/>
      <c r="L125" s="11"/>
      <c r="M125" s="25"/>
      <c r="N125" s="28"/>
      <c r="O125" s="25"/>
      <c r="P125" s="25"/>
      <c r="Q125" s="25"/>
      <c r="R125" s="25"/>
      <c r="S125" s="25"/>
      <c r="T125" s="25"/>
      <c r="U125" s="28"/>
      <c r="V125" s="25"/>
      <c r="W125" s="15"/>
      <c r="X125" s="50"/>
    </row>
    <row r="126" spans="1:24" ht="20.45" customHeight="1">
      <c r="A126" s="10"/>
      <c r="B126" s="11"/>
      <c r="C126" s="11"/>
      <c r="D126" s="11"/>
      <c r="E126" s="12"/>
      <c r="F126" s="11"/>
      <c r="G126" s="11"/>
      <c r="H126" s="11"/>
      <c r="I126" s="11"/>
      <c r="J126" s="11"/>
      <c r="K126" s="11"/>
      <c r="L126" s="11"/>
      <c r="M126" s="25"/>
      <c r="N126" s="28"/>
      <c r="O126" s="25"/>
      <c r="P126" s="25"/>
      <c r="Q126" s="25"/>
      <c r="R126" s="25"/>
      <c r="S126" s="25"/>
      <c r="T126" s="25"/>
      <c r="U126" s="28"/>
      <c r="V126" s="25"/>
      <c r="W126" s="15"/>
      <c r="X126" s="50"/>
    </row>
    <row r="127" spans="1:24" ht="20.45" customHeight="1">
      <c r="A127" s="10"/>
      <c r="B127" s="11"/>
      <c r="C127" s="11"/>
      <c r="D127" s="11"/>
      <c r="E127" s="12"/>
      <c r="F127" s="11"/>
      <c r="G127" s="11"/>
      <c r="H127" s="11"/>
      <c r="I127" s="11"/>
      <c r="J127" s="11"/>
      <c r="K127" s="11"/>
      <c r="L127" s="17"/>
      <c r="M127" s="11"/>
      <c r="N127" s="26"/>
      <c r="P127" s="26"/>
      <c r="Q127" s="26"/>
      <c r="R127" s="26"/>
      <c r="S127" s="14"/>
      <c r="T127" s="14"/>
      <c r="U127" s="26"/>
      <c r="V127" s="38"/>
      <c r="W127" s="31"/>
      <c r="X127" s="50"/>
    </row>
    <row r="128" spans="1:24" ht="20.45" customHeight="1">
      <c r="A128" s="10"/>
      <c r="B128" s="11"/>
      <c r="C128" s="11"/>
      <c r="D128" s="11"/>
      <c r="E128" s="12"/>
      <c r="F128" s="11"/>
      <c r="G128" s="11"/>
      <c r="H128" s="11"/>
      <c r="I128" s="11"/>
      <c r="J128" s="11"/>
      <c r="K128" s="11"/>
      <c r="L128" s="17"/>
      <c r="M128" s="11"/>
      <c r="N128" s="26"/>
      <c r="P128" s="26"/>
      <c r="Q128" s="26"/>
      <c r="R128" s="26"/>
      <c r="S128" s="14"/>
      <c r="T128" s="14"/>
      <c r="U128" s="26"/>
      <c r="V128" s="38"/>
      <c r="W128" s="31"/>
      <c r="X128" s="50"/>
    </row>
    <row r="129" spans="1:24" ht="20.45" customHeight="1">
      <c r="A129" s="10"/>
      <c r="B129" s="11"/>
      <c r="C129" s="11"/>
      <c r="D129" s="11"/>
      <c r="E129" s="12"/>
      <c r="F129" s="11"/>
      <c r="G129" s="11"/>
      <c r="H129" s="11"/>
      <c r="I129" s="11"/>
      <c r="J129" s="11"/>
      <c r="K129" s="11"/>
      <c r="L129" s="17"/>
      <c r="M129" s="11"/>
      <c r="N129" s="26"/>
      <c r="P129" s="26"/>
      <c r="Q129" s="26"/>
      <c r="R129" s="26"/>
      <c r="S129" s="14"/>
      <c r="T129" s="14"/>
      <c r="U129" s="26"/>
      <c r="V129" s="38"/>
      <c r="W129" s="31"/>
      <c r="X129" s="50"/>
    </row>
    <row r="130" spans="1:24" ht="20.45" customHeight="1">
      <c r="A130" s="10"/>
      <c r="B130" s="11"/>
      <c r="C130" s="11"/>
      <c r="D130" s="11"/>
      <c r="E130" s="12"/>
      <c r="F130" s="11"/>
      <c r="G130" s="11"/>
      <c r="H130" s="11"/>
      <c r="I130" s="11"/>
      <c r="J130" s="11"/>
      <c r="K130" s="11"/>
      <c r="L130" s="11"/>
      <c r="M130" s="25"/>
      <c r="N130" s="28"/>
      <c r="O130" s="25"/>
      <c r="P130" s="25"/>
      <c r="Q130" s="28"/>
      <c r="R130" s="28"/>
      <c r="S130" s="25"/>
      <c r="T130" s="25"/>
      <c r="U130" s="28"/>
      <c r="V130" s="25"/>
      <c r="W130" s="15"/>
      <c r="X130" s="50"/>
    </row>
    <row r="131" spans="1:24" ht="20.45" customHeight="1">
      <c r="A131" s="10"/>
      <c r="B131" s="11"/>
      <c r="C131" s="11"/>
      <c r="D131" s="11"/>
      <c r="E131" s="12"/>
      <c r="F131" s="11"/>
      <c r="G131" s="11"/>
      <c r="H131" s="11"/>
      <c r="I131" s="11"/>
      <c r="J131" s="11"/>
      <c r="K131" s="11"/>
      <c r="L131" s="11"/>
      <c r="M131" s="25"/>
      <c r="N131" s="28"/>
      <c r="O131" s="25"/>
      <c r="P131" s="25"/>
      <c r="Q131" s="25"/>
      <c r="R131" s="25"/>
      <c r="S131" s="25"/>
      <c r="T131" s="25"/>
      <c r="U131" s="28"/>
      <c r="V131" s="25"/>
      <c r="W131" s="15"/>
      <c r="X131" s="50"/>
    </row>
    <row r="132" spans="1:24" ht="20.45" customHeight="1">
      <c r="A132" s="10"/>
      <c r="B132" s="11"/>
      <c r="C132" s="11"/>
      <c r="D132" s="11"/>
      <c r="E132" s="12"/>
      <c r="F132" s="11"/>
      <c r="G132" s="11"/>
      <c r="H132" s="11"/>
      <c r="I132" s="11"/>
      <c r="J132" s="11"/>
      <c r="K132" s="11"/>
      <c r="L132" s="17"/>
      <c r="M132" s="25"/>
      <c r="N132" s="28"/>
      <c r="O132" s="25"/>
      <c r="P132" s="25"/>
      <c r="Q132" s="25"/>
      <c r="R132" s="25"/>
      <c r="S132" s="25"/>
      <c r="T132" s="25"/>
      <c r="U132" s="28"/>
      <c r="V132" s="25"/>
      <c r="W132" s="15"/>
      <c r="X132" s="50"/>
    </row>
    <row r="133" spans="1:24" ht="20.45" customHeight="1">
      <c r="A133" s="10"/>
      <c r="B133" s="11"/>
      <c r="C133" s="11"/>
      <c r="D133" s="11"/>
      <c r="E133" s="12"/>
      <c r="F133" s="11"/>
      <c r="G133" s="11"/>
      <c r="H133" s="11"/>
      <c r="I133" s="11"/>
      <c r="J133" s="11"/>
      <c r="K133" s="11"/>
      <c r="L133" s="11"/>
      <c r="M133" s="25"/>
      <c r="N133" s="28"/>
      <c r="O133" s="25"/>
      <c r="P133" s="25"/>
      <c r="Q133" s="25"/>
      <c r="R133" s="28"/>
      <c r="S133" s="25"/>
      <c r="T133" s="25"/>
      <c r="U133" s="28"/>
      <c r="V133" s="25"/>
      <c r="W133" s="15"/>
      <c r="X133" s="50"/>
    </row>
    <row r="134" spans="1:24" ht="20.45" customHeight="1">
      <c r="A134" s="10"/>
      <c r="B134" s="11"/>
      <c r="C134" s="11"/>
      <c r="D134" s="11"/>
      <c r="E134" s="12"/>
      <c r="F134" s="11"/>
      <c r="G134" s="11"/>
      <c r="H134" s="11"/>
      <c r="I134" s="11"/>
      <c r="J134" s="11"/>
      <c r="K134" s="11"/>
      <c r="L134" s="17"/>
      <c r="M134" s="25"/>
      <c r="N134" s="28"/>
      <c r="O134" s="25"/>
      <c r="P134" s="25"/>
      <c r="Q134" s="25"/>
      <c r="R134" s="25"/>
      <c r="S134" s="25"/>
      <c r="T134" s="25"/>
      <c r="U134" s="28"/>
      <c r="V134" s="25"/>
      <c r="W134" s="15"/>
      <c r="X134" s="50"/>
    </row>
    <row r="135" spans="1:24" ht="20.45" customHeight="1">
      <c r="A135" s="10"/>
      <c r="B135" s="11"/>
      <c r="C135" s="11"/>
      <c r="D135" s="11"/>
      <c r="E135" s="12"/>
      <c r="F135" s="11"/>
      <c r="G135" s="11"/>
      <c r="H135" s="11"/>
      <c r="I135" s="11"/>
      <c r="J135" s="11"/>
      <c r="K135" s="11"/>
      <c r="L135" s="11"/>
      <c r="M135" s="25"/>
      <c r="N135" s="28"/>
      <c r="O135" s="25"/>
      <c r="P135" s="25"/>
      <c r="Q135" s="25"/>
      <c r="R135" s="28"/>
      <c r="S135" s="25"/>
      <c r="T135" s="25"/>
      <c r="U135" s="28"/>
      <c r="V135" s="25"/>
      <c r="W135" s="15"/>
      <c r="X135" s="50"/>
    </row>
    <row r="136" spans="1:24" ht="20.45" customHeight="1">
      <c r="A136" s="10"/>
      <c r="B136" s="11"/>
      <c r="C136" s="11"/>
      <c r="D136" s="11"/>
      <c r="E136" s="12"/>
      <c r="F136" s="11"/>
      <c r="G136" s="11"/>
      <c r="H136" s="11"/>
      <c r="I136" s="11"/>
      <c r="J136" s="11"/>
      <c r="K136" s="11"/>
      <c r="L136" s="17"/>
      <c r="M136" s="25"/>
      <c r="N136" s="28"/>
      <c r="O136" s="25"/>
      <c r="P136" s="25"/>
      <c r="Q136" s="25"/>
      <c r="R136" s="28"/>
      <c r="S136" s="25"/>
      <c r="T136" s="25"/>
      <c r="U136" s="28"/>
      <c r="V136" s="25"/>
      <c r="W136" s="15"/>
      <c r="X136" s="50"/>
    </row>
    <row r="137" spans="1:24" ht="20.45" customHeight="1">
      <c r="A137" s="10"/>
      <c r="B137" s="11"/>
      <c r="C137" s="11"/>
      <c r="D137" s="11"/>
      <c r="E137" s="12"/>
      <c r="F137" s="11"/>
      <c r="G137" s="11"/>
      <c r="H137" s="11"/>
      <c r="I137" s="11"/>
      <c r="J137" s="11"/>
      <c r="K137" s="11"/>
      <c r="L137" s="11"/>
      <c r="M137" s="25"/>
      <c r="N137" s="28"/>
      <c r="O137" s="25"/>
      <c r="P137" s="25"/>
      <c r="Q137" s="28"/>
      <c r="R137" s="28"/>
      <c r="S137" s="25"/>
      <c r="T137" s="25"/>
      <c r="U137" s="28"/>
      <c r="V137" s="25"/>
      <c r="W137" s="15"/>
      <c r="X137" s="50"/>
    </row>
    <row r="138" spans="1:24" ht="20.45" customHeight="1">
      <c r="A138" s="10"/>
      <c r="B138" s="11"/>
      <c r="C138" s="11"/>
      <c r="D138" s="11"/>
      <c r="E138" s="12"/>
      <c r="F138" s="11"/>
      <c r="G138" s="11"/>
      <c r="H138" s="11"/>
      <c r="I138" s="11"/>
      <c r="J138" s="11"/>
      <c r="K138" s="11"/>
      <c r="L138" s="11"/>
      <c r="M138" s="25"/>
      <c r="N138" s="28"/>
      <c r="O138" s="25"/>
      <c r="P138" s="28"/>
      <c r="Q138" s="25"/>
      <c r="R138" s="28"/>
      <c r="S138" s="25"/>
      <c r="T138" s="28"/>
      <c r="U138" s="28"/>
      <c r="V138" s="25"/>
      <c r="W138" s="15"/>
      <c r="X138" s="51"/>
    </row>
    <row r="139" spans="1:24" ht="20.45" customHeight="1">
      <c r="A139" s="10"/>
      <c r="B139" s="11"/>
      <c r="C139" s="11"/>
      <c r="D139" s="11"/>
      <c r="E139" s="12"/>
      <c r="F139" s="11"/>
      <c r="G139" s="11"/>
      <c r="H139" s="11"/>
      <c r="I139" s="11"/>
      <c r="J139" s="11"/>
      <c r="K139" s="11"/>
      <c r="L139" s="11"/>
      <c r="M139" s="25"/>
      <c r="N139" s="28"/>
      <c r="O139" s="25"/>
      <c r="P139" s="25"/>
      <c r="Q139" s="25"/>
      <c r="R139" s="25"/>
      <c r="S139" s="25"/>
      <c r="T139" s="25"/>
      <c r="U139" s="28"/>
      <c r="V139" s="25"/>
      <c r="W139" s="15"/>
      <c r="X139" s="51"/>
    </row>
    <row r="140" spans="1:24" ht="20.45" customHeight="1">
      <c r="A140" s="10"/>
      <c r="B140" s="11"/>
      <c r="C140" s="11"/>
      <c r="D140" s="11"/>
      <c r="E140" s="12"/>
      <c r="F140" s="11"/>
      <c r="G140" s="11"/>
      <c r="H140" s="11"/>
      <c r="I140" s="11"/>
      <c r="J140" s="11"/>
      <c r="K140" s="11"/>
      <c r="L140" s="17"/>
      <c r="M140" s="25"/>
      <c r="N140" s="28"/>
      <c r="O140" s="25"/>
      <c r="P140" s="28"/>
      <c r="Q140" s="25"/>
      <c r="R140" s="28"/>
      <c r="S140" s="25"/>
      <c r="T140" s="25"/>
      <c r="U140" s="28"/>
      <c r="V140" s="28"/>
      <c r="W140" s="27"/>
      <c r="X140" s="51"/>
    </row>
    <row r="141" spans="1:24" ht="20.45" customHeight="1">
      <c r="A141" s="10"/>
      <c r="B141" s="11"/>
      <c r="C141" s="11"/>
      <c r="D141" s="11"/>
      <c r="E141" s="12"/>
      <c r="F141" s="11"/>
      <c r="G141" s="11"/>
      <c r="H141" s="11"/>
      <c r="I141" s="11"/>
      <c r="J141" s="11"/>
      <c r="K141" s="11"/>
      <c r="L141" s="11"/>
      <c r="M141" s="11"/>
      <c r="N141" s="26"/>
      <c r="P141" s="26"/>
      <c r="Q141" s="26"/>
      <c r="R141" s="26"/>
      <c r="S141" s="14"/>
      <c r="T141" s="14"/>
      <c r="U141" s="26"/>
      <c r="V141" s="28"/>
      <c r="W141" s="27"/>
      <c r="X141" s="51"/>
    </row>
    <row r="142" spans="1:24" ht="20.100000000000001" customHeight="1">
      <c r="A142" s="10"/>
      <c r="B142" s="11"/>
      <c r="C142" s="11"/>
      <c r="D142" s="11">
        <f>B142*E142</f>
        <v>0</v>
      </c>
      <c r="E142" s="12"/>
      <c r="F142" s="11">
        <f>C142/4</f>
        <v>0</v>
      </c>
      <c r="G142" s="11">
        <f>D142/7.5</f>
        <v>0</v>
      </c>
      <c r="H142" s="11">
        <f>B142/12.5</f>
        <v>0</v>
      </c>
      <c r="I142" s="11">
        <f>G142/0.93</f>
        <v>0</v>
      </c>
      <c r="J142" s="11">
        <f>G142/0.92</f>
        <v>0</v>
      </c>
      <c r="K142" s="11">
        <f>G142/0.88</f>
        <v>0</v>
      </c>
      <c r="L142" s="17">
        <f>G142/0.84</f>
        <v>0</v>
      </c>
      <c r="M142" s="11"/>
      <c r="N142" s="26"/>
      <c r="P142" s="26"/>
      <c r="Q142" s="26"/>
      <c r="R142" s="26"/>
      <c r="S142" s="14"/>
      <c r="T142" s="14"/>
      <c r="U142" s="26"/>
      <c r="V142" s="38"/>
      <c r="W142" s="31"/>
      <c r="X142" s="51"/>
    </row>
    <row r="143" spans="1:24" ht="20.100000000000001" customHeight="1">
      <c r="A143" s="10"/>
      <c r="B143" s="11"/>
      <c r="C143" s="11"/>
      <c r="D143" s="11">
        <f>B143*E143</f>
        <v>0</v>
      </c>
      <c r="E143" s="12"/>
      <c r="F143" s="11">
        <f>C143/4</f>
        <v>0</v>
      </c>
      <c r="G143" s="11">
        <f>D143/7.5</f>
        <v>0</v>
      </c>
      <c r="H143" s="11">
        <f>B143/12.5</f>
        <v>0</v>
      </c>
      <c r="I143" s="11">
        <f>G143/0.93</f>
        <v>0</v>
      </c>
      <c r="J143" s="11">
        <f>G143/0.92</f>
        <v>0</v>
      </c>
      <c r="K143" s="11">
        <f>G143/0.88</f>
        <v>0</v>
      </c>
      <c r="L143" s="17">
        <f>G143/0.84</f>
        <v>0</v>
      </c>
      <c r="M143" s="11"/>
      <c r="N143" s="26"/>
      <c r="P143" s="26"/>
      <c r="Q143" s="26"/>
      <c r="R143" s="26"/>
      <c r="S143" s="14"/>
      <c r="T143" s="14"/>
      <c r="U143" s="26"/>
      <c r="V143" s="38"/>
      <c r="W143" s="31"/>
      <c r="X143" s="51"/>
    </row>
    <row r="144" spans="1:24" ht="20.100000000000001" customHeight="1">
      <c r="A144" s="10"/>
      <c r="B144" s="11"/>
      <c r="C144" s="11"/>
      <c r="D144" s="11">
        <f>B144*E144</f>
        <v>0</v>
      </c>
      <c r="E144" s="12"/>
      <c r="F144" s="11">
        <f>C144/4</f>
        <v>0</v>
      </c>
      <c r="G144" s="11">
        <f>D144/7.5</f>
        <v>0</v>
      </c>
      <c r="H144" s="11">
        <f>B144/12.5</f>
        <v>0</v>
      </c>
      <c r="I144" s="11">
        <f>G144/0.93</f>
        <v>0</v>
      </c>
      <c r="J144" s="11">
        <f>G144/0.92</f>
        <v>0</v>
      </c>
      <c r="K144" s="11">
        <f>G144/0.88</f>
        <v>0</v>
      </c>
      <c r="L144" s="17">
        <f>G144/0.84</f>
        <v>0</v>
      </c>
      <c r="M144" s="11"/>
      <c r="N144" s="26"/>
      <c r="P144" s="26"/>
      <c r="Q144" s="26"/>
      <c r="R144" s="26"/>
      <c r="S144" s="14"/>
      <c r="T144" s="14"/>
      <c r="U144" s="26"/>
      <c r="V144" s="38"/>
      <c r="W144" s="31"/>
      <c r="X144" s="51"/>
    </row>
  </sheetData>
  <mergeCells count="15">
    <mergeCell ref="X118:X127"/>
    <mergeCell ref="X128:X137"/>
    <mergeCell ref="X138:X144"/>
    <mergeCell ref="X58:X67"/>
    <mergeCell ref="X68:X77"/>
    <mergeCell ref="X78:X87"/>
    <mergeCell ref="X88:X97"/>
    <mergeCell ref="X98:X107"/>
    <mergeCell ref="X108:X117"/>
    <mergeCell ref="X51:X57"/>
    <mergeCell ref="X1:X10"/>
    <mergeCell ref="X11:X20"/>
    <mergeCell ref="X21:X30"/>
    <mergeCell ref="X31:X40"/>
    <mergeCell ref="X41:X50"/>
  </mergeCells>
  <pageMargins left="0.25" right="0.25" top="0.25" bottom="0.25" header="0" footer="0"/>
  <pageSetup scale="95" fitToHeight="0" orientation="landscape" r:id="rId1"/>
  <tableParts count="2">
    <tablePart r:id="rId2"/>
    <tablePart r:id="rId3"/>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0A9C3-1BCD-46ED-AD2E-C0B08545D456}">
  <sheetPr>
    <pageSetUpPr fitToPage="1"/>
  </sheetPr>
  <dimension ref="A1:Z144"/>
  <sheetViews>
    <sheetView topLeftCell="A37" zoomScale="85" zoomScaleNormal="85" workbookViewId="0">
      <selection activeCell="S49" sqref="S49"/>
    </sheetView>
  </sheetViews>
  <sheetFormatPr defaultColWidth="8.7109375" defaultRowHeight="14.45"/>
  <cols>
    <col min="1" max="1" width="19.5703125" customWidth="1"/>
    <col min="2" max="2" width="8.7109375" style="29" hidden="1" customWidth="1"/>
    <col min="3" max="3" width="10.140625" hidden="1" customWidth="1"/>
    <col min="4" max="4" width="8.7109375" style="29" hidden="1" customWidth="1"/>
    <col min="5" max="5" width="9.28515625" hidden="1" customWidth="1"/>
    <col min="6" max="6" width="8.7109375" hidden="1" customWidth="1"/>
    <col min="7" max="7" width="9.28515625" hidden="1" customWidth="1"/>
    <col min="8" max="9" width="8.7109375" hidden="1" customWidth="1"/>
    <col min="10" max="10" width="10.7109375" hidden="1" customWidth="1"/>
    <col min="11" max="11" width="11.42578125" hidden="1" customWidth="1"/>
    <col min="12" max="12" width="6.140625" hidden="1" customWidth="1"/>
    <col min="13" max="13" width="8.7109375" customWidth="1"/>
    <col min="14" max="19" width="10.140625" customWidth="1"/>
    <col min="20" max="22" width="8.7109375" customWidth="1"/>
    <col min="23" max="23" width="3.42578125" customWidth="1"/>
    <col min="24" max="24" width="20.42578125" customWidth="1"/>
    <col min="25" max="25" width="12.28515625" bestFit="1" customWidth="1"/>
    <col min="26" max="27" width="12.85546875" bestFit="1" customWidth="1"/>
  </cols>
  <sheetData>
    <row r="1" spans="1:26" ht="14.45" customHeight="1">
      <c r="A1" s="1" t="s">
        <v>360</v>
      </c>
      <c r="B1" s="2" t="s">
        <v>1</v>
      </c>
      <c r="C1" s="2" t="s">
        <v>2</v>
      </c>
      <c r="D1" s="2" t="s">
        <v>3</v>
      </c>
      <c r="E1" s="3" t="s">
        <v>4</v>
      </c>
      <c r="F1" s="2" t="s">
        <v>5</v>
      </c>
      <c r="G1" s="2" t="s">
        <v>6</v>
      </c>
      <c r="H1" s="2" t="s">
        <v>7</v>
      </c>
      <c r="I1" s="4" t="s">
        <v>8</v>
      </c>
      <c r="J1" s="2" t="s">
        <v>9</v>
      </c>
      <c r="K1" s="2" t="s">
        <v>10</v>
      </c>
      <c r="L1" s="2" t="s">
        <v>11</v>
      </c>
      <c r="M1" s="5" t="s">
        <v>12</v>
      </c>
      <c r="N1" s="6" t="s">
        <v>155</v>
      </c>
      <c r="O1" s="7" t="s">
        <v>158</v>
      </c>
      <c r="P1" s="8" t="s">
        <v>153</v>
      </c>
      <c r="Q1" s="8" t="s">
        <v>147</v>
      </c>
      <c r="R1" s="7" t="s">
        <v>148</v>
      </c>
      <c r="S1" s="7" t="s">
        <v>149</v>
      </c>
      <c r="T1" s="7" t="s">
        <v>77</v>
      </c>
      <c r="U1" s="8" t="s">
        <v>20</v>
      </c>
      <c r="V1" s="7" t="s">
        <v>21</v>
      </c>
      <c r="W1" s="9" t="s">
        <v>22</v>
      </c>
      <c r="X1" s="52" t="s">
        <v>361</v>
      </c>
    </row>
    <row r="2" spans="1:26" ht="21" customHeight="1">
      <c r="A2" s="10" t="s">
        <v>59</v>
      </c>
      <c r="B2" s="11">
        <v>1.2500000000000001E-2</v>
      </c>
      <c r="C2" s="11">
        <v>3.7037037037037038E-3</v>
      </c>
      <c r="D2" s="11">
        <f t="shared" ref="D2:D8" si="0">B2*E2</f>
        <v>7.2725000000000003E-3</v>
      </c>
      <c r="E2" s="12">
        <v>0.58179999999999998</v>
      </c>
      <c r="F2" s="11">
        <f t="shared" ref="F2:F8" si="1">C2/4</f>
        <v>9.2592592592592596E-4</v>
      </c>
      <c r="G2" s="11">
        <f t="shared" ref="G2:G8" si="2">D2/7.5</f>
        <v>9.6966666666666675E-4</v>
      </c>
      <c r="H2" s="11">
        <f t="shared" ref="H2:H8" si="3">B2/12.5</f>
        <v>1E-3</v>
      </c>
      <c r="I2" s="11">
        <f t="shared" ref="I2:I8" si="4">G2/0.93</f>
        <v>1.0426523297491039E-3</v>
      </c>
      <c r="J2" s="11">
        <f t="shared" ref="J2:J8" si="5">G2/0.92</f>
        <v>1.0539855072463768E-3</v>
      </c>
      <c r="K2" s="11">
        <f t="shared" ref="K2:K8" si="6">G2/0.88</f>
        <v>1.1018939393939394E-3</v>
      </c>
      <c r="L2" s="17">
        <f t="shared" ref="L2:L8" si="7">G2/0.84</f>
        <v>1.1543650793650795E-3</v>
      </c>
      <c r="M2" s="25"/>
      <c r="N2" s="28"/>
      <c r="O2" s="25"/>
      <c r="P2" s="25"/>
      <c r="Q2" s="25"/>
      <c r="R2" s="28"/>
      <c r="S2" s="11"/>
      <c r="T2" s="28"/>
      <c r="U2" s="28"/>
      <c r="V2" s="38"/>
      <c r="W2" s="15" t="s">
        <v>26</v>
      </c>
      <c r="X2" s="52"/>
    </row>
    <row r="3" spans="1:26" ht="21" customHeight="1">
      <c r="A3" s="10" t="s">
        <v>38</v>
      </c>
      <c r="B3" s="11">
        <v>1.238425925925926E-2</v>
      </c>
      <c r="C3" s="11">
        <v>3.5300925925925925E-3</v>
      </c>
      <c r="D3" s="11">
        <f t="shared" si="0"/>
        <v>7.2051620370370368E-3</v>
      </c>
      <c r="E3" s="12">
        <v>0.58179999999999998</v>
      </c>
      <c r="F3" s="11">
        <f t="shared" si="1"/>
        <v>8.8252314814814812E-4</v>
      </c>
      <c r="G3" s="11">
        <f t="shared" si="2"/>
        <v>9.6068827160493821E-4</v>
      </c>
      <c r="H3" s="11">
        <f t="shared" si="3"/>
        <v>9.9074074074074082E-4</v>
      </c>
      <c r="I3" s="11">
        <f t="shared" si="4"/>
        <v>1.0329981415106862E-3</v>
      </c>
      <c r="J3" s="11">
        <f t="shared" si="5"/>
        <v>1.0442263821792807E-3</v>
      </c>
      <c r="K3" s="11">
        <f t="shared" si="6"/>
        <v>1.0916912177328843E-3</v>
      </c>
      <c r="L3" s="11">
        <f t="shared" si="7"/>
        <v>1.1436765138154027E-3</v>
      </c>
      <c r="M3" s="25"/>
      <c r="N3" s="28"/>
      <c r="O3" s="25"/>
      <c r="P3" s="28"/>
      <c r="Q3" s="25"/>
      <c r="R3" s="25"/>
      <c r="S3" s="28"/>
      <c r="T3" s="28"/>
      <c r="U3" s="28"/>
      <c r="V3" s="28"/>
      <c r="W3" s="15" t="s">
        <v>26</v>
      </c>
      <c r="X3" s="52"/>
      <c r="Z3" s="16"/>
    </row>
    <row r="4" spans="1:26" ht="21" customHeight="1">
      <c r="A4" s="10" t="s">
        <v>28</v>
      </c>
      <c r="B4" s="11">
        <v>1.2731481481481481E-2</v>
      </c>
      <c r="C4" s="11">
        <v>3.9351851851851857E-3</v>
      </c>
      <c r="D4" s="11">
        <f t="shared" si="0"/>
        <v>7.4071759259259256E-3</v>
      </c>
      <c r="E4" s="12">
        <v>0.58179999999999998</v>
      </c>
      <c r="F4" s="11">
        <f t="shared" si="1"/>
        <v>9.8379629629629642E-4</v>
      </c>
      <c r="G4" s="11">
        <f t="shared" si="2"/>
        <v>9.8762345679012349E-4</v>
      </c>
      <c r="H4" s="11">
        <f t="shared" si="3"/>
        <v>1.0185185185185184E-3</v>
      </c>
      <c r="I4" s="11">
        <f t="shared" si="4"/>
        <v>1.0619607062259391E-3</v>
      </c>
      <c r="J4" s="11">
        <f t="shared" si="5"/>
        <v>1.073503757380569E-3</v>
      </c>
      <c r="K4" s="11">
        <f t="shared" si="6"/>
        <v>1.1222993827160494E-3</v>
      </c>
      <c r="L4" s="11">
        <f t="shared" si="7"/>
        <v>1.1757422104644328E-3</v>
      </c>
      <c r="M4" s="25"/>
      <c r="N4" s="28"/>
      <c r="O4" s="28"/>
      <c r="P4" s="28"/>
      <c r="Q4" s="25"/>
      <c r="R4" s="28"/>
      <c r="S4" s="11"/>
      <c r="T4" s="28"/>
      <c r="U4" s="28"/>
      <c r="V4" s="28"/>
      <c r="W4" s="15" t="s">
        <v>26</v>
      </c>
      <c r="X4" s="52"/>
    </row>
    <row r="5" spans="1:26" ht="21" customHeight="1">
      <c r="A5" s="10" t="s">
        <v>71</v>
      </c>
      <c r="B5" s="11">
        <v>1.3368055555555555E-2</v>
      </c>
      <c r="C5" s="11">
        <v>4.0509259259259257E-3</v>
      </c>
      <c r="D5" s="11">
        <f t="shared" si="0"/>
        <v>7.7775347222222213E-3</v>
      </c>
      <c r="E5" s="12">
        <v>0.58179999999999998</v>
      </c>
      <c r="F5" s="11">
        <f t="shared" si="1"/>
        <v>1.0127314814814814E-3</v>
      </c>
      <c r="G5" s="11">
        <f t="shared" si="2"/>
        <v>1.0370046296296295E-3</v>
      </c>
      <c r="H5" s="11">
        <f t="shared" si="3"/>
        <v>1.0694444444444445E-3</v>
      </c>
      <c r="I5" s="11">
        <f t="shared" si="4"/>
        <v>1.1150587415372358E-3</v>
      </c>
      <c r="J5" s="11">
        <f t="shared" si="5"/>
        <v>1.1271789452495973E-3</v>
      </c>
      <c r="K5" s="11">
        <f t="shared" si="6"/>
        <v>1.1784143518518517E-3</v>
      </c>
      <c r="L5" s="11">
        <f t="shared" si="7"/>
        <v>1.2345293209876543E-3</v>
      </c>
      <c r="M5" s="25"/>
      <c r="N5" s="28"/>
      <c r="O5" s="25"/>
      <c r="P5" s="25"/>
      <c r="Q5" s="25"/>
      <c r="R5" s="28"/>
      <c r="S5" s="11"/>
      <c r="T5" s="28"/>
      <c r="U5" s="28"/>
      <c r="V5" s="38"/>
      <c r="W5" s="18" t="s">
        <v>26</v>
      </c>
      <c r="X5" s="52"/>
    </row>
    <row r="6" spans="1:26" ht="21" customHeight="1">
      <c r="A6" s="10" t="s">
        <v>31</v>
      </c>
      <c r="B6" s="11"/>
      <c r="C6" s="11"/>
      <c r="D6" s="11">
        <f t="shared" si="0"/>
        <v>0</v>
      </c>
      <c r="E6" s="12">
        <v>0.58179999999999998</v>
      </c>
      <c r="F6" s="11">
        <f t="shared" si="1"/>
        <v>0</v>
      </c>
      <c r="G6" s="11">
        <f t="shared" si="2"/>
        <v>0</v>
      </c>
      <c r="H6" s="11">
        <f t="shared" si="3"/>
        <v>0</v>
      </c>
      <c r="I6" s="11">
        <f t="shared" si="4"/>
        <v>0</v>
      </c>
      <c r="J6" s="11">
        <f t="shared" si="5"/>
        <v>0</v>
      </c>
      <c r="K6" s="11">
        <f t="shared" si="6"/>
        <v>0</v>
      </c>
      <c r="L6" s="11">
        <f t="shared" si="7"/>
        <v>0</v>
      </c>
      <c r="M6" s="25"/>
      <c r="N6" s="28"/>
      <c r="O6" s="25"/>
      <c r="P6" s="25"/>
      <c r="Q6" s="25"/>
      <c r="R6" s="28"/>
      <c r="S6" s="11"/>
      <c r="T6" s="11"/>
      <c r="U6" s="28"/>
      <c r="V6" s="28"/>
      <c r="W6" s="15" t="s">
        <v>26</v>
      </c>
      <c r="X6" s="52"/>
    </row>
    <row r="7" spans="1:26" ht="21" customHeight="1">
      <c r="A7" s="10" t="s">
        <v>27</v>
      </c>
      <c r="B7" s="11">
        <v>1.2500000000000001E-2</v>
      </c>
      <c r="C7" s="11">
        <v>3.6458333333333334E-3</v>
      </c>
      <c r="D7" s="11">
        <f t="shared" si="0"/>
        <v>7.2725000000000003E-3</v>
      </c>
      <c r="E7" s="12">
        <v>0.58179999999999998</v>
      </c>
      <c r="F7" s="11">
        <f t="shared" si="1"/>
        <v>9.1145833333333335E-4</v>
      </c>
      <c r="G7" s="11">
        <f t="shared" si="2"/>
        <v>9.6966666666666675E-4</v>
      </c>
      <c r="H7" s="11">
        <f t="shared" si="3"/>
        <v>1E-3</v>
      </c>
      <c r="I7" s="11">
        <f t="shared" si="4"/>
        <v>1.0426523297491039E-3</v>
      </c>
      <c r="J7" s="11">
        <f t="shared" si="5"/>
        <v>1.0539855072463768E-3</v>
      </c>
      <c r="K7" s="11">
        <f t="shared" si="6"/>
        <v>1.1018939393939394E-3</v>
      </c>
      <c r="L7" s="11">
        <f t="shared" si="7"/>
        <v>1.1543650793650795E-3</v>
      </c>
      <c r="M7" s="25"/>
      <c r="N7" s="28"/>
      <c r="O7" s="25"/>
      <c r="P7" s="25"/>
      <c r="Q7" s="25"/>
      <c r="R7" s="28"/>
      <c r="S7" s="11"/>
      <c r="T7" s="28"/>
      <c r="U7" s="28"/>
      <c r="V7" s="28"/>
      <c r="W7" s="15" t="s">
        <v>26</v>
      </c>
      <c r="X7" s="52"/>
    </row>
    <row r="8" spans="1:26" ht="21" customHeight="1">
      <c r="A8" s="10" t="s">
        <v>60</v>
      </c>
      <c r="B8" s="11">
        <v>1.2500000000000001E-2</v>
      </c>
      <c r="C8" s="11">
        <v>3.6458333333333334E-3</v>
      </c>
      <c r="D8" s="11">
        <f t="shared" si="0"/>
        <v>7.2725000000000003E-3</v>
      </c>
      <c r="E8" s="12">
        <v>0.58179999999999998</v>
      </c>
      <c r="F8" s="11">
        <f t="shared" si="1"/>
        <v>9.1145833333333335E-4</v>
      </c>
      <c r="G8" s="11">
        <f t="shared" si="2"/>
        <v>9.6966666666666675E-4</v>
      </c>
      <c r="H8" s="11">
        <f t="shared" si="3"/>
        <v>1E-3</v>
      </c>
      <c r="I8" s="11">
        <f t="shared" si="4"/>
        <v>1.0426523297491039E-3</v>
      </c>
      <c r="J8" s="11">
        <f t="shared" si="5"/>
        <v>1.0539855072463768E-3</v>
      </c>
      <c r="K8" s="11">
        <f t="shared" si="6"/>
        <v>1.1018939393939394E-3</v>
      </c>
      <c r="L8" s="11">
        <f t="shared" si="7"/>
        <v>1.1543650793650795E-3</v>
      </c>
      <c r="M8" s="25"/>
      <c r="N8" s="28"/>
      <c r="O8" s="28"/>
      <c r="P8" s="25"/>
      <c r="Q8" s="25"/>
      <c r="R8" s="28"/>
      <c r="S8" s="11"/>
      <c r="T8" s="28"/>
      <c r="U8" s="28"/>
      <c r="V8" s="28"/>
      <c r="W8" s="15" t="s">
        <v>26</v>
      </c>
      <c r="X8" s="52"/>
    </row>
    <row r="9" spans="1:26" ht="21" customHeight="1">
      <c r="A9" s="10" t="s">
        <v>62</v>
      </c>
      <c r="B9" s="11"/>
      <c r="C9" s="11"/>
      <c r="D9" s="11"/>
      <c r="E9" s="12"/>
      <c r="F9" s="11"/>
      <c r="G9" s="11"/>
      <c r="H9" s="11"/>
      <c r="I9" s="11"/>
      <c r="J9" s="11"/>
      <c r="K9" s="11"/>
      <c r="L9" s="11"/>
      <c r="M9" s="37"/>
      <c r="N9" s="28"/>
      <c r="O9" s="25"/>
      <c r="P9" s="25"/>
      <c r="Q9" s="28"/>
      <c r="R9" s="28"/>
      <c r="S9" s="25"/>
      <c r="T9" s="28"/>
      <c r="U9" s="36"/>
      <c r="V9" s="17"/>
      <c r="W9" s="18" t="s">
        <v>26</v>
      </c>
      <c r="X9" s="52"/>
    </row>
    <row r="10" spans="1:26" ht="21" customHeight="1">
      <c r="A10" s="10" t="s">
        <v>24</v>
      </c>
      <c r="B10" s="11">
        <v>1.238425925925926E-2</v>
      </c>
      <c r="C10" s="11">
        <v>3.5300925925925925E-3</v>
      </c>
      <c r="D10" s="11">
        <f>B10*E10</f>
        <v>7.2051620370370368E-3</v>
      </c>
      <c r="E10" s="12">
        <v>0.58179999999999998</v>
      </c>
      <c r="F10" s="11">
        <f>C10/4</f>
        <v>8.8252314814814812E-4</v>
      </c>
      <c r="G10" s="11">
        <f>D10/7.5</f>
        <v>9.6068827160493821E-4</v>
      </c>
      <c r="H10" s="11">
        <f>B10/12.5</f>
        <v>9.9074074074074082E-4</v>
      </c>
      <c r="I10" s="11">
        <f>G10/0.93</f>
        <v>1.0329981415106862E-3</v>
      </c>
      <c r="J10" s="11">
        <f>G10/0.92</f>
        <v>1.0442263821792807E-3</v>
      </c>
      <c r="K10" s="11">
        <f>G10/0.88</f>
        <v>1.0916912177328843E-3</v>
      </c>
      <c r="L10" s="11">
        <f>G10/0.84</f>
        <v>1.1436765138154027E-3</v>
      </c>
      <c r="M10" s="25"/>
      <c r="N10" s="28"/>
      <c r="O10" s="25"/>
      <c r="P10" s="25"/>
      <c r="Q10" s="25"/>
      <c r="R10" s="25"/>
      <c r="S10" s="28"/>
      <c r="T10" s="28"/>
      <c r="U10" s="28"/>
      <c r="V10" s="28"/>
      <c r="W10" s="15" t="s">
        <v>26</v>
      </c>
      <c r="X10" s="52"/>
    </row>
    <row r="11" spans="1:26" ht="21" customHeight="1">
      <c r="A11" s="10" t="s">
        <v>34</v>
      </c>
      <c r="B11" s="11">
        <v>1.2152777777777778E-2</v>
      </c>
      <c r="C11" s="11">
        <v>3.472222222222222E-3</v>
      </c>
      <c r="D11" s="11">
        <f>B11*E11</f>
        <v>7.0704861111111107E-3</v>
      </c>
      <c r="E11" s="12">
        <v>0.58179999999999998</v>
      </c>
      <c r="F11" s="11">
        <f>C11/4</f>
        <v>8.6805555555555551E-4</v>
      </c>
      <c r="G11" s="11">
        <f>D11/7.5</f>
        <v>9.4273148148148146E-4</v>
      </c>
      <c r="H11" s="11">
        <f>B11/12.5</f>
        <v>9.7222222222222219E-4</v>
      </c>
      <c r="I11" s="11">
        <f>G11/0.93</f>
        <v>1.0136897650338511E-3</v>
      </c>
      <c r="J11" s="11">
        <f>G11/0.92</f>
        <v>1.0247081320450884E-3</v>
      </c>
      <c r="K11" s="11">
        <f>G11/0.88</f>
        <v>1.0712857744107744E-3</v>
      </c>
      <c r="L11" s="11">
        <f>G11/0.84</f>
        <v>1.1222993827160494E-3</v>
      </c>
      <c r="M11" s="25"/>
      <c r="N11" s="28"/>
      <c r="O11" s="25"/>
      <c r="P11" s="28"/>
      <c r="Q11" s="25"/>
      <c r="R11" s="25"/>
      <c r="S11" s="25"/>
      <c r="T11" s="28"/>
      <c r="U11" s="11"/>
      <c r="V11" s="36"/>
      <c r="W11" s="15" t="s">
        <v>26</v>
      </c>
      <c r="X11" s="52" t="s">
        <v>362</v>
      </c>
    </row>
    <row r="12" spans="1:26" ht="21" customHeight="1">
      <c r="A12" s="10" t="s">
        <v>63</v>
      </c>
      <c r="B12" s="11"/>
      <c r="C12" s="11"/>
      <c r="D12" s="11"/>
      <c r="E12" s="12"/>
      <c r="F12" s="11"/>
      <c r="G12" s="11"/>
      <c r="H12" s="11"/>
      <c r="I12" s="11"/>
      <c r="J12" s="11"/>
      <c r="K12" s="11"/>
      <c r="L12" s="11"/>
      <c r="M12" s="25"/>
      <c r="N12" s="28"/>
      <c r="O12" s="25"/>
      <c r="P12" s="28"/>
      <c r="Q12" s="25"/>
      <c r="R12" s="25"/>
      <c r="S12" s="25"/>
      <c r="T12" s="28"/>
      <c r="U12" s="11"/>
      <c r="V12" s="36"/>
      <c r="W12" s="15" t="s">
        <v>26</v>
      </c>
      <c r="X12" s="52"/>
    </row>
    <row r="13" spans="1:26" ht="21" customHeight="1">
      <c r="A13" s="10" t="s">
        <v>29</v>
      </c>
      <c r="B13" s="11">
        <v>1.2500000000000001E-2</v>
      </c>
      <c r="C13" s="11">
        <v>3.8194444444444443E-3</v>
      </c>
      <c r="D13" s="11">
        <f>B13*E13</f>
        <v>7.2725000000000003E-3</v>
      </c>
      <c r="E13" s="12">
        <v>0.58179999999999998</v>
      </c>
      <c r="F13" s="11">
        <f>C13/4</f>
        <v>9.5486111111111108E-4</v>
      </c>
      <c r="G13" s="11">
        <f>D13/7.5</f>
        <v>9.6966666666666675E-4</v>
      </c>
      <c r="H13" s="11">
        <f>B13/12.5</f>
        <v>1E-3</v>
      </c>
      <c r="I13" s="11">
        <f>G13/0.93</f>
        <v>1.0426523297491039E-3</v>
      </c>
      <c r="J13" s="11">
        <f>G13/0.92</f>
        <v>1.0539855072463768E-3</v>
      </c>
      <c r="K13" s="11">
        <f>G13/0.88</f>
        <v>1.1018939393939394E-3</v>
      </c>
      <c r="L13" s="11">
        <f>G13/0.84</f>
        <v>1.1543650793650795E-3</v>
      </c>
      <c r="M13" s="25"/>
      <c r="N13" s="28"/>
      <c r="O13" s="25"/>
      <c r="P13" s="25"/>
      <c r="Q13" s="25"/>
      <c r="R13" s="25"/>
      <c r="S13" s="28"/>
      <c r="T13" s="28"/>
      <c r="U13" s="28"/>
      <c r="V13" s="38"/>
      <c r="W13" s="18" t="s">
        <v>26</v>
      </c>
      <c r="X13" s="52"/>
    </row>
    <row r="14" spans="1:26" ht="21" customHeight="1">
      <c r="A14" s="10" t="s">
        <v>55</v>
      </c>
      <c r="B14" s="11"/>
      <c r="C14" s="11"/>
      <c r="D14" s="11"/>
      <c r="E14" s="12"/>
      <c r="F14" s="11"/>
      <c r="G14" s="11"/>
      <c r="H14" s="11"/>
      <c r="I14" s="11"/>
      <c r="J14" s="11"/>
      <c r="K14" s="11"/>
      <c r="L14" s="11"/>
      <c r="M14" s="13"/>
      <c r="O14" s="14"/>
      <c r="P14" s="11"/>
      <c r="Q14" s="14"/>
      <c r="R14" s="11"/>
      <c r="S14" s="14"/>
      <c r="T14" s="14"/>
      <c r="U14" s="14"/>
      <c r="V14" s="17"/>
      <c r="W14" s="18" t="s">
        <v>26</v>
      </c>
      <c r="X14" s="52"/>
    </row>
    <row r="15" spans="1:26" ht="21" customHeight="1">
      <c r="A15" s="10" t="s">
        <v>66</v>
      </c>
      <c r="B15" s="11">
        <v>1.3194444444444444E-2</v>
      </c>
      <c r="C15" s="11">
        <v>3.7037037037037038E-3</v>
      </c>
      <c r="D15" s="11">
        <f>B15*E15</f>
        <v>7.6765277777777778E-3</v>
      </c>
      <c r="E15" s="12">
        <v>0.58179999999999998</v>
      </c>
      <c r="F15" s="11">
        <f>C15/4</f>
        <v>9.2592592592592596E-4</v>
      </c>
      <c r="G15" s="11">
        <f>D15/7.5</f>
        <v>1.023537037037037E-3</v>
      </c>
      <c r="H15" s="11">
        <f>B15/12.5</f>
        <v>1.0555555555555555E-3</v>
      </c>
      <c r="I15" s="11">
        <f>G15/0.93</f>
        <v>1.1005774591796096E-3</v>
      </c>
      <c r="J15" s="11">
        <f>G15/0.92</f>
        <v>1.1125402576489531E-3</v>
      </c>
      <c r="K15" s="11">
        <f>G15/0.88</f>
        <v>1.1631102693602693E-3</v>
      </c>
      <c r="L15" s="17">
        <f>G15/0.84</f>
        <v>1.2184964726631392E-3</v>
      </c>
      <c r="M15" s="25"/>
      <c r="N15" s="28"/>
      <c r="O15" s="25"/>
      <c r="P15" s="28"/>
      <c r="Q15" s="25"/>
      <c r="R15" s="25"/>
      <c r="S15" s="25"/>
      <c r="T15" s="28"/>
      <c r="U15" s="11"/>
      <c r="V15" s="36"/>
      <c r="W15" s="15" t="s">
        <v>26</v>
      </c>
      <c r="X15" s="52"/>
    </row>
    <row r="16" spans="1:26" ht="21" customHeight="1">
      <c r="A16" s="10" t="s">
        <v>67</v>
      </c>
      <c r="B16" s="11">
        <v>1.3020833333333334E-2</v>
      </c>
      <c r="C16" s="11">
        <v>3.8194444444444443E-3</v>
      </c>
      <c r="D16" s="11">
        <f>B16*E16</f>
        <v>7.5755208333333334E-3</v>
      </c>
      <c r="E16" s="12">
        <v>0.58179999999999998</v>
      </c>
      <c r="F16" s="11">
        <f>C16/4</f>
        <v>9.5486111111111108E-4</v>
      </c>
      <c r="G16" s="11">
        <f>D16/7.5</f>
        <v>1.0100694444444445E-3</v>
      </c>
      <c r="H16" s="11">
        <f>B16/12.5</f>
        <v>1.0416666666666667E-3</v>
      </c>
      <c r="I16" s="11">
        <f>G16/0.93</f>
        <v>1.0860961768219832E-3</v>
      </c>
      <c r="J16" s="11">
        <f>G16/0.92</f>
        <v>1.0979015700483092E-3</v>
      </c>
      <c r="K16" s="11">
        <f>G16/0.88</f>
        <v>1.1478061868686869E-3</v>
      </c>
      <c r="L16" s="11">
        <f>G16/0.84</f>
        <v>1.2024636243386244E-3</v>
      </c>
      <c r="M16" s="25"/>
      <c r="N16" s="28"/>
      <c r="O16" s="25"/>
      <c r="P16" s="25"/>
      <c r="Q16" s="25"/>
      <c r="R16" s="25"/>
      <c r="S16" s="28"/>
      <c r="T16" s="28"/>
      <c r="U16" s="28"/>
      <c r="V16" s="28"/>
      <c r="W16" s="18" t="s">
        <v>26</v>
      </c>
      <c r="X16" s="52"/>
    </row>
    <row r="17" spans="1:24" ht="21" customHeight="1">
      <c r="A17" s="19"/>
      <c r="B17" s="6"/>
      <c r="C17" s="6"/>
      <c r="D17" s="6"/>
      <c r="E17" s="20"/>
      <c r="F17" s="6"/>
      <c r="G17" s="6"/>
      <c r="H17" s="6"/>
      <c r="I17" s="6"/>
      <c r="J17" s="6"/>
      <c r="K17" s="6"/>
      <c r="L17" s="6"/>
      <c r="M17" s="6"/>
      <c r="N17" s="6"/>
      <c r="O17" s="6"/>
      <c r="P17" s="6"/>
      <c r="Q17" s="6"/>
      <c r="R17" s="6"/>
      <c r="S17" s="6"/>
      <c r="T17" s="6"/>
      <c r="U17" s="6"/>
      <c r="V17" s="21"/>
      <c r="W17" s="43"/>
      <c r="X17" s="52"/>
    </row>
    <row r="18" spans="1:24" ht="21" customHeight="1">
      <c r="A18" s="10" t="s">
        <v>65</v>
      </c>
      <c r="B18" s="11">
        <v>1.2731481481481481E-2</v>
      </c>
      <c r="C18" s="11">
        <v>3.8194444444444443E-3</v>
      </c>
      <c r="D18" s="11">
        <f>B18*E18</f>
        <v>7.4071759259259256E-3</v>
      </c>
      <c r="E18" s="12">
        <v>0.58179999999999998</v>
      </c>
      <c r="F18" s="11">
        <f>C18/4</f>
        <v>9.5486111111111108E-4</v>
      </c>
      <c r="G18" s="11">
        <f>D18/7.5</f>
        <v>9.8762345679012349E-4</v>
      </c>
      <c r="H18" s="11">
        <f>B18/12.5</f>
        <v>1.0185185185185184E-3</v>
      </c>
      <c r="I18" s="11">
        <f>G18/0.93</f>
        <v>1.0619607062259391E-3</v>
      </c>
      <c r="J18" s="11">
        <f>G18/0.92</f>
        <v>1.073503757380569E-3</v>
      </c>
      <c r="K18" s="11">
        <f>G18/0.88</f>
        <v>1.1222993827160494E-3</v>
      </c>
      <c r="L18" s="11">
        <f>G18/0.84</f>
        <v>1.1757422104644328E-3</v>
      </c>
      <c r="M18" s="25"/>
      <c r="N18" s="28"/>
      <c r="O18" s="28"/>
      <c r="P18" s="28"/>
      <c r="Q18" s="25"/>
      <c r="R18" s="28"/>
      <c r="S18" s="11"/>
      <c r="T18" s="28"/>
      <c r="U18" s="28"/>
      <c r="V18" s="28"/>
      <c r="W18" s="15" t="s">
        <v>35</v>
      </c>
      <c r="X18" s="52"/>
    </row>
    <row r="19" spans="1:24" ht="21" customHeight="1">
      <c r="A19" s="10" t="s">
        <v>69</v>
      </c>
      <c r="B19" s="11"/>
      <c r="C19" s="11"/>
      <c r="D19" s="11"/>
      <c r="E19" s="12"/>
      <c r="F19" s="11"/>
      <c r="G19" s="11"/>
      <c r="H19" s="11"/>
      <c r="I19" s="11"/>
      <c r="J19" s="11"/>
      <c r="K19" s="11"/>
      <c r="L19" s="11"/>
      <c r="M19" s="25"/>
      <c r="N19" s="28"/>
      <c r="O19" s="25"/>
      <c r="P19" s="28"/>
      <c r="Q19" s="25"/>
      <c r="R19" s="25"/>
      <c r="S19" s="25"/>
      <c r="T19" s="28"/>
      <c r="U19" s="11"/>
      <c r="V19" s="36"/>
      <c r="W19" s="15" t="s">
        <v>35</v>
      </c>
      <c r="X19" s="52"/>
    </row>
    <row r="20" spans="1:24" ht="21" customHeight="1">
      <c r="A20" s="10" t="s">
        <v>75</v>
      </c>
      <c r="B20" s="11"/>
      <c r="C20" s="11"/>
      <c r="D20" s="11"/>
      <c r="E20" s="12"/>
      <c r="F20" s="11"/>
      <c r="G20" s="11"/>
      <c r="H20" s="11"/>
      <c r="I20" s="11"/>
      <c r="J20" s="11"/>
      <c r="K20" s="11"/>
      <c r="L20" s="11"/>
      <c r="M20" s="25"/>
      <c r="N20" s="28"/>
      <c r="O20" s="25"/>
      <c r="P20" s="25"/>
      <c r="Q20" s="25"/>
      <c r="R20" s="25"/>
      <c r="S20" s="25"/>
      <c r="T20" s="25"/>
      <c r="U20" s="25"/>
      <c r="V20" s="11"/>
      <c r="W20" s="15" t="s">
        <v>35</v>
      </c>
      <c r="X20" s="52"/>
    </row>
    <row r="21" spans="1:24" ht="21" customHeight="1">
      <c r="A21" s="10" t="s">
        <v>64</v>
      </c>
      <c r="B21" s="11">
        <v>1.2731481481481481E-2</v>
      </c>
      <c r="C21" s="11">
        <v>3.5879629629629629E-3</v>
      </c>
      <c r="D21" s="11">
        <f>B21*E21</f>
        <v>7.4071759259259256E-3</v>
      </c>
      <c r="E21" s="12">
        <v>0.58179999999999998</v>
      </c>
      <c r="F21" s="11">
        <f>C21/4</f>
        <v>8.9699074074074073E-4</v>
      </c>
      <c r="G21" s="11">
        <f>D21/7.5</f>
        <v>9.8762345679012349E-4</v>
      </c>
      <c r="H21" s="11">
        <f>B21/12.5</f>
        <v>1.0185185185185184E-3</v>
      </c>
      <c r="I21" s="11">
        <f>G21/0.93</f>
        <v>1.0619607062259391E-3</v>
      </c>
      <c r="J21" s="11">
        <f>G21/0.92</f>
        <v>1.073503757380569E-3</v>
      </c>
      <c r="K21" s="11">
        <f>G21/0.88</f>
        <v>1.1222993827160494E-3</v>
      </c>
      <c r="L21" s="11">
        <f>G21/0.84</f>
        <v>1.1757422104644328E-3</v>
      </c>
      <c r="M21" s="25"/>
      <c r="N21" s="28"/>
      <c r="O21" s="25"/>
      <c r="P21" s="28"/>
      <c r="Q21" s="25"/>
      <c r="R21" s="25"/>
      <c r="S21" s="28"/>
      <c r="T21" s="28"/>
      <c r="U21" s="28"/>
      <c r="V21" s="28"/>
      <c r="W21" s="15" t="s">
        <v>35</v>
      </c>
      <c r="X21" s="50"/>
    </row>
    <row r="22" spans="1:24" ht="21" customHeight="1">
      <c r="A22" s="10" t="s">
        <v>68</v>
      </c>
      <c r="B22" s="11"/>
      <c r="C22" s="11"/>
      <c r="D22" s="11"/>
      <c r="E22" s="12"/>
      <c r="F22" s="11"/>
      <c r="G22" s="11"/>
      <c r="H22" s="11"/>
      <c r="I22" s="11"/>
      <c r="J22" s="11"/>
      <c r="K22" s="11"/>
      <c r="L22" s="11"/>
      <c r="M22" s="25"/>
      <c r="N22" s="28"/>
      <c r="O22" s="25"/>
      <c r="P22" s="28"/>
      <c r="Q22" s="25"/>
      <c r="R22" s="28"/>
      <c r="S22" s="11"/>
      <c r="T22" s="11"/>
      <c r="U22" s="11"/>
      <c r="V22" s="11"/>
      <c r="W22" s="15" t="s">
        <v>35</v>
      </c>
      <c r="X22" s="50"/>
    </row>
    <row r="23" spans="1:24" ht="21" customHeight="1">
      <c r="A23" s="10" t="s">
        <v>73</v>
      </c>
      <c r="B23" s="11">
        <v>1.4236111111111111E-2</v>
      </c>
      <c r="C23" s="11">
        <v>4.3981481481481484E-3</v>
      </c>
      <c r="D23" s="11">
        <f t="shared" ref="D23:D28" si="8">B23*E23</f>
        <v>8.2825694444444448E-3</v>
      </c>
      <c r="E23" s="12">
        <v>0.58179999999999998</v>
      </c>
      <c r="F23" s="11">
        <f t="shared" ref="F23:F28" si="9">C23/4</f>
        <v>1.0995370370370371E-3</v>
      </c>
      <c r="G23" s="11">
        <f t="shared" ref="G23:G28" si="10">D23/7.5</f>
        <v>1.1043425925925927E-3</v>
      </c>
      <c r="H23" s="11">
        <f t="shared" ref="H23:H28" si="11">B23/12.5</f>
        <v>1.1388888888888889E-3</v>
      </c>
      <c r="I23" s="11">
        <f t="shared" ref="I23:I28" si="12">G23/0.93</f>
        <v>1.1874651533253684E-3</v>
      </c>
      <c r="J23" s="11">
        <f t="shared" ref="J23:J28" si="13">G23/0.92</f>
        <v>1.2003723832528181E-3</v>
      </c>
      <c r="K23" s="11">
        <f t="shared" ref="K23:K28" si="14">G23/0.88</f>
        <v>1.2549347643097644E-3</v>
      </c>
      <c r="L23" s="11">
        <f t="shared" ref="L23:L28" si="15">G23/0.84</f>
        <v>1.3146935626102295E-3</v>
      </c>
      <c r="M23" s="25"/>
      <c r="N23" s="28"/>
      <c r="O23" s="25"/>
      <c r="P23" s="25"/>
      <c r="Q23" s="25"/>
      <c r="R23" s="25"/>
      <c r="S23" s="28"/>
      <c r="T23" s="28"/>
      <c r="U23" s="28"/>
      <c r="V23" s="28"/>
      <c r="W23" s="15" t="s">
        <v>35</v>
      </c>
      <c r="X23" s="50"/>
    </row>
    <row r="24" spans="1:24" ht="21" customHeight="1">
      <c r="A24" s="10" t="s">
        <v>74</v>
      </c>
      <c r="B24" s="11">
        <v>1.3020833333333334E-2</v>
      </c>
      <c r="C24" s="11">
        <v>3.7037037037037038E-3</v>
      </c>
      <c r="D24" s="11">
        <f t="shared" si="8"/>
        <v>7.5755208333333334E-3</v>
      </c>
      <c r="E24" s="12">
        <v>0.58179999999999998</v>
      </c>
      <c r="F24" s="11">
        <f t="shared" si="9"/>
        <v>9.2592592592592596E-4</v>
      </c>
      <c r="G24" s="11">
        <f t="shared" si="10"/>
        <v>1.0100694444444445E-3</v>
      </c>
      <c r="H24" s="11">
        <f t="shared" si="11"/>
        <v>1.0416666666666667E-3</v>
      </c>
      <c r="I24" s="11">
        <f t="shared" si="12"/>
        <v>1.0860961768219832E-3</v>
      </c>
      <c r="J24" s="11">
        <f t="shared" si="13"/>
        <v>1.0979015700483092E-3</v>
      </c>
      <c r="K24" s="11">
        <f t="shared" si="14"/>
        <v>1.1478061868686869E-3</v>
      </c>
      <c r="L24" s="11">
        <f t="shared" si="15"/>
        <v>1.2024636243386244E-3</v>
      </c>
      <c r="M24" s="25"/>
      <c r="N24" s="28"/>
      <c r="O24" s="25"/>
      <c r="P24" s="28"/>
      <c r="Q24" s="25"/>
      <c r="R24" s="25"/>
      <c r="S24" s="25"/>
      <c r="T24" s="28"/>
      <c r="U24" s="11"/>
      <c r="V24" s="36"/>
      <c r="W24" s="15" t="s">
        <v>35</v>
      </c>
      <c r="X24" s="50"/>
    </row>
    <row r="25" spans="1:24" ht="21" customHeight="1">
      <c r="A25" s="10" t="s">
        <v>58</v>
      </c>
      <c r="B25" s="11">
        <v>1.3541666666666667E-2</v>
      </c>
      <c r="C25" s="11">
        <v>4.1087962962962962E-3</v>
      </c>
      <c r="D25" s="11">
        <f t="shared" si="8"/>
        <v>7.8785416666666674E-3</v>
      </c>
      <c r="E25" s="12">
        <v>0.58179999999999998</v>
      </c>
      <c r="F25" s="11">
        <f t="shared" si="9"/>
        <v>1.027199074074074E-3</v>
      </c>
      <c r="G25" s="11">
        <f t="shared" si="10"/>
        <v>1.0504722222222224E-3</v>
      </c>
      <c r="H25" s="11">
        <f t="shared" si="11"/>
        <v>1.0833333333333333E-3</v>
      </c>
      <c r="I25" s="11">
        <f t="shared" si="12"/>
        <v>1.1295400238948627E-3</v>
      </c>
      <c r="J25" s="11">
        <f t="shared" si="13"/>
        <v>1.1418176328502417E-3</v>
      </c>
      <c r="K25" s="11">
        <f t="shared" si="14"/>
        <v>1.1937184343434346E-3</v>
      </c>
      <c r="L25" s="11">
        <f t="shared" si="15"/>
        <v>1.2505621693121695E-3</v>
      </c>
      <c r="M25" s="25"/>
      <c r="N25" s="28"/>
      <c r="O25" s="25"/>
      <c r="P25" s="25"/>
      <c r="Q25" s="25"/>
      <c r="R25" s="25"/>
      <c r="S25" s="28"/>
      <c r="T25" s="28"/>
      <c r="U25" s="28"/>
      <c r="V25" s="38"/>
      <c r="W25" s="15" t="s">
        <v>35</v>
      </c>
      <c r="X25" s="50"/>
    </row>
    <row r="26" spans="1:24" ht="21" customHeight="1">
      <c r="A26" s="10" t="s">
        <v>70</v>
      </c>
      <c r="B26" s="11">
        <v>1.3541666666666667E-2</v>
      </c>
      <c r="C26" s="11">
        <v>4.0509259259259257E-3</v>
      </c>
      <c r="D26" s="11">
        <f t="shared" si="8"/>
        <v>7.8785416666666674E-3</v>
      </c>
      <c r="E26" s="12">
        <v>0.58179999999999998</v>
      </c>
      <c r="F26" s="11">
        <f t="shared" si="9"/>
        <v>1.0127314814814814E-3</v>
      </c>
      <c r="G26" s="11">
        <f t="shared" si="10"/>
        <v>1.0504722222222224E-3</v>
      </c>
      <c r="H26" s="11">
        <f t="shared" si="11"/>
        <v>1.0833333333333333E-3</v>
      </c>
      <c r="I26" s="11">
        <f t="shared" si="12"/>
        <v>1.1295400238948627E-3</v>
      </c>
      <c r="J26" s="11">
        <f t="shared" si="13"/>
        <v>1.1418176328502417E-3</v>
      </c>
      <c r="K26" s="11">
        <f t="shared" si="14"/>
        <v>1.1937184343434346E-3</v>
      </c>
      <c r="L26" s="11">
        <f t="shared" si="15"/>
        <v>1.2505621693121695E-3</v>
      </c>
      <c r="M26" s="25"/>
      <c r="N26" s="28"/>
      <c r="O26" s="25"/>
      <c r="P26" s="25"/>
      <c r="Q26" s="25"/>
      <c r="R26" s="25"/>
      <c r="S26" s="28"/>
      <c r="T26" s="28"/>
      <c r="U26" s="28"/>
      <c r="V26" s="38"/>
      <c r="W26" s="15" t="s">
        <v>35</v>
      </c>
      <c r="X26" s="50"/>
    </row>
    <row r="27" spans="1:24" ht="21" customHeight="1">
      <c r="A27" s="10" t="s">
        <v>76</v>
      </c>
      <c r="B27" s="11"/>
      <c r="C27" s="11"/>
      <c r="D27" s="11">
        <f t="shared" si="8"/>
        <v>0</v>
      </c>
      <c r="E27" s="12">
        <v>0.58179999999999998</v>
      </c>
      <c r="F27" s="11">
        <f t="shared" si="9"/>
        <v>0</v>
      </c>
      <c r="G27" s="11">
        <f t="shared" si="10"/>
        <v>0</v>
      </c>
      <c r="H27" s="11">
        <f t="shared" si="11"/>
        <v>0</v>
      </c>
      <c r="I27" s="11">
        <f t="shared" si="12"/>
        <v>0</v>
      </c>
      <c r="J27" s="11">
        <f t="shared" si="13"/>
        <v>0</v>
      </c>
      <c r="K27" s="11">
        <f t="shared" si="14"/>
        <v>0</v>
      </c>
      <c r="L27" s="11">
        <f t="shared" si="15"/>
        <v>0</v>
      </c>
      <c r="M27" s="25"/>
      <c r="N27" s="28"/>
      <c r="O27" s="25"/>
      <c r="P27" s="25"/>
      <c r="Q27" s="25"/>
      <c r="R27" s="25"/>
      <c r="S27" s="28"/>
      <c r="T27" s="28"/>
      <c r="U27" s="28"/>
      <c r="V27" s="28"/>
      <c r="W27" s="15" t="s">
        <v>35</v>
      </c>
      <c r="X27" s="50"/>
    </row>
    <row r="28" spans="1:24" ht="21" customHeight="1">
      <c r="A28" s="10" t="s">
        <v>30</v>
      </c>
      <c r="B28" s="11">
        <v>1.2500000000000001E-2</v>
      </c>
      <c r="C28" s="11">
        <v>3.6458333333333334E-3</v>
      </c>
      <c r="D28" s="11">
        <f t="shared" si="8"/>
        <v>7.2725000000000003E-3</v>
      </c>
      <c r="E28" s="12">
        <v>0.58179999999999998</v>
      </c>
      <c r="F28" s="11">
        <f t="shared" si="9"/>
        <v>9.1145833333333335E-4</v>
      </c>
      <c r="G28" s="11">
        <f t="shared" si="10"/>
        <v>9.6966666666666675E-4</v>
      </c>
      <c r="H28" s="11">
        <f t="shared" si="11"/>
        <v>1E-3</v>
      </c>
      <c r="I28" s="11">
        <f t="shared" si="12"/>
        <v>1.0426523297491039E-3</v>
      </c>
      <c r="J28" s="11">
        <f t="shared" si="13"/>
        <v>1.0539855072463768E-3</v>
      </c>
      <c r="K28" s="11">
        <f t="shared" si="14"/>
        <v>1.1018939393939394E-3</v>
      </c>
      <c r="L28" s="11">
        <f t="shared" si="15"/>
        <v>1.1543650793650795E-3</v>
      </c>
      <c r="M28" s="25"/>
      <c r="N28" s="28"/>
      <c r="O28" s="28"/>
      <c r="P28" s="28"/>
      <c r="Q28" s="25"/>
      <c r="R28" s="25"/>
      <c r="S28" s="11"/>
      <c r="T28" s="28"/>
      <c r="U28" s="28"/>
      <c r="V28" s="28"/>
      <c r="W28" s="15" t="s">
        <v>35</v>
      </c>
      <c r="X28" s="50"/>
    </row>
    <row r="29" spans="1:24" ht="21" customHeight="1" thickBot="1">
      <c r="A29" s="10" t="s">
        <v>49</v>
      </c>
      <c r="B29" s="11"/>
      <c r="C29" s="11"/>
      <c r="D29" s="11"/>
      <c r="E29" s="12"/>
      <c r="F29" s="11"/>
      <c r="G29" s="11"/>
      <c r="H29" s="11"/>
      <c r="I29" s="11"/>
      <c r="J29" s="11"/>
      <c r="K29" s="11"/>
      <c r="L29" s="11"/>
      <c r="M29" s="14"/>
      <c r="O29" s="14"/>
      <c r="P29" s="11"/>
      <c r="Q29" s="14"/>
      <c r="R29" s="11"/>
      <c r="S29" s="14"/>
      <c r="T29" s="14"/>
      <c r="U29" s="14"/>
      <c r="V29" s="11"/>
      <c r="W29" s="15" t="s">
        <v>35</v>
      </c>
      <c r="X29" s="50"/>
    </row>
    <row r="30" spans="1:24" ht="21" customHeight="1">
      <c r="A30" s="1" t="s">
        <v>360</v>
      </c>
      <c r="B30" s="6"/>
      <c r="C30" s="6"/>
      <c r="D30" s="6"/>
      <c r="E30" s="20"/>
      <c r="F30" s="6"/>
      <c r="G30" s="6"/>
      <c r="H30" s="6"/>
      <c r="I30" s="6"/>
      <c r="J30" s="6"/>
      <c r="K30" s="6"/>
      <c r="L30" s="6"/>
      <c r="M30" s="6"/>
      <c r="N30" s="6"/>
      <c r="O30" s="6"/>
      <c r="P30" s="6"/>
      <c r="Q30" s="6"/>
      <c r="R30" s="6"/>
      <c r="S30" s="6"/>
      <c r="T30" s="6"/>
      <c r="U30" s="6"/>
      <c r="V30" s="21"/>
      <c r="W30" s="35"/>
      <c r="X30" s="50"/>
    </row>
    <row r="31" spans="1:24" ht="21" customHeight="1">
      <c r="A31" s="10" t="s">
        <v>50</v>
      </c>
      <c r="B31" s="11">
        <v>1.3020833333333334E-2</v>
      </c>
      <c r="C31" s="11">
        <v>3.6458333333333334E-3</v>
      </c>
      <c r="D31" s="11">
        <f>B31*E31</f>
        <v>7.5755208333333334E-3</v>
      </c>
      <c r="E31" s="12">
        <v>0.58179999999999998</v>
      </c>
      <c r="F31" s="11">
        <f>C31/4</f>
        <v>9.1145833333333335E-4</v>
      </c>
      <c r="G31" s="11">
        <f>D31/7.5</f>
        <v>1.0100694444444445E-3</v>
      </c>
      <c r="H31" s="11">
        <f>B31/12.5</f>
        <v>1.0416666666666667E-3</v>
      </c>
      <c r="I31" s="11">
        <f>G31/0.93</f>
        <v>1.0860961768219832E-3</v>
      </c>
      <c r="J31" s="11">
        <f>G31/0.92</f>
        <v>1.0979015700483092E-3</v>
      </c>
      <c r="K31" s="11">
        <f>G31/0.88</f>
        <v>1.1478061868686869E-3</v>
      </c>
      <c r="L31" s="11">
        <f>G31/0.84</f>
        <v>1.2024636243386244E-3</v>
      </c>
      <c r="M31" s="25"/>
      <c r="N31" s="28"/>
      <c r="O31" s="25"/>
      <c r="P31" s="28"/>
      <c r="Q31" s="25"/>
      <c r="R31" s="25"/>
      <c r="S31" s="25"/>
      <c r="T31" s="28"/>
      <c r="U31" s="11"/>
      <c r="V31" s="36"/>
      <c r="W31" s="15" t="s">
        <v>48</v>
      </c>
      <c r="X31" s="50" t="s">
        <v>363</v>
      </c>
    </row>
    <row r="32" spans="1:24" ht="21" customHeight="1">
      <c r="A32" s="10" t="s">
        <v>36</v>
      </c>
      <c r="B32" s="11"/>
      <c r="C32" s="11"/>
      <c r="D32" s="11"/>
      <c r="E32" s="12"/>
      <c r="F32" s="11"/>
      <c r="G32" s="11"/>
      <c r="H32" s="11"/>
      <c r="I32" s="11"/>
      <c r="J32" s="11"/>
      <c r="K32" s="11"/>
      <c r="L32" s="11"/>
      <c r="M32" s="25"/>
      <c r="N32" s="28"/>
      <c r="O32" s="25"/>
      <c r="P32" s="28"/>
      <c r="Q32" s="25"/>
      <c r="R32" s="25"/>
      <c r="S32" s="25"/>
      <c r="T32" s="28"/>
      <c r="U32" s="11"/>
      <c r="V32" s="36"/>
      <c r="W32" s="15" t="s">
        <v>48</v>
      </c>
      <c r="X32" s="50"/>
    </row>
    <row r="33" spans="1:24" ht="21" customHeight="1">
      <c r="A33" s="10" t="s">
        <v>198</v>
      </c>
      <c r="B33" s="11">
        <v>1.4236111111111111E-2</v>
      </c>
      <c r="C33" s="11">
        <v>4.1666666666666666E-3</v>
      </c>
      <c r="D33" s="11">
        <f>B33*E33</f>
        <v>8.2825694444444448E-3</v>
      </c>
      <c r="E33" s="12">
        <v>0.58179999999999998</v>
      </c>
      <c r="F33" s="11">
        <f>C33/4</f>
        <v>1.0416666666666667E-3</v>
      </c>
      <c r="G33" s="11">
        <f>D33/7.5</f>
        <v>1.1043425925925927E-3</v>
      </c>
      <c r="H33" s="11">
        <f>B33/12.5</f>
        <v>1.1388888888888889E-3</v>
      </c>
      <c r="I33" s="11">
        <f>G33/0.93</f>
        <v>1.1874651533253684E-3</v>
      </c>
      <c r="J33" s="11">
        <f>G33/0.92</f>
        <v>1.2003723832528181E-3</v>
      </c>
      <c r="K33" s="11">
        <f>G33/0.88</f>
        <v>1.2549347643097644E-3</v>
      </c>
      <c r="L33" s="11">
        <f>G33/0.84</f>
        <v>1.3146935626102295E-3</v>
      </c>
      <c r="M33" s="25"/>
      <c r="N33" s="28"/>
      <c r="O33" s="25"/>
      <c r="P33" s="28"/>
      <c r="Q33" s="25"/>
      <c r="R33" s="25"/>
      <c r="S33" s="25"/>
      <c r="T33" s="28"/>
      <c r="U33" s="11"/>
      <c r="V33" s="36"/>
      <c r="W33" s="15" t="s">
        <v>48</v>
      </c>
      <c r="X33" s="50"/>
    </row>
    <row r="34" spans="1:24" ht="21" customHeight="1">
      <c r="A34" s="10" t="s">
        <v>47</v>
      </c>
      <c r="B34" s="11">
        <v>1.3194444444444444E-2</v>
      </c>
      <c r="C34" s="11">
        <v>3.7037037037037038E-3</v>
      </c>
      <c r="D34" s="11">
        <f>B34*E34</f>
        <v>7.6765277777777778E-3</v>
      </c>
      <c r="E34" s="12">
        <v>0.58179999999999998</v>
      </c>
      <c r="F34" s="11">
        <f>C34/4</f>
        <v>9.2592592592592596E-4</v>
      </c>
      <c r="G34" s="11">
        <f>D34/7.5</f>
        <v>1.023537037037037E-3</v>
      </c>
      <c r="H34" s="11">
        <f>B34/12.5</f>
        <v>1.0555555555555555E-3</v>
      </c>
      <c r="I34" s="11">
        <f>G34/0.93</f>
        <v>1.1005774591796096E-3</v>
      </c>
      <c r="J34" s="11">
        <f>G34/0.92</f>
        <v>1.1125402576489531E-3</v>
      </c>
      <c r="K34" s="11">
        <f>G34/0.88</f>
        <v>1.1631102693602693E-3</v>
      </c>
      <c r="L34" s="11">
        <f>G34/0.84</f>
        <v>1.2184964726631392E-3</v>
      </c>
      <c r="M34" s="25"/>
      <c r="N34" s="28"/>
      <c r="O34" s="25"/>
      <c r="P34" s="28"/>
      <c r="Q34" s="25"/>
      <c r="R34" s="25"/>
      <c r="S34" s="25"/>
      <c r="T34" s="28"/>
      <c r="U34" s="11"/>
      <c r="V34" s="36"/>
      <c r="W34" s="15" t="s">
        <v>48</v>
      </c>
      <c r="X34" s="50"/>
    </row>
    <row r="35" spans="1:24" ht="21" customHeight="1">
      <c r="A35" s="10" t="s">
        <v>72</v>
      </c>
      <c r="B35" s="11">
        <v>1.3368055555555555E-2</v>
      </c>
      <c r="C35" s="11">
        <v>4.0509259259259257E-3</v>
      </c>
      <c r="D35" s="11">
        <f>B35*E35</f>
        <v>7.7775347222222213E-3</v>
      </c>
      <c r="E35" s="12">
        <v>0.58179999999999998</v>
      </c>
      <c r="F35" s="11">
        <f>C35/4</f>
        <v>1.0127314814814814E-3</v>
      </c>
      <c r="G35" s="11">
        <f>D35/7.5</f>
        <v>1.0370046296296295E-3</v>
      </c>
      <c r="H35" s="11">
        <f>B35/12.5</f>
        <v>1.0694444444444445E-3</v>
      </c>
      <c r="I35" s="11">
        <f>G35/0.93</f>
        <v>1.1150587415372358E-3</v>
      </c>
      <c r="J35" s="11">
        <f>G35/0.92</f>
        <v>1.1271789452495973E-3</v>
      </c>
      <c r="K35" s="11">
        <f>G35/0.88</f>
        <v>1.1784143518518517E-3</v>
      </c>
      <c r="L35" s="11">
        <f>G35/0.84</f>
        <v>1.2345293209876543E-3</v>
      </c>
      <c r="M35" s="25"/>
      <c r="N35" s="28"/>
      <c r="O35" s="25"/>
      <c r="P35" s="25"/>
      <c r="Q35" s="25"/>
      <c r="R35" s="28"/>
      <c r="S35" s="11"/>
      <c r="T35" s="28"/>
      <c r="U35" s="28"/>
      <c r="V35" s="28"/>
      <c r="W35" s="15" t="s">
        <v>48</v>
      </c>
      <c r="X35" s="50"/>
    </row>
    <row r="36" spans="1:24" ht="21" customHeight="1">
      <c r="A36" s="10"/>
      <c r="B36" s="11"/>
      <c r="C36" s="11"/>
      <c r="D36" s="11"/>
      <c r="E36" s="12"/>
      <c r="F36" s="11"/>
      <c r="G36" s="11"/>
      <c r="H36" s="11"/>
      <c r="I36" s="11"/>
      <c r="J36" s="11"/>
      <c r="K36" s="11"/>
      <c r="L36" s="11"/>
      <c r="M36" s="14"/>
      <c r="N36" s="11"/>
      <c r="O36" s="14"/>
      <c r="P36" s="11"/>
      <c r="Q36" s="14"/>
      <c r="R36" s="11"/>
      <c r="S36" s="14"/>
      <c r="T36" s="14"/>
      <c r="U36" s="14"/>
      <c r="V36" s="11"/>
      <c r="W36" s="15"/>
      <c r="X36" s="50"/>
    </row>
    <row r="37" spans="1:24" ht="21" customHeight="1">
      <c r="A37" s="19"/>
      <c r="B37" s="6"/>
      <c r="C37" s="6"/>
      <c r="D37" s="6"/>
      <c r="E37" s="20"/>
      <c r="F37" s="6"/>
      <c r="G37" s="6"/>
      <c r="H37" s="6"/>
      <c r="I37" s="6"/>
      <c r="J37" s="6"/>
      <c r="K37" s="6"/>
      <c r="L37" s="6"/>
      <c r="M37" s="6"/>
      <c r="N37" s="6"/>
      <c r="O37" s="6"/>
      <c r="P37" s="6"/>
      <c r="Q37" s="6"/>
      <c r="R37" s="6"/>
      <c r="S37" s="6"/>
      <c r="T37" s="6"/>
      <c r="U37" s="6"/>
      <c r="V37" s="6"/>
      <c r="W37" s="35"/>
      <c r="X37" s="50"/>
    </row>
    <row r="38" spans="1:24" ht="21" customHeight="1">
      <c r="A38" s="10" t="s">
        <v>51</v>
      </c>
      <c r="B38" s="11">
        <v>1.238425925925926E-2</v>
      </c>
      <c r="C38" s="11">
        <v>3.5879629629629629E-3</v>
      </c>
      <c r="D38" s="11">
        <f>B38*E38</f>
        <v>7.2051620370370368E-3</v>
      </c>
      <c r="E38" s="12">
        <v>0.58179999999999998</v>
      </c>
      <c r="F38" s="11">
        <f>C38/4</f>
        <v>8.9699074074074073E-4</v>
      </c>
      <c r="G38" s="11">
        <f>D38/7.5</f>
        <v>9.6068827160493821E-4</v>
      </c>
      <c r="H38" s="11">
        <f>B38/12.5</f>
        <v>9.9074074074074082E-4</v>
      </c>
      <c r="I38" s="11">
        <f>G38/0.93</f>
        <v>1.0329981415106862E-3</v>
      </c>
      <c r="J38" s="11">
        <f>G38/0.92</f>
        <v>1.0442263821792807E-3</v>
      </c>
      <c r="K38" s="11">
        <f>G38/0.88</f>
        <v>1.0916912177328843E-3</v>
      </c>
      <c r="L38" s="11">
        <f>G38/0.84</f>
        <v>1.1436765138154027E-3</v>
      </c>
      <c r="M38" s="25"/>
      <c r="N38" s="28"/>
      <c r="O38" s="25"/>
      <c r="P38" s="28"/>
      <c r="Q38" s="25"/>
      <c r="R38" s="28"/>
      <c r="S38" s="11"/>
      <c r="T38" s="11"/>
      <c r="U38" s="11"/>
      <c r="V38" s="11"/>
      <c r="W38" s="15" t="s">
        <v>52</v>
      </c>
      <c r="X38" s="50"/>
    </row>
    <row r="39" spans="1:24" ht="21" customHeight="1">
      <c r="A39" s="10" t="s">
        <v>53</v>
      </c>
      <c r="B39" s="11"/>
      <c r="C39" s="11"/>
      <c r="D39" s="11"/>
      <c r="E39" s="12"/>
      <c r="F39" s="11"/>
      <c r="G39" s="11"/>
      <c r="H39" s="11"/>
      <c r="I39" s="11"/>
      <c r="J39" s="11"/>
      <c r="K39" s="11"/>
      <c r="L39" s="11"/>
      <c r="M39" s="25"/>
      <c r="N39" s="28"/>
      <c r="O39" s="25"/>
      <c r="P39" s="28"/>
      <c r="Q39" s="25"/>
      <c r="R39" s="28"/>
      <c r="S39" s="28"/>
      <c r="T39" s="11"/>
      <c r="U39" s="11"/>
      <c r="V39" s="17"/>
      <c r="W39" s="18" t="s">
        <v>52</v>
      </c>
      <c r="X39" s="50"/>
    </row>
    <row r="40" spans="1:24" ht="21" customHeight="1">
      <c r="A40" s="10" t="s">
        <v>61</v>
      </c>
      <c r="B40" s="11">
        <v>1.4236111111111111E-2</v>
      </c>
      <c r="C40" s="11">
        <v>4.3981481481481484E-3</v>
      </c>
      <c r="D40" s="11">
        <f>B40*E40</f>
        <v>8.2825694444444448E-3</v>
      </c>
      <c r="E40" s="12">
        <v>0.58179999999999998</v>
      </c>
      <c r="F40" s="11">
        <f>C40/4</f>
        <v>1.0995370370370371E-3</v>
      </c>
      <c r="G40" s="11">
        <f>D40/7.5</f>
        <v>1.1043425925925927E-3</v>
      </c>
      <c r="H40" s="11">
        <f>B40/12.5</f>
        <v>1.1388888888888889E-3</v>
      </c>
      <c r="I40" s="11">
        <f>G40/0.93</f>
        <v>1.1874651533253684E-3</v>
      </c>
      <c r="J40" s="11">
        <f>G40/0.92</f>
        <v>1.2003723832528181E-3</v>
      </c>
      <c r="K40" s="11">
        <f>G40/0.88</f>
        <v>1.2549347643097644E-3</v>
      </c>
      <c r="L40" s="11">
        <f>G40/0.84</f>
        <v>1.3146935626102295E-3</v>
      </c>
      <c r="M40" s="25"/>
      <c r="N40" s="28"/>
      <c r="O40" s="25"/>
      <c r="P40" s="25"/>
      <c r="Q40" s="25"/>
      <c r="R40" s="25"/>
      <c r="S40" s="28"/>
      <c r="T40" s="28"/>
      <c r="U40" s="28"/>
      <c r="V40" s="28"/>
      <c r="W40" s="15" t="s">
        <v>52</v>
      </c>
      <c r="X40" s="50"/>
    </row>
    <row r="41" spans="1:24" ht="21" customHeight="1">
      <c r="A41" s="10" t="s">
        <v>57</v>
      </c>
      <c r="B41" s="11"/>
      <c r="C41" s="11"/>
      <c r="D41" s="11"/>
      <c r="E41" s="12"/>
      <c r="F41" s="11"/>
      <c r="G41" s="11"/>
      <c r="H41" s="11"/>
      <c r="I41" s="11"/>
      <c r="J41" s="11"/>
      <c r="K41" s="11"/>
      <c r="L41" s="11"/>
      <c r="M41" s="25"/>
      <c r="N41" s="28"/>
      <c r="O41" s="25"/>
      <c r="P41" s="28"/>
      <c r="Q41" s="25"/>
      <c r="R41" s="28"/>
      <c r="S41" s="28"/>
      <c r="T41" s="11"/>
      <c r="U41" s="11"/>
      <c r="V41" s="11"/>
      <c r="W41" s="15" t="s">
        <v>52</v>
      </c>
      <c r="X41" s="50" t="s">
        <v>215</v>
      </c>
    </row>
    <row r="42" spans="1:24" ht="21" customHeight="1">
      <c r="A42" s="39"/>
      <c r="B42" s="40"/>
      <c r="C42" s="40"/>
      <c r="D42" s="40"/>
      <c r="E42" s="41"/>
      <c r="F42" s="40"/>
      <c r="G42" s="40"/>
      <c r="H42" s="40"/>
      <c r="I42" s="40"/>
      <c r="J42" s="40"/>
      <c r="K42" s="40"/>
      <c r="L42" s="40"/>
      <c r="M42" s="40"/>
      <c r="N42" s="40"/>
      <c r="O42" s="40"/>
      <c r="P42" s="40"/>
      <c r="Q42" s="40"/>
      <c r="R42" s="40"/>
      <c r="S42" s="40"/>
      <c r="T42" s="40"/>
      <c r="U42" s="40"/>
      <c r="V42" s="40"/>
      <c r="W42" s="42"/>
      <c r="X42" s="50"/>
    </row>
    <row r="43" spans="1:24" ht="21" customHeight="1">
      <c r="A43" s="10"/>
      <c r="B43" s="11"/>
      <c r="C43" s="11"/>
      <c r="D43" s="11"/>
      <c r="E43" s="12"/>
      <c r="F43" s="11"/>
      <c r="G43" s="11"/>
      <c r="H43" s="11"/>
      <c r="I43" s="11"/>
      <c r="J43" s="11"/>
      <c r="K43" s="11"/>
      <c r="L43" s="11"/>
      <c r="M43" s="14"/>
      <c r="O43" s="14"/>
      <c r="P43" s="11"/>
      <c r="Q43" s="14"/>
      <c r="R43" s="11"/>
      <c r="S43" s="14"/>
      <c r="T43" s="14"/>
      <c r="U43" s="14"/>
      <c r="V43" s="17"/>
      <c r="W43" s="18"/>
      <c r="X43" s="50"/>
    </row>
    <row r="44" spans="1:24" ht="21" customHeight="1">
      <c r="A44" s="10"/>
      <c r="B44" s="11"/>
      <c r="C44" s="11"/>
      <c r="D44" s="11"/>
      <c r="E44" s="12"/>
      <c r="F44" s="11"/>
      <c r="G44" s="11"/>
      <c r="H44" s="11"/>
      <c r="I44" s="11"/>
      <c r="J44" s="11"/>
      <c r="K44" s="11"/>
      <c r="L44" s="11"/>
      <c r="M44" s="14"/>
      <c r="O44" s="14"/>
      <c r="P44" s="11"/>
      <c r="Q44" s="14"/>
      <c r="R44" s="11"/>
      <c r="S44" s="14"/>
      <c r="T44" s="14"/>
      <c r="U44" s="14"/>
      <c r="V44" s="11"/>
      <c r="W44" s="15"/>
      <c r="X44" s="50"/>
    </row>
    <row r="45" spans="1:24" ht="21" customHeight="1">
      <c r="A45" s="10"/>
      <c r="B45" s="11"/>
      <c r="C45" s="11"/>
      <c r="D45" s="11"/>
      <c r="E45" s="12"/>
      <c r="F45" s="11"/>
      <c r="G45" s="11"/>
      <c r="H45" s="11"/>
      <c r="I45" s="11"/>
      <c r="J45" s="11"/>
      <c r="K45" s="11"/>
      <c r="L45" s="11"/>
      <c r="M45" s="14"/>
      <c r="O45" s="14"/>
      <c r="P45" s="11"/>
      <c r="Q45" s="14"/>
      <c r="R45" s="11"/>
      <c r="S45" s="14"/>
      <c r="T45" s="14"/>
      <c r="U45" s="14"/>
      <c r="V45" s="17"/>
      <c r="W45" s="15"/>
      <c r="X45" s="50"/>
    </row>
    <row r="46" spans="1:24" ht="21" customHeight="1">
      <c r="A46" s="10"/>
      <c r="B46" s="11"/>
      <c r="C46" s="11"/>
      <c r="D46" s="11"/>
      <c r="E46" s="12"/>
      <c r="F46" s="11"/>
      <c r="G46" s="11"/>
      <c r="H46" s="11"/>
      <c r="I46" s="11"/>
      <c r="J46" s="11"/>
      <c r="K46" s="11"/>
      <c r="L46" s="11"/>
      <c r="M46" s="14"/>
      <c r="O46" s="14"/>
      <c r="P46" s="11"/>
      <c r="Q46" s="14"/>
      <c r="R46" s="11"/>
      <c r="S46" s="14"/>
      <c r="T46" s="14"/>
      <c r="U46" s="14"/>
      <c r="V46" s="17"/>
      <c r="W46" s="15"/>
      <c r="X46" s="50"/>
    </row>
    <row r="47" spans="1:24" ht="21" customHeight="1">
      <c r="A47" s="10"/>
      <c r="B47" s="11"/>
      <c r="C47" s="11"/>
      <c r="D47" s="11"/>
      <c r="E47" s="12"/>
      <c r="F47" s="11"/>
      <c r="G47" s="11"/>
      <c r="H47" s="11"/>
      <c r="I47" s="11"/>
      <c r="J47" s="11"/>
      <c r="K47" s="11"/>
      <c r="L47" s="11"/>
      <c r="M47" s="14"/>
      <c r="O47" s="14"/>
      <c r="P47" s="11"/>
      <c r="Q47" s="14"/>
      <c r="R47" s="11"/>
      <c r="S47" s="14"/>
      <c r="T47" s="14"/>
      <c r="U47" s="14"/>
      <c r="V47" s="11"/>
      <c r="W47" s="15"/>
      <c r="X47" s="50"/>
    </row>
    <row r="48" spans="1:24" ht="21" customHeight="1">
      <c r="A48" s="10"/>
      <c r="B48" s="11"/>
      <c r="C48" s="11"/>
      <c r="D48" s="11"/>
      <c r="E48" s="12"/>
      <c r="F48" s="11"/>
      <c r="G48" s="11"/>
      <c r="H48" s="11"/>
      <c r="I48" s="11"/>
      <c r="J48" s="11"/>
      <c r="K48" s="11"/>
      <c r="L48" s="11"/>
      <c r="M48" s="25"/>
      <c r="N48" s="28"/>
      <c r="O48" s="25"/>
      <c r="P48" s="28"/>
      <c r="Q48" s="25"/>
      <c r="R48" s="11"/>
      <c r="S48" s="14"/>
      <c r="T48" s="11"/>
      <c r="U48" s="11"/>
      <c r="V48" s="17"/>
      <c r="W48" s="18"/>
      <c r="X48" s="50"/>
    </row>
    <row r="49" spans="1:24" ht="21" customHeight="1">
      <c r="A49" s="10"/>
      <c r="B49" s="11"/>
      <c r="C49" s="11"/>
      <c r="D49" s="11">
        <f>B49*E49</f>
        <v>0</v>
      </c>
      <c r="E49" s="12">
        <v>0.58179999999999998</v>
      </c>
      <c r="F49" s="11">
        <f>C49/4</f>
        <v>0</v>
      </c>
      <c r="G49" s="11">
        <f>D49/7.5</f>
        <v>0</v>
      </c>
      <c r="H49" s="11">
        <f>B49/12.5</f>
        <v>0</v>
      </c>
      <c r="I49" s="11">
        <f>G49/0.93</f>
        <v>0</v>
      </c>
      <c r="J49" s="11">
        <f>G49/0.92</f>
        <v>0</v>
      </c>
      <c r="K49" s="11">
        <f>G49/0.88</f>
        <v>0</v>
      </c>
      <c r="L49" s="17">
        <f>G49/0.84</f>
        <v>0</v>
      </c>
      <c r="M49" s="14"/>
      <c r="N49" s="11"/>
      <c r="O49" s="11"/>
      <c r="P49" s="11"/>
      <c r="Q49" s="14"/>
      <c r="R49" s="11"/>
      <c r="S49" s="14"/>
      <c r="T49" s="11"/>
      <c r="U49" s="11"/>
      <c r="V49" s="11"/>
      <c r="W49" s="15"/>
      <c r="X49" s="50"/>
    </row>
    <row r="50" spans="1:24" ht="21" customHeight="1">
      <c r="A50" s="10"/>
      <c r="B50" s="11"/>
      <c r="C50" s="11"/>
      <c r="D50" s="11"/>
      <c r="E50" s="12"/>
      <c r="F50" s="11"/>
      <c r="G50" s="11"/>
      <c r="H50" s="11"/>
      <c r="I50" s="11"/>
      <c r="J50" s="11"/>
      <c r="K50" s="11"/>
      <c r="L50" s="11"/>
      <c r="M50" s="13"/>
      <c r="N50" s="11"/>
      <c r="O50" s="11"/>
      <c r="P50" s="11"/>
      <c r="Q50" s="14"/>
      <c r="R50" s="11"/>
      <c r="S50" s="14"/>
      <c r="T50" s="14"/>
      <c r="U50" s="14"/>
      <c r="V50" s="17"/>
      <c r="W50" s="18"/>
      <c r="X50" s="50"/>
    </row>
    <row r="51" spans="1:24" ht="21" customHeight="1">
      <c r="A51" s="10"/>
      <c r="B51" s="11"/>
      <c r="C51" s="11"/>
      <c r="D51" s="11"/>
      <c r="E51" s="12"/>
      <c r="F51" s="11"/>
      <c r="G51" s="11"/>
      <c r="H51" s="11"/>
      <c r="I51" s="11"/>
      <c r="J51" s="11"/>
      <c r="K51" s="11"/>
      <c r="L51" s="11"/>
      <c r="M51" s="13"/>
      <c r="N51" s="11"/>
      <c r="O51" s="11"/>
      <c r="P51" s="11"/>
      <c r="Q51" s="14"/>
      <c r="R51" s="11"/>
      <c r="S51" s="14"/>
      <c r="T51" s="14"/>
      <c r="U51" s="14"/>
      <c r="V51" s="17"/>
      <c r="W51" s="18"/>
      <c r="X51" s="53"/>
    </row>
    <row r="52" spans="1:24" ht="21" customHeight="1">
      <c r="A52" s="10"/>
      <c r="B52" s="11"/>
      <c r="C52" s="11"/>
      <c r="D52" s="11">
        <f t="shared" ref="D52:D54" si="16">B52*E52</f>
        <v>0</v>
      </c>
      <c r="E52" s="12"/>
      <c r="F52" s="11">
        <f t="shared" ref="F52:F54" si="17">C52/4</f>
        <v>0</v>
      </c>
      <c r="G52" s="11">
        <f t="shared" ref="G52:G54" si="18">D52/7.5</f>
        <v>0</v>
      </c>
      <c r="H52" s="11">
        <f t="shared" ref="H52:H54" si="19">B52/12.5</f>
        <v>0</v>
      </c>
      <c r="I52" s="11">
        <f t="shared" ref="I52:I54" si="20">G52/0.93</f>
        <v>0</v>
      </c>
      <c r="J52" s="11">
        <f t="shared" ref="J52:J54" si="21">G52/0.92</f>
        <v>0</v>
      </c>
      <c r="K52" s="11">
        <f t="shared" ref="K52:K54" si="22">G52/0.88</f>
        <v>0</v>
      </c>
      <c r="L52" s="11">
        <f t="shared" ref="L52:L54" si="23">G52/0.84</f>
        <v>0</v>
      </c>
      <c r="M52" s="13"/>
      <c r="N52" s="11"/>
      <c r="O52" s="11"/>
      <c r="P52" s="11"/>
      <c r="Q52" s="14"/>
      <c r="R52" s="11"/>
      <c r="S52" s="14"/>
      <c r="T52" s="14"/>
      <c r="U52" s="14"/>
      <c r="V52" s="17"/>
      <c r="W52" s="18"/>
      <c r="X52" s="53"/>
    </row>
    <row r="53" spans="1:24" ht="21" customHeight="1">
      <c r="A53" s="10"/>
      <c r="B53" s="11"/>
      <c r="C53" s="11"/>
      <c r="D53" s="11">
        <f t="shared" si="16"/>
        <v>0</v>
      </c>
      <c r="E53" s="12"/>
      <c r="F53" s="11">
        <f t="shared" si="17"/>
        <v>0</v>
      </c>
      <c r="G53" s="11">
        <f t="shared" si="18"/>
        <v>0</v>
      </c>
      <c r="H53" s="11">
        <f t="shared" si="19"/>
        <v>0</v>
      </c>
      <c r="I53" s="11">
        <f t="shared" si="20"/>
        <v>0</v>
      </c>
      <c r="J53" s="11">
        <f t="shared" si="21"/>
        <v>0</v>
      </c>
      <c r="K53" s="11">
        <f t="shared" si="22"/>
        <v>0</v>
      </c>
      <c r="L53" s="11">
        <f t="shared" si="23"/>
        <v>0</v>
      </c>
      <c r="M53" s="13"/>
      <c r="N53" s="11"/>
      <c r="O53" s="11"/>
      <c r="P53" s="11"/>
      <c r="Q53" s="14"/>
      <c r="R53" s="11"/>
      <c r="S53" s="14"/>
      <c r="T53" s="14"/>
      <c r="U53" s="14"/>
      <c r="V53" s="17"/>
      <c r="W53" s="18"/>
      <c r="X53" s="53"/>
    </row>
    <row r="54" spans="1:24" ht="21" customHeight="1">
      <c r="A54" s="10"/>
      <c r="B54" s="11"/>
      <c r="C54" s="11"/>
      <c r="D54" s="11">
        <f t="shared" si="16"/>
        <v>0</v>
      </c>
      <c r="E54" s="12"/>
      <c r="F54" s="11">
        <f t="shared" si="17"/>
        <v>0</v>
      </c>
      <c r="G54" s="11">
        <f t="shared" si="18"/>
        <v>0</v>
      </c>
      <c r="H54" s="11">
        <f t="shared" si="19"/>
        <v>0</v>
      </c>
      <c r="I54" s="11">
        <f t="shared" si="20"/>
        <v>0</v>
      </c>
      <c r="J54" s="11">
        <f t="shared" si="21"/>
        <v>0</v>
      </c>
      <c r="K54" s="11">
        <f t="shared" si="22"/>
        <v>0</v>
      </c>
      <c r="L54" s="11">
        <f t="shared" si="23"/>
        <v>0</v>
      </c>
      <c r="M54" s="13"/>
      <c r="N54" s="11"/>
      <c r="O54" s="11"/>
      <c r="P54" s="11"/>
      <c r="Q54" s="14"/>
      <c r="R54" s="11"/>
      <c r="S54" s="14"/>
      <c r="T54" s="14"/>
      <c r="U54" s="14"/>
      <c r="V54" s="17"/>
      <c r="W54" s="18"/>
      <c r="X54" s="53"/>
    </row>
    <row r="55" spans="1:24" ht="21" customHeight="1">
      <c r="A55" s="10"/>
      <c r="B55" s="11"/>
      <c r="C55" s="11"/>
      <c r="D55" s="11"/>
      <c r="E55" s="12"/>
      <c r="F55" s="11"/>
      <c r="G55" s="11"/>
      <c r="H55" s="11"/>
      <c r="I55" s="11"/>
      <c r="J55" s="11"/>
      <c r="K55" s="11"/>
      <c r="L55" s="11"/>
      <c r="M55" s="13"/>
      <c r="N55" s="11"/>
      <c r="O55" s="14"/>
      <c r="P55" s="11"/>
      <c r="Q55" s="14"/>
      <c r="R55" s="11"/>
      <c r="S55" s="14"/>
      <c r="T55" s="14"/>
      <c r="U55" s="14"/>
      <c r="V55" s="11"/>
      <c r="W55" s="18"/>
      <c r="X55" s="53"/>
    </row>
    <row r="56" spans="1:24" ht="21" customHeight="1">
      <c r="A56" s="10"/>
      <c r="B56" s="11"/>
      <c r="C56" s="11"/>
      <c r="D56" s="11"/>
      <c r="E56" s="12"/>
      <c r="F56" s="11"/>
      <c r="G56" s="11"/>
      <c r="H56" s="11"/>
      <c r="I56" s="11"/>
      <c r="J56" s="11"/>
      <c r="K56" s="11"/>
      <c r="L56" s="11"/>
      <c r="M56" s="13"/>
      <c r="N56" s="11"/>
      <c r="O56" s="11"/>
      <c r="P56" s="11"/>
      <c r="Q56" s="14"/>
      <c r="R56" s="11"/>
      <c r="S56" s="14"/>
      <c r="T56" s="14"/>
      <c r="U56" s="14"/>
      <c r="V56" s="17"/>
      <c r="W56" s="18"/>
      <c r="X56" s="53"/>
    </row>
    <row r="57" spans="1:24" ht="21" customHeight="1" thickBot="1">
      <c r="A57" s="10"/>
      <c r="B57" s="11"/>
      <c r="C57" s="11"/>
      <c r="D57" s="11"/>
      <c r="E57" s="12"/>
      <c r="F57" s="11"/>
      <c r="G57" s="11"/>
      <c r="H57" s="11"/>
      <c r="I57" s="11"/>
      <c r="J57" s="11"/>
      <c r="K57" s="11"/>
      <c r="L57" s="11"/>
      <c r="M57" s="13"/>
      <c r="N57" s="11"/>
      <c r="O57" s="11"/>
      <c r="P57" s="11"/>
      <c r="Q57" s="14"/>
      <c r="R57" s="11"/>
      <c r="S57" s="14"/>
      <c r="T57" s="14"/>
      <c r="U57" s="14"/>
      <c r="V57" s="17"/>
      <c r="W57" s="18"/>
      <c r="X57" s="53"/>
    </row>
    <row r="58" spans="1:24" ht="20.45" customHeight="1">
      <c r="A58" s="1" t="s">
        <v>360</v>
      </c>
      <c r="B58" s="2" t="s">
        <v>1</v>
      </c>
      <c r="C58" s="2" t="s">
        <v>2</v>
      </c>
      <c r="D58" s="2" t="s">
        <v>3</v>
      </c>
      <c r="E58" s="3" t="s">
        <v>4</v>
      </c>
      <c r="F58" s="2" t="s">
        <v>5</v>
      </c>
      <c r="G58" s="2" t="s">
        <v>6</v>
      </c>
      <c r="H58" s="2" t="s">
        <v>7</v>
      </c>
      <c r="I58" s="4" t="s">
        <v>8</v>
      </c>
      <c r="J58" s="2" t="s">
        <v>9</v>
      </c>
      <c r="K58" s="2" t="s">
        <v>10</v>
      </c>
      <c r="L58" s="2" t="s">
        <v>11</v>
      </c>
      <c r="M58" s="5" t="s">
        <v>12</v>
      </c>
      <c r="N58" s="6" t="s">
        <v>155</v>
      </c>
      <c r="O58" s="7" t="s">
        <v>158</v>
      </c>
      <c r="P58" s="8" t="s">
        <v>153</v>
      </c>
      <c r="Q58" s="8" t="s">
        <v>147</v>
      </c>
      <c r="R58" s="7" t="s">
        <v>148</v>
      </c>
      <c r="S58" s="7" t="s">
        <v>149</v>
      </c>
      <c r="T58" s="7" t="s">
        <v>77</v>
      </c>
      <c r="U58" s="8" t="s">
        <v>20</v>
      </c>
      <c r="V58" s="8" t="s">
        <v>21</v>
      </c>
      <c r="W58" s="24" t="s">
        <v>22</v>
      </c>
      <c r="X58" s="52" t="s">
        <v>364</v>
      </c>
    </row>
    <row r="59" spans="1:24" ht="20.45" customHeight="1">
      <c r="A59" s="10" t="s">
        <v>84</v>
      </c>
      <c r="B59" s="11">
        <v>1.0185185185185186E-2</v>
      </c>
      <c r="C59" s="11">
        <v>3.0092592592592593E-3</v>
      </c>
      <c r="D59" s="11">
        <f t="shared" ref="D59:D77" si="24">B59*E59</f>
        <v>5.925740740740741E-3</v>
      </c>
      <c r="E59" s="12">
        <v>0.58179999999999998</v>
      </c>
      <c r="F59" s="11">
        <f t="shared" ref="F59:F77" si="25">C59/4</f>
        <v>7.5231481481481482E-4</v>
      </c>
      <c r="G59" s="11">
        <f t="shared" ref="G59:G77" si="26">D59/7.5</f>
        <v>7.9009876543209882E-4</v>
      </c>
      <c r="H59" s="11">
        <f t="shared" ref="H59:H77" si="27">B59/12.5</f>
        <v>8.1481481481481487E-4</v>
      </c>
      <c r="I59" s="11">
        <f t="shared" ref="I59:I77" si="28">G59/0.93</f>
        <v>8.495685649807514E-4</v>
      </c>
      <c r="J59" s="11">
        <f t="shared" ref="J59:J77" si="29">G59/0.92</f>
        <v>8.588030059044552E-4</v>
      </c>
      <c r="K59" s="11">
        <f t="shared" ref="K59:K77" si="30">G59/0.88</f>
        <v>8.9783950617283953E-4</v>
      </c>
      <c r="L59" s="11">
        <f t="shared" ref="L59:L77" si="31">G59/0.84</f>
        <v>9.4059376837154628E-4</v>
      </c>
      <c r="M59" s="25"/>
      <c r="N59" s="28"/>
      <c r="O59" s="25"/>
      <c r="P59" s="25"/>
      <c r="Q59" s="25"/>
      <c r="R59" s="25"/>
      <c r="S59" s="25"/>
      <c r="T59" s="25"/>
      <c r="U59" s="28"/>
      <c r="V59" s="25"/>
      <c r="W59" s="15" t="s">
        <v>26</v>
      </c>
      <c r="X59" s="52"/>
    </row>
    <row r="60" spans="1:24" ht="20.45" customHeight="1">
      <c r="A60" s="10" t="s">
        <v>131</v>
      </c>
      <c r="B60" s="11">
        <v>1.087962962962963E-2</v>
      </c>
      <c r="C60" s="11">
        <v>3.1828703703703702E-3</v>
      </c>
      <c r="D60" s="11">
        <f t="shared" si="24"/>
        <v>6.3297685185185184E-3</v>
      </c>
      <c r="E60" s="12">
        <v>0.58179999999999998</v>
      </c>
      <c r="F60" s="11">
        <f t="shared" si="25"/>
        <v>7.9571759259259255E-4</v>
      </c>
      <c r="G60" s="11">
        <f t="shared" si="26"/>
        <v>8.4396913580246917E-4</v>
      </c>
      <c r="H60" s="11">
        <f t="shared" si="27"/>
        <v>8.7037037037037042E-4</v>
      </c>
      <c r="I60" s="11">
        <f t="shared" si="28"/>
        <v>9.0749369441125711E-4</v>
      </c>
      <c r="J60" s="11">
        <f t="shared" si="29"/>
        <v>9.173577563070317E-4</v>
      </c>
      <c r="K60" s="11">
        <f t="shared" si="30"/>
        <v>9.5905583613916951E-4</v>
      </c>
      <c r="L60" s="11">
        <f t="shared" si="31"/>
        <v>1.0047251616696062E-3</v>
      </c>
      <c r="M60" s="25"/>
      <c r="N60" s="28"/>
      <c r="O60" s="25"/>
      <c r="P60" s="25"/>
      <c r="Q60" s="28"/>
      <c r="R60" s="28"/>
      <c r="S60" s="25"/>
      <c r="T60" s="25"/>
      <c r="U60" s="28"/>
      <c r="V60" s="28"/>
      <c r="W60" s="15" t="s">
        <v>26</v>
      </c>
      <c r="X60" s="52"/>
    </row>
    <row r="61" spans="1:24" ht="20.45" customHeight="1">
      <c r="A61" s="10" t="s">
        <v>83</v>
      </c>
      <c r="B61" s="11">
        <v>1.0300925925925925E-2</v>
      </c>
      <c r="C61" s="11">
        <v>3.0671296296296297E-3</v>
      </c>
      <c r="D61" s="11">
        <f t="shared" si="24"/>
        <v>5.9930787037037027E-3</v>
      </c>
      <c r="E61" s="12">
        <v>0.58179999999999998</v>
      </c>
      <c r="F61" s="11">
        <f t="shared" si="25"/>
        <v>7.6678240740740743E-4</v>
      </c>
      <c r="G61" s="11">
        <f t="shared" si="26"/>
        <v>7.9907716049382703E-4</v>
      </c>
      <c r="H61" s="11">
        <f t="shared" si="27"/>
        <v>8.2407407407407397E-4</v>
      </c>
      <c r="I61" s="11">
        <f t="shared" si="28"/>
        <v>8.5922275321916877E-4</v>
      </c>
      <c r="J61" s="11">
        <f t="shared" si="29"/>
        <v>8.6856213097155112E-4</v>
      </c>
      <c r="K61" s="11">
        <f t="shared" si="30"/>
        <v>9.080422278338944E-4</v>
      </c>
      <c r="L61" s="11">
        <f t="shared" si="31"/>
        <v>9.5128233392122272E-4</v>
      </c>
      <c r="M61" s="25"/>
      <c r="N61" s="28"/>
      <c r="O61" s="25"/>
      <c r="P61" s="25"/>
      <c r="Q61" s="25"/>
      <c r="R61" s="28"/>
      <c r="S61" s="25"/>
      <c r="T61" s="25"/>
      <c r="U61" s="28"/>
      <c r="V61" s="28"/>
      <c r="W61" s="15" t="s">
        <v>26</v>
      </c>
      <c r="X61" s="52"/>
    </row>
    <row r="62" spans="1:24" ht="20.45" customHeight="1">
      <c r="A62" s="10" t="s">
        <v>118</v>
      </c>
      <c r="B62" s="11">
        <v>1.0532407407407407E-2</v>
      </c>
      <c r="C62" s="11">
        <v>3.0671296296296297E-3</v>
      </c>
      <c r="D62" s="11">
        <f t="shared" si="24"/>
        <v>6.1277546296296288E-3</v>
      </c>
      <c r="E62" s="12">
        <v>0.58179999999999998</v>
      </c>
      <c r="F62" s="11">
        <f t="shared" si="25"/>
        <v>7.6678240740740743E-4</v>
      </c>
      <c r="G62" s="11">
        <f t="shared" si="26"/>
        <v>8.1703395061728389E-4</v>
      </c>
      <c r="H62" s="11">
        <f t="shared" si="27"/>
        <v>8.4259259259259259E-4</v>
      </c>
      <c r="I62" s="11">
        <f t="shared" si="28"/>
        <v>8.7853112969600415E-4</v>
      </c>
      <c r="J62" s="11">
        <f t="shared" si="29"/>
        <v>8.8808038110574329E-4</v>
      </c>
      <c r="K62" s="11">
        <f t="shared" si="30"/>
        <v>9.2844767115600447E-4</v>
      </c>
      <c r="L62" s="11">
        <f t="shared" si="31"/>
        <v>9.7265946502057604E-4</v>
      </c>
      <c r="M62" s="25"/>
      <c r="N62" s="28"/>
      <c r="O62" s="25"/>
      <c r="P62" s="25"/>
      <c r="Q62" s="28"/>
      <c r="R62" s="28"/>
      <c r="S62" s="25"/>
      <c r="T62" s="25"/>
      <c r="U62" s="28"/>
      <c r="V62" s="25"/>
      <c r="W62" s="15" t="s">
        <v>26</v>
      </c>
      <c r="X62" s="52"/>
    </row>
    <row r="63" spans="1:24" ht="20.45" customHeight="1">
      <c r="A63" s="10" t="s">
        <v>91</v>
      </c>
      <c r="B63" s="11">
        <v>1.0590277777777778E-2</v>
      </c>
      <c r="C63" s="11">
        <v>3.1249999999999997E-3</v>
      </c>
      <c r="D63" s="11">
        <f t="shared" si="24"/>
        <v>6.1614236111111114E-3</v>
      </c>
      <c r="E63" s="12">
        <v>0.58179999999999998</v>
      </c>
      <c r="F63" s="11">
        <f t="shared" si="25"/>
        <v>7.8124999999999993E-4</v>
      </c>
      <c r="G63" s="11">
        <f t="shared" si="26"/>
        <v>8.2152314814814816E-4</v>
      </c>
      <c r="H63" s="11">
        <f t="shared" si="27"/>
        <v>8.472222222222223E-4</v>
      </c>
      <c r="I63" s="11">
        <f t="shared" si="28"/>
        <v>8.8335822381521299E-4</v>
      </c>
      <c r="J63" s="11">
        <f t="shared" si="29"/>
        <v>8.9295994363929141E-4</v>
      </c>
      <c r="K63" s="11">
        <f t="shared" si="30"/>
        <v>9.3354903198653201E-4</v>
      </c>
      <c r="L63" s="11">
        <f t="shared" si="31"/>
        <v>9.7800374779541442E-4</v>
      </c>
      <c r="M63" s="25"/>
      <c r="N63" s="28"/>
      <c r="O63" s="25"/>
      <c r="P63" s="25"/>
      <c r="Q63" s="28"/>
      <c r="R63" s="28"/>
      <c r="S63" s="25"/>
      <c r="T63" s="25"/>
      <c r="U63" s="28"/>
      <c r="V63" s="25"/>
      <c r="W63" s="15" t="s">
        <v>26</v>
      </c>
      <c r="X63" s="52"/>
    </row>
    <row r="64" spans="1:24" ht="20.45" customHeight="1">
      <c r="A64" s="10" t="s">
        <v>112</v>
      </c>
      <c r="B64" s="11">
        <v>1.0358796296296297E-2</v>
      </c>
      <c r="C64" s="11">
        <v>2.8587962962962963E-3</v>
      </c>
      <c r="D64" s="11">
        <f t="shared" si="24"/>
        <v>6.0267476851851853E-3</v>
      </c>
      <c r="E64" s="12">
        <v>0.58179999999999998</v>
      </c>
      <c r="F64" s="11">
        <f t="shared" si="25"/>
        <v>7.1469907407407409E-4</v>
      </c>
      <c r="G64" s="11">
        <f t="shared" si="26"/>
        <v>8.0356635802469141E-4</v>
      </c>
      <c r="H64" s="11">
        <f t="shared" si="27"/>
        <v>8.2870370370370368E-4</v>
      </c>
      <c r="I64" s="11">
        <f t="shared" si="28"/>
        <v>8.6404984733837783E-4</v>
      </c>
      <c r="J64" s="11">
        <f t="shared" si="29"/>
        <v>8.7344169350509935E-4</v>
      </c>
      <c r="K64" s="11">
        <f t="shared" si="30"/>
        <v>9.1314358866442205E-4</v>
      </c>
      <c r="L64" s="11">
        <f t="shared" si="31"/>
        <v>9.5662661669606121E-4</v>
      </c>
      <c r="M64" s="25"/>
      <c r="N64" s="28"/>
      <c r="O64" s="25"/>
      <c r="P64" s="25"/>
      <c r="Q64" s="25"/>
      <c r="R64" s="25"/>
      <c r="S64" s="25"/>
      <c r="T64" s="25"/>
      <c r="U64" s="28"/>
      <c r="V64" s="25"/>
      <c r="W64" s="15" t="s">
        <v>26</v>
      </c>
      <c r="X64" s="52"/>
    </row>
    <row r="65" spans="1:24" ht="20.45" customHeight="1">
      <c r="A65" s="10" t="s">
        <v>79</v>
      </c>
      <c r="B65" s="11">
        <v>9.8379629629629633E-3</v>
      </c>
      <c r="C65" s="11">
        <v>2.9745370370370373E-3</v>
      </c>
      <c r="D65" s="11">
        <f t="shared" si="24"/>
        <v>5.7237268518518522E-3</v>
      </c>
      <c r="E65" s="12">
        <v>0.58179999999999998</v>
      </c>
      <c r="F65" s="11">
        <f t="shared" si="25"/>
        <v>7.4363425925925931E-4</v>
      </c>
      <c r="G65" s="11">
        <f t="shared" si="26"/>
        <v>7.6316358024691364E-4</v>
      </c>
      <c r="H65" s="11">
        <f t="shared" si="27"/>
        <v>7.8703703703703705E-4</v>
      </c>
      <c r="I65" s="11">
        <f t="shared" si="28"/>
        <v>8.2060600026549854E-4</v>
      </c>
      <c r="J65" s="11">
        <f t="shared" si="29"/>
        <v>8.29525630703167E-4</v>
      </c>
      <c r="K65" s="11">
        <f t="shared" si="30"/>
        <v>8.6723134118967459E-4</v>
      </c>
      <c r="L65" s="11">
        <f t="shared" si="31"/>
        <v>9.085280717225163E-4</v>
      </c>
      <c r="M65" s="25"/>
      <c r="N65" s="28"/>
      <c r="O65" s="25"/>
      <c r="P65" s="25"/>
      <c r="Q65" s="25"/>
      <c r="R65" s="28"/>
      <c r="S65" s="25"/>
      <c r="T65" s="25"/>
      <c r="U65" s="28"/>
      <c r="V65" s="25"/>
      <c r="W65" s="15" t="s">
        <v>26</v>
      </c>
      <c r="X65" s="52"/>
    </row>
    <row r="66" spans="1:24" ht="20.45" customHeight="1">
      <c r="A66" s="10" t="s">
        <v>136</v>
      </c>
      <c r="B66" s="11">
        <v>1.1111111111111112E-2</v>
      </c>
      <c r="C66" s="11">
        <v>3.1828703703703702E-3</v>
      </c>
      <c r="D66" s="11">
        <f t="shared" si="24"/>
        <v>6.4644444444444445E-3</v>
      </c>
      <c r="E66" s="12">
        <v>0.58179999999999998</v>
      </c>
      <c r="F66" s="11">
        <f t="shared" si="25"/>
        <v>7.9571759259259255E-4</v>
      </c>
      <c r="G66" s="11">
        <f t="shared" si="26"/>
        <v>8.6192592592592592E-4</v>
      </c>
      <c r="H66" s="11">
        <f t="shared" si="27"/>
        <v>8.8888888888888893E-4</v>
      </c>
      <c r="I66" s="11">
        <f t="shared" si="28"/>
        <v>9.2680207088809239E-4</v>
      </c>
      <c r="J66" s="11">
        <f t="shared" si="29"/>
        <v>9.3687600644122375E-4</v>
      </c>
      <c r="K66" s="11">
        <f t="shared" si="30"/>
        <v>9.7946127946127947E-4</v>
      </c>
      <c r="L66" s="11">
        <f t="shared" si="31"/>
        <v>1.0261022927689596E-3</v>
      </c>
      <c r="M66" s="25"/>
      <c r="N66" s="28"/>
      <c r="O66" s="25"/>
      <c r="P66" s="25"/>
      <c r="Q66" s="25"/>
      <c r="R66" s="25"/>
      <c r="S66" s="25"/>
      <c r="T66" s="25"/>
      <c r="U66" s="28"/>
      <c r="V66" s="25"/>
      <c r="W66" s="15" t="s">
        <v>26</v>
      </c>
      <c r="X66" s="52"/>
    </row>
    <row r="67" spans="1:24" ht="20.45" customHeight="1">
      <c r="A67" s="10" t="s">
        <v>92</v>
      </c>
      <c r="B67" s="11">
        <v>1.0300925925925925E-2</v>
      </c>
      <c r="C67" s="11">
        <v>2.9745370370370373E-3</v>
      </c>
      <c r="D67" s="11">
        <f t="shared" si="24"/>
        <v>5.9930787037037027E-3</v>
      </c>
      <c r="E67" s="12">
        <v>0.58179999999999998</v>
      </c>
      <c r="F67" s="11">
        <f t="shared" si="25"/>
        <v>7.4363425925925931E-4</v>
      </c>
      <c r="G67" s="11">
        <f t="shared" si="26"/>
        <v>7.9907716049382703E-4</v>
      </c>
      <c r="H67" s="11">
        <f t="shared" si="27"/>
        <v>8.2407407407407397E-4</v>
      </c>
      <c r="I67" s="11">
        <f t="shared" si="28"/>
        <v>8.5922275321916877E-4</v>
      </c>
      <c r="J67" s="11">
        <f t="shared" si="29"/>
        <v>8.6856213097155112E-4</v>
      </c>
      <c r="K67" s="11">
        <f t="shared" si="30"/>
        <v>9.080422278338944E-4</v>
      </c>
      <c r="L67" s="11">
        <f t="shared" si="31"/>
        <v>9.5128233392122272E-4</v>
      </c>
      <c r="M67" s="25"/>
      <c r="N67" s="28"/>
      <c r="O67" s="25"/>
      <c r="P67" s="25"/>
      <c r="Q67" s="25"/>
      <c r="R67" s="25"/>
      <c r="S67" s="25"/>
      <c r="T67" s="25"/>
      <c r="U67" s="28"/>
      <c r="V67" s="25"/>
      <c r="W67" s="15" t="s">
        <v>26</v>
      </c>
      <c r="X67" s="52"/>
    </row>
    <row r="68" spans="1:24" ht="20.45" customHeight="1">
      <c r="A68" s="10" t="s">
        <v>123</v>
      </c>
      <c r="B68" s="11">
        <v>1.087962962962963E-2</v>
      </c>
      <c r="C68" s="11">
        <v>3.1828703703703702E-3</v>
      </c>
      <c r="D68" s="11">
        <f t="shared" si="24"/>
        <v>6.3297685185185184E-3</v>
      </c>
      <c r="E68" s="12">
        <v>0.58179999999999998</v>
      </c>
      <c r="F68" s="11">
        <f t="shared" si="25"/>
        <v>7.9571759259259255E-4</v>
      </c>
      <c r="G68" s="11">
        <f t="shared" si="26"/>
        <v>8.4396913580246917E-4</v>
      </c>
      <c r="H68" s="11">
        <f t="shared" si="27"/>
        <v>8.7037037037037042E-4</v>
      </c>
      <c r="I68" s="11">
        <f t="shared" si="28"/>
        <v>9.0749369441125711E-4</v>
      </c>
      <c r="J68" s="11">
        <f t="shared" si="29"/>
        <v>9.173577563070317E-4</v>
      </c>
      <c r="K68" s="11">
        <f t="shared" si="30"/>
        <v>9.5905583613916951E-4</v>
      </c>
      <c r="L68" s="11">
        <f t="shared" si="31"/>
        <v>1.0047251616696062E-3</v>
      </c>
      <c r="M68" s="25"/>
      <c r="N68" s="28"/>
      <c r="O68" s="25"/>
      <c r="P68" s="25"/>
      <c r="Q68" s="28"/>
      <c r="R68" s="25"/>
      <c r="S68" s="25"/>
      <c r="T68" s="25"/>
      <c r="U68" s="28"/>
      <c r="V68" s="28"/>
      <c r="W68" s="15" t="s">
        <v>26</v>
      </c>
      <c r="X68" s="50" t="s">
        <v>215</v>
      </c>
    </row>
    <row r="69" spans="1:24" ht="20.45" customHeight="1">
      <c r="A69" s="10" t="s">
        <v>81</v>
      </c>
      <c r="B69" s="11">
        <v>9.9537037037037042E-3</v>
      </c>
      <c r="C69" s="11">
        <v>2.9745370370370373E-3</v>
      </c>
      <c r="D69" s="11">
        <f t="shared" si="24"/>
        <v>5.7910648148148149E-3</v>
      </c>
      <c r="E69" s="12">
        <v>0.58179999999999998</v>
      </c>
      <c r="F69" s="11">
        <f t="shared" si="25"/>
        <v>7.4363425925925931E-4</v>
      </c>
      <c r="G69" s="11">
        <f t="shared" si="26"/>
        <v>7.7214197530864196E-4</v>
      </c>
      <c r="H69" s="11">
        <f t="shared" si="27"/>
        <v>7.9629629629629636E-4</v>
      </c>
      <c r="I69" s="11">
        <f t="shared" si="28"/>
        <v>8.3026018850391602E-4</v>
      </c>
      <c r="J69" s="11">
        <f t="shared" si="29"/>
        <v>8.3928475577026292E-4</v>
      </c>
      <c r="K69" s="11">
        <f t="shared" si="30"/>
        <v>8.7743406285072947E-4</v>
      </c>
      <c r="L69" s="11">
        <f t="shared" si="31"/>
        <v>9.1921663727219285E-4</v>
      </c>
      <c r="M69" s="25"/>
      <c r="N69" s="28"/>
      <c r="O69" s="25"/>
      <c r="P69" s="25"/>
      <c r="Q69" s="25"/>
      <c r="R69" s="28"/>
      <c r="S69" s="25"/>
      <c r="T69" s="25"/>
      <c r="U69" s="28"/>
      <c r="V69" s="25"/>
      <c r="W69" s="15" t="s">
        <v>26</v>
      </c>
      <c r="X69" s="50"/>
    </row>
    <row r="70" spans="1:24" ht="20.45" customHeight="1">
      <c r="A70" s="10" t="s">
        <v>135</v>
      </c>
      <c r="B70" s="11">
        <v>1.1805555555555555E-2</v>
      </c>
      <c r="C70" s="11">
        <v>3.414351851851852E-3</v>
      </c>
      <c r="D70" s="11">
        <f t="shared" si="24"/>
        <v>6.868472222222222E-3</v>
      </c>
      <c r="E70" s="12">
        <v>0.58179999999999998</v>
      </c>
      <c r="F70" s="11">
        <f t="shared" si="25"/>
        <v>8.53587962962963E-4</v>
      </c>
      <c r="G70" s="11">
        <f t="shared" si="26"/>
        <v>9.1579629629629628E-4</v>
      </c>
      <c r="H70" s="11">
        <f t="shared" si="27"/>
        <v>9.4444444444444437E-4</v>
      </c>
      <c r="I70" s="11">
        <f t="shared" si="28"/>
        <v>9.8472720031859799E-4</v>
      </c>
      <c r="J70" s="11">
        <f t="shared" si="29"/>
        <v>9.9543075684380036E-4</v>
      </c>
      <c r="K70" s="11">
        <f t="shared" si="30"/>
        <v>1.0406776094276093E-3</v>
      </c>
      <c r="L70" s="17">
        <f t="shared" si="31"/>
        <v>1.0902336860670195E-3</v>
      </c>
      <c r="M70" s="25"/>
      <c r="N70" s="28"/>
      <c r="O70" s="25"/>
      <c r="P70" s="25"/>
      <c r="Q70" s="28"/>
      <c r="R70" s="28"/>
      <c r="S70" s="25"/>
      <c r="T70" s="25"/>
      <c r="U70" s="28"/>
      <c r="V70" s="44"/>
      <c r="W70" s="28" t="s">
        <v>26</v>
      </c>
      <c r="X70" s="50"/>
    </row>
    <row r="71" spans="1:24" ht="20.45" customHeight="1">
      <c r="A71" s="10" t="s">
        <v>85</v>
      </c>
      <c r="B71" s="11">
        <v>1.0532407407407407E-2</v>
      </c>
      <c r="C71" s="11">
        <v>3.0671296296296297E-3</v>
      </c>
      <c r="D71" s="11">
        <f t="shared" si="24"/>
        <v>6.1277546296296288E-3</v>
      </c>
      <c r="E71" s="12">
        <v>0.58179999999999998</v>
      </c>
      <c r="F71" s="11">
        <f t="shared" si="25"/>
        <v>7.6678240740740743E-4</v>
      </c>
      <c r="G71" s="11">
        <f t="shared" si="26"/>
        <v>8.1703395061728389E-4</v>
      </c>
      <c r="H71" s="11">
        <f t="shared" si="27"/>
        <v>8.4259259259259259E-4</v>
      </c>
      <c r="I71" s="11">
        <f t="shared" si="28"/>
        <v>8.7853112969600415E-4</v>
      </c>
      <c r="J71" s="11">
        <f t="shared" si="29"/>
        <v>8.8808038110574329E-4</v>
      </c>
      <c r="K71" s="11">
        <f t="shared" si="30"/>
        <v>9.2844767115600447E-4</v>
      </c>
      <c r="L71" s="17">
        <f t="shared" si="31"/>
        <v>9.7265946502057604E-4</v>
      </c>
      <c r="M71" s="25"/>
      <c r="N71" s="28"/>
      <c r="O71" s="25"/>
      <c r="P71" s="25"/>
      <c r="Q71" s="25"/>
      <c r="R71" s="25"/>
      <c r="S71" s="25"/>
      <c r="T71" s="25"/>
      <c r="U71" s="28"/>
      <c r="V71" s="25"/>
      <c r="W71" s="15" t="s">
        <v>26</v>
      </c>
      <c r="X71" s="50"/>
    </row>
    <row r="72" spans="1:24" ht="20.45" customHeight="1">
      <c r="A72" s="10" t="s">
        <v>88</v>
      </c>
      <c r="B72" s="11">
        <v>1.0590277777777778E-2</v>
      </c>
      <c r="C72" s="11">
        <v>3.0671296296296297E-3</v>
      </c>
      <c r="D72" s="11">
        <f t="shared" si="24"/>
        <v>6.1614236111111114E-3</v>
      </c>
      <c r="E72" s="12">
        <v>0.58179999999999998</v>
      </c>
      <c r="F72" s="11">
        <f t="shared" si="25"/>
        <v>7.6678240740740743E-4</v>
      </c>
      <c r="G72" s="11">
        <f t="shared" si="26"/>
        <v>8.2152314814814816E-4</v>
      </c>
      <c r="H72" s="11">
        <f t="shared" si="27"/>
        <v>8.472222222222223E-4</v>
      </c>
      <c r="I72" s="11">
        <f t="shared" si="28"/>
        <v>8.8335822381521299E-4</v>
      </c>
      <c r="J72" s="11">
        <f t="shared" si="29"/>
        <v>8.9295994363929141E-4</v>
      </c>
      <c r="K72" s="11">
        <f t="shared" si="30"/>
        <v>9.3354903198653201E-4</v>
      </c>
      <c r="L72" s="11">
        <f t="shared" si="31"/>
        <v>9.7800374779541442E-4</v>
      </c>
      <c r="M72" s="25"/>
      <c r="N72" s="28"/>
      <c r="O72" s="25"/>
      <c r="P72" s="25"/>
      <c r="Q72" s="28"/>
      <c r="R72" s="28"/>
      <c r="S72" s="25"/>
      <c r="T72" s="25"/>
      <c r="U72" s="28"/>
      <c r="V72" s="44"/>
      <c r="W72" s="28" t="s">
        <v>26</v>
      </c>
      <c r="X72" s="50"/>
    </row>
    <row r="73" spans="1:24" ht="20.45" customHeight="1">
      <c r="A73" s="10" t="s">
        <v>87</v>
      </c>
      <c r="B73" s="11">
        <v>1.0416666666666666E-2</v>
      </c>
      <c r="C73" s="11">
        <v>2.9745370370370373E-3</v>
      </c>
      <c r="D73" s="11">
        <f t="shared" si="24"/>
        <v>6.0604166666666662E-3</v>
      </c>
      <c r="E73" s="12">
        <v>0.58179999999999998</v>
      </c>
      <c r="F73" s="11">
        <f t="shared" si="25"/>
        <v>7.4363425925925931E-4</v>
      </c>
      <c r="G73" s="11">
        <f t="shared" si="26"/>
        <v>8.0805555555555546E-4</v>
      </c>
      <c r="H73" s="11">
        <f t="shared" si="27"/>
        <v>8.3333333333333328E-4</v>
      </c>
      <c r="I73" s="11">
        <f t="shared" si="28"/>
        <v>8.6887694145758646E-4</v>
      </c>
      <c r="J73" s="11">
        <f t="shared" si="29"/>
        <v>8.7832125603864715E-4</v>
      </c>
      <c r="K73" s="11">
        <f t="shared" si="30"/>
        <v>9.1824494949494938E-4</v>
      </c>
      <c r="L73" s="11">
        <f t="shared" si="31"/>
        <v>9.6197089947089938E-4</v>
      </c>
      <c r="M73" s="25"/>
      <c r="N73" s="28"/>
      <c r="O73" s="25"/>
      <c r="P73" s="25"/>
      <c r="Q73" s="25"/>
      <c r="R73" s="25"/>
      <c r="S73" s="25"/>
      <c r="T73" s="25"/>
      <c r="U73" s="28"/>
      <c r="V73" s="25"/>
      <c r="W73" s="15" t="s">
        <v>26</v>
      </c>
      <c r="X73" s="50"/>
    </row>
    <row r="74" spans="1:24" ht="20.45" customHeight="1">
      <c r="A74" s="10" t="s">
        <v>109</v>
      </c>
      <c r="B74" s="11">
        <v>9.8379629629629633E-3</v>
      </c>
      <c r="C74" s="11">
        <v>2.9745370370370373E-3</v>
      </c>
      <c r="D74" s="11">
        <f t="shared" si="24"/>
        <v>5.7237268518518522E-3</v>
      </c>
      <c r="E74" s="12">
        <v>0.58179999999999998</v>
      </c>
      <c r="F74" s="11">
        <f t="shared" si="25"/>
        <v>7.4363425925925931E-4</v>
      </c>
      <c r="G74" s="11">
        <f t="shared" si="26"/>
        <v>7.6316358024691364E-4</v>
      </c>
      <c r="H74" s="11">
        <f t="shared" si="27"/>
        <v>7.8703703703703705E-4</v>
      </c>
      <c r="I74" s="11">
        <f t="shared" si="28"/>
        <v>8.2060600026549854E-4</v>
      </c>
      <c r="J74" s="11">
        <f t="shared" si="29"/>
        <v>8.29525630703167E-4</v>
      </c>
      <c r="K74" s="11">
        <f t="shared" si="30"/>
        <v>8.6723134118967459E-4</v>
      </c>
      <c r="L74" s="11">
        <f t="shared" si="31"/>
        <v>9.085280717225163E-4</v>
      </c>
      <c r="M74" s="25"/>
      <c r="N74" s="28"/>
      <c r="O74" s="25"/>
      <c r="P74" s="25"/>
      <c r="Q74" s="25"/>
      <c r="R74" s="28"/>
      <c r="S74" s="25"/>
      <c r="T74" s="25"/>
      <c r="U74" s="28"/>
      <c r="V74" s="25"/>
      <c r="W74" s="15" t="s">
        <v>26</v>
      </c>
      <c r="X74" s="50"/>
    </row>
    <row r="75" spans="1:24" ht="20.45" customHeight="1">
      <c r="A75" s="10" t="s">
        <v>80</v>
      </c>
      <c r="B75" s="11">
        <v>9.8379629629629633E-3</v>
      </c>
      <c r="C75" s="11">
        <v>2.8587962962962963E-3</v>
      </c>
      <c r="D75" s="11">
        <f t="shared" si="24"/>
        <v>5.7237268518518522E-3</v>
      </c>
      <c r="E75" s="12">
        <v>0.58179999999999998</v>
      </c>
      <c r="F75" s="11">
        <f t="shared" si="25"/>
        <v>7.1469907407407409E-4</v>
      </c>
      <c r="G75" s="11">
        <f t="shared" si="26"/>
        <v>7.6316358024691364E-4</v>
      </c>
      <c r="H75" s="11">
        <f t="shared" si="27"/>
        <v>7.8703703703703705E-4</v>
      </c>
      <c r="I75" s="11">
        <f t="shared" si="28"/>
        <v>8.2060600026549854E-4</v>
      </c>
      <c r="J75" s="11">
        <f t="shared" si="29"/>
        <v>8.29525630703167E-4</v>
      </c>
      <c r="K75" s="11">
        <f t="shared" si="30"/>
        <v>8.6723134118967459E-4</v>
      </c>
      <c r="L75" s="11">
        <f t="shared" si="31"/>
        <v>9.085280717225163E-4</v>
      </c>
      <c r="M75" s="25"/>
      <c r="N75" s="28"/>
      <c r="O75" s="25"/>
      <c r="P75" s="25"/>
      <c r="Q75" s="25"/>
      <c r="R75" s="25"/>
      <c r="S75" s="25"/>
      <c r="T75" s="25"/>
      <c r="U75" s="28"/>
      <c r="V75" s="25"/>
      <c r="W75" s="15" t="s">
        <v>26</v>
      </c>
      <c r="X75" s="50"/>
    </row>
    <row r="76" spans="1:24" ht="20.45" customHeight="1">
      <c r="A76" s="10" t="s">
        <v>90</v>
      </c>
      <c r="B76" s="11">
        <v>1.0648148148148148E-2</v>
      </c>
      <c r="C76" s="11">
        <v>3.0671296296296297E-3</v>
      </c>
      <c r="D76" s="11">
        <f t="shared" si="24"/>
        <v>6.1950925925925923E-3</v>
      </c>
      <c r="E76" s="12">
        <v>0.58179999999999998</v>
      </c>
      <c r="F76" s="11">
        <f t="shared" si="25"/>
        <v>7.6678240740740743E-4</v>
      </c>
      <c r="G76" s="11">
        <f t="shared" si="26"/>
        <v>8.2601234567901232E-4</v>
      </c>
      <c r="H76" s="11">
        <f t="shared" si="27"/>
        <v>8.5185185185185179E-4</v>
      </c>
      <c r="I76" s="11">
        <f t="shared" si="28"/>
        <v>8.8818531793442184E-4</v>
      </c>
      <c r="J76" s="11">
        <f t="shared" si="29"/>
        <v>8.9783950617283942E-4</v>
      </c>
      <c r="K76" s="11">
        <f t="shared" si="30"/>
        <v>9.3865039281705945E-4</v>
      </c>
      <c r="L76" s="17">
        <f t="shared" si="31"/>
        <v>9.833480305702527E-4</v>
      </c>
      <c r="M76" s="37"/>
      <c r="N76" s="28"/>
      <c r="O76" s="25"/>
      <c r="P76" s="25"/>
      <c r="Q76" s="25"/>
      <c r="R76" s="25"/>
      <c r="S76" s="25"/>
      <c r="T76" s="25"/>
      <c r="U76" s="28"/>
      <c r="V76" s="25"/>
      <c r="W76" s="15" t="s">
        <v>26</v>
      </c>
      <c r="X76" s="50"/>
    </row>
    <row r="77" spans="1:24" ht="20.45" customHeight="1">
      <c r="A77" s="10" t="s">
        <v>106</v>
      </c>
      <c r="B77" s="11">
        <v>1.0416666666666666E-2</v>
      </c>
      <c r="C77" s="11">
        <v>2.9745370370370373E-3</v>
      </c>
      <c r="D77" s="11">
        <f t="shared" si="24"/>
        <v>6.0604166666666662E-3</v>
      </c>
      <c r="E77" s="12">
        <v>0.58179999999999998</v>
      </c>
      <c r="F77" s="11">
        <f t="shared" si="25"/>
        <v>7.4363425925925931E-4</v>
      </c>
      <c r="G77" s="11">
        <f t="shared" si="26"/>
        <v>8.0805555555555546E-4</v>
      </c>
      <c r="H77" s="11">
        <f t="shared" si="27"/>
        <v>8.3333333333333328E-4</v>
      </c>
      <c r="I77" s="11">
        <f t="shared" si="28"/>
        <v>8.6887694145758646E-4</v>
      </c>
      <c r="J77" s="11">
        <f t="shared" si="29"/>
        <v>8.7832125603864715E-4</v>
      </c>
      <c r="K77" s="11">
        <f t="shared" si="30"/>
        <v>9.1824494949494938E-4</v>
      </c>
      <c r="L77" s="11">
        <f t="shared" si="31"/>
        <v>9.6197089947089938E-4</v>
      </c>
      <c r="M77" s="25"/>
      <c r="N77" s="28"/>
      <c r="O77" s="25"/>
      <c r="P77" s="25"/>
      <c r="Q77" s="25"/>
      <c r="R77" s="25"/>
      <c r="S77" s="25"/>
      <c r="T77" s="25"/>
      <c r="U77" s="28"/>
      <c r="V77" s="25"/>
      <c r="W77" s="15" t="s">
        <v>26</v>
      </c>
      <c r="X77" s="50"/>
    </row>
    <row r="78" spans="1:24" ht="20.45" customHeight="1">
      <c r="A78" s="10"/>
      <c r="B78" s="11"/>
      <c r="C78" s="11"/>
      <c r="D78" s="11"/>
      <c r="E78" s="12"/>
      <c r="F78" s="11"/>
      <c r="G78" s="11"/>
      <c r="H78" s="11"/>
      <c r="I78" s="11"/>
      <c r="J78" s="11"/>
      <c r="K78" s="11"/>
      <c r="L78" s="11"/>
      <c r="M78" s="25"/>
      <c r="N78" s="28"/>
      <c r="O78" s="25"/>
      <c r="P78" s="28"/>
      <c r="Q78" s="25"/>
      <c r="R78" s="28"/>
      <c r="S78" s="25"/>
      <c r="T78" s="28"/>
      <c r="U78" s="28"/>
      <c r="V78" s="25"/>
      <c r="W78" s="15"/>
      <c r="X78" s="50"/>
    </row>
    <row r="79" spans="1:24" ht="20.45" customHeight="1">
      <c r="A79" s="19"/>
      <c r="B79" s="6"/>
      <c r="C79" s="6"/>
      <c r="D79" s="6"/>
      <c r="E79" s="20"/>
      <c r="F79" s="6"/>
      <c r="G79" s="6"/>
      <c r="H79" s="6"/>
      <c r="I79" s="6"/>
      <c r="J79" s="6"/>
      <c r="K79" s="6"/>
      <c r="L79" s="6"/>
      <c r="M79" s="6"/>
      <c r="N79" s="6"/>
      <c r="O79" s="6"/>
      <c r="P79" s="6"/>
      <c r="Q79" s="6"/>
      <c r="R79" s="6"/>
      <c r="S79" s="6"/>
      <c r="T79" s="6"/>
      <c r="U79" s="6"/>
      <c r="V79" s="23"/>
      <c r="W79" s="35"/>
      <c r="X79" s="50"/>
    </row>
    <row r="80" spans="1:24" ht="20.45" customHeight="1">
      <c r="A80" s="10" t="s">
        <v>164</v>
      </c>
      <c r="B80" s="11">
        <v>1.1342592592592593E-2</v>
      </c>
      <c r="C80" s="11">
        <v>3.2407407407407406E-3</v>
      </c>
      <c r="D80" s="11">
        <f>B80*E80</f>
        <v>6.5991203703703706E-3</v>
      </c>
      <c r="E80" s="12">
        <v>0.58179999999999998</v>
      </c>
      <c r="F80" s="11">
        <f>C80/4</f>
        <v>8.1018518518518516E-4</v>
      </c>
      <c r="G80" s="11">
        <f>D80/7.5</f>
        <v>8.7988271604938278E-4</v>
      </c>
      <c r="H80" s="11">
        <f>B80/12.5</f>
        <v>9.0740740740740745E-4</v>
      </c>
      <c r="I80" s="11">
        <f>G80/0.93</f>
        <v>9.4611044736492766E-4</v>
      </c>
      <c r="J80" s="11">
        <f>G80/0.92</f>
        <v>9.5639425657541603E-4</v>
      </c>
      <c r="K80" s="11">
        <f>G80/0.88</f>
        <v>9.9986672278338943E-4</v>
      </c>
      <c r="L80" s="11">
        <f>G80/0.84</f>
        <v>1.0474794238683129E-3</v>
      </c>
      <c r="M80" s="25"/>
      <c r="N80" s="28"/>
      <c r="O80" s="25"/>
      <c r="P80" s="28"/>
      <c r="Q80" s="28"/>
      <c r="R80" s="11"/>
      <c r="S80" s="14"/>
      <c r="T80" s="14"/>
      <c r="U80" s="26"/>
      <c r="V80" s="28"/>
      <c r="W80" s="27" t="s">
        <v>52</v>
      </c>
      <c r="X80" s="50"/>
    </row>
    <row r="81" spans="1:24" ht="20.45" customHeight="1">
      <c r="A81" s="10" t="s">
        <v>108</v>
      </c>
      <c r="B81" s="11">
        <v>1.0763888888888891E-2</v>
      </c>
      <c r="C81" s="11">
        <v>3.0671296296296297E-3</v>
      </c>
      <c r="D81" s="11">
        <f>B81*E81</f>
        <v>6.2624305555555567E-3</v>
      </c>
      <c r="E81" s="12">
        <v>0.58179999999999998</v>
      </c>
      <c r="F81" s="11">
        <f>C81/4</f>
        <v>7.6678240740740743E-4</v>
      </c>
      <c r="G81" s="11">
        <f>D81/7.5</f>
        <v>8.3499074074074085E-4</v>
      </c>
      <c r="H81" s="11">
        <f>B81/12.5</f>
        <v>8.6111111111111121E-4</v>
      </c>
      <c r="I81" s="11">
        <f>G81/0.93</f>
        <v>8.9783950617283953E-4</v>
      </c>
      <c r="J81" s="11">
        <f>G81/0.92</f>
        <v>9.0759863123993567E-4</v>
      </c>
      <c r="K81" s="11">
        <f>G81/0.88</f>
        <v>9.4885311447811464E-4</v>
      </c>
      <c r="L81" s="11">
        <f>G81/0.84</f>
        <v>9.9403659611992969E-4</v>
      </c>
      <c r="M81" s="25"/>
      <c r="N81" s="28"/>
      <c r="O81" s="25"/>
      <c r="P81" s="28"/>
      <c r="Q81" s="25"/>
      <c r="R81" s="28"/>
      <c r="S81" s="25"/>
      <c r="T81" s="25"/>
      <c r="U81" s="28"/>
      <c r="V81" s="28"/>
      <c r="W81" s="15" t="s">
        <v>52</v>
      </c>
      <c r="X81" s="50"/>
    </row>
    <row r="82" spans="1:24" ht="20.45" customHeight="1">
      <c r="A82" s="10" t="s">
        <v>127</v>
      </c>
      <c r="B82" s="11"/>
      <c r="C82" s="11"/>
      <c r="D82" s="11"/>
      <c r="E82" s="12"/>
      <c r="F82" s="11"/>
      <c r="G82" s="11"/>
      <c r="H82" s="11"/>
      <c r="I82" s="11"/>
      <c r="J82" s="11"/>
      <c r="K82" s="11"/>
      <c r="L82" s="11"/>
      <c r="M82" s="25"/>
      <c r="N82" s="28"/>
      <c r="O82" s="25"/>
      <c r="P82" s="28"/>
      <c r="Q82" s="25"/>
      <c r="R82" s="28"/>
      <c r="S82" s="25"/>
      <c r="T82" s="25"/>
      <c r="U82" s="28"/>
      <c r="V82" s="28"/>
      <c r="W82" s="15" t="s">
        <v>52</v>
      </c>
      <c r="X82" s="50"/>
    </row>
    <row r="83" spans="1:24" ht="20.45" customHeight="1">
      <c r="A83" s="10" t="s">
        <v>129</v>
      </c>
      <c r="B83" s="11">
        <v>1.0358796296296297E-2</v>
      </c>
      <c r="C83" s="11">
        <v>3.0092592592592593E-3</v>
      </c>
      <c r="D83" s="11">
        <f>B83*E83</f>
        <v>6.0267476851851853E-3</v>
      </c>
      <c r="E83" s="12">
        <v>0.58179999999999998</v>
      </c>
      <c r="F83" s="11">
        <f>C83/4</f>
        <v>7.5231481481481482E-4</v>
      </c>
      <c r="G83" s="11">
        <f>D83/7.5</f>
        <v>8.0356635802469141E-4</v>
      </c>
      <c r="H83" s="11">
        <f>B83/12.5</f>
        <v>8.2870370370370368E-4</v>
      </c>
      <c r="I83" s="11">
        <f>G83/0.93</f>
        <v>8.6404984733837783E-4</v>
      </c>
      <c r="J83" s="11">
        <f>G83/0.92</f>
        <v>8.7344169350509935E-4</v>
      </c>
      <c r="K83" s="11">
        <f>G83/0.88</f>
        <v>9.1314358866442205E-4</v>
      </c>
      <c r="L83" s="11">
        <f>G83/0.84</f>
        <v>9.5662661669606121E-4</v>
      </c>
      <c r="M83" s="25"/>
      <c r="N83" s="28"/>
      <c r="O83" s="25"/>
      <c r="P83" s="25"/>
      <c r="Q83" s="25"/>
      <c r="R83" s="25"/>
      <c r="S83" s="25"/>
      <c r="T83" s="25"/>
      <c r="U83" s="28"/>
      <c r="V83" s="25"/>
      <c r="W83" s="15" t="s">
        <v>52</v>
      </c>
      <c r="X83" s="50"/>
    </row>
    <row r="84" spans="1:24" ht="20.45" customHeight="1">
      <c r="A84" s="10" t="s">
        <v>105</v>
      </c>
      <c r="B84" s="11">
        <v>1.0648148148148148E-2</v>
      </c>
      <c r="C84" s="11">
        <v>2.9745370370370373E-3</v>
      </c>
      <c r="D84" s="11">
        <f>B84*E84</f>
        <v>6.1950925925925923E-3</v>
      </c>
      <c r="E84" s="12">
        <v>0.58179999999999998</v>
      </c>
      <c r="F84" s="11">
        <f>C84/4</f>
        <v>7.4363425925925931E-4</v>
      </c>
      <c r="G84" s="11">
        <f>D84/7.5</f>
        <v>8.2601234567901232E-4</v>
      </c>
      <c r="H84" s="11">
        <f>B84/12.5</f>
        <v>8.5185185185185179E-4</v>
      </c>
      <c r="I84" s="11">
        <f>G84/0.93</f>
        <v>8.8818531793442184E-4</v>
      </c>
      <c r="J84" s="11">
        <f>G84/0.92</f>
        <v>8.9783950617283942E-4</v>
      </c>
      <c r="K84" s="11">
        <f>G84/0.88</f>
        <v>9.3865039281705945E-4</v>
      </c>
      <c r="L84" s="11">
        <f>G84/0.84</f>
        <v>9.833480305702527E-4</v>
      </c>
      <c r="M84" s="37"/>
      <c r="N84" s="28"/>
      <c r="O84" s="25"/>
      <c r="P84" s="25"/>
      <c r="Q84" s="25"/>
      <c r="R84" s="25"/>
      <c r="S84" s="25"/>
      <c r="T84" s="25"/>
      <c r="U84" s="28"/>
      <c r="V84" s="25"/>
      <c r="W84" s="15" t="s">
        <v>52</v>
      </c>
      <c r="X84" s="50"/>
    </row>
    <row r="85" spans="1:24" ht="20.45" customHeight="1">
      <c r="A85" s="10"/>
      <c r="B85" s="11"/>
      <c r="C85" s="11"/>
      <c r="D85" s="11"/>
      <c r="E85" s="12"/>
      <c r="F85" s="11"/>
      <c r="G85" s="11"/>
      <c r="H85" s="11"/>
      <c r="I85" s="11"/>
      <c r="J85" s="11"/>
      <c r="K85" s="11"/>
      <c r="L85" s="11"/>
      <c r="M85" s="25"/>
      <c r="N85" s="28"/>
      <c r="O85" s="25"/>
      <c r="P85" s="25"/>
      <c r="Q85" s="25"/>
      <c r="R85" s="28"/>
      <c r="S85" s="25"/>
      <c r="T85" s="25"/>
      <c r="U85" s="28"/>
      <c r="V85" s="25"/>
      <c r="W85" s="15"/>
      <c r="X85" s="50"/>
    </row>
    <row r="86" spans="1:24" ht="20.45" customHeight="1" thickBot="1">
      <c r="A86" s="10"/>
      <c r="B86" s="11"/>
      <c r="C86" s="11"/>
      <c r="D86" s="11"/>
      <c r="E86" s="12"/>
      <c r="F86" s="11"/>
      <c r="G86" s="11"/>
      <c r="H86" s="11"/>
      <c r="I86" s="11"/>
      <c r="J86" s="11"/>
      <c r="K86" s="11"/>
      <c r="L86" s="11"/>
      <c r="M86" s="25"/>
      <c r="N86" s="28"/>
      <c r="O86" s="25"/>
      <c r="P86" s="25"/>
      <c r="Q86" s="25"/>
      <c r="R86" s="28"/>
      <c r="S86" s="25"/>
      <c r="T86" s="25"/>
      <c r="U86" s="28"/>
      <c r="V86" s="25"/>
      <c r="W86" s="15"/>
      <c r="X86" s="50"/>
    </row>
    <row r="87" spans="1:24" ht="20.45" customHeight="1">
      <c r="A87" s="1" t="s">
        <v>360</v>
      </c>
      <c r="B87" s="6"/>
      <c r="C87" s="6"/>
      <c r="D87" s="6"/>
      <c r="E87" s="20"/>
      <c r="F87" s="6"/>
      <c r="G87" s="6"/>
      <c r="H87" s="6"/>
      <c r="I87" s="6"/>
      <c r="J87" s="6"/>
      <c r="K87" s="6"/>
      <c r="L87" s="6"/>
      <c r="M87" s="6"/>
      <c r="N87" s="6"/>
      <c r="O87" s="6"/>
      <c r="P87" s="6"/>
      <c r="Q87" s="22"/>
      <c r="R87" s="6"/>
      <c r="S87" s="6"/>
      <c r="T87" s="6"/>
      <c r="U87" s="6"/>
      <c r="V87" s="23"/>
      <c r="W87" s="35"/>
      <c r="X87" s="50"/>
    </row>
    <row r="88" spans="1:24" ht="20.45" customHeight="1">
      <c r="A88" s="10" t="s">
        <v>95</v>
      </c>
      <c r="B88" s="11">
        <v>1.0358796296296297E-2</v>
      </c>
      <c r="C88" s="11">
        <v>2.9513888888888888E-3</v>
      </c>
      <c r="D88" s="11">
        <f t="shared" ref="D88:D101" si="32">B88*E88</f>
        <v>6.0267476851851853E-3</v>
      </c>
      <c r="E88" s="12">
        <v>0.58179999999999998</v>
      </c>
      <c r="F88" s="11">
        <f t="shared" ref="F88:F101" si="33">C88/4</f>
        <v>7.378472222222222E-4</v>
      </c>
      <c r="G88" s="11">
        <f t="shared" ref="G88:G101" si="34">D88/7.5</f>
        <v>8.0356635802469141E-4</v>
      </c>
      <c r="H88" s="11">
        <f t="shared" ref="H88:H101" si="35">B88/12.5</f>
        <v>8.2870370370370368E-4</v>
      </c>
      <c r="I88" s="11">
        <f t="shared" ref="I88:I101" si="36">G88/0.93</f>
        <v>8.6404984733837783E-4</v>
      </c>
      <c r="J88" s="11">
        <f t="shared" ref="J88:J101" si="37">G88/0.92</f>
        <v>8.7344169350509935E-4</v>
      </c>
      <c r="K88" s="11">
        <f t="shared" ref="K88:K101" si="38">G88/0.88</f>
        <v>9.1314358866442205E-4</v>
      </c>
      <c r="L88" s="11">
        <f t="shared" ref="L88:L101" si="39">G88/0.84</f>
        <v>9.5662661669606121E-4</v>
      </c>
      <c r="M88" s="25"/>
      <c r="N88" s="28"/>
      <c r="O88" s="25"/>
      <c r="P88" s="28"/>
      <c r="Q88" s="25"/>
      <c r="R88" s="28"/>
      <c r="S88" s="25"/>
      <c r="T88" s="28"/>
      <c r="U88" s="28"/>
      <c r="V88" s="25"/>
      <c r="W88" s="15" t="s">
        <v>35</v>
      </c>
      <c r="X88" s="50" t="s">
        <v>365</v>
      </c>
    </row>
    <row r="89" spans="1:24" ht="20.45" customHeight="1">
      <c r="A89" s="10" t="s">
        <v>86</v>
      </c>
      <c r="B89" s="11">
        <v>1.0300925925925925E-2</v>
      </c>
      <c r="C89" s="11">
        <v>3.0671296296296297E-3</v>
      </c>
      <c r="D89" s="11">
        <f t="shared" si="32"/>
        <v>5.9930787037037027E-3</v>
      </c>
      <c r="E89" s="12">
        <v>0.58179999999999998</v>
      </c>
      <c r="F89" s="11">
        <f t="shared" si="33"/>
        <v>7.6678240740740743E-4</v>
      </c>
      <c r="G89" s="11">
        <f t="shared" si="34"/>
        <v>7.9907716049382703E-4</v>
      </c>
      <c r="H89" s="11">
        <f t="shared" si="35"/>
        <v>8.2407407407407397E-4</v>
      </c>
      <c r="I89" s="11">
        <f t="shared" si="36"/>
        <v>8.5922275321916877E-4</v>
      </c>
      <c r="J89" s="11">
        <f t="shared" si="37"/>
        <v>8.6856213097155112E-4</v>
      </c>
      <c r="K89" s="11">
        <f t="shared" si="38"/>
        <v>9.080422278338944E-4</v>
      </c>
      <c r="L89" s="11">
        <f t="shared" si="39"/>
        <v>9.5128233392122272E-4</v>
      </c>
      <c r="M89" s="25"/>
      <c r="N89" s="28"/>
      <c r="O89" s="25"/>
      <c r="P89" s="25"/>
      <c r="Q89" s="25"/>
      <c r="R89" s="25"/>
      <c r="S89" s="25"/>
      <c r="T89" s="25"/>
      <c r="U89" s="28"/>
      <c r="V89" s="25"/>
      <c r="W89" s="15" t="s">
        <v>35</v>
      </c>
      <c r="X89" s="50"/>
    </row>
    <row r="90" spans="1:24" ht="20.45" customHeight="1">
      <c r="A90" s="10" t="s">
        <v>117</v>
      </c>
      <c r="B90" s="11">
        <v>1.0416666666666666E-2</v>
      </c>
      <c r="C90" s="11">
        <v>3.0671296296296297E-3</v>
      </c>
      <c r="D90" s="11">
        <f t="shared" si="32"/>
        <v>6.0604166666666662E-3</v>
      </c>
      <c r="E90" s="12">
        <v>0.58179999999999998</v>
      </c>
      <c r="F90" s="11">
        <f t="shared" si="33"/>
        <v>7.6678240740740743E-4</v>
      </c>
      <c r="G90" s="11">
        <f t="shared" si="34"/>
        <v>8.0805555555555546E-4</v>
      </c>
      <c r="H90" s="11">
        <f t="shared" si="35"/>
        <v>8.3333333333333328E-4</v>
      </c>
      <c r="I90" s="11">
        <f t="shared" si="36"/>
        <v>8.6887694145758646E-4</v>
      </c>
      <c r="J90" s="11">
        <f t="shared" si="37"/>
        <v>8.7832125603864715E-4</v>
      </c>
      <c r="K90" s="11">
        <f t="shared" si="38"/>
        <v>9.1824494949494938E-4</v>
      </c>
      <c r="L90" s="11">
        <f t="shared" si="39"/>
        <v>9.6197089947089938E-4</v>
      </c>
      <c r="M90" s="25"/>
      <c r="N90" s="28"/>
      <c r="O90" s="25"/>
      <c r="P90" s="25"/>
      <c r="Q90" s="25"/>
      <c r="R90" s="28"/>
      <c r="S90" s="25"/>
      <c r="T90" s="25"/>
      <c r="U90" s="28"/>
      <c r="V90" s="25"/>
      <c r="W90" s="15" t="s">
        <v>35</v>
      </c>
      <c r="X90" s="50"/>
    </row>
    <row r="91" spans="1:24" ht="20.45" customHeight="1">
      <c r="A91" s="10" t="s">
        <v>113</v>
      </c>
      <c r="B91" s="11">
        <v>1.0937499999999999E-2</v>
      </c>
      <c r="C91" s="11">
        <v>3.2986111111111111E-3</v>
      </c>
      <c r="D91" s="11">
        <f t="shared" si="32"/>
        <v>6.3634374999999993E-3</v>
      </c>
      <c r="E91" s="12">
        <v>0.58179999999999998</v>
      </c>
      <c r="F91" s="11">
        <f t="shared" si="33"/>
        <v>8.2465277777777778E-4</v>
      </c>
      <c r="G91" s="11">
        <f t="shared" si="34"/>
        <v>8.4845833333333323E-4</v>
      </c>
      <c r="H91" s="11">
        <f t="shared" si="35"/>
        <v>8.7499999999999991E-4</v>
      </c>
      <c r="I91" s="11">
        <f t="shared" si="36"/>
        <v>9.1232078853046574E-4</v>
      </c>
      <c r="J91" s="11">
        <f t="shared" si="37"/>
        <v>9.222373188405796E-4</v>
      </c>
      <c r="K91" s="11">
        <f t="shared" si="38"/>
        <v>9.6415719696969684E-4</v>
      </c>
      <c r="L91" s="11">
        <f t="shared" si="39"/>
        <v>1.0100694444444443E-3</v>
      </c>
      <c r="M91" s="25"/>
      <c r="N91" s="28"/>
      <c r="O91" s="25"/>
      <c r="P91" s="25"/>
      <c r="Q91" s="28"/>
      <c r="R91" s="28"/>
      <c r="S91" s="25"/>
      <c r="T91" s="25"/>
      <c r="U91" s="28"/>
      <c r="V91" s="25"/>
      <c r="W91" s="15" t="s">
        <v>35</v>
      </c>
      <c r="X91" s="50"/>
    </row>
    <row r="92" spans="1:24" ht="20.45" customHeight="1">
      <c r="A92" s="10" t="s">
        <v>111</v>
      </c>
      <c r="B92" s="11">
        <v>1.0127314814814815E-2</v>
      </c>
      <c r="C92" s="11">
        <v>3.0092592592592588E-3</v>
      </c>
      <c r="D92" s="11">
        <f t="shared" si="32"/>
        <v>5.8920717592592592E-3</v>
      </c>
      <c r="E92" s="12">
        <v>0.58179999999999998</v>
      </c>
      <c r="F92" s="11">
        <f t="shared" si="33"/>
        <v>7.5231481481481471E-4</v>
      </c>
      <c r="G92" s="11">
        <f t="shared" si="34"/>
        <v>7.8560956790123455E-4</v>
      </c>
      <c r="H92" s="11">
        <f t="shared" si="35"/>
        <v>8.1018518518518516E-4</v>
      </c>
      <c r="I92" s="11">
        <f t="shared" si="36"/>
        <v>8.4474147086154245E-4</v>
      </c>
      <c r="J92" s="11">
        <f t="shared" si="37"/>
        <v>8.5392344337090708E-4</v>
      </c>
      <c r="K92" s="11">
        <f t="shared" si="38"/>
        <v>8.9273814534231199E-4</v>
      </c>
      <c r="L92" s="11">
        <f t="shared" si="39"/>
        <v>9.3524948559670779E-4</v>
      </c>
      <c r="M92" s="25"/>
      <c r="N92" s="28"/>
      <c r="O92" s="25"/>
      <c r="P92" s="28"/>
      <c r="Q92" s="28"/>
      <c r="R92" s="25"/>
      <c r="S92" s="25"/>
      <c r="T92" s="25"/>
      <c r="U92" s="28"/>
      <c r="V92" s="25"/>
      <c r="W92" s="15" t="s">
        <v>35</v>
      </c>
      <c r="X92" s="50"/>
    </row>
    <row r="93" spans="1:24" ht="20.45" customHeight="1">
      <c r="A93" s="10" t="s">
        <v>82</v>
      </c>
      <c r="B93" s="11">
        <v>1.0069444444444445E-2</v>
      </c>
      <c r="C93" s="11">
        <v>2.8935185185185188E-3</v>
      </c>
      <c r="D93" s="11">
        <f t="shared" si="32"/>
        <v>5.8584027777777783E-3</v>
      </c>
      <c r="E93" s="12">
        <v>0.58179999999999998</v>
      </c>
      <c r="F93" s="11">
        <f t="shared" si="33"/>
        <v>7.233796296296297E-4</v>
      </c>
      <c r="G93" s="11">
        <f t="shared" si="34"/>
        <v>7.811203703703705E-4</v>
      </c>
      <c r="H93" s="11">
        <f t="shared" si="35"/>
        <v>8.0555555555555556E-4</v>
      </c>
      <c r="I93" s="11">
        <f t="shared" si="36"/>
        <v>8.3991437674233382E-4</v>
      </c>
      <c r="J93" s="11">
        <f t="shared" si="37"/>
        <v>8.4904388083735917E-4</v>
      </c>
      <c r="K93" s="11">
        <f t="shared" si="38"/>
        <v>8.8763678451178466E-4</v>
      </c>
      <c r="L93" s="11">
        <f t="shared" si="39"/>
        <v>9.2990520282186973E-4</v>
      </c>
      <c r="M93" s="25"/>
      <c r="N93" s="28"/>
      <c r="O93" s="25"/>
      <c r="P93" s="25"/>
      <c r="Q93" s="25"/>
      <c r="R93" s="25"/>
      <c r="S93" s="25"/>
      <c r="T93" s="25"/>
      <c r="U93" s="28"/>
      <c r="V93" s="25"/>
      <c r="W93" s="15" t="s">
        <v>35</v>
      </c>
      <c r="X93" s="50"/>
    </row>
    <row r="94" spans="1:24" ht="20.45" customHeight="1">
      <c r="A94" s="10" t="s">
        <v>94</v>
      </c>
      <c r="B94" s="11">
        <v>1.0358796296296297E-2</v>
      </c>
      <c r="C94" s="11">
        <v>2.8935185185185188E-3</v>
      </c>
      <c r="D94" s="11">
        <f t="shared" si="32"/>
        <v>6.0267476851851853E-3</v>
      </c>
      <c r="E94" s="12">
        <v>0.58179999999999998</v>
      </c>
      <c r="F94" s="11">
        <f t="shared" si="33"/>
        <v>7.233796296296297E-4</v>
      </c>
      <c r="G94" s="11">
        <f t="shared" si="34"/>
        <v>8.0356635802469141E-4</v>
      </c>
      <c r="H94" s="11">
        <f t="shared" si="35"/>
        <v>8.2870370370370368E-4</v>
      </c>
      <c r="I94" s="11">
        <f t="shared" si="36"/>
        <v>8.6404984733837783E-4</v>
      </c>
      <c r="J94" s="11">
        <f t="shared" si="37"/>
        <v>8.7344169350509935E-4</v>
      </c>
      <c r="K94" s="11">
        <f t="shared" si="38"/>
        <v>9.1314358866442205E-4</v>
      </c>
      <c r="L94" s="17">
        <f t="shared" si="39"/>
        <v>9.5662661669606121E-4</v>
      </c>
      <c r="M94" s="25"/>
      <c r="N94" s="28"/>
      <c r="O94" s="25"/>
      <c r="P94" s="25"/>
      <c r="Q94" s="25"/>
      <c r="R94" s="25"/>
      <c r="S94" s="25"/>
      <c r="T94" s="25"/>
      <c r="U94" s="28"/>
      <c r="V94" s="25"/>
      <c r="W94" s="15" t="s">
        <v>35</v>
      </c>
      <c r="X94" s="50"/>
    </row>
    <row r="95" spans="1:24" ht="20.45" customHeight="1">
      <c r="A95" s="10" t="s">
        <v>122</v>
      </c>
      <c r="B95" s="11">
        <v>1.0532407407407407E-2</v>
      </c>
      <c r="C95" s="11">
        <v>3.0671296296296297E-3</v>
      </c>
      <c r="D95" s="11">
        <f t="shared" si="32"/>
        <v>6.1277546296296288E-3</v>
      </c>
      <c r="E95" s="12">
        <v>0.58179999999999998</v>
      </c>
      <c r="F95" s="11">
        <f t="shared" si="33"/>
        <v>7.6678240740740743E-4</v>
      </c>
      <c r="G95" s="11">
        <f t="shared" si="34"/>
        <v>8.1703395061728389E-4</v>
      </c>
      <c r="H95" s="11">
        <f t="shared" si="35"/>
        <v>8.4259259259259259E-4</v>
      </c>
      <c r="I95" s="11">
        <f t="shared" si="36"/>
        <v>8.7853112969600415E-4</v>
      </c>
      <c r="J95" s="11">
        <f t="shared" si="37"/>
        <v>8.8808038110574329E-4</v>
      </c>
      <c r="K95" s="11">
        <f t="shared" si="38"/>
        <v>9.2844767115600447E-4</v>
      </c>
      <c r="L95" s="11">
        <f t="shared" si="39"/>
        <v>9.7265946502057604E-4</v>
      </c>
      <c r="M95" s="25"/>
      <c r="N95" s="28"/>
      <c r="O95" s="25"/>
      <c r="P95" s="25"/>
      <c r="Q95" s="28"/>
      <c r="R95" s="28"/>
      <c r="S95" s="25"/>
      <c r="T95" s="25"/>
      <c r="U95" s="28"/>
      <c r="V95" s="25"/>
      <c r="W95" s="15" t="s">
        <v>35</v>
      </c>
      <c r="X95" s="50"/>
    </row>
    <row r="96" spans="1:24" ht="20.45" customHeight="1">
      <c r="A96" s="10" t="s">
        <v>120</v>
      </c>
      <c r="B96" s="11">
        <v>1.0532407407407407E-2</v>
      </c>
      <c r="C96" s="11">
        <v>3.1250000000000002E-3</v>
      </c>
      <c r="D96" s="11">
        <f t="shared" si="32"/>
        <v>6.1277546296296288E-3</v>
      </c>
      <c r="E96" s="12">
        <v>0.58179999999999998</v>
      </c>
      <c r="F96" s="11">
        <f t="shared" si="33"/>
        <v>7.8125000000000004E-4</v>
      </c>
      <c r="G96" s="11">
        <f t="shared" si="34"/>
        <v>8.1703395061728389E-4</v>
      </c>
      <c r="H96" s="11">
        <f t="shared" si="35"/>
        <v>8.4259259259259259E-4</v>
      </c>
      <c r="I96" s="11">
        <f t="shared" si="36"/>
        <v>8.7853112969600415E-4</v>
      </c>
      <c r="J96" s="11">
        <f t="shared" si="37"/>
        <v>8.8808038110574329E-4</v>
      </c>
      <c r="K96" s="11">
        <f t="shared" si="38"/>
        <v>9.2844767115600447E-4</v>
      </c>
      <c r="L96" s="11">
        <f t="shared" si="39"/>
        <v>9.7265946502057604E-4</v>
      </c>
      <c r="M96" s="25"/>
      <c r="N96" s="28"/>
      <c r="O96" s="25"/>
      <c r="P96" s="25"/>
      <c r="Q96" s="25"/>
      <c r="R96" s="28"/>
      <c r="S96" s="25"/>
      <c r="T96" s="25"/>
      <c r="U96" s="28"/>
      <c r="V96" s="25"/>
      <c r="W96" s="15" t="s">
        <v>35</v>
      </c>
      <c r="X96" s="50"/>
    </row>
    <row r="97" spans="1:24" ht="20.45" customHeight="1">
      <c r="A97" s="10" t="s">
        <v>133</v>
      </c>
      <c r="B97" s="11">
        <v>1.0937499999999999E-2</v>
      </c>
      <c r="C97" s="11">
        <v>3.1250000000000002E-3</v>
      </c>
      <c r="D97" s="11">
        <f t="shared" si="32"/>
        <v>6.3634374999999993E-3</v>
      </c>
      <c r="E97" s="12">
        <v>0.58179999999999998</v>
      </c>
      <c r="F97" s="11">
        <f t="shared" si="33"/>
        <v>7.8125000000000004E-4</v>
      </c>
      <c r="G97" s="11">
        <f t="shared" si="34"/>
        <v>8.4845833333333323E-4</v>
      </c>
      <c r="H97" s="11">
        <f t="shared" si="35"/>
        <v>8.7499999999999991E-4</v>
      </c>
      <c r="I97" s="11">
        <f t="shared" si="36"/>
        <v>9.1232078853046574E-4</v>
      </c>
      <c r="J97" s="11">
        <f t="shared" si="37"/>
        <v>9.222373188405796E-4</v>
      </c>
      <c r="K97" s="11">
        <f t="shared" si="38"/>
        <v>9.6415719696969684E-4</v>
      </c>
      <c r="L97" s="11">
        <f t="shared" si="39"/>
        <v>1.0100694444444443E-3</v>
      </c>
      <c r="M97" s="25"/>
      <c r="N97" s="28"/>
      <c r="O97" s="25"/>
      <c r="P97" s="25"/>
      <c r="Q97" s="25"/>
      <c r="R97" s="25"/>
      <c r="S97" s="25"/>
      <c r="T97" s="25"/>
      <c r="U97" s="28"/>
      <c r="V97" s="25"/>
      <c r="W97" s="15" t="s">
        <v>35</v>
      </c>
      <c r="X97" s="50"/>
    </row>
    <row r="98" spans="1:24" ht="20.45" customHeight="1">
      <c r="A98" s="10" t="s">
        <v>107</v>
      </c>
      <c r="B98" s="11">
        <v>1.1805555555555555E-2</v>
      </c>
      <c r="C98" s="11">
        <v>3.2407407407407406E-3</v>
      </c>
      <c r="D98" s="11">
        <f t="shared" si="32"/>
        <v>6.868472222222222E-3</v>
      </c>
      <c r="E98" s="12">
        <v>0.58179999999999998</v>
      </c>
      <c r="F98" s="11">
        <f t="shared" si="33"/>
        <v>8.1018518518518516E-4</v>
      </c>
      <c r="G98" s="11">
        <f t="shared" si="34"/>
        <v>9.1579629629629628E-4</v>
      </c>
      <c r="H98" s="11">
        <f t="shared" si="35"/>
        <v>9.4444444444444437E-4</v>
      </c>
      <c r="I98" s="11">
        <f t="shared" si="36"/>
        <v>9.8472720031859799E-4</v>
      </c>
      <c r="J98" s="11">
        <f t="shared" si="37"/>
        <v>9.9543075684380036E-4</v>
      </c>
      <c r="K98" s="11">
        <f t="shared" si="38"/>
        <v>1.0406776094276093E-3</v>
      </c>
      <c r="L98" s="11">
        <f t="shared" si="39"/>
        <v>1.0902336860670195E-3</v>
      </c>
      <c r="M98" s="25"/>
      <c r="N98" s="28"/>
      <c r="O98" s="25"/>
      <c r="P98" s="28"/>
      <c r="Q98" s="25"/>
      <c r="R98" s="28"/>
      <c r="S98" s="25"/>
      <c r="T98" s="25"/>
      <c r="U98" s="28"/>
      <c r="V98" s="28"/>
      <c r="W98" s="15" t="s">
        <v>35</v>
      </c>
      <c r="X98" s="50" t="s">
        <v>366</v>
      </c>
    </row>
    <row r="99" spans="1:24" ht="20.45" customHeight="1">
      <c r="A99" s="10" t="s">
        <v>130</v>
      </c>
      <c r="B99" s="11">
        <v>1.0763888888888891E-2</v>
      </c>
      <c r="C99" s="11">
        <v>3.1828703703703702E-3</v>
      </c>
      <c r="D99" s="11">
        <f t="shared" si="32"/>
        <v>6.2624305555555567E-3</v>
      </c>
      <c r="E99" s="12">
        <v>0.58179999999999998</v>
      </c>
      <c r="F99" s="11">
        <f t="shared" si="33"/>
        <v>7.9571759259259255E-4</v>
      </c>
      <c r="G99" s="11">
        <f t="shared" si="34"/>
        <v>8.3499074074074085E-4</v>
      </c>
      <c r="H99" s="11">
        <f t="shared" si="35"/>
        <v>8.6111111111111121E-4</v>
      </c>
      <c r="I99" s="11">
        <f t="shared" si="36"/>
        <v>8.9783950617283953E-4</v>
      </c>
      <c r="J99" s="11">
        <f t="shared" si="37"/>
        <v>9.0759863123993567E-4</v>
      </c>
      <c r="K99" s="11">
        <f t="shared" si="38"/>
        <v>9.4885311447811464E-4</v>
      </c>
      <c r="L99" s="11">
        <f t="shared" si="39"/>
        <v>9.9403659611992969E-4</v>
      </c>
      <c r="M99" s="25"/>
      <c r="N99" s="28"/>
      <c r="O99" s="25"/>
      <c r="P99" s="28"/>
      <c r="Q99" s="25"/>
      <c r="R99" s="28"/>
      <c r="S99" s="25"/>
      <c r="T99" s="25"/>
      <c r="U99" s="28"/>
      <c r="V99" s="28"/>
      <c r="W99" s="27" t="s">
        <v>35</v>
      </c>
      <c r="X99" s="50"/>
    </row>
    <row r="100" spans="1:24" ht="20.45" customHeight="1">
      <c r="A100" s="10" t="s">
        <v>116</v>
      </c>
      <c r="B100" s="11">
        <v>1.0243055555555556E-2</v>
      </c>
      <c r="C100" s="11">
        <v>2.9513888888888888E-3</v>
      </c>
      <c r="D100" s="11">
        <f t="shared" si="32"/>
        <v>5.9594097222222218E-3</v>
      </c>
      <c r="E100" s="12">
        <v>0.58179999999999998</v>
      </c>
      <c r="F100" s="11">
        <f t="shared" si="33"/>
        <v>7.378472222222222E-4</v>
      </c>
      <c r="G100" s="11">
        <f t="shared" si="34"/>
        <v>7.9458796296296287E-4</v>
      </c>
      <c r="H100" s="11">
        <f t="shared" si="35"/>
        <v>8.1944444444444447E-4</v>
      </c>
      <c r="I100" s="11">
        <f t="shared" si="36"/>
        <v>8.5439565909996003E-4</v>
      </c>
      <c r="J100" s="11">
        <f t="shared" si="37"/>
        <v>8.636825684380031E-4</v>
      </c>
      <c r="K100" s="11">
        <f t="shared" si="38"/>
        <v>9.0294086700336686E-4</v>
      </c>
      <c r="L100" s="17">
        <f t="shared" si="39"/>
        <v>9.4593805114638445E-4</v>
      </c>
      <c r="M100" s="25"/>
      <c r="N100" s="28"/>
      <c r="O100" s="25"/>
      <c r="P100" s="25"/>
      <c r="Q100" s="25"/>
      <c r="R100" s="25"/>
      <c r="S100" s="25"/>
      <c r="T100" s="25"/>
      <c r="U100" s="28"/>
      <c r="V100" s="25"/>
      <c r="W100" s="15" t="s">
        <v>35</v>
      </c>
      <c r="X100" s="50"/>
    </row>
    <row r="101" spans="1:24" ht="20.45" customHeight="1">
      <c r="A101" s="10" t="s">
        <v>110</v>
      </c>
      <c r="B101" s="11">
        <v>1.0069444444444445E-2</v>
      </c>
      <c r="C101" s="11">
        <v>2.8935185185185184E-3</v>
      </c>
      <c r="D101" s="11">
        <f t="shared" si="32"/>
        <v>5.8584027777777783E-3</v>
      </c>
      <c r="E101" s="12">
        <v>0.58179999999999998</v>
      </c>
      <c r="F101" s="11">
        <f t="shared" si="33"/>
        <v>7.2337962962962959E-4</v>
      </c>
      <c r="G101" s="11">
        <f t="shared" si="34"/>
        <v>7.811203703703705E-4</v>
      </c>
      <c r="H101" s="11">
        <f t="shared" si="35"/>
        <v>8.0555555555555556E-4</v>
      </c>
      <c r="I101" s="11">
        <f t="shared" si="36"/>
        <v>8.3991437674233382E-4</v>
      </c>
      <c r="J101" s="11">
        <f t="shared" si="37"/>
        <v>8.4904388083735917E-4</v>
      </c>
      <c r="K101" s="11">
        <f t="shared" si="38"/>
        <v>8.8763678451178466E-4</v>
      </c>
      <c r="L101" s="11">
        <f t="shared" si="39"/>
        <v>9.2990520282186973E-4</v>
      </c>
      <c r="M101" s="25"/>
      <c r="N101" s="28"/>
      <c r="O101" s="25"/>
      <c r="P101" s="25"/>
      <c r="Q101" s="25"/>
      <c r="R101" s="25"/>
      <c r="S101" s="25"/>
      <c r="T101" s="25"/>
      <c r="U101" s="28"/>
      <c r="V101" s="25"/>
      <c r="W101" s="15" t="s">
        <v>35</v>
      </c>
      <c r="X101" s="50"/>
    </row>
    <row r="102" spans="1:24" ht="20.45" customHeight="1">
      <c r="A102" s="10"/>
      <c r="B102" s="11"/>
      <c r="C102" s="11"/>
      <c r="D102" s="11"/>
      <c r="E102" s="12"/>
      <c r="F102" s="11"/>
      <c r="G102" s="11"/>
      <c r="H102" s="11"/>
      <c r="I102" s="11"/>
      <c r="J102" s="11"/>
      <c r="K102" s="11"/>
      <c r="L102" s="11"/>
      <c r="M102" s="25"/>
      <c r="N102" s="28"/>
      <c r="O102" s="25"/>
      <c r="P102" s="28"/>
      <c r="Q102" s="25"/>
      <c r="R102" s="28"/>
      <c r="S102" s="25"/>
      <c r="T102" s="25"/>
      <c r="U102" s="28"/>
      <c r="V102" s="25"/>
      <c r="W102" s="27"/>
      <c r="X102" s="50"/>
    </row>
    <row r="103" spans="1:24" ht="20.45" customHeight="1">
      <c r="A103" s="19"/>
      <c r="B103" s="6"/>
      <c r="C103" s="6"/>
      <c r="D103" s="6"/>
      <c r="E103" s="20"/>
      <c r="F103" s="6"/>
      <c r="G103" s="6"/>
      <c r="H103" s="6"/>
      <c r="I103" s="6"/>
      <c r="J103" s="6"/>
      <c r="K103" s="6"/>
      <c r="L103" s="6"/>
      <c r="M103" s="6"/>
      <c r="N103" s="6"/>
      <c r="O103" s="6"/>
      <c r="P103" s="6"/>
      <c r="Q103" s="6"/>
      <c r="R103" s="6"/>
      <c r="S103" s="6"/>
      <c r="T103" s="6"/>
      <c r="U103" s="6"/>
      <c r="V103" s="23"/>
      <c r="W103" s="35"/>
      <c r="X103" s="50"/>
    </row>
    <row r="104" spans="1:24" ht="20.45" customHeight="1">
      <c r="A104" s="10" t="s">
        <v>100</v>
      </c>
      <c r="B104" s="11">
        <v>1.087962962962963E-2</v>
      </c>
      <c r="C104" s="11">
        <v>3.0671296296296297E-3</v>
      </c>
      <c r="D104" s="11">
        <f t="shared" ref="D104:D109" si="40">B104*E104</f>
        <v>6.3297685185185184E-3</v>
      </c>
      <c r="E104" s="12">
        <v>0.58179999999999998</v>
      </c>
      <c r="F104" s="11">
        <f t="shared" ref="F104:F109" si="41">C104/4</f>
        <v>7.6678240740740743E-4</v>
      </c>
      <c r="G104" s="11">
        <f t="shared" ref="G104:G109" si="42">D104/7.5</f>
        <v>8.4396913580246917E-4</v>
      </c>
      <c r="H104" s="11">
        <f t="shared" ref="H104:H109" si="43">B104/12.5</f>
        <v>8.7037037037037042E-4</v>
      </c>
      <c r="I104" s="11">
        <f t="shared" ref="I104:I109" si="44">G104/0.93</f>
        <v>9.0749369441125711E-4</v>
      </c>
      <c r="J104" s="11">
        <f t="shared" ref="J104:J109" si="45">G104/0.92</f>
        <v>9.173577563070317E-4</v>
      </c>
      <c r="K104" s="11">
        <f t="shared" ref="K104:K109" si="46">G104/0.88</f>
        <v>9.5905583613916951E-4</v>
      </c>
      <c r="L104" s="17">
        <f t="shared" ref="L104:L109" si="47">G104/0.84</f>
        <v>1.0047251616696062E-3</v>
      </c>
      <c r="M104" s="25"/>
      <c r="N104" s="28"/>
      <c r="O104" s="25"/>
      <c r="P104" s="28"/>
      <c r="Q104" s="25"/>
      <c r="R104" s="28"/>
      <c r="S104" s="25"/>
      <c r="T104" s="28"/>
      <c r="U104" s="28"/>
      <c r="V104" s="25"/>
      <c r="W104" s="15" t="s">
        <v>48</v>
      </c>
      <c r="X104" s="50"/>
    </row>
    <row r="105" spans="1:24" ht="20.45" customHeight="1">
      <c r="A105" s="10" t="s">
        <v>101</v>
      </c>
      <c r="B105" s="11">
        <v>1.1458333333333333E-2</v>
      </c>
      <c r="C105" s="11">
        <v>3.0671296296296297E-3</v>
      </c>
      <c r="D105" s="11">
        <f t="shared" si="40"/>
        <v>6.6664583333333324E-3</v>
      </c>
      <c r="E105" s="12">
        <v>0.58179999999999998</v>
      </c>
      <c r="F105" s="11">
        <f t="shared" si="41"/>
        <v>7.6678240740740743E-4</v>
      </c>
      <c r="G105" s="11">
        <f t="shared" si="42"/>
        <v>8.8886111111111099E-4</v>
      </c>
      <c r="H105" s="11">
        <f t="shared" si="43"/>
        <v>9.1666666666666665E-4</v>
      </c>
      <c r="I105" s="11">
        <f t="shared" si="44"/>
        <v>9.5576463560334514E-4</v>
      </c>
      <c r="J105" s="11">
        <f t="shared" si="45"/>
        <v>9.6615338164251195E-4</v>
      </c>
      <c r="K105" s="11">
        <f t="shared" si="46"/>
        <v>1.0100694444444443E-3</v>
      </c>
      <c r="L105" s="11">
        <f t="shared" si="47"/>
        <v>1.0581679894179892E-3</v>
      </c>
      <c r="M105" s="25"/>
      <c r="N105" s="28"/>
      <c r="O105" s="25"/>
      <c r="P105" s="28"/>
      <c r="Q105" s="25"/>
      <c r="R105" s="28"/>
      <c r="S105" s="25"/>
      <c r="T105" s="28"/>
      <c r="U105" s="28"/>
      <c r="V105" s="25"/>
      <c r="W105" s="15" t="s">
        <v>48</v>
      </c>
      <c r="X105" s="50"/>
    </row>
    <row r="106" spans="1:24" ht="20.45" customHeight="1">
      <c r="A106" s="10" t="s">
        <v>96</v>
      </c>
      <c r="B106" s="11">
        <v>1.0648148148148148E-2</v>
      </c>
      <c r="C106" s="11">
        <v>2.9513888888888888E-3</v>
      </c>
      <c r="D106" s="11">
        <f t="shared" si="40"/>
        <v>6.1950925925925923E-3</v>
      </c>
      <c r="E106" s="12">
        <v>0.58179999999999998</v>
      </c>
      <c r="F106" s="11">
        <f t="shared" si="41"/>
        <v>7.378472222222222E-4</v>
      </c>
      <c r="G106" s="11">
        <f t="shared" si="42"/>
        <v>8.2601234567901232E-4</v>
      </c>
      <c r="H106" s="11">
        <f t="shared" si="43"/>
        <v>8.5185185185185179E-4</v>
      </c>
      <c r="I106" s="11">
        <f t="shared" si="44"/>
        <v>8.8818531793442184E-4</v>
      </c>
      <c r="J106" s="11">
        <f t="shared" si="45"/>
        <v>8.9783950617283942E-4</v>
      </c>
      <c r="K106" s="11">
        <f t="shared" si="46"/>
        <v>9.3865039281705945E-4</v>
      </c>
      <c r="L106" s="17">
        <f t="shared" si="47"/>
        <v>9.833480305702527E-4</v>
      </c>
      <c r="M106" s="25"/>
      <c r="N106" s="28"/>
      <c r="O106" s="25"/>
      <c r="P106" s="28"/>
      <c r="Q106" s="25"/>
      <c r="R106" s="28"/>
      <c r="S106" s="25"/>
      <c r="T106" s="28"/>
      <c r="U106" s="28"/>
      <c r="V106" s="25"/>
      <c r="W106" s="15" t="s">
        <v>48</v>
      </c>
      <c r="X106" s="50"/>
    </row>
    <row r="107" spans="1:24" ht="20.45" customHeight="1">
      <c r="A107" s="10" t="s">
        <v>103</v>
      </c>
      <c r="B107" s="11">
        <v>1.1458333333333333E-2</v>
      </c>
      <c r="C107" s="11">
        <v>3.0671296296296297E-3</v>
      </c>
      <c r="D107" s="11">
        <f t="shared" si="40"/>
        <v>6.6664583333333324E-3</v>
      </c>
      <c r="E107" s="12">
        <v>0.58179999999999998</v>
      </c>
      <c r="F107" s="11">
        <f t="shared" si="41"/>
        <v>7.6678240740740743E-4</v>
      </c>
      <c r="G107" s="11">
        <f t="shared" si="42"/>
        <v>8.8886111111111099E-4</v>
      </c>
      <c r="H107" s="11">
        <f t="shared" si="43"/>
        <v>9.1666666666666665E-4</v>
      </c>
      <c r="I107" s="11">
        <f t="shared" si="44"/>
        <v>9.5576463560334514E-4</v>
      </c>
      <c r="J107" s="11">
        <f t="shared" si="45"/>
        <v>9.6615338164251195E-4</v>
      </c>
      <c r="K107" s="11">
        <f t="shared" si="46"/>
        <v>1.0100694444444443E-3</v>
      </c>
      <c r="L107" s="17">
        <f t="shared" si="47"/>
        <v>1.0581679894179892E-3</v>
      </c>
      <c r="M107" s="37"/>
      <c r="N107" s="28"/>
      <c r="O107" s="25"/>
      <c r="P107" s="28"/>
      <c r="Q107" s="25"/>
      <c r="R107" s="28"/>
      <c r="S107" s="25"/>
      <c r="T107" s="28"/>
      <c r="U107" s="28"/>
      <c r="V107" s="25"/>
      <c r="W107" s="15" t="s">
        <v>48</v>
      </c>
      <c r="X107" s="50"/>
    </row>
    <row r="108" spans="1:24" ht="20.45" customHeight="1">
      <c r="A108" s="10" t="s">
        <v>104</v>
      </c>
      <c r="B108" s="11">
        <v>1.1805555555555555E-2</v>
      </c>
      <c r="C108" s="11">
        <v>3.414351851851852E-3</v>
      </c>
      <c r="D108" s="11">
        <f t="shared" si="40"/>
        <v>6.868472222222222E-3</v>
      </c>
      <c r="E108" s="12">
        <v>0.58179999999999998</v>
      </c>
      <c r="F108" s="11">
        <f t="shared" si="41"/>
        <v>8.53587962962963E-4</v>
      </c>
      <c r="G108" s="11">
        <f t="shared" si="42"/>
        <v>9.1579629629629628E-4</v>
      </c>
      <c r="H108" s="11">
        <f t="shared" si="43"/>
        <v>9.4444444444444437E-4</v>
      </c>
      <c r="I108" s="11">
        <f t="shared" si="44"/>
        <v>9.8472720031859799E-4</v>
      </c>
      <c r="J108" s="11">
        <f t="shared" si="45"/>
        <v>9.9543075684380036E-4</v>
      </c>
      <c r="K108" s="11">
        <f t="shared" si="46"/>
        <v>1.0406776094276093E-3</v>
      </c>
      <c r="L108" s="11">
        <f t="shared" si="47"/>
        <v>1.0902336860670195E-3</v>
      </c>
      <c r="M108" s="25"/>
      <c r="N108" s="28"/>
      <c r="O108" s="25"/>
      <c r="P108" s="28"/>
      <c r="Q108" s="25"/>
      <c r="R108" s="28"/>
      <c r="S108" s="25"/>
      <c r="T108" s="28"/>
      <c r="U108" s="28"/>
      <c r="V108" s="25"/>
      <c r="W108" s="15" t="s">
        <v>48</v>
      </c>
      <c r="X108" s="52"/>
    </row>
    <row r="109" spans="1:24" ht="20.45" customHeight="1">
      <c r="A109" s="10" t="s">
        <v>97</v>
      </c>
      <c r="B109" s="11">
        <v>1.0532407407407407E-2</v>
      </c>
      <c r="C109" s="11">
        <v>2.9513888888888888E-3</v>
      </c>
      <c r="D109" s="11">
        <f t="shared" si="40"/>
        <v>6.1277546296296288E-3</v>
      </c>
      <c r="E109" s="12">
        <v>0.58179999999999998</v>
      </c>
      <c r="F109" s="11">
        <f t="shared" si="41"/>
        <v>7.378472222222222E-4</v>
      </c>
      <c r="G109" s="11">
        <f t="shared" si="42"/>
        <v>8.1703395061728389E-4</v>
      </c>
      <c r="H109" s="11">
        <f t="shared" si="43"/>
        <v>8.4259259259259259E-4</v>
      </c>
      <c r="I109" s="11">
        <f t="shared" si="44"/>
        <v>8.7853112969600415E-4</v>
      </c>
      <c r="J109" s="11">
        <f t="shared" si="45"/>
        <v>8.8808038110574329E-4</v>
      </c>
      <c r="K109" s="11">
        <f t="shared" si="46"/>
        <v>9.2844767115600447E-4</v>
      </c>
      <c r="L109" s="11">
        <f t="shared" si="47"/>
        <v>9.7265946502057604E-4</v>
      </c>
      <c r="M109" s="25"/>
      <c r="N109" s="28"/>
      <c r="O109" s="25"/>
      <c r="P109" s="28"/>
      <c r="Q109" s="25"/>
      <c r="R109" s="28"/>
      <c r="S109" s="25"/>
      <c r="T109" s="28"/>
      <c r="U109" s="28"/>
      <c r="V109" s="25"/>
      <c r="W109" s="15" t="s">
        <v>48</v>
      </c>
      <c r="X109" s="52"/>
    </row>
    <row r="110" spans="1:24" ht="20.45" customHeight="1">
      <c r="A110" s="10"/>
      <c r="B110" s="11"/>
      <c r="C110" s="11"/>
      <c r="D110" s="11"/>
      <c r="E110" s="12"/>
      <c r="F110" s="11"/>
      <c r="G110" s="11"/>
      <c r="H110" s="11"/>
      <c r="I110" s="11"/>
      <c r="J110" s="11"/>
      <c r="K110" s="11"/>
      <c r="L110" s="11"/>
      <c r="M110" s="25"/>
      <c r="N110" s="28"/>
      <c r="O110" s="25"/>
      <c r="P110" s="25"/>
      <c r="Q110" s="25"/>
      <c r="R110" s="25"/>
      <c r="S110" s="25"/>
      <c r="T110" s="25"/>
      <c r="U110" s="28"/>
      <c r="V110" s="25"/>
      <c r="W110" s="15"/>
      <c r="X110" s="52"/>
    </row>
    <row r="111" spans="1:24" ht="20.45" customHeight="1">
      <c r="A111" s="10"/>
      <c r="B111" s="11"/>
      <c r="C111" s="11"/>
      <c r="D111" s="11"/>
      <c r="E111" s="12"/>
      <c r="F111" s="11"/>
      <c r="G111" s="11"/>
      <c r="H111" s="11"/>
      <c r="I111" s="11"/>
      <c r="J111" s="11"/>
      <c r="K111" s="11"/>
      <c r="L111" s="11"/>
      <c r="M111" s="25"/>
      <c r="N111" s="28"/>
      <c r="O111" s="25"/>
      <c r="P111" s="25"/>
      <c r="Q111" s="28"/>
      <c r="R111" s="28"/>
      <c r="S111" s="25"/>
      <c r="T111" s="25"/>
      <c r="U111" s="28"/>
      <c r="V111" s="25"/>
      <c r="W111" s="15"/>
      <c r="X111" s="52"/>
    </row>
    <row r="112" spans="1:24" ht="20.45" customHeight="1">
      <c r="A112" s="10"/>
      <c r="B112" s="11"/>
      <c r="C112" s="11"/>
      <c r="D112" s="11"/>
      <c r="E112" s="12"/>
      <c r="F112" s="11"/>
      <c r="G112" s="11"/>
      <c r="H112" s="11"/>
      <c r="I112" s="11"/>
      <c r="J112" s="11"/>
      <c r="K112" s="11"/>
      <c r="L112" s="11"/>
      <c r="M112" s="25"/>
      <c r="N112" s="28"/>
      <c r="O112" s="25"/>
      <c r="P112" s="25"/>
      <c r="Q112" s="25"/>
      <c r="R112" s="25"/>
      <c r="S112" s="25"/>
      <c r="T112" s="25"/>
      <c r="U112" s="28"/>
      <c r="V112" s="25"/>
      <c r="W112" s="15"/>
      <c r="X112" s="52"/>
    </row>
    <row r="113" spans="1:24" ht="20.45" customHeight="1">
      <c r="A113" s="10"/>
      <c r="B113" s="11"/>
      <c r="C113" s="11"/>
      <c r="D113" s="11"/>
      <c r="E113" s="12"/>
      <c r="F113" s="11"/>
      <c r="G113" s="11"/>
      <c r="H113" s="11"/>
      <c r="I113" s="11"/>
      <c r="J113" s="11"/>
      <c r="K113" s="11"/>
      <c r="L113" s="17"/>
      <c r="M113" s="25"/>
      <c r="N113" s="28"/>
      <c r="O113" s="25"/>
      <c r="P113" s="25"/>
      <c r="Q113" s="25"/>
      <c r="R113" s="25"/>
      <c r="S113" s="25"/>
      <c r="T113" s="25"/>
      <c r="U113" s="28"/>
      <c r="V113" s="25"/>
      <c r="W113" s="15"/>
      <c r="X113" s="52"/>
    </row>
    <row r="114" spans="1:24" ht="20.45" customHeight="1">
      <c r="A114" s="10"/>
      <c r="B114" s="11"/>
      <c r="C114" s="11"/>
      <c r="D114" s="11"/>
      <c r="E114" s="12"/>
      <c r="F114" s="11"/>
      <c r="G114" s="11"/>
      <c r="H114" s="11"/>
      <c r="I114" s="11"/>
      <c r="J114" s="11"/>
      <c r="K114" s="11"/>
      <c r="L114" s="11"/>
      <c r="M114" s="25"/>
      <c r="N114" s="28"/>
      <c r="O114" s="25"/>
      <c r="P114" s="25"/>
      <c r="Q114" s="25"/>
      <c r="R114" s="25"/>
      <c r="S114" s="25"/>
      <c r="T114" s="25"/>
      <c r="U114" s="28"/>
      <c r="V114" s="25"/>
      <c r="W114" s="15"/>
      <c r="X114" s="52"/>
    </row>
    <row r="115" spans="1:24" ht="20.45" customHeight="1" thickBot="1">
      <c r="A115" s="10"/>
      <c r="B115" s="11"/>
      <c r="C115" s="11"/>
      <c r="D115" s="11"/>
      <c r="E115" s="12"/>
      <c r="F115" s="11"/>
      <c r="G115" s="11"/>
      <c r="H115" s="11"/>
      <c r="I115" s="11"/>
      <c r="J115" s="11"/>
      <c r="K115" s="11"/>
      <c r="L115" s="11"/>
      <c r="M115" s="25"/>
      <c r="N115" s="28"/>
      <c r="O115" s="25"/>
      <c r="P115" s="28"/>
      <c r="Q115" s="25"/>
      <c r="R115" s="28"/>
      <c r="S115" s="25"/>
      <c r="T115" s="25"/>
      <c r="U115" s="28"/>
      <c r="V115" s="28"/>
      <c r="W115" s="27"/>
      <c r="X115" s="52"/>
    </row>
    <row r="116" spans="1:24" ht="20.45" customHeight="1">
      <c r="A116" s="1" t="s">
        <v>360</v>
      </c>
      <c r="B116" s="6"/>
      <c r="C116" s="6"/>
      <c r="D116" s="6"/>
      <c r="E116" s="20"/>
      <c r="F116" s="6"/>
      <c r="G116" s="6"/>
      <c r="H116" s="6"/>
      <c r="I116" s="6"/>
      <c r="J116" s="6"/>
      <c r="K116" s="6"/>
      <c r="L116" s="6"/>
      <c r="M116" s="6"/>
      <c r="N116" s="6"/>
      <c r="O116" s="6"/>
      <c r="P116" s="6"/>
      <c r="Q116" s="22"/>
      <c r="R116" s="6"/>
      <c r="S116" s="6"/>
      <c r="T116" s="6"/>
      <c r="U116" s="6"/>
      <c r="V116" s="23"/>
      <c r="W116" s="35"/>
      <c r="X116" s="52"/>
    </row>
    <row r="117" spans="1:24" ht="20.45" customHeight="1">
      <c r="A117" s="10" t="s">
        <v>99</v>
      </c>
      <c r="B117" s="11"/>
      <c r="C117" s="11"/>
      <c r="D117" s="11"/>
      <c r="E117" s="12"/>
      <c r="F117" s="11"/>
      <c r="G117" s="11"/>
      <c r="H117" s="11"/>
      <c r="I117" s="11"/>
      <c r="J117" s="11"/>
      <c r="K117" s="11"/>
      <c r="L117" s="11"/>
      <c r="M117" s="25"/>
      <c r="N117" s="28"/>
      <c r="O117" s="25"/>
      <c r="P117" s="28"/>
      <c r="Q117" s="25"/>
      <c r="R117" s="28"/>
      <c r="S117" s="25"/>
      <c r="T117" s="25"/>
      <c r="U117" s="28"/>
      <c r="V117" s="28"/>
      <c r="W117" s="27" t="s">
        <v>261</v>
      </c>
      <c r="X117" s="52"/>
    </row>
    <row r="118" spans="1:24" ht="20.45" customHeight="1">
      <c r="A118" s="10" t="s">
        <v>93</v>
      </c>
      <c r="B118" s="11"/>
      <c r="C118" s="11"/>
      <c r="D118" s="11"/>
      <c r="E118" s="12"/>
      <c r="F118" s="11"/>
      <c r="G118" s="11"/>
      <c r="H118" s="11"/>
      <c r="I118" s="11"/>
      <c r="J118" s="11"/>
      <c r="K118" s="11"/>
      <c r="L118" s="17"/>
      <c r="M118" s="25"/>
      <c r="N118" s="28"/>
      <c r="O118" s="25"/>
      <c r="P118" s="28"/>
      <c r="Q118" s="25"/>
      <c r="R118" s="28"/>
      <c r="S118" s="25"/>
      <c r="T118" s="25"/>
      <c r="U118" s="28"/>
      <c r="V118" s="28"/>
      <c r="W118" s="27" t="s">
        <v>261</v>
      </c>
      <c r="X118" s="50" t="s">
        <v>367</v>
      </c>
    </row>
    <row r="119" spans="1:24" ht="20.45" customHeight="1">
      <c r="A119" s="10" t="s">
        <v>125</v>
      </c>
      <c r="B119" s="11"/>
      <c r="C119" s="11"/>
      <c r="D119" s="11"/>
      <c r="E119" s="12"/>
      <c r="F119" s="11"/>
      <c r="G119" s="11"/>
      <c r="H119" s="11"/>
      <c r="I119" s="11"/>
      <c r="J119" s="11"/>
      <c r="K119" s="11"/>
      <c r="L119" s="17"/>
      <c r="M119" s="25"/>
      <c r="N119" s="28"/>
      <c r="O119" s="25"/>
      <c r="P119" s="28"/>
      <c r="Q119" s="25"/>
      <c r="R119" s="28"/>
      <c r="S119" s="25"/>
      <c r="T119" s="25"/>
      <c r="U119" s="28"/>
      <c r="V119" s="28"/>
      <c r="W119" s="15" t="s">
        <v>261</v>
      </c>
      <c r="X119" s="50"/>
    </row>
    <row r="120" spans="1:24" ht="20.45" customHeight="1">
      <c r="A120" s="10" t="s">
        <v>264</v>
      </c>
      <c r="B120" s="11"/>
      <c r="C120" s="11"/>
      <c r="D120" s="11"/>
      <c r="E120" s="12"/>
      <c r="F120" s="11"/>
      <c r="G120" s="11"/>
      <c r="H120" s="11"/>
      <c r="I120" s="11"/>
      <c r="J120" s="11"/>
      <c r="K120" s="11"/>
      <c r="L120" s="11"/>
      <c r="M120" s="11"/>
      <c r="N120" s="26"/>
      <c r="P120" s="26"/>
      <c r="Q120" s="26"/>
      <c r="R120" s="26"/>
      <c r="S120" s="14"/>
      <c r="T120" s="14"/>
      <c r="U120" s="26"/>
      <c r="V120" s="28"/>
      <c r="W120" s="27" t="s">
        <v>261</v>
      </c>
      <c r="X120" s="50"/>
    </row>
    <row r="121" spans="1:24" ht="20.45" customHeight="1">
      <c r="A121" s="10" t="s">
        <v>126</v>
      </c>
      <c r="B121" s="11"/>
      <c r="C121" s="11"/>
      <c r="D121" s="11"/>
      <c r="E121" s="12"/>
      <c r="F121" s="11"/>
      <c r="G121" s="11"/>
      <c r="H121" s="11"/>
      <c r="I121" s="11"/>
      <c r="J121" s="11"/>
      <c r="K121" s="11"/>
      <c r="L121" s="11"/>
      <c r="M121" s="25"/>
      <c r="N121" s="28"/>
      <c r="O121" s="25"/>
      <c r="P121" s="28"/>
      <c r="Q121" s="25"/>
      <c r="R121" s="28"/>
      <c r="S121" s="25"/>
      <c r="T121" s="25"/>
      <c r="U121" s="28"/>
      <c r="V121" s="28"/>
      <c r="W121" s="27" t="s">
        <v>261</v>
      </c>
      <c r="X121" s="50"/>
    </row>
    <row r="122" spans="1:24" ht="20.45" customHeight="1">
      <c r="A122" s="10" t="s">
        <v>134</v>
      </c>
      <c r="B122" s="11"/>
      <c r="C122" s="11"/>
      <c r="D122" s="11"/>
      <c r="E122" s="12"/>
      <c r="F122" s="11"/>
      <c r="G122" s="11"/>
      <c r="H122" s="11"/>
      <c r="I122" s="11"/>
      <c r="J122" s="11"/>
      <c r="K122" s="11"/>
      <c r="L122" s="11"/>
      <c r="M122" s="11"/>
      <c r="N122" s="26"/>
      <c r="P122" s="26"/>
      <c r="Q122" s="26"/>
      <c r="R122" s="26"/>
      <c r="S122" s="14"/>
      <c r="T122" s="14"/>
      <c r="U122" s="26"/>
      <c r="V122" s="28"/>
      <c r="W122" s="27" t="s">
        <v>261</v>
      </c>
      <c r="X122" s="50"/>
    </row>
    <row r="123" spans="1:24" ht="20.45" customHeight="1">
      <c r="A123" s="10" t="s">
        <v>121</v>
      </c>
      <c r="B123" s="11"/>
      <c r="C123" s="11"/>
      <c r="D123" s="11"/>
      <c r="E123" s="12"/>
      <c r="F123" s="11"/>
      <c r="G123" s="11"/>
      <c r="H123" s="11"/>
      <c r="I123" s="11"/>
      <c r="J123" s="11"/>
      <c r="K123" s="11"/>
      <c r="L123" s="11"/>
      <c r="M123" s="11"/>
      <c r="N123" s="26"/>
      <c r="P123" s="26"/>
      <c r="Q123" s="26"/>
      <c r="R123" s="26"/>
      <c r="S123" s="14"/>
      <c r="T123" s="14"/>
      <c r="U123" s="26"/>
      <c r="V123" s="28"/>
      <c r="W123" s="27" t="s">
        <v>261</v>
      </c>
      <c r="X123" s="50"/>
    </row>
    <row r="124" spans="1:24" ht="20.45" customHeight="1">
      <c r="A124" s="10" t="s">
        <v>128</v>
      </c>
      <c r="B124" s="11"/>
      <c r="C124" s="11"/>
      <c r="D124" s="11"/>
      <c r="E124" s="12"/>
      <c r="F124" s="11"/>
      <c r="G124" s="11"/>
      <c r="H124" s="11"/>
      <c r="I124" s="11"/>
      <c r="J124" s="11"/>
      <c r="K124" s="11"/>
      <c r="L124" s="11"/>
      <c r="M124" s="11"/>
      <c r="N124" s="26"/>
      <c r="P124" s="26"/>
      <c r="Q124" s="26"/>
      <c r="R124" s="26"/>
      <c r="S124" s="14"/>
      <c r="T124" s="14"/>
      <c r="U124" s="26"/>
      <c r="V124" s="28"/>
      <c r="W124" s="27" t="s">
        <v>261</v>
      </c>
      <c r="X124" s="50"/>
    </row>
    <row r="125" spans="1:24" ht="20.45" customHeight="1">
      <c r="A125" s="10" t="s">
        <v>137</v>
      </c>
      <c r="B125" s="11"/>
      <c r="C125" s="11"/>
      <c r="D125" s="11"/>
      <c r="E125" s="12"/>
      <c r="F125" s="11"/>
      <c r="G125" s="11"/>
      <c r="H125" s="11"/>
      <c r="I125" s="11"/>
      <c r="J125" s="11"/>
      <c r="K125" s="11"/>
      <c r="L125" s="17"/>
      <c r="M125" s="25"/>
      <c r="N125" s="28"/>
      <c r="O125" s="25"/>
      <c r="P125" s="28"/>
      <c r="Q125" s="25"/>
      <c r="R125" s="28"/>
      <c r="S125" s="25"/>
      <c r="T125" s="25"/>
      <c r="U125" s="28"/>
      <c r="V125" s="28"/>
      <c r="W125" s="15" t="s">
        <v>261</v>
      </c>
      <c r="X125" s="50"/>
    </row>
    <row r="126" spans="1:24" ht="20.45" customHeight="1">
      <c r="A126" s="10" t="s">
        <v>115</v>
      </c>
      <c r="B126" s="11"/>
      <c r="C126" s="11"/>
      <c r="D126" s="11"/>
      <c r="E126" s="12"/>
      <c r="F126" s="11"/>
      <c r="G126" s="11"/>
      <c r="H126" s="11"/>
      <c r="I126" s="11"/>
      <c r="J126" s="11"/>
      <c r="K126" s="11"/>
      <c r="L126" s="11"/>
      <c r="M126" s="25"/>
      <c r="N126" s="28"/>
      <c r="O126" s="25"/>
      <c r="P126" s="28"/>
      <c r="Q126" s="25"/>
      <c r="R126" s="28"/>
      <c r="S126" s="25"/>
      <c r="T126" s="25"/>
      <c r="U126" s="28"/>
      <c r="V126" s="28"/>
      <c r="W126" s="27" t="s">
        <v>261</v>
      </c>
      <c r="X126" s="50"/>
    </row>
    <row r="127" spans="1:24" ht="20.45" customHeight="1">
      <c r="A127" s="10" t="s">
        <v>132</v>
      </c>
      <c r="B127" s="11"/>
      <c r="C127" s="11"/>
      <c r="D127" s="11"/>
      <c r="E127" s="12"/>
      <c r="F127" s="11"/>
      <c r="G127" s="11"/>
      <c r="H127" s="11"/>
      <c r="I127" s="11"/>
      <c r="J127" s="11"/>
      <c r="K127" s="11"/>
      <c r="L127" s="11"/>
      <c r="M127" s="11"/>
      <c r="N127" s="26"/>
      <c r="P127" s="26"/>
      <c r="Q127" s="26"/>
      <c r="R127" s="26"/>
      <c r="S127" s="14"/>
      <c r="T127" s="14"/>
      <c r="U127" s="26"/>
      <c r="V127" s="28"/>
      <c r="W127" s="27" t="s">
        <v>261</v>
      </c>
      <c r="X127" s="50"/>
    </row>
    <row r="128" spans="1:24" ht="20.45" customHeight="1">
      <c r="A128" s="10" t="s">
        <v>102</v>
      </c>
      <c r="B128" s="11"/>
      <c r="C128" s="11"/>
      <c r="D128" s="11"/>
      <c r="E128" s="12"/>
      <c r="F128" s="11"/>
      <c r="G128" s="11"/>
      <c r="H128" s="11"/>
      <c r="I128" s="11"/>
      <c r="J128" s="11"/>
      <c r="K128" s="11"/>
      <c r="L128" s="11"/>
      <c r="M128" s="11"/>
      <c r="N128" s="26"/>
      <c r="P128" s="26"/>
      <c r="Q128" s="26"/>
      <c r="R128" s="26"/>
      <c r="S128" s="14"/>
      <c r="T128" s="14"/>
      <c r="U128" s="26"/>
      <c r="V128" s="28"/>
      <c r="W128" s="27" t="s">
        <v>261</v>
      </c>
      <c r="X128" s="53"/>
    </row>
    <row r="129" spans="1:24" ht="20.45" customHeight="1">
      <c r="A129" s="10" t="s">
        <v>98</v>
      </c>
      <c r="B129" s="11" t="s">
        <v>1</v>
      </c>
      <c r="C129" s="11" t="s">
        <v>2</v>
      </c>
      <c r="D129" s="11" t="s">
        <v>3</v>
      </c>
      <c r="E129" s="12" t="s">
        <v>4</v>
      </c>
      <c r="F129" s="11" t="s">
        <v>5</v>
      </c>
      <c r="G129" s="11" t="s">
        <v>6</v>
      </c>
      <c r="H129" s="11" t="s">
        <v>7</v>
      </c>
      <c r="I129" s="11" t="s">
        <v>8</v>
      </c>
      <c r="J129" s="11" t="s">
        <v>9</v>
      </c>
      <c r="K129" s="11" t="s">
        <v>10</v>
      </c>
      <c r="L129" s="17" t="s">
        <v>11</v>
      </c>
      <c r="M129" s="25"/>
      <c r="N129" s="28"/>
      <c r="O129" s="25"/>
      <c r="P129" s="28"/>
      <c r="Q129" s="25"/>
      <c r="R129" s="28"/>
      <c r="S129" s="25"/>
      <c r="T129" s="25"/>
      <c r="U129" s="28"/>
      <c r="V129" s="28"/>
      <c r="W129" s="27" t="s">
        <v>261</v>
      </c>
      <c r="X129" s="53"/>
    </row>
    <row r="130" spans="1:24" ht="20.45" customHeight="1">
      <c r="A130" s="10" t="s">
        <v>119</v>
      </c>
      <c r="B130" s="11"/>
      <c r="C130" s="11"/>
      <c r="D130" s="11"/>
      <c r="E130" s="12"/>
      <c r="F130" s="11"/>
      <c r="G130" s="11"/>
      <c r="H130" s="11"/>
      <c r="I130" s="11"/>
      <c r="J130" s="11"/>
      <c r="K130" s="11"/>
      <c r="L130" s="17"/>
      <c r="M130" s="11"/>
      <c r="N130" s="26"/>
      <c r="P130" s="26"/>
      <c r="Q130" s="26"/>
      <c r="R130" s="26"/>
      <c r="S130" s="14"/>
      <c r="T130" s="14"/>
      <c r="U130" s="26"/>
      <c r="V130" s="28"/>
      <c r="W130" s="27" t="s">
        <v>261</v>
      </c>
      <c r="X130" s="53"/>
    </row>
    <row r="131" spans="1:24" ht="20.45" customHeight="1">
      <c r="A131" s="10" t="s">
        <v>124</v>
      </c>
      <c r="B131" s="11"/>
      <c r="C131" s="11"/>
      <c r="D131" s="11"/>
      <c r="E131" s="12"/>
      <c r="F131" s="11"/>
      <c r="G131" s="11"/>
      <c r="H131" s="11"/>
      <c r="I131" s="11"/>
      <c r="J131" s="11"/>
      <c r="K131" s="11"/>
      <c r="L131" s="11"/>
      <c r="M131" s="11"/>
      <c r="N131" s="26"/>
      <c r="P131" s="26"/>
      <c r="Q131" s="26"/>
      <c r="R131" s="26"/>
      <c r="S131" s="14"/>
      <c r="T131" s="14"/>
      <c r="U131" s="26"/>
      <c r="V131" s="28"/>
      <c r="W131" s="27" t="s">
        <v>261</v>
      </c>
      <c r="X131" s="53"/>
    </row>
    <row r="132" spans="1:24" ht="20.45" customHeight="1">
      <c r="A132" s="10" t="s">
        <v>114</v>
      </c>
      <c r="B132" s="11"/>
      <c r="C132" s="11"/>
      <c r="D132" s="11"/>
      <c r="E132" s="12"/>
      <c r="F132" s="11"/>
      <c r="G132" s="11"/>
      <c r="H132" s="11"/>
      <c r="I132" s="11"/>
      <c r="J132" s="11"/>
      <c r="K132" s="11"/>
      <c r="L132" s="11"/>
      <c r="M132" s="25"/>
      <c r="N132" s="28"/>
      <c r="O132" s="25"/>
      <c r="P132" s="28"/>
      <c r="Q132" s="25"/>
      <c r="R132" s="28"/>
      <c r="S132" s="25"/>
      <c r="T132" s="25"/>
      <c r="U132" s="28"/>
      <c r="V132" s="28"/>
      <c r="W132" s="15" t="s">
        <v>261</v>
      </c>
      <c r="X132" s="53"/>
    </row>
    <row r="133" spans="1:24" ht="20.45" customHeight="1">
      <c r="A133" s="10"/>
      <c r="B133" s="11"/>
      <c r="C133" s="11"/>
      <c r="D133" s="11"/>
      <c r="E133" s="12"/>
      <c r="F133" s="11"/>
      <c r="G133" s="11"/>
      <c r="H133" s="11"/>
      <c r="I133" s="11"/>
      <c r="J133" s="11"/>
      <c r="K133" s="11"/>
      <c r="L133" s="11"/>
      <c r="M133" s="25"/>
      <c r="N133" s="28"/>
      <c r="O133" s="25"/>
      <c r="P133" s="25"/>
      <c r="Q133" s="25"/>
      <c r="R133" s="28"/>
      <c r="S133" s="25"/>
      <c r="T133" s="25"/>
      <c r="U133" s="28"/>
      <c r="V133" s="25"/>
      <c r="W133" s="15"/>
      <c r="X133" s="53"/>
    </row>
    <row r="134" spans="1:24" ht="20.45" customHeight="1">
      <c r="A134" s="10"/>
      <c r="B134" s="11"/>
      <c r="C134" s="11"/>
      <c r="D134" s="11"/>
      <c r="E134" s="12"/>
      <c r="F134" s="11"/>
      <c r="G134" s="11"/>
      <c r="H134" s="11"/>
      <c r="I134" s="11"/>
      <c r="J134" s="11"/>
      <c r="K134" s="11"/>
      <c r="L134" s="17"/>
      <c r="M134" s="25"/>
      <c r="N134" s="28"/>
      <c r="O134" s="25"/>
      <c r="P134" s="25"/>
      <c r="Q134" s="25"/>
      <c r="R134" s="25"/>
      <c r="S134" s="25"/>
      <c r="T134" s="25"/>
      <c r="U134" s="28"/>
      <c r="V134" s="25"/>
      <c r="W134" s="15"/>
      <c r="X134" s="53"/>
    </row>
    <row r="135" spans="1:24" ht="20.45" customHeight="1">
      <c r="A135" s="10"/>
      <c r="B135" s="11"/>
      <c r="C135" s="11"/>
      <c r="D135" s="11"/>
      <c r="E135" s="12"/>
      <c r="F135" s="11"/>
      <c r="G135" s="11"/>
      <c r="H135" s="11"/>
      <c r="I135" s="11"/>
      <c r="J135" s="11"/>
      <c r="K135" s="11"/>
      <c r="L135" s="17"/>
      <c r="M135" s="25"/>
      <c r="N135" s="28"/>
      <c r="O135" s="25"/>
      <c r="P135" s="25"/>
      <c r="Q135" s="25"/>
      <c r="R135" s="28"/>
      <c r="S135" s="25"/>
      <c r="T135" s="25"/>
      <c r="U135" s="28"/>
      <c r="V135" s="25"/>
      <c r="W135" s="15"/>
      <c r="X135" s="53"/>
    </row>
    <row r="136" spans="1:24" ht="20.45" customHeight="1">
      <c r="A136" s="10"/>
      <c r="B136" s="11"/>
      <c r="C136" s="11"/>
      <c r="D136" s="11"/>
      <c r="E136" s="12"/>
      <c r="F136" s="11"/>
      <c r="G136" s="11"/>
      <c r="H136" s="11"/>
      <c r="I136" s="11"/>
      <c r="J136" s="11"/>
      <c r="K136" s="11"/>
      <c r="L136" s="11"/>
      <c r="M136" s="25"/>
      <c r="N136" s="28"/>
      <c r="O136" s="25"/>
      <c r="P136" s="25"/>
      <c r="Q136" s="28"/>
      <c r="R136" s="28"/>
      <c r="S136" s="25"/>
      <c r="T136" s="25"/>
      <c r="U136" s="28"/>
      <c r="V136" s="25"/>
      <c r="W136" s="15"/>
      <c r="X136" s="53"/>
    </row>
    <row r="137" spans="1:24" ht="20.45" customHeight="1">
      <c r="A137" s="10"/>
      <c r="B137" s="11"/>
      <c r="C137" s="11"/>
      <c r="D137" s="11"/>
      <c r="E137" s="12"/>
      <c r="F137" s="11"/>
      <c r="G137" s="11"/>
      <c r="H137" s="11"/>
      <c r="I137" s="11"/>
      <c r="J137" s="11"/>
      <c r="K137" s="11"/>
      <c r="L137" s="11"/>
      <c r="M137" s="25"/>
      <c r="N137" s="28"/>
      <c r="O137" s="25"/>
      <c r="P137" s="28"/>
      <c r="Q137" s="25"/>
      <c r="R137" s="28"/>
      <c r="S137" s="25"/>
      <c r="T137" s="28"/>
      <c r="U137" s="28"/>
      <c r="V137" s="25"/>
      <c r="W137" s="15"/>
      <c r="X137" s="53"/>
    </row>
    <row r="138" spans="1:24" ht="20.45" customHeight="1">
      <c r="A138" s="10"/>
      <c r="B138" s="11"/>
      <c r="C138" s="11"/>
      <c r="D138" s="11"/>
      <c r="E138" s="12"/>
      <c r="F138" s="11"/>
      <c r="G138" s="11"/>
      <c r="H138" s="11"/>
      <c r="I138" s="11"/>
      <c r="J138" s="11"/>
      <c r="K138" s="11"/>
      <c r="L138" s="11"/>
      <c r="M138" s="25"/>
      <c r="N138" s="28"/>
      <c r="O138" s="25"/>
      <c r="P138" s="25"/>
      <c r="Q138" s="28"/>
      <c r="R138" s="28"/>
      <c r="S138" s="25"/>
      <c r="T138" s="25"/>
      <c r="U138" s="28"/>
      <c r="V138" s="28"/>
      <c r="W138" s="15"/>
      <c r="X138" s="51"/>
    </row>
    <row r="139" spans="1:24" ht="20.45" customHeight="1">
      <c r="A139" s="10"/>
      <c r="B139" s="11"/>
      <c r="C139" s="11"/>
      <c r="D139" s="11"/>
      <c r="E139" s="12"/>
      <c r="F139" s="11"/>
      <c r="G139" s="11"/>
      <c r="H139" s="11"/>
      <c r="I139" s="11"/>
      <c r="J139" s="11"/>
      <c r="K139" s="11"/>
      <c r="L139" s="11"/>
      <c r="M139" s="25"/>
      <c r="N139" s="28"/>
      <c r="O139" s="25"/>
      <c r="P139" s="25"/>
      <c r="Q139" s="25"/>
      <c r="R139" s="25"/>
      <c r="S139" s="25"/>
      <c r="T139" s="25"/>
      <c r="U139" s="28"/>
      <c r="V139" s="25"/>
      <c r="W139" s="15"/>
      <c r="X139" s="51"/>
    </row>
    <row r="140" spans="1:24" ht="20.45" customHeight="1">
      <c r="A140" s="10"/>
      <c r="B140" s="11"/>
      <c r="C140" s="11"/>
      <c r="D140" s="11"/>
      <c r="E140" s="12"/>
      <c r="F140" s="11"/>
      <c r="G140" s="11"/>
      <c r="H140" s="11"/>
      <c r="I140" s="11"/>
      <c r="J140" s="11"/>
      <c r="K140" s="11"/>
      <c r="L140" s="17"/>
      <c r="M140" s="25"/>
      <c r="N140" s="28"/>
      <c r="O140" s="25"/>
      <c r="P140" s="28"/>
      <c r="Q140" s="25"/>
      <c r="R140" s="28"/>
      <c r="S140" s="25"/>
      <c r="T140" s="25"/>
      <c r="U140" s="28"/>
      <c r="V140" s="28"/>
      <c r="W140" s="27"/>
      <c r="X140" s="51"/>
    </row>
    <row r="141" spans="1:24" ht="20.45" customHeight="1">
      <c r="A141" s="10"/>
      <c r="B141" s="11"/>
      <c r="C141" s="11"/>
      <c r="D141" s="11"/>
      <c r="E141" s="12"/>
      <c r="F141" s="11"/>
      <c r="G141" s="11"/>
      <c r="H141" s="11"/>
      <c r="I141" s="11"/>
      <c r="J141" s="11"/>
      <c r="K141" s="11"/>
      <c r="L141" s="11"/>
      <c r="M141" s="11"/>
      <c r="N141" s="26"/>
      <c r="P141" s="26"/>
      <c r="Q141" s="26"/>
      <c r="R141" s="26"/>
      <c r="S141" s="14"/>
      <c r="T141" s="14"/>
      <c r="U141" s="26"/>
      <c r="V141" s="28"/>
      <c r="W141" s="27"/>
      <c r="X141" s="51"/>
    </row>
    <row r="142" spans="1:24" ht="20.100000000000001" customHeight="1">
      <c r="A142" s="10"/>
      <c r="B142" s="11"/>
      <c r="C142" s="11"/>
      <c r="D142" s="11">
        <f>B142*E142</f>
        <v>0</v>
      </c>
      <c r="E142" s="12"/>
      <c r="F142" s="11">
        <f>C142/4</f>
        <v>0</v>
      </c>
      <c r="G142" s="11">
        <f>D142/7.5</f>
        <v>0</v>
      </c>
      <c r="H142" s="11">
        <f>B142/12.5</f>
        <v>0</v>
      </c>
      <c r="I142" s="11">
        <f>G142/0.93</f>
        <v>0</v>
      </c>
      <c r="J142" s="11">
        <f>G142/0.92</f>
        <v>0</v>
      </c>
      <c r="K142" s="11">
        <f>G142/0.88</f>
        <v>0</v>
      </c>
      <c r="L142" s="17">
        <f>G142/0.84</f>
        <v>0</v>
      </c>
      <c r="M142" s="11"/>
      <c r="N142" s="26"/>
      <c r="P142" s="26"/>
      <c r="Q142" s="26"/>
      <c r="R142" s="26"/>
      <c r="S142" s="14"/>
      <c r="T142" s="14"/>
      <c r="U142" s="26"/>
      <c r="V142" s="38"/>
      <c r="W142" s="31"/>
      <c r="X142" s="51"/>
    </row>
    <row r="143" spans="1:24" ht="20.100000000000001" customHeight="1">
      <c r="A143" s="10"/>
      <c r="B143" s="11"/>
      <c r="C143" s="11"/>
      <c r="D143" s="11">
        <f>B143*E143</f>
        <v>0</v>
      </c>
      <c r="E143" s="12"/>
      <c r="F143" s="11">
        <f>C143/4</f>
        <v>0</v>
      </c>
      <c r="G143" s="11">
        <f>D143/7.5</f>
        <v>0</v>
      </c>
      <c r="H143" s="11">
        <f>B143/12.5</f>
        <v>0</v>
      </c>
      <c r="I143" s="11">
        <f>G143/0.93</f>
        <v>0</v>
      </c>
      <c r="J143" s="11">
        <f>G143/0.92</f>
        <v>0</v>
      </c>
      <c r="K143" s="11">
        <f>G143/0.88</f>
        <v>0</v>
      </c>
      <c r="L143" s="17">
        <f>G143/0.84</f>
        <v>0</v>
      </c>
      <c r="M143" s="11"/>
      <c r="N143" s="26"/>
      <c r="P143" s="26"/>
      <c r="Q143" s="26"/>
      <c r="R143" s="26"/>
      <c r="S143" s="14"/>
      <c r="T143" s="14"/>
      <c r="U143" s="26"/>
      <c r="V143" s="38"/>
      <c r="W143" s="31"/>
      <c r="X143" s="51"/>
    </row>
    <row r="144" spans="1:24" ht="20.100000000000001" customHeight="1">
      <c r="A144" s="10"/>
      <c r="B144" s="11"/>
      <c r="C144" s="11"/>
      <c r="D144" s="11">
        <f>B144*E144</f>
        <v>0</v>
      </c>
      <c r="E144" s="12"/>
      <c r="F144" s="11">
        <f>C144/4</f>
        <v>0</v>
      </c>
      <c r="G144" s="11">
        <f>D144/7.5</f>
        <v>0</v>
      </c>
      <c r="H144" s="11">
        <f>B144/12.5</f>
        <v>0</v>
      </c>
      <c r="I144" s="11">
        <f>G144/0.93</f>
        <v>0</v>
      </c>
      <c r="J144" s="11">
        <f>G144/0.92</f>
        <v>0</v>
      </c>
      <c r="K144" s="11">
        <f>G144/0.88</f>
        <v>0</v>
      </c>
      <c r="L144" s="17">
        <f>G144/0.84</f>
        <v>0</v>
      </c>
      <c r="M144" s="11"/>
      <c r="N144" s="26"/>
      <c r="P144" s="26"/>
      <c r="Q144" s="26"/>
      <c r="R144" s="26"/>
      <c r="S144" s="14"/>
      <c r="T144" s="14"/>
      <c r="U144" s="26"/>
      <c r="V144" s="38"/>
      <c r="W144" s="31"/>
      <c r="X144" s="51"/>
    </row>
  </sheetData>
  <mergeCells count="15">
    <mergeCell ref="X108:X117"/>
    <mergeCell ref="X118:X127"/>
    <mergeCell ref="X128:X137"/>
    <mergeCell ref="X138:X144"/>
    <mergeCell ref="X1:X10"/>
    <mergeCell ref="X11:X20"/>
    <mergeCell ref="X21:X30"/>
    <mergeCell ref="X31:X40"/>
    <mergeCell ref="X41:X50"/>
    <mergeCell ref="X51:X57"/>
    <mergeCell ref="X58:X67"/>
    <mergeCell ref="X68:X77"/>
    <mergeCell ref="X78:X87"/>
    <mergeCell ref="X88:X97"/>
    <mergeCell ref="X98:X107"/>
  </mergeCells>
  <pageMargins left="0.25" right="0.25" top="0.25" bottom="0.25" header="0" footer="0"/>
  <pageSetup scale="95" fitToHeight="0" orientation="landscape" r:id="rId1"/>
  <tableParts count="2">
    <tablePart r:id="rId2"/>
    <tablePart r:id="rId3"/>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6C6ED-534D-45A1-A757-1646B00D5D60}">
  <sheetPr>
    <pageSetUpPr fitToPage="1"/>
  </sheetPr>
  <dimension ref="A1:Y138"/>
  <sheetViews>
    <sheetView topLeftCell="A12" zoomScale="89" workbookViewId="0">
      <selection activeCell="W19" sqref="W19:W27"/>
    </sheetView>
  </sheetViews>
  <sheetFormatPr defaultColWidth="8.7109375" defaultRowHeight="14.45"/>
  <cols>
    <col min="1" max="1" width="19.5703125" customWidth="1"/>
    <col min="2" max="2" width="8.7109375" style="29" hidden="1" customWidth="1"/>
    <col min="3" max="3" width="10.140625" hidden="1" customWidth="1"/>
    <col min="4" max="4" width="8.7109375" style="29" hidden="1" customWidth="1"/>
    <col min="5" max="5" width="9.28515625" hidden="1" customWidth="1"/>
    <col min="6" max="6" width="8.7109375" hidden="1" customWidth="1"/>
    <col min="7" max="7" width="9.28515625" hidden="1" customWidth="1"/>
    <col min="8" max="9" width="8.7109375" hidden="1" customWidth="1"/>
    <col min="10" max="10" width="10.7109375" hidden="1" customWidth="1"/>
    <col min="11" max="11" width="11.42578125" hidden="1" customWidth="1"/>
    <col min="12" max="12" width="9.85546875" hidden="1" customWidth="1"/>
    <col min="13" max="13" width="8.7109375" customWidth="1"/>
    <col min="14" max="19" width="10.140625" customWidth="1"/>
    <col min="20" max="21" width="8.7109375" customWidth="1"/>
    <col min="22" max="22" width="3.140625" customWidth="1"/>
    <col min="23" max="23" width="20.5703125" customWidth="1"/>
    <col min="25" max="25" width="12.28515625" bestFit="1" customWidth="1"/>
  </cols>
  <sheetData>
    <row r="1" spans="1:25" ht="14.45" customHeight="1">
      <c r="A1" s="1" t="s">
        <v>368</v>
      </c>
      <c r="B1" s="2" t="s">
        <v>1</v>
      </c>
      <c r="C1" s="2" t="s">
        <v>2</v>
      </c>
      <c r="D1" s="2" t="s">
        <v>3</v>
      </c>
      <c r="E1" s="3" t="s">
        <v>4</v>
      </c>
      <c r="F1" s="2" t="s">
        <v>5</v>
      </c>
      <c r="G1" s="2" t="s">
        <v>6</v>
      </c>
      <c r="H1" s="2" t="s">
        <v>7</v>
      </c>
      <c r="I1" s="4" t="s">
        <v>8</v>
      </c>
      <c r="J1" s="2" t="s">
        <v>9</v>
      </c>
      <c r="K1" s="2" t="s">
        <v>10</v>
      </c>
      <c r="L1" s="2" t="s">
        <v>11</v>
      </c>
      <c r="M1" s="5" t="s">
        <v>206</v>
      </c>
      <c r="N1" s="6" t="s">
        <v>207</v>
      </c>
      <c r="O1" s="7" t="s">
        <v>208</v>
      </c>
      <c r="P1" s="8" t="s">
        <v>209</v>
      </c>
      <c r="Q1" s="8" t="s">
        <v>147</v>
      </c>
      <c r="R1" s="7" t="s">
        <v>148</v>
      </c>
      <c r="S1" s="8" t="s">
        <v>369</v>
      </c>
      <c r="T1" s="8" t="s">
        <v>370</v>
      </c>
      <c r="U1" s="8" t="s">
        <v>20</v>
      </c>
      <c r="V1" s="9" t="s">
        <v>22</v>
      </c>
      <c r="W1" s="59" t="s">
        <v>361</v>
      </c>
    </row>
    <row r="2" spans="1:25" ht="21" customHeight="1">
      <c r="A2" s="10" t="s">
        <v>371</v>
      </c>
      <c r="B2" s="11">
        <v>1.1805555555555555E-2</v>
      </c>
      <c r="C2" s="11">
        <v>3.472222222222222E-3</v>
      </c>
      <c r="D2" s="11">
        <f t="shared" ref="D2:D11" si="0">B2*E2</f>
        <v>6.868472222222222E-3</v>
      </c>
      <c r="E2" s="12">
        <v>0.58179999999999998</v>
      </c>
      <c r="F2" s="11">
        <f t="shared" ref="F2:F12" si="1">C2/4</f>
        <v>8.6805555555555551E-4</v>
      </c>
      <c r="G2" s="11">
        <f t="shared" ref="G2:G12" si="2">D2/7.5</f>
        <v>9.1579629629629628E-4</v>
      </c>
      <c r="H2" s="11">
        <f t="shared" ref="H2:H12" si="3">B2/12.5</f>
        <v>9.4444444444444437E-4</v>
      </c>
      <c r="I2" s="11">
        <f t="shared" ref="I2:I12" si="4">G2/0.93</f>
        <v>9.8472720031859799E-4</v>
      </c>
      <c r="J2" s="11">
        <f t="shared" ref="J2:J12" si="5">G2/0.92</f>
        <v>9.9543075684380036E-4</v>
      </c>
      <c r="K2" s="11">
        <f t="shared" ref="K2:K12" si="6">G2/0.88</f>
        <v>1.0406776094276093E-3</v>
      </c>
      <c r="L2" s="11">
        <f t="shared" ref="L2:L12" si="7">G2/0.84</f>
        <v>1.0902336860670195E-3</v>
      </c>
      <c r="M2" s="13"/>
      <c r="N2" s="11"/>
      <c r="O2" s="11"/>
      <c r="P2" s="11"/>
      <c r="Q2" s="14"/>
      <c r="R2" s="14"/>
      <c r="S2" s="11"/>
      <c r="T2" s="11"/>
      <c r="U2" s="11"/>
      <c r="V2" s="15" t="s">
        <v>26</v>
      </c>
      <c r="W2" s="53"/>
    </row>
    <row r="3" spans="1:25" ht="21" customHeight="1">
      <c r="A3" s="10" t="s">
        <v>34</v>
      </c>
      <c r="B3" s="11">
        <v>1.2152777777777778E-2</v>
      </c>
      <c r="C3" s="11">
        <v>3.472222222222222E-3</v>
      </c>
      <c r="D3" s="11">
        <f t="shared" si="0"/>
        <v>7.0704861111111107E-3</v>
      </c>
      <c r="E3" s="12">
        <v>0.58179999999999998</v>
      </c>
      <c r="F3" s="11">
        <f t="shared" si="1"/>
        <v>8.6805555555555551E-4</v>
      </c>
      <c r="G3" s="11">
        <f t="shared" si="2"/>
        <v>9.4273148148148146E-4</v>
      </c>
      <c r="H3" s="11">
        <f t="shared" si="3"/>
        <v>9.7222222222222219E-4</v>
      </c>
      <c r="I3" s="11">
        <f t="shared" si="4"/>
        <v>1.0136897650338511E-3</v>
      </c>
      <c r="J3" s="11">
        <f t="shared" si="5"/>
        <v>1.0247081320450884E-3</v>
      </c>
      <c r="K3" s="11">
        <f t="shared" si="6"/>
        <v>1.0712857744107744E-3</v>
      </c>
      <c r="L3" s="11">
        <f t="shared" si="7"/>
        <v>1.1222993827160494E-3</v>
      </c>
      <c r="M3" s="13"/>
      <c r="N3" s="11"/>
      <c r="O3" s="14"/>
      <c r="P3" s="11"/>
      <c r="Q3" s="14"/>
      <c r="R3" s="11"/>
      <c r="S3" s="11"/>
      <c r="T3" s="11"/>
      <c r="U3" s="11"/>
      <c r="V3" s="15" t="s">
        <v>26</v>
      </c>
      <c r="W3" s="53"/>
      <c r="Y3" s="16"/>
    </row>
    <row r="4" spans="1:25" ht="21" customHeight="1">
      <c r="A4" s="10" t="s">
        <v>372</v>
      </c>
      <c r="B4" s="11">
        <v>1.2268518518518519E-2</v>
      </c>
      <c r="C4" s="11">
        <v>3.7037037037037034E-3</v>
      </c>
      <c r="D4" s="11">
        <f t="shared" si="0"/>
        <v>7.1378240740740742E-3</v>
      </c>
      <c r="E4" s="12">
        <v>0.58179999999999998</v>
      </c>
      <c r="F4" s="11">
        <f t="shared" si="1"/>
        <v>9.2592592592592585E-4</v>
      </c>
      <c r="G4" s="11">
        <f t="shared" si="2"/>
        <v>9.5170987654320989E-4</v>
      </c>
      <c r="H4" s="11">
        <f t="shared" si="3"/>
        <v>9.8148148148148161E-4</v>
      </c>
      <c r="I4" s="11">
        <f t="shared" si="4"/>
        <v>1.0233439532722685E-3</v>
      </c>
      <c r="J4" s="11">
        <f t="shared" si="5"/>
        <v>1.0344672571121847E-3</v>
      </c>
      <c r="K4" s="11">
        <f t="shared" si="6"/>
        <v>1.0814884960718295E-3</v>
      </c>
      <c r="L4" s="11">
        <f t="shared" si="7"/>
        <v>1.1329879482657262E-3</v>
      </c>
      <c r="M4" s="13"/>
      <c r="N4" s="11"/>
      <c r="O4" s="14"/>
      <c r="P4" s="11"/>
      <c r="Q4" s="11"/>
      <c r="R4" s="11"/>
      <c r="S4" s="11"/>
      <c r="T4" s="14"/>
      <c r="U4" s="11"/>
      <c r="V4" s="15" t="s">
        <v>26</v>
      </c>
      <c r="W4" s="53"/>
    </row>
    <row r="5" spans="1:25" ht="21" customHeight="1">
      <c r="A5" s="10" t="s">
        <v>51</v>
      </c>
      <c r="B5" s="11">
        <v>1.2268518518518519E-2</v>
      </c>
      <c r="C5" s="11">
        <v>3.7037037037037034E-3</v>
      </c>
      <c r="D5" s="11">
        <f t="shared" si="0"/>
        <v>7.1378240740740742E-3</v>
      </c>
      <c r="E5" s="12">
        <v>0.58179999999999998</v>
      </c>
      <c r="F5" s="11">
        <f t="shared" si="1"/>
        <v>9.2592592592592585E-4</v>
      </c>
      <c r="G5" s="11">
        <f t="shared" si="2"/>
        <v>9.5170987654320989E-4</v>
      </c>
      <c r="H5" s="11">
        <f t="shared" si="3"/>
        <v>9.8148148148148161E-4</v>
      </c>
      <c r="I5" s="11">
        <f t="shared" si="4"/>
        <v>1.0233439532722685E-3</v>
      </c>
      <c r="J5" s="11">
        <f t="shared" si="5"/>
        <v>1.0344672571121847E-3</v>
      </c>
      <c r="K5" s="11">
        <f t="shared" si="6"/>
        <v>1.0814884960718295E-3</v>
      </c>
      <c r="L5" s="11">
        <f t="shared" si="7"/>
        <v>1.1329879482657262E-3</v>
      </c>
      <c r="M5" s="13"/>
      <c r="N5" s="11"/>
      <c r="O5" s="14"/>
      <c r="P5" s="11"/>
      <c r="Q5" s="11"/>
      <c r="R5" s="11"/>
      <c r="S5" s="11"/>
      <c r="T5" s="14"/>
      <c r="U5" s="11"/>
      <c r="V5" s="15" t="s">
        <v>26</v>
      </c>
      <c r="W5" s="53"/>
    </row>
    <row r="6" spans="1:25" ht="21" customHeight="1">
      <c r="A6" s="10" t="s">
        <v>27</v>
      </c>
      <c r="B6" s="11">
        <v>1.238425925925926E-2</v>
      </c>
      <c r="C6" s="11">
        <v>3.8194444444444443E-3</v>
      </c>
      <c r="D6" s="11">
        <f t="shared" si="0"/>
        <v>7.2051620370370368E-3</v>
      </c>
      <c r="E6" s="12">
        <v>0.58179999999999998</v>
      </c>
      <c r="F6" s="11">
        <f t="shared" si="1"/>
        <v>9.5486111111111108E-4</v>
      </c>
      <c r="G6" s="11">
        <f t="shared" si="2"/>
        <v>9.6068827160493821E-4</v>
      </c>
      <c r="H6" s="11">
        <f t="shared" si="3"/>
        <v>9.9074074074074082E-4</v>
      </c>
      <c r="I6" s="11">
        <f t="shared" si="4"/>
        <v>1.0329981415106862E-3</v>
      </c>
      <c r="J6" s="11">
        <f t="shared" si="5"/>
        <v>1.0442263821792807E-3</v>
      </c>
      <c r="K6" s="11">
        <f t="shared" si="6"/>
        <v>1.0916912177328843E-3</v>
      </c>
      <c r="L6" s="11">
        <f t="shared" si="7"/>
        <v>1.1436765138154027E-3</v>
      </c>
      <c r="M6" s="13"/>
      <c r="N6" s="11"/>
      <c r="O6" s="14"/>
      <c r="P6" s="11"/>
      <c r="Q6" s="11"/>
      <c r="R6" s="11"/>
      <c r="S6" s="11"/>
      <c r="T6" s="14"/>
      <c r="U6" s="11"/>
      <c r="V6" s="15" t="s">
        <v>26</v>
      </c>
      <c r="W6" s="53"/>
    </row>
    <row r="7" spans="1:25" ht="21" customHeight="1">
      <c r="A7" s="10" t="s">
        <v>29</v>
      </c>
      <c r="B7" s="11">
        <v>1.238425925925926E-2</v>
      </c>
      <c r="C7" s="11">
        <v>3.8194444444444443E-3</v>
      </c>
      <c r="D7" s="11">
        <f t="shared" si="0"/>
        <v>7.2051620370370368E-3</v>
      </c>
      <c r="E7" s="12">
        <v>0.58179999999999998</v>
      </c>
      <c r="F7" s="11">
        <f t="shared" si="1"/>
        <v>9.5486111111111108E-4</v>
      </c>
      <c r="G7" s="11">
        <f t="shared" si="2"/>
        <v>9.6068827160493821E-4</v>
      </c>
      <c r="H7" s="11">
        <f t="shared" si="3"/>
        <v>9.9074074074074082E-4</v>
      </c>
      <c r="I7" s="11">
        <f t="shared" si="4"/>
        <v>1.0329981415106862E-3</v>
      </c>
      <c r="J7" s="11">
        <f t="shared" si="5"/>
        <v>1.0442263821792807E-3</v>
      </c>
      <c r="K7" s="11">
        <f t="shared" si="6"/>
        <v>1.0916912177328843E-3</v>
      </c>
      <c r="L7" s="11">
        <f t="shared" si="7"/>
        <v>1.1436765138154027E-3</v>
      </c>
      <c r="M7" s="13"/>
      <c r="N7" s="11"/>
      <c r="O7" s="14"/>
      <c r="P7" s="11"/>
      <c r="Q7" s="11"/>
      <c r="R7" s="11"/>
      <c r="S7" s="11"/>
      <c r="T7" s="14"/>
      <c r="U7" s="11"/>
      <c r="V7" s="15" t="s">
        <v>26</v>
      </c>
      <c r="W7" s="53"/>
    </row>
    <row r="8" spans="1:25" ht="21" customHeight="1">
      <c r="A8" s="10" t="s">
        <v>373</v>
      </c>
      <c r="B8" s="11">
        <v>1.2499999999999999E-2</v>
      </c>
      <c r="C8" s="11">
        <v>3.7037037037037034E-3</v>
      </c>
      <c r="D8" s="11">
        <f t="shared" si="0"/>
        <v>7.2724999999999995E-3</v>
      </c>
      <c r="E8" s="12">
        <v>0.58179999999999998</v>
      </c>
      <c r="F8" s="11">
        <f t="shared" si="1"/>
        <v>9.2592592592592585E-4</v>
      </c>
      <c r="G8" s="11">
        <f t="shared" si="2"/>
        <v>9.6966666666666664E-4</v>
      </c>
      <c r="H8" s="11">
        <f t="shared" si="3"/>
        <v>1E-3</v>
      </c>
      <c r="I8" s="11">
        <f t="shared" si="4"/>
        <v>1.0426523297491039E-3</v>
      </c>
      <c r="J8" s="11">
        <f t="shared" si="5"/>
        <v>1.0539855072463768E-3</v>
      </c>
      <c r="K8" s="11">
        <f t="shared" si="6"/>
        <v>1.1018939393939394E-3</v>
      </c>
      <c r="L8" s="11">
        <f t="shared" si="7"/>
        <v>1.1543650793650795E-3</v>
      </c>
      <c r="M8" s="13"/>
      <c r="N8" s="11"/>
      <c r="O8" s="14"/>
      <c r="P8" s="11"/>
      <c r="Q8" s="11"/>
      <c r="R8" s="11"/>
      <c r="S8" s="11"/>
      <c r="T8" s="14"/>
      <c r="U8" s="11"/>
      <c r="V8" s="15" t="s">
        <v>26</v>
      </c>
      <c r="W8" s="53"/>
    </row>
    <row r="9" spans="1:25" ht="21" customHeight="1">
      <c r="A9" s="10" t="s">
        <v>28</v>
      </c>
      <c r="B9" s="11">
        <v>1.2499999999999999E-2</v>
      </c>
      <c r="C9" s="11">
        <v>3.9351851851851857E-3</v>
      </c>
      <c r="D9" s="11">
        <f t="shared" si="0"/>
        <v>7.2724999999999995E-3</v>
      </c>
      <c r="E9" s="12">
        <v>0.58179999999999998</v>
      </c>
      <c r="F9" s="11">
        <f t="shared" si="1"/>
        <v>9.8379629629629642E-4</v>
      </c>
      <c r="G9" s="11">
        <f t="shared" si="2"/>
        <v>9.6966666666666664E-4</v>
      </c>
      <c r="H9" s="11">
        <f t="shared" si="3"/>
        <v>1E-3</v>
      </c>
      <c r="I9" s="11">
        <f t="shared" si="4"/>
        <v>1.0426523297491039E-3</v>
      </c>
      <c r="J9" s="11">
        <f t="shared" si="5"/>
        <v>1.0539855072463768E-3</v>
      </c>
      <c r="K9" s="11">
        <f t="shared" si="6"/>
        <v>1.1018939393939394E-3</v>
      </c>
      <c r="L9" s="11">
        <f t="shared" si="7"/>
        <v>1.1543650793650795E-3</v>
      </c>
      <c r="M9" s="13"/>
      <c r="N9" s="11"/>
      <c r="O9" s="14"/>
      <c r="P9" s="11"/>
      <c r="Q9" s="11"/>
      <c r="R9" s="11"/>
      <c r="S9" s="11"/>
      <c r="T9" s="14"/>
      <c r="U9" s="11"/>
      <c r="V9" s="15" t="s">
        <v>26</v>
      </c>
      <c r="W9" s="53"/>
    </row>
    <row r="10" spans="1:25" ht="21" customHeight="1">
      <c r="A10" s="10" t="s">
        <v>374</v>
      </c>
      <c r="B10" s="11">
        <v>1.3020833333333334E-2</v>
      </c>
      <c r="C10" s="11">
        <v>3.8194444444444443E-3</v>
      </c>
      <c r="D10" s="11">
        <f t="shared" si="0"/>
        <v>7.5755208333333334E-3</v>
      </c>
      <c r="E10" s="12">
        <v>0.58179999999999998</v>
      </c>
      <c r="F10" s="11">
        <f t="shared" si="1"/>
        <v>9.5486111111111108E-4</v>
      </c>
      <c r="G10" s="11">
        <f t="shared" si="2"/>
        <v>1.0100694444444445E-3</v>
      </c>
      <c r="H10" s="11">
        <f t="shared" si="3"/>
        <v>1.0416666666666667E-3</v>
      </c>
      <c r="I10" s="11">
        <f t="shared" si="4"/>
        <v>1.0860961768219832E-3</v>
      </c>
      <c r="J10" s="11">
        <f t="shared" si="5"/>
        <v>1.0979015700483092E-3</v>
      </c>
      <c r="K10" s="11">
        <f t="shared" si="6"/>
        <v>1.1478061868686869E-3</v>
      </c>
      <c r="L10" s="11">
        <f t="shared" si="7"/>
        <v>1.2024636243386244E-3</v>
      </c>
      <c r="M10" s="13"/>
      <c r="N10" s="11"/>
      <c r="O10" s="11"/>
      <c r="P10" s="11"/>
      <c r="Q10" s="14"/>
      <c r="R10" s="11"/>
      <c r="S10" s="11"/>
      <c r="T10" s="14"/>
      <c r="U10" s="11"/>
      <c r="V10" s="15" t="s">
        <v>26</v>
      </c>
      <c r="W10" s="53" t="s">
        <v>362</v>
      </c>
    </row>
    <row r="11" spans="1:25" ht="21" customHeight="1">
      <c r="A11" s="10" t="s">
        <v>375</v>
      </c>
      <c r="B11" s="11">
        <v>1.4004629629629629E-2</v>
      </c>
      <c r="C11" s="11">
        <v>4.0509259259259257E-3</v>
      </c>
      <c r="D11" s="11">
        <f t="shared" si="0"/>
        <v>8.1478935185185179E-3</v>
      </c>
      <c r="E11" s="12">
        <v>0.58179999999999998</v>
      </c>
      <c r="F11" s="11">
        <f t="shared" si="1"/>
        <v>1.0127314814814814E-3</v>
      </c>
      <c r="G11" s="11">
        <f t="shared" si="2"/>
        <v>1.0863858024691357E-3</v>
      </c>
      <c r="H11" s="11">
        <f t="shared" si="3"/>
        <v>1.1203703703703703E-3</v>
      </c>
      <c r="I11" s="11">
        <f t="shared" si="4"/>
        <v>1.1681567768485328E-3</v>
      </c>
      <c r="J11" s="11">
        <f t="shared" si="5"/>
        <v>1.1808541331186258E-3</v>
      </c>
      <c r="K11" s="11">
        <f t="shared" si="6"/>
        <v>1.2345293209876543E-3</v>
      </c>
      <c r="L11" s="11">
        <f t="shared" si="7"/>
        <v>1.2933164315108759E-3</v>
      </c>
      <c r="M11" s="13"/>
      <c r="N11" s="11"/>
      <c r="O11" s="11"/>
      <c r="P11" s="11"/>
      <c r="Q11" s="14"/>
      <c r="R11" s="11"/>
      <c r="S11" s="14"/>
      <c r="T11" s="11"/>
      <c r="U11" s="11"/>
      <c r="V11" s="15" t="s">
        <v>26</v>
      </c>
      <c r="W11" s="53"/>
    </row>
    <row r="12" spans="1:25" ht="21" customHeight="1">
      <c r="A12" s="10" t="s">
        <v>59</v>
      </c>
      <c r="B12" s="11"/>
      <c r="C12" s="11"/>
      <c r="D12" s="11"/>
      <c r="E12" s="12"/>
      <c r="F12" s="11">
        <f t="shared" si="1"/>
        <v>0</v>
      </c>
      <c r="G12" s="11">
        <f t="shared" si="2"/>
        <v>0</v>
      </c>
      <c r="H12" s="11">
        <f t="shared" si="3"/>
        <v>0</v>
      </c>
      <c r="I12" s="11">
        <f t="shared" si="4"/>
        <v>0</v>
      </c>
      <c r="J12" s="11">
        <f t="shared" si="5"/>
        <v>0</v>
      </c>
      <c r="K12" s="11">
        <f t="shared" si="6"/>
        <v>0</v>
      </c>
      <c r="L12" s="11">
        <f t="shared" si="7"/>
        <v>0</v>
      </c>
      <c r="M12" s="13"/>
      <c r="N12" s="11"/>
      <c r="O12" s="11"/>
      <c r="P12" s="11"/>
      <c r="Q12" s="14"/>
      <c r="R12" s="11"/>
      <c r="S12" s="14"/>
      <c r="T12" s="14"/>
      <c r="U12" s="11"/>
      <c r="V12" s="15" t="s">
        <v>26</v>
      </c>
      <c r="W12" s="53"/>
    </row>
    <row r="13" spans="1:25" ht="21" customHeight="1">
      <c r="A13" s="10" t="s">
        <v>38</v>
      </c>
      <c r="B13" s="11"/>
      <c r="C13" s="11"/>
      <c r="D13" s="11"/>
      <c r="E13" s="12"/>
      <c r="F13" s="11"/>
      <c r="G13" s="11"/>
      <c r="H13" s="11"/>
      <c r="I13" s="11"/>
      <c r="J13" s="11"/>
      <c r="K13" s="11"/>
      <c r="L13" s="11"/>
      <c r="M13" s="13"/>
      <c r="N13" s="11"/>
      <c r="O13" s="11"/>
      <c r="P13" s="11"/>
      <c r="Q13" s="14"/>
      <c r="R13" s="11"/>
      <c r="S13" s="14"/>
      <c r="T13" s="14"/>
      <c r="U13" s="11"/>
      <c r="V13" s="15" t="s">
        <v>26</v>
      </c>
      <c r="W13" s="53"/>
    </row>
    <row r="14" spans="1:25" ht="21" customHeight="1">
      <c r="A14" s="10" t="s">
        <v>60</v>
      </c>
      <c r="B14" s="11"/>
      <c r="C14" s="11"/>
      <c r="D14" s="11"/>
      <c r="E14" s="12"/>
      <c r="F14" s="11">
        <f>C14/4</f>
        <v>0</v>
      </c>
      <c r="G14" s="11">
        <f>D14/7.5</f>
        <v>0</v>
      </c>
      <c r="H14" s="11">
        <f>B14/12.5</f>
        <v>0</v>
      </c>
      <c r="I14" s="11">
        <f>G14/0.93</f>
        <v>0</v>
      </c>
      <c r="J14" s="11">
        <f>G14/0.92</f>
        <v>0</v>
      </c>
      <c r="K14" s="11">
        <f>G14/0.88</f>
        <v>0</v>
      </c>
      <c r="L14" s="11">
        <f>G14/0.84</f>
        <v>0</v>
      </c>
      <c r="M14" s="13"/>
      <c r="N14" s="11"/>
      <c r="O14" s="11"/>
      <c r="P14" s="11"/>
      <c r="Q14" s="14"/>
      <c r="R14" s="11"/>
      <c r="S14" s="14"/>
      <c r="T14" s="14"/>
      <c r="U14" s="11"/>
      <c r="V14" s="15" t="s">
        <v>26</v>
      </c>
      <c r="W14" s="53"/>
    </row>
    <row r="15" spans="1:25" ht="21" customHeight="1">
      <c r="A15" s="10" t="s">
        <v>376</v>
      </c>
      <c r="B15" s="11"/>
      <c r="C15" s="11"/>
      <c r="D15" s="11"/>
      <c r="E15" s="12"/>
      <c r="F15" s="11"/>
      <c r="G15" s="11"/>
      <c r="H15" s="11"/>
      <c r="I15" s="11"/>
      <c r="J15" s="11"/>
      <c r="K15" s="11"/>
      <c r="L15" s="11"/>
      <c r="M15" s="13"/>
      <c r="N15" s="11"/>
      <c r="O15" s="14"/>
      <c r="P15" s="11"/>
      <c r="Q15" s="14"/>
      <c r="R15" s="11"/>
      <c r="S15" s="14"/>
      <c r="T15" s="11"/>
      <c r="U15" s="11"/>
      <c r="V15" s="15" t="s">
        <v>26</v>
      </c>
      <c r="W15" s="53"/>
    </row>
    <row r="16" spans="1:25" ht="21" customHeight="1">
      <c r="A16" s="10"/>
      <c r="B16" s="11"/>
      <c r="C16" s="11"/>
      <c r="D16" s="11">
        <f t="shared" ref="D16:D22" si="8">B16*E16</f>
        <v>0</v>
      </c>
      <c r="E16" s="12"/>
      <c r="F16" s="11">
        <f t="shared" ref="F16:F22" si="9">C16/4</f>
        <v>0</v>
      </c>
      <c r="G16" s="11">
        <f t="shared" ref="G16:G22" si="10">D16/7.5</f>
        <v>0</v>
      </c>
      <c r="H16" s="11">
        <f t="shared" ref="H16:H22" si="11">B16/12.5</f>
        <v>0</v>
      </c>
      <c r="I16" s="11">
        <f t="shared" ref="I16:I22" si="12">G16/0.93</f>
        <v>0</v>
      </c>
      <c r="J16" s="11">
        <f t="shared" ref="J16:J22" si="13">G16/0.92</f>
        <v>0</v>
      </c>
      <c r="K16" s="11">
        <f t="shared" ref="K16:K22" si="14">G16/0.88</f>
        <v>0</v>
      </c>
      <c r="L16" s="11">
        <f t="shared" ref="L16:L22" si="15">G16/0.84</f>
        <v>0</v>
      </c>
      <c r="M16" s="13"/>
      <c r="N16" s="11"/>
      <c r="O16" s="14"/>
      <c r="P16" s="11"/>
      <c r="Q16" s="14"/>
      <c r="R16" s="11"/>
      <c r="S16" s="14"/>
      <c r="T16" s="14"/>
      <c r="U16" s="17"/>
      <c r="V16" s="18"/>
      <c r="W16" s="53"/>
    </row>
    <row r="17" spans="1:23" ht="21" customHeight="1">
      <c r="A17" s="19"/>
      <c r="B17" s="6"/>
      <c r="C17" s="6"/>
      <c r="D17" s="6">
        <f t="shared" si="8"/>
        <v>0</v>
      </c>
      <c r="E17" s="20"/>
      <c r="F17" s="6">
        <f t="shared" si="9"/>
        <v>0</v>
      </c>
      <c r="G17" s="6">
        <f t="shared" si="10"/>
        <v>0</v>
      </c>
      <c r="H17" s="6">
        <f t="shared" si="11"/>
        <v>0</v>
      </c>
      <c r="I17" s="6">
        <f t="shared" si="12"/>
        <v>0</v>
      </c>
      <c r="J17" s="6">
        <f t="shared" si="13"/>
        <v>0</v>
      </c>
      <c r="K17" s="6">
        <f t="shared" si="14"/>
        <v>0</v>
      </c>
      <c r="L17" s="21">
        <f t="shared" si="15"/>
        <v>0</v>
      </c>
      <c r="M17" s="6"/>
      <c r="N17" s="6"/>
      <c r="O17" s="6"/>
      <c r="P17" s="6"/>
      <c r="Q17" s="22"/>
      <c r="R17" s="6"/>
      <c r="S17" s="6"/>
      <c r="T17" s="6"/>
      <c r="U17" s="21"/>
      <c r="V17" s="23"/>
      <c r="W17" s="53"/>
    </row>
    <row r="18" spans="1:23" ht="21" customHeight="1">
      <c r="A18" s="10" t="s">
        <v>64</v>
      </c>
      <c r="B18" s="11">
        <v>1.238425925925926E-2</v>
      </c>
      <c r="C18" s="11">
        <v>3.5300925925925925E-3</v>
      </c>
      <c r="D18" s="11">
        <f t="shared" si="8"/>
        <v>7.2051620370370368E-3</v>
      </c>
      <c r="E18" s="12">
        <v>0.58179999999999998</v>
      </c>
      <c r="F18" s="11">
        <f t="shared" si="9"/>
        <v>8.8252314814814812E-4</v>
      </c>
      <c r="G18" s="11">
        <f t="shared" si="10"/>
        <v>9.6068827160493821E-4</v>
      </c>
      <c r="H18" s="11">
        <f t="shared" si="11"/>
        <v>9.9074074074074082E-4</v>
      </c>
      <c r="I18" s="11">
        <f t="shared" si="12"/>
        <v>1.0329981415106862E-3</v>
      </c>
      <c r="J18" s="11">
        <f t="shared" si="13"/>
        <v>1.0442263821792807E-3</v>
      </c>
      <c r="K18" s="11">
        <f t="shared" si="14"/>
        <v>1.0916912177328843E-3</v>
      </c>
      <c r="L18" s="11">
        <f t="shared" si="15"/>
        <v>1.1436765138154027E-3</v>
      </c>
      <c r="M18" s="13"/>
      <c r="N18" s="11"/>
      <c r="O18" s="14"/>
      <c r="P18" s="11"/>
      <c r="Q18" s="14"/>
      <c r="R18" s="11"/>
      <c r="S18" s="11"/>
      <c r="T18" s="11"/>
      <c r="U18" s="11"/>
      <c r="V18" s="15" t="s">
        <v>35</v>
      </c>
      <c r="W18" s="53"/>
    </row>
    <row r="19" spans="1:23" ht="21" customHeight="1">
      <c r="A19" s="10" t="s">
        <v>67</v>
      </c>
      <c r="B19" s="11">
        <v>1.3020833333333334E-2</v>
      </c>
      <c r="C19" s="11">
        <v>3.8194444444444443E-3</v>
      </c>
      <c r="D19" s="11">
        <f t="shared" si="8"/>
        <v>7.5755208333333334E-3</v>
      </c>
      <c r="E19" s="12">
        <v>0.58179999999999998</v>
      </c>
      <c r="F19" s="11">
        <f t="shared" si="9"/>
        <v>9.5486111111111108E-4</v>
      </c>
      <c r="G19" s="11">
        <f t="shared" si="10"/>
        <v>1.0100694444444445E-3</v>
      </c>
      <c r="H19" s="11">
        <f t="shared" si="11"/>
        <v>1.0416666666666667E-3</v>
      </c>
      <c r="I19" s="11">
        <f t="shared" si="12"/>
        <v>1.0860961768219832E-3</v>
      </c>
      <c r="J19" s="11">
        <f t="shared" si="13"/>
        <v>1.0979015700483092E-3</v>
      </c>
      <c r="K19" s="11">
        <f t="shared" si="14"/>
        <v>1.1478061868686869E-3</v>
      </c>
      <c r="L19" s="11">
        <f t="shared" si="15"/>
        <v>1.2024636243386244E-3</v>
      </c>
      <c r="M19" s="13"/>
      <c r="N19" s="11"/>
      <c r="O19" s="11"/>
      <c r="P19" s="11"/>
      <c r="Q19" s="14"/>
      <c r="R19" s="11"/>
      <c r="S19" s="11"/>
      <c r="T19" s="14"/>
      <c r="U19" s="11"/>
      <c r="V19" s="15" t="s">
        <v>35</v>
      </c>
      <c r="W19" s="53" t="s">
        <v>377</v>
      </c>
    </row>
    <row r="20" spans="1:23" ht="21" customHeight="1">
      <c r="A20" s="10" t="s">
        <v>378</v>
      </c>
      <c r="B20" s="11">
        <v>1.3541666666666667E-2</v>
      </c>
      <c r="C20" s="11">
        <v>4.0509259259259257E-3</v>
      </c>
      <c r="D20" s="11">
        <f t="shared" si="8"/>
        <v>7.8785416666666674E-3</v>
      </c>
      <c r="E20" s="12">
        <v>0.58179999999999998</v>
      </c>
      <c r="F20" s="11">
        <f t="shared" si="9"/>
        <v>1.0127314814814814E-3</v>
      </c>
      <c r="G20" s="11">
        <f t="shared" si="10"/>
        <v>1.0504722222222224E-3</v>
      </c>
      <c r="H20" s="11">
        <f t="shared" si="11"/>
        <v>1.0833333333333333E-3</v>
      </c>
      <c r="I20" s="11">
        <f t="shared" si="12"/>
        <v>1.1295400238948627E-3</v>
      </c>
      <c r="J20" s="11">
        <f t="shared" si="13"/>
        <v>1.1418176328502417E-3</v>
      </c>
      <c r="K20" s="11">
        <f t="shared" si="14"/>
        <v>1.1937184343434346E-3</v>
      </c>
      <c r="L20" s="11">
        <f t="shared" si="15"/>
        <v>1.2505621693121695E-3</v>
      </c>
      <c r="M20" s="13"/>
      <c r="N20" s="11"/>
      <c r="O20" s="11"/>
      <c r="P20" s="11"/>
      <c r="Q20" s="14"/>
      <c r="R20" s="11"/>
      <c r="S20" s="14"/>
      <c r="T20" s="11"/>
      <c r="U20" s="11"/>
      <c r="V20" s="15" t="s">
        <v>35</v>
      </c>
      <c r="W20" s="53"/>
    </row>
    <row r="21" spans="1:23" ht="21" customHeight="1">
      <c r="A21" s="10" t="s">
        <v>73</v>
      </c>
      <c r="B21" s="11">
        <v>1.4236111111111111E-2</v>
      </c>
      <c r="C21" s="11">
        <v>4.1666666666666666E-3</v>
      </c>
      <c r="D21" s="11">
        <f t="shared" si="8"/>
        <v>8.2825694444444448E-3</v>
      </c>
      <c r="E21" s="12">
        <v>0.58179999999999998</v>
      </c>
      <c r="F21" s="11">
        <f t="shared" si="9"/>
        <v>1.0416666666666667E-3</v>
      </c>
      <c r="G21" s="11">
        <f t="shared" si="10"/>
        <v>1.1043425925925927E-3</v>
      </c>
      <c r="H21" s="11">
        <f t="shared" si="11"/>
        <v>1.1388888888888889E-3</v>
      </c>
      <c r="I21" s="11">
        <f t="shared" si="12"/>
        <v>1.1874651533253684E-3</v>
      </c>
      <c r="J21" s="11">
        <f t="shared" si="13"/>
        <v>1.2003723832528181E-3</v>
      </c>
      <c r="K21" s="11">
        <f t="shared" si="14"/>
        <v>1.2549347643097644E-3</v>
      </c>
      <c r="L21" s="11">
        <f t="shared" si="15"/>
        <v>1.3146935626102295E-3</v>
      </c>
      <c r="M21" s="13"/>
      <c r="N21" s="11"/>
      <c r="O21" s="11"/>
      <c r="P21" s="11"/>
      <c r="Q21" s="14"/>
      <c r="R21" s="11"/>
      <c r="S21" s="14"/>
      <c r="T21" s="14"/>
      <c r="U21" s="11"/>
      <c r="V21" s="15" t="s">
        <v>35</v>
      </c>
      <c r="W21" s="53"/>
    </row>
    <row r="22" spans="1:23" ht="21" customHeight="1">
      <c r="A22" s="10" t="s">
        <v>70</v>
      </c>
      <c r="B22" s="11">
        <v>1.4236111111111111E-2</v>
      </c>
      <c r="C22" s="11">
        <v>4.0509259259259257E-3</v>
      </c>
      <c r="D22" s="11">
        <f t="shared" si="8"/>
        <v>8.2825694444444448E-3</v>
      </c>
      <c r="E22" s="12">
        <v>0.58179999999999998</v>
      </c>
      <c r="F22" s="11">
        <f t="shared" si="9"/>
        <v>1.0127314814814814E-3</v>
      </c>
      <c r="G22" s="11">
        <f t="shared" si="10"/>
        <v>1.1043425925925927E-3</v>
      </c>
      <c r="H22" s="11">
        <f t="shared" si="11"/>
        <v>1.1388888888888889E-3</v>
      </c>
      <c r="I22" s="11">
        <f t="shared" si="12"/>
        <v>1.1874651533253684E-3</v>
      </c>
      <c r="J22" s="11">
        <f t="shared" si="13"/>
        <v>1.2003723832528181E-3</v>
      </c>
      <c r="K22" s="11">
        <f t="shared" si="14"/>
        <v>1.2549347643097644E-3</v>
      </c>
      <c r="L22" s="11">
        <f t="shared" si="15"/>
        <v>1.3146935626102295E-3</v>
      </c>
      <c r="M22" s="13"/>
      <c r="N22" s="11"/>
      <c r="O22" s="11"/>
      <c r="P22" s="11"/>
      <c r="Q22" s="14"/>
      <c r="R22" s="11"/>
      <c r="S22" s="14"/>
      <c r="T22" s="11"/>
      <c r="U22" s="11"/>
      <c r="V22" s="15" t="s">
        <v>35</v>
      </c>
      <c r="W22" s="53"/>
    </row>
    <row r="23" spans="1:23" ht="21" customHeight="1">
      <c r="A23" s="10" t="s">
        <v>65</v>
      </c>
      <c r="B23" s="11"/>
      <c r="C23" s="11"/>
      <c r="D23" s="11"/>
      <c r="E23" s="12"/>
      <c r="F23" s="11"/>
      <c r="G23" s="11"/>
      <c r="H23" s="11"/>
      <c r="I23" s="11"/>
      <c r="J23" s="11"/>
      <c r="K23" s="11"/>
      <c r="L23" s="11"/>
      <c r="M23" s="13"/>
      <c r="N23" s="11"/>
      <c r="O23" s="11"/>
      <c r="P23" s="11"/>
      <c r="Q23" s="14"/>
      <c r="R23" s="11"/>
      <c r="S23" s="14"/>
      <c r="T23" s="14"/>
      <c r="U23" s="11"/>
      <c r="V23" s="15" t="s">
        <v>35</v>
      </c>
      <c r="W23" s="53"/>
    </row>
    <row r="24" spans="1:23" ht="21" customHeight="1">
      <c r="A24" s="10" t="s">
        <v>71</v>
      </c>
      <c r="B24" s="11"/>
      <c r="C24" s="11"/>
      <c r="D24" s="11"/>
      <c r="E24" s="12"/>
      <c r="F24" s="11">
        <f>C24/4</f>
        <v>0</v>
      </c>
      <c r="G24" s="11">
        <f>D24/7.5</f>
        <v>0</v>
      </c>
      <c r="H24" s="11">
        <f>B24/12.5</f>
        <v>0</v>
      </c>
      <c r="I24" s="11">
        <f>G24/0.93</f>
        <v>0</v>
      </c>
      <c r="J24" s="11">
        <f>G24/0.92</f>
        <v>0</v>
      </c>
      <c r="K24" s="11">
        <f>G24/0.88</f>
        <v>0</v>
      </c>
      <c r="L24" s="11">
        <f>G24/0.84</f>
        <v>0</v>
      </c>
      <c r="M24" s="13"/>
      <c r="N24" s="11"/>
      <c r="O24" s="11"/>
      <c r="P24" s="11"/>
      <c r="Q24" s="14"/>
      <c r="R24" s="11"/>
      <c r="S24" s="14"/>
      <c r="T24" s="14"/>
      <c r="U24" s="11"/>
      <c r="V24" s="15" t="s">
        <v>35</v>
      </c>
      <c r="W24" s="53"/>
    </row>
    <row r="25" spans="1:23" ht="21" customHeight="1">
      <c r="A25" s="10" t="s">
        <v>24</v>
      </c>
      <c r="B25" s="11"/>
      <c r="C25" s="11"/>
      <c r="D25" s="11"/>
      <c r="E25" s="12"/>
      <c r="F25" s="11"/>
      <c r="G25" s="11"/>
      <c r="H25" s="11"/>
      <c r="I25" s="11"/>
      <c r="J25" s="11"/>
      <c r="K25" s="11"/>
      <c r="L25" s="11"/>
      <c r="M25" s="13"/>
      <c r="N25" s="11"/>
      <c r="O25" s="11"/>
      <c r="P25" s="11"/>
      <c r="Q25" s="14"/>
      <c r="R25" s="11"/>
      <c r="S25" s="14"/>
      <c r="T25" s="14"/>
      <c r="U25" s="11"/>
      <c r="V25" s="15" t="s">
        <v>35</v>
      </c>
      <c r="W25" s="53"/>
    </row>
    <row r="26" spans="1:23" ht="21" customHeight="1">
      <c r="A26" s="10" t="s">
        <v>74</v>
      </c>
      <c r="B26" s="11"/>
      <c r="C26" s="11"/>
      <c r="D26" s="11"/>
      <c r="E26" s="12"/>
      <c r="F26" s="11"/>
      <c r="G26" s="11"/>
      <c r="H26" s="11"/>
      <c r="I26" s="11"/>
      <c r="J26" s="11"/>
      <c r="K26" s="11"/>
      <c r="L26" s="11"/>
      <c r="M26" s="13"/>
      <c r="N26" s="11"/>
      <c r="O26" s="11"/>
      <c r="P26" s="11"/>
      <c r="Q26" s="11"/>
      <c r="R26" s="11"/>
      <c r="S26" s="14"/>
      <c r="T26" s="14"/>
      <c r="U26" s="11"/>
      <c r="V26" s="15" t="s">
        <v>35</v>
      </c>
      <c r="W26" s="53"/>
    </row>
    <row r="27" spans="1:23" ht="21" customHeight="1" thickBot="1">
      <c r="A27" s="10" t="s">
        <v>58</v>
      </c>
      <c r="B27" s="11"/>
      <c r="C27" s="11"/>
      <c r="D27" s="11"/>
      <c r="E27" s="12"/>
      <c r="F27" s="11">
        <f t="shared" ref="F27:F34" si="16">C27/4</f>
        <v>0</v>
      </c>
      <c r="G27" s="11">
        <f t="shared" ref="G27:G34" si="17">D27/7.5</f>
        <v>0</v>
      </c>
      <c r="H27" s="11">
        <f t="shared" ref="H27:H34" si="18">B27/12.5</f>
        <v>0</v>
      </c>
      <c r="I27" s="11">
        <f t="shared" ref="I27:I34" si="19">G27/0.93</f>
        <v>0</v>
      </c>
      <c r="J27" s="11">
        <f t="shared" ref="J27:J34" si="20">G27/0.92</f>
        <v>0</v>
      </c>
      <c r="K27" s="11">
        <f t="shared" ref="K27:K34" si="21">G27/0.88</f>
        <v>0</v>
      </c>
      <c r="L27" s="11">
        <f t="shared" ref="L27:L34" si="22">G27/0.84</f>
        <v>0</v>
      </c>
      <c r="M27" s="13"/>
      <c r="N27" s="11"/>
      <c r="O27" s="14"/>
      <c r="P27" s="11"/>
      <c r="Q27" s="14"/>
      <c r="R27" s="11"/>
      <c r="S27" s="14"/>
      <c r="T27" s="11"/>
      <c r="U27" s="11"/>
      <c r="V27" s="15" t="s">
        <v>35</v>
      </c>
      <c r="W27" s="58"/>
    </row>
    <row r="28" spans="1:23" ht="21" customHeight="1">
      <c r="A28" s="19" t="s">
        <v>368</v>
      </c>
      <c r="B28" s="6"/>
      <c r="C28" s="6"/>
      <c r="D28" s="6"/>
      <c r="E28" s="20"/>
      <c r="F28" s="6">
        <f t="shared" si="16"/>
        <v>0</v>
      </c>
      <c r="G28" s="6">
        <f t="shared" si="17"/>
        <v>0</v>
      </c>
      <c r="H28" s="6">
        <f t="shared" si="18"/>
        <v>0</v>
      </c>
      <c r="I28" s="6">
        <f t="shared" si="19"/>
        <v>0</v>
      </c>
      <c r="J28" s="6">
        <f t="shared" si="20"/>
        <v>0</v>
      </c>
      <c r="K28" s="6">
        <f t="shared" si="21"/>
        <v>0</v>
      </c>
      <c r="L28" s="21">
        <f t="shared" si="22"/>
        <v>0</v>
      </c>
      <c r="M28" s="6"/>
      <c r="N28" s="6"/>
      <c r="O28" s="6"/>
      <c r="P28" s="6"/>
      <c r="Q28" s="22"/>
      <c r="R28" s="6"/>
      <c r="S28" s="6"/>
      <c r="T28" s="6"/>
      <c r="U28" s="21"/>
      <c r="V28" s="23"/>
      <c r="W28" s="53" t="s">
        <v>379</v>
      </c>
    </row>
    <row r="29" spans="1:23" ht="21" customHeight="1">
      <c r="A29" s="10" t="s">
        <v>30</v>
      </c>
      <c r="B29" s="11"/>
      <c r="C29" s="11"/>
      <c r="D29" s="11"/>
      <c r="E29" s="12"/>
      <c r="F29" s="11">
        <f t="shared" si="16"/>
        <v>0</v>
      </c>
      <c r="G29" s="11">
        <f t="shared" si="17"/>
        <v>0</v>
      </c>
      <c r="H29" s="11">
        <f t="shared" si="18"/>
        <v>0</v>
      </c>
      <c r="I29" s="11">
        <f t="shared" si="19"/>
        <v>0</v>
      </c>
      <c r="J29" s="11">
        <f t="shared" si="20"/>
        <v>0</v>
      </c>
      <c r="K29" s="11">
        <f t="shared" si="21"/>
        <v>0</v>
      </c>
      <c r="L29" s="11">
        <f t="shared" si="22"/>
        <v>0</v>
      </c>
      <c r="M29" s="13"/>
      <c r="N29" s="11"/>
      <c r="O29" s="14"/>
      <c r="P29" s="11"/>
      <c r="Q29" s="14"/>
      <c r="R29" s="11"/>
      <c r="S29" s="14"/>
      <c r="T29" s="11"/>
      <c r="U29" s="11"/>
      <c r="V29" s="15" t="s">
        <v>35</v>
      </c>
      <c r="W29" s="53"/>
    </row>
    <row r="30" spans="1:23" ht="21" customHeight="1">
      <c r="A30" s="10" t="s">
        <v>72</v>
      </c>
      <c r="B30" s="11"/>
      <c r="C30" s="11"/>
      <c r="D30" s="11"/>
      <c r="E30" s="12"/>
      <c r="F30" s="11">
        <f t="shared" si="16"/>
        <v>0</v>
      </c>
      <c r="G30" s="11">
        <f t="shared" si="17"/>
        <v>0</v>
      </c>
      <c r="H30" s="11">
        <f t="shared" si="18"/>
        <v>0</v>
      </c>
      <c r="I30" s="11">
        <f t="shared" si="19"/>
        <v>0</v>
      </c>
      <c r="J30" s="11">
        <f t="shared" si="20"/>
        <v>0</v>
      </c>
      <c r="K30" s="11">
        <f t="shared" si="21"/>
        <v>0</v>
      </c>
      <c r="L30" s="11">
        <f t="shared" si="22"/>
        <v>0</v>
      </c>
      <c r="M30" s="13"/>
      <c r="N30" s="11"/>
      <c r="O30" s="14"/>
      <c r="P30" s="11"/>
      <c r="Q30" s="14"/>
      <c r="R30" s="11"/>
      <c r="S30" s="14"/>
      <c r="T30" s="11"/>
      <c r="U30" s="11"/>
      <c r="V30" s="15" t="s">
        <v>35</v>
      </c>
      <c r="W30" s="53"/>
    </row>
    <row r="31" spans="1:23" ht="21" customHeight="1">
      <c r="A31" s="10"/>
      <c r="B31" s="11"/>
      <c r="C31" s="11"/>
      <c r="D31" s="11">
        <f>B31*E31</f>
        <v>0</v>
      </c>
      <c r="E31" s="12"/>
      <c r="F31" s="11">
        <f t="shared" si="16"/>
        <v>0</v>
      </c>
      <c r="G31" s="11">
        <f t="shared" si="17"/>
        <v>0</v>
      </c>
      <c r="H31" s="11">
        <f t="shared" si="18"/>
        <v>0</v>
      </c>
      <c r="I31" s="11">
        <f t="shared" si="19"/>
        <v>0</v>
      </c>
      <c r="J31" s="11">
        <f t="shared" si="20"/>
        <v>0</v>
      </c>
      <c r="K31" s="11">
        <f t="shared" si="21"/>
        <v>0</v>
      </c>
      <c r="L31" s="11">
        <f t="shared" si="22"/>
        <v>0</v>
      </c>
      <c r="M31" s="13"/>
      <c r="N31" s="11"/>
      <c r="O31" s="14"/>
      <c r="P31" s="11"/>
      <c r="Q31" s="14"/>
      <c r="R31" s="11"/>
      <c r="S31" s="14"/>
      <c r="T31" s="14"/>
      <c r="U31" s="17"/>
      <c r="V31" s="18"/>
      <c r="W31" s="53"/>
    </row>
    <row r="32" spans="1:23" ht="21" customHeight="1">
      <c r="A32" s="19"/>
      <c r="B32" s="6"/>
      <c r="C32" s="6"/>
      <c r="D32" s="6">
        <f>B32*E32</f>
        <v>0</v>
      </c>
      <c r="E32" s="20"/>
      <c r="F32" s="6">
        <f t="shared" si="16"/>
        <v>0</v>
      </c>
      <c r="G32" s="6">
        <f t="shared" si="17"/>
        <v>0</v>
      </c>
      <c r="H32" s="6">
        <f t="shared" si="18"/>
        <v>0</v>
      </c>
      <c r="I32" s="6">
        <f t="shared" si="19"/>
        <v>0</v>
      </c>
      <c r="J32" s="6">
        <f t="shared" si="20"/>
        <v>0</v>
      </c>
      <c r="K32" s="6">
        <f t="shared" si="21"/>
        <v>0</v>
      </c>
      <c r="L32" s="21">
        <f t="shared" si="22"/>
        <v>0</v>
      </c>
      <c r="M32" s="6"/>
      <c r="N32" s="6"/>
      <c r="O32" s="6"/>
      <c r="P32" s="6"/>
      <c r="Q32" s="22"/>
      <c r="R32" s="6"/>
      <c r="S32" s="6"/>
      <c r="T32" s="6"/>
      <c r="U32" s="21"/>
      <c r="V32" s="23"/>
      <c r="W32" s="53"/>
    </row>
    <row r="33" spans="1:23" ht="21" customHeight="1">
      <c r="A33" s="10" t="s">
        <v>50</v>
      </c>
      <c r="B33" s="11">
        <v>1.3541666666666667E-2</v>
      </c>
      <c r="C33" s="11">
        <v>3.9351851851851857E-3</v>
      </c>
      <c r="D33" s="11">
        <f>B33*E33</f>
        <v>7.8785416666666674E-3</v>
      </c>
      <c r="E33" s="12">
        <v>0.58179999999999998</v>
      </c>
      <c r="F33" s="11">
        <f t="shared" si="16"/>
        <v>9.8379629629629642E-4</v>
      </c>
      <c r="G33" s="11">
        <f t="shared" si="17"/>
        <v>1.0504722222222224E-3</v>
      </c>
      <c r="H33" s="11">
        <f t="shared" si="18"/>
        <v>1.0833333333333333E-3</v>
      </c>
      <c r="I33" s="11">
        <f t="shared" si="19"/>
        <v>1.1295400238948627E-3</v>
      </c>
      <c r="J33" s="11">
        <f t="shared" si="20"/>
        <v>1.1418176328502417E-3</v>
      </c>
      <c r="K33" s="11">
        <f t="shared" si="21"/>
        <v>1.1937184343434346E-3</v>
      </c>
      <c r="L33" s="11">
        <f t="shared" si="22"/>
        <v>1.2505621693121695E-3</v>
      </c>
      <c r="M33" s="13"/>
      <c r="N33" s="11"/>
      <c r="O33" s="14"/>
      <c r="P33" s="11"/>
      <c r="Q33" s="14"/>
      <c r="R33" s="11"/>
      <c r="S33" s="14"/>
      <c r="T33" s="11"/>
      <c r="U33" s="11"/>
      <c r="V33" s="15" t="s">
        <v>48</v>
      </c>
      <c r="W33" s="53"/>
    </row>
    <row r="34" spans="1:23" ht="21" customHeight="1">
      <c r="A34" s="10" t="s">
        <v>380</v>
      </c>
      <c r="B34" s="11"/>
      <c r="C34" s="11"/>
      <c r="D34" s="11"/>
      <c r="E34" s="12"/>
      <c r="F34" s="11">
        <f t="shared" si="16"/>
        <v>0</v>
      </c>
      <c r="G34" s="11">
        <f t="shared" si="17"/>
        <v>0</v>
      </c>
      <c r="H34" s="11">
        <f t="shared" si="18"/>
        <v>0</v>
      </c>
      <c r="I34" s="11">
        <f t="shared" si="19"/>
        <v>0</v>
      </c>
      <c r="J34" s="11">
        <f t="shared" si="20"/>
        <v>0</v>
      </c>
      <c r="K34" s="11">
        <f t="shared" si="21"/>
        <v>0</v>
      </c>
      <c r="L34" s="11">
        <f t="shared" si="22"/>
        <v>0</v>
      </c>
      <c r="M34" s="13"/>
      <c r="N34" s="11"/>
      <c r="O34" s="14"/>
      <c r="P34" s="11"/>
      <c r="Q34" s="14"/>
      <c r="R34" s="11"/>
      <c r="S34" s="14"/>
      <c r="T34" s="11"/>
      <c r="U34" s="11"/>
      <c r="V34" s="15" t="s">
        <v>48</v>
      </c>
      <c r="W34" s="53"/>
    </row>
    <row r="35" spans="1:23" ht="21" customHeight="1">
      <c r="A35" s="10" t="s">
        <v>198</v>
      </c>
      <c r="B35" s="11"/>
      <c r="C35" s="11"/>
      <c r="D35" s="11"/>
      <c r="E35" s="12"/>
      <c r="F35" s="11"/>
      <c r="G35" s="11"/>
      <c r="H35" s="11"/>
      <c r="I35" s="11"/>
      <c r="J35" s="11"/>
      <c r="K35" s="11"/>
      <c r="L35" s="11"/>
      <c r="M35" s="13"/>
      <c r="N35" s="11"/>
      <c r="O35" s="11"/>
      <c r="P35" s="11"/>
      <c r="Q35" s="14"/>
      <c r="R35" s="11"/>
      <c r="S35" s="14"/>
      <c r="T35" s="14"/>
      <c r="U35" s="11"/>
      <c r="V35" s="15" t="s">
        <v>48</v>
      </c>
      <c r="W35" s="53"/>
    </row>
    <row r="36" spans="1:23" ht="21" customHeight="1">
      <c r="A36" s="10" t="s">
        <v>381</v>
      </c>
      <c r="B36" s="11"/>
      <c r="C36" s="11"/>
      <c r="D36" s="11"/>
      <c r="E36" s="12"/>
      <c r="F36" s="11">
        <f>C36/4</f>
        <v>0</v>
      </c>
      <c r="G36" s="11">
        <f>D36/7.5</f>
        <v>0</v>
      </c>
      <c r="H36" s="11">
        <f>B36/12.5</f>
        <v>0</v>
      </c>
      <c r="I36" s="11">
        <f>G36/0.93</f>
        <v>0</v>
      </c>
      <c r="J36" s="11">
        <f>G36/0.92</f>
        <v>0</v>
      </c>
      <c r="K36" s="11">
        <f>G36/0.88</f>
        <v>0</v>
      </c>
      <c r="L36" s="11">
        <f>G36/0.84</f>
        <v>0</v>
      </c>
      <c r="M36" s="13"/>
      <c r="N36" s="11"/>
      <c r="O36" s="11"/>
      <c r="P36" s="11"/>
      <c r="Q36" s="14"/>
      <c r="R36" s="11"/>
      <c r="S36" s="14"/>
      <c r="T36" s="14"/>
      <c r="U36" s="11"/>
      <c r="V36" s="15" t="s">
        <v>48</v>
      </c>
      <c r="W36" s="53"/>
    </row>
    <row r="37" spans="1:23" ht="21" customHeight="1">
      <c r="A37" s="10" t="s">
        <v>61</v>
      </c>
      <c r="B37" s="11"/>
      <c r="C37" s="11"/>
      <c r="D37" s="11"/>
      <c r="E37" s="12"/>
      <c r="F37" s="11">
        <f>C37/4</f>
        <v>0</v>
      </c>
      <c r="G37" s="11">
        <f>D37/7.5</f>
        <v>0</v>
      </c>
      <c r="H37" s="11">
        <f>B37/12.5</f>
        <v>0</v>
      </c>
      <c r="I37" s="11">
        <f>G37/0.93</f>
        <v>0</v>
      </c>
      <c r="J37" s="11">
        <f>G37/0.92</f>
        <v>0</v>
      </c>
      <c r="K37" s="11">
        <f>G37/0.88</f>
        <v>0</v>
      </c>
      <c r="L37" s="11">
        <f>G37/0.84</f>
        <v>0</v>
      </c>
      <c r="M37" s="13"/>
      <c r="N37" s="11"/>
      <c r="O37" s="11"/>
      <c r="P37" s="11"/>
      <c r="Q37" s="14"/>
      <c r="R37" s="11"/>
      <c r="S37" s="14"/>
      <c r="T37" s="11"/>
      <c r="U37" s="11"/>
      <c r="V37" s="15" t="s">
        <v>48</v>
      </c>
      <c r="W37" s="53"/>
    </row>
    <row r="38" spans="1:23" ht="21" customHeight="1">
      <c r="A38" s="10" t="s">
        <v>47</v>
      </c>
      <c r="B38" s="11"/>
      <c r="C38" s="11"/>
      <c r="D38" s="11"/>
      <c r="E38" s="12"/>
      <c r="F38" s="11"/>
      <c r="G38" s="11"/>
      <c r="H38" s="11"/>
      <c r="I38" s="11"/>
      <c r="J38" s="11"/>
      <c r="K38" s="11"/>
      <c r="L38" s="11"/>
      <c r="M38" s="13"/>
      <c r="N38" s="11"/>
      <c r="O38" s="14"/>
      <c r="P38" s="11"/>
      <c r="Q38" s="14"/>
      <c r="R38" s="11"/>
      <c r="S38" s="14"/>
      <c r="T38" s="11"/>
      <c r="U38" s="11"/>
      <c r="V38" s="15" t="s">
        <v>48</v>
      </c>
      <c r="W38" s="53"/>
    </row>
    <row r="39" spans="1:23" ht="21" customHeight="1">
      <c r="A39" s="10"/>
      <c r="B39" s="11"/>
      <c r="C39" s="11"/>
      <c r="D39" s="11">
        <f t="shared" ref="D39:D40" si="23">B39*E39</f>
        <v>0</v>
      </c>
      <c r="E39" s="12"/>
      <c r="F39" s="11">
        <f t="shared" ref="F39:F40" si="24">C39/4</f>
        <v>0</v>
      </c>
      <c r="G39" s="11">
        <f t="shared" ref="G39:G40" si="25">D39/7.5</f>
        <v>0</v>
      </c>
      <c r="H39" s="11">
        <f t="shared" ref="H39:H40" si="26">B39/12.5</f>
        <v>0</v>
      </c>
      <c r="I39" s="11">
        <f t="shared" ref="I39:I40" si="27">G39/0.93</f>
        <v>0</v>
      </c>
      <c r="J39" s="11">
        <f t="shared" ref="J39:J40" si="28">G39/0.92</f>
        <v>0</v>
      </c>
      <c r="K39" s="11">
        <f t="shared" ref="K39:K40" si="29">G39/0.88</f>
        <v>0</v>
      </c>
      <c r="L39" s="11">
        <f t="shared" ref="L39:L40" si="30">G39/0.84</f>
        <v>0</v>
      </c>
      <c r="M39" s="13"/>
      <c r="N39" s="11"/>
      <c r="O39" s="14"/>
      <c r="P39" s="11"/>
      <c r="Q39" s="14"/>
      <c r="R39" s="11"/>
      <c r="S39" s="14"/>
      <c r="T39" s="14"/>
      <c r="U39" s="17"/>
      <c r="V39" s="18"/>
      <c r="W39" s="53"/>
    </row>
    <row r="40" spans="1:23" ht="21" customHeight="1">
      <c r="A40" s="19"/>
      <c r="B40" s="6"/>
      <c r="C40" s="6"/>
      <c r="D40" s="6">
        <f t="shared" si="23"/>
        <v>0</v>
      </c>
      <c r="E40" s="20"/>
      <c r="F40" s="6">
        <f t="shared" si="24"/>
        <v>0</v>
      </c>
      <c r="G40" s="6">
        <f t="shared" si="25"/>
        <v>0</v>
      </c>
      <c r="H40" s="6">
        <f t="shared" si="26"/>
        <v>0</v>
      </c>
      <c r="I40" s="6">
        <f t="shared" si="27"/>
        <v>0</v>
      </c>
      <c r="J40" s="6">
        <f t="shared" si="28"/>
        <v>0</v>
      </c>
      <c r="K40" s="6">
        <f t="shared" si="29"/>
        <v>0</v>
      </c>
      <c r="L40" s="21">
        <f t="shared" si="30"/>
        <v>0</v>
      </c>
      <c r="M40" s="6"/>
      <c r="N40" s="6"/>
      <c r="O40" s="6"/>
      <c r="P40" s="6"/>
      <c r="Q40" s="22"/>
      <c r="R40" s="6"/>
      <c r="S40" s="6"/>
      <c r="T40" s="6"/>
      <c r="U40" s="21"/>
      <c r="V40" s="23"/>
      <c r="W40" s="53"/>
    </row>
    <row r="41" spans="1:23" ht="21" customHeight="1">
      <c r="A41" s="10" t="s">
        <v>382</v>
      </c>
      <c r="B41" s="11">
        <v>1.238425925925926E-2</v>
      </c>
      <c r="C41" s="11">
        <v>3.7037037037037034E-3</v>
      </c>
      <c r="D41" s="11">
        <f>B41*E41</f>
        <v>7.2051620370370368E-3</v>
      </c>
      <c r="E41" s="12">
        <v>0.58179999999999998</v>
      </c>
      <c r="F41" s="11">
        <f>C41/4</f>
        <v>9.2592592592592585E-4</v>
      </c>
      <c r="G41" s="11">
        <f>D41/7.5</f>
        <v>9.6068827160493821E-4</v>
      </c>
      <c r="H41" s="11">
        <f>B41/12.5</f>
        <v>9.9074074074074082E-4</v>
      </c>
      <c r="I41" s="11">
        <f>G41/0.93</f>
        <v>1.0329981415106862E-3</v>
      </c>
      <c r="J41" s="11">
        <f>G41/0.92</f>
        <v>1.0442263821792807E-3</v>
      </c>
      <c r="K41" s="11">
        <f>G41/0.88</f>
        <v>1.0916912177328843E-3</v>
      </c>
      <c r="L41" s="11">
        <f>G41/0.84</f>
        <v>1.1436765138154027E-3</v>
      </c>
      <c r="M41" s="13"/>
      <c r="N41" s="11"/>
      <c r="O41" s="14"/>
      <c r="P41" s="11"/>
      <c r="Q41" s="14"/>
      <c r="R41" s="11"/>
      <c r="S41" s="14"/>
      <c r="T41" s="14"/>
      <c r="U41" s="17"/>
      <c r="V41" s="18" t="s">
        <v>52</v>
      </c>
      <c r="W41" s="53"/>
    </row>
    <row r="42" spans="1:23" ht="21" customHeight="1">
      <c r="A42" s="10" t="s">
        <v>383</v>
      </c>
      <c r="B42" s="11"/>
      <c r="C42" s="11"/>
      <c r="D42" s="11"/>
      <c r="E42" s="12"/>
      <c r="F42" s="11"/>
      <c r="G42" s="11"/>
      <c r="H42" s="11"/>
      <c r="I42" s="11"/>
      <c r="J42" s="11"/>
      <c r="K42" s="11"/>
      <c r="L42" s="11"/>
      <c r="M42" s="13"/>
      <c r="N42" s="11"/>
      <c r="O42" s="11"/>
      <c r="P42" s="11"/>
      <c r="Q42" s="14"/>
      <c r="R42" s="11"/>
      <c r="S42" s="14"/>
      <c r="T42" s="14"/>
      <c r="U42" s="17"/>
      <c r="V42" s="18" t="s">
        <v>52</v>
      </c>
      <c r="W42" s="53"/>
    </row>
    <row r="43" spans="1:23" ht="21" customHeight="1">
      <c r="A43" s="10" t="s">
        <v>66</v>
      </c>
      <c r="B43" s="11"/>
      <c r="C43" s="11"/>
      <c r="D43" s="11"/>
      <c r="E43" s="12"/>
      <c r="F43" s="11"/>
      <c r="G43" s="11"/>
      <c r="H43" s="11"/>
      <c r="I43" s="11"/>
      <c r="J43" s="11"/>
      <c r="K43" s="11"/>
      <c r="L43" s="11"/>
      <c r="M43" s="13"/>
      <c r="N43" s="11"/>
      <c r="O43" s="14"/>
      <c r="P43" s="11"/>
      <c r="Q43" s="11"/>
      <c r="R43" s="11"/>
      <c r="S43" s="11"/>
      <c r="T43" s="14"/>
      <c r="U43" s="17"/>
      <c r="V43" s="18" t="s">
        <v>52</v>
      </c>
      <c r="W43" s="53"/>
    </row>
    <row r="44" spans="1:23" ht="21" customHeight="1">
      <c r="A44" s="10"/>
      <c r="B44" s="11"/>
      <c r="C44" s="11"/>
      <c r="D44" s="11">
        <f t="shared" ref="D44:D54" si="31">B44*E44</f>
        <v>0</v>
      </c>
      <c r="E44" s="12"/>
      <c r="F44" s="11">
        <f t="shared" ref="F44:F54" si="32">C44/4</f>
        <v>0</v>
      </c>
      <c r="G44" s="11">
        <f t="shared" ref="G44:G54" si="33">D44/7.5</f>
        <v>0</v>
      </c>
      <c r="H44" s="11">
        <f t="shared" ref="H44:H54" si="34">B44/12.5</f>
        <v>0</v>
      </c>
      <c r="I44" s="11">
        <f t="shared" ref="I44:I54" si="35">G44/0.93</f>
        <v>0</v>
      </c>
      <c r="J44" s="11">
        <f t="shared" ref="J44:J54" si="36">G44/0.92</f>
        <v>0</v>
      </c>
      <c r="K44" s="11">
        <f t="shared" ref="K44:K54" si="37">G44/0.88</f>
        <v>0</v>
      </c>
      <c r="L44" s="11">
        <f t="shared" ref="L44:L54" si="38">G44/0.84</f>
        <v>0</v>
      </c>
      <c r="M44" s="13"/>
      <c r="N44" s="11"/>
      <c r="O44" s="14"/>
      <c r="P44" s="11"/>
      <c r="Q44" s="14"/>
      <c r="R44" s="11"/>
      <c r="S44" s="14"/>
      <c r="T44" s="14"/>
      <c r="U44" s="17"/>
      <c r="V44" s="18"/>
      <c r="W44" s="53"/>
    </row>
    <row r="45" spans="1:23" ht="21" customHeight="1">
      <c r="A45" s="10"/>
      <c r="B45" s="11"/>
      <c r="C45" s="11"/>
      <c r="D45" s="11">
        <f t="shared" si="31"/>
        <v>0</v>
      </c>
      <c r="E45" s="12"/>
      <c r="F45" s="11">
        <f t="shared" si="32"/>
        <v>0</v>
      </c>
      <c r="G45" s="11">
        <f t="shared" si="33"/>
        <v>0</v>
      </c>
      <c r="H45" s="11">
        <f t="shared" si="34"/>
        <v>0</v>
      </c>
      <c r="I45" s="11">
        <f t="shared" si="35"/>
        <v>0</v>
      </c>
      <c r="J45" s="11">
        <f t="shared" si="36"/>
        <v>0</v>
      </c>
      <c r="K45" s="11">
        <f t="shared" si="37"/>
        <v>0</v>
      </c>
      <c r="L45" s="11">
        <f t="shared" si="38"/>
        <v>0</v>
      </c>
      <c r="M45" s="13"/>
      <c r="N45" s="11"/>
      <c r="O45" s="14"/>
      <c r="P45" s="11"/>
      <c r="Q45" s="14"/>
      <c r="R45" s="11"/>
      <c r="S45" s="14"/>
      <c r="T45" s="14"/>
      <c r="U45" s="17"/>
      <c r="V45" s="18"/>
      <c r="W45" s="53"/>
    </row>
    <row r="46" spans="1:23" ht="21" customHeight="1">
      <c r="A46" s="10"/>
      <c r="B46" s="11"/>
      <c r="C46" s="11"/>
      <c r="D46" s="11">
        <f t="shared" si="31"/>
        <v>0</v>
      </c>
      <c r="E46" s="12"/>
      <c r="F46" s="11">
        <f t="shared" si="32"/>
        <v>0</v>
      </c>
      <c r="G46" s="11">
        <f t="shared" si="33"/>
        <v>0</v>
      </c>
      <c r="H46" s="11">
        <f t="shared" si="34"/>
        <v>0</v>
      </c>
      <c r="I46" s="11">
        <f t="shared" si="35"/>
        <v>0</v>
      </c>
      <c r="J46" s="11">
        <f t="shared" si="36"/>
        <v>0</v>
      </c>
      <c r="K46" s="11">
        <f t="shared" si="37"/>
        <v>0</v>
      </c>
      <c r="L46" s="11">
        <f t="shared" si="38"/>
        <v>0</v>
      </c>
      <c r="M46" s="13"/>
      <c r="N46" s="11"/>
      <c r="O46" s="14"/>
      <c r="P46" s="11"/>
      <c r="Q46" s="14"/>
      <c r="R46" s="11"/>
      <c r="S46" s="14"/>
      <c r="T46" s="14"/>
      <c r="U46" s="17"/>
      <c r="V46" s="18"/>
      <c r="W46" s="53"/>
    </row>
    <row r="47" spans="1:23" ht="21" customHeight="1">
      <c r="A47" s="10"/>
      <c r="B47" s="11"/>
      <c r="C47" s="11"/>
      <c r="D47" s="11">
        <f t="shared" si="31"/>
        <v>0</v>
      </c>
      <c r="E47" s="12"/>
      <c r="F47" s="11">
        <f t="shared" si="32"/>
        <v>0</v>
      </c>
      <c r="G47" s="11">
        <f t="shared" si="33"/>
        <v>0</v>
      </c>
      <c r="H47" s="11">
        <f t="shared" si="34"/>
        <v>0</v>
      </c>
      <c r="I47" s="11">
        <f t="shared" si="35"/>
        <v>0</v>
      </c>
      <c r="J47" s="11">
        <f t="shared" si="36"/>
        <v>0</v>
      </c>
      <c r="K47" s="11">
        <f t="shared" si="37"/>
        <v>0</v>
      </c>
      <c r="L47" s="11">
        <f t="shared" si="38"/>
        <v>0</v>
      </c>
      <c r="M47" s="13"/>
      <c r="N47" s="11"/>
      <c r="O47" s="14"/>
      <c r="P47" s="11"/>
      <c r="Q47" s="14"/>
      <c r="R47" s="11"/>
      <c r="S47" s="14"/>
      <c r="T47" s="14"/>
      <c r="U47" s="17"/>
      <c r="V47" s="18"/>
      <c r="W47" s="53"/>
    </row>
    <row r="48" spans="1:23" ht="21" customHeight="1">
      <c r="A48" s="10"/>
      <c r="B48" s="11"/>
      <c r="C48" s="11"/>
      <c r="D48" s="11">
        <f t="shared" si="31"/>
        <v>0</v>
      </c>
      <c r="E48" s="12"/>
      <c r="F48" s="11">
        <f t="shared" si="32"/>
        <v>0</v>
      </c>
      <c r="G48" s="11">
        <f t="shared" si="33"/>
        <v>0</v>
      </c>
      <c r="H48" s="11">
        <f t="shared" si="34"/>
        <v>0</v>
      </c>
      <c r="I48" s="11">
        <f t="shared" si="35"/>
        <v>0</v>
      </c>
      <c r="J48" s="11">
        <f t="shared" si="36"/>
        <v>0</v>
      </c>
      <c r="K48" s="11">
        <f t="shared" si="37"/>
        <v>0</v>
      </c>
      <c r="L48" s="11">
        <f t="shared" si="38"/>
        <v>0</v>
      </c>
      <c r="M48" s="13"/>
      <c r="N48" s="11"/>
      <c r="O48" s="14"/>
      <c r="P48" s="11"/>
      <c r="Q48" s="14"/>
      <c r="R48" s="11"/>
      <c r="S48" s="14"/>
      <c r="T48" s="14"/>
      <c r="U48" s="17"/>
      <c r="V48" s="18"/>
      <c r="W48" s="53"/>
    </row>
    <row r="49" spans="1:23" ht="21" customHeight="1">
      <c r="A49" s="10"/>
      <c r="B49" s="11"/>
      <c r="C49" s="11"/>
      <c r="D49" s="11">
        <f t="shared" si="31"/>
        <v>0</v>
      </c>
      <c r="E49" s="12"/>
      <c r="F49" s="11">
        <f t="shared" si="32"/>
        <v>0</v>
      </c>
      <c r="G49" s="11">
        <f t="shared" si="33"/>
        <v>0</v>
      </c>
      <c r="H49" s="11">
        <f t="shared" si="34"/>
        <v>0</v>
      </c>
      <c r="I49" s="11">
        <f t="shared" si="35"/>
        <v>0</v>
      </c>
      <c r="J49" s="11">
        <f t="shared" si="36"/>
        <v>0</v>
      </c>
      <c r="K49" s="11">
        <f t="shared" si="37"/>
        <v>0</v>
      </c>
      <c r="L49" s="11">
        <f t="shared" si="38"/>
        <v>0</v>
      </c>
      <c r="M49" s="13"/>
      <c r="N49" s="11"/>
      <c r="O49" s="14"/>
      <c r="P49" s="11"/>
      <c r="Q49" s="14"/>
      <c r="R49" s="11"/>
      <c r="S49" s="14"/>
      <c r="T49" s="14"/>
      <c r="U49" s="17"/>
      <c r="V49" s="18"/>
      <c r="W49" s="53"/>
    </row>
    <row r="50" spans="1:23" ht="21" customHeight="1">
      <c r="A50" s="10"/>
      <c r="B50" s="11"/>
      <c r="C50" s="11"/>
      <c r="D50" s="11">
        <f t="shared" si="31"/>
        <v>0</v>
      </c>
      <c r="E50" s="12"/>
      <c r="F50" s="11">
        <f t="shared" si="32"/>
        <v>0</v>
      </c>
      <c r="G50" s="11">
        <f t="shared" si="33"/>
        <v>0</v>
      </c>
      <c r="H50" s="11">
        <f t="shared" si="34"/>
        <v>0</v>
      </c>
      <c r="I50" s="11">
        <f t="shared" si="35"/>
        <v>0</v>
      </c>
      <c r="J50" s="11">
        <f t="shared" si="36"/>
        <v>0</v>
      </c>
      <c r="K50" s="11">
        <f t="shared" si="37"/>
        <v>0</v>
      </c>
      <c r="L50" s="11">
        <f t="shared" si="38"/>
        <v>0</v>
      </c>
      <c r="M50" s="13"/>
      <c r="N50" s="11"/>
      <c r="O50" s="11"/>
      <c r="P50" s="11"/>
      <c r="Q50" s="14"/>
      <c r="R50" s="11"/>
      <c r="S50" s="14"/>
      <c r="T50" s="14"/>
      <c r="U50" s="17"/>
      <c r="V50" s="18"/>
      <c r="W50" s="53"/>
    </row>
    <row r="51" spans="1:23" ht="21" customHeight="1">
      <c r="A51" s="10"/>
      <c r="B51" s="11"/>
      <c r="C51" s="11"/>
      <c r="D51" s="11">
        <f t="shared" si="31"/>
        <v>0</v>
      </c>
      <c r="E51" s="12"/>
      <c r="F51" s="11">
        <f t="shared" si="32"/>
        <v>0</v>
      </c>
      <c r="G51" s="11">
        <f t="shared" si="33"/>
        <v>0</v>
      </c>
      <c r="H51" s="11">
        <f t="shared" si="34"/>
        <v>0</v>
      </c>
      <c r="I51" s="11">
        <f t="shared" si="35"/>
        <v>0</v>
      </c>
      <c r="J51" s="11">
        <f t="shared" si="36"/>
        <v>0</v>
      </c>
      <c r="K51" s="11">
        <f t="shared" si="37"/>
        <v>0</v>
      </c>
      <c r="L51" s="11">
        <f t="shared" si="38"/>
        <v>0</v>
      </c>
      <c r="M51" s="13"/>
      <c r="N51" s="11"/>
      <c r="O51" s="11"/>
      <c r="P51" s="11"/>
      <c r="Q51" s="14"/>
      <c r="R51" s="11"/>
      <c r="S51" s="14"/>
      <c r="T51" s="14"/>
      <c r="U51" s="17"/>
      <c r="V51" s="18"/>
      <c r="W51" s="53"/>
    </row>
    <row r="52" spans="1:23" ht="21" customHeight="1">
      <c r="A52" s="10"/>
      <c r="B52" s="11"/>
      <c r="C52" s="11"/>
      <c r="D52" s="11">
        <f t="shared" si="31"/>
        <v>0</v>
      </c>
      <c r="E52" s="12"/>
      <c r="F52" s="11">
        <f t="shared" si="32"/>
        <v>0</v>
      </c>
      <c r="G52" s="11">
        <f t="shared" si="33"/>
        <v>0</v>
      </c>
      <c r="H52" s="11">
        <f t="shared" si="34"/>
        <v>0</v>
      </c>
      <c r="I52" s="11">
        <f t="shared" si="35"/>
        <v>0</v>
      </c>
      <c r="J52" s="11">
        <f t="shared" si="36"/>
        <v>0</v>
      </c>
      <c r="K52" s="11">
        <f t="shared" si="37"/>
        <v>0</v>
      </c>
      <c r="L52" s="11">
        <f t="shared" si="38"/>
        <v>0</v>
      </c>
      <c r="M52" s="13"/>
      <c r="N52" s="11"/>
      <c r="O52" s="11"/>
      <c r="P52" s="11"/>
      <c r="Q52" s="14"/>
      <c r="R52" s="11"/>
      <c r="S52" s="14"/>
      <c r="T52" s="14"/>
      <c r="U52" s="17"/>
      <c r="V52" s="18"/>
      <c r="W52" s="53"/>
    </row>
    <row r="53" spans="1:23" ht="21" customHeight="1">
      <c r="A53" s="10"/>
      <c r="B53" s="11"/>
      <c r="C53" s="11"/>
      <c r="D53" s="11">
        <f t="shared" si="31"/>
        <v>0</v>
      </c>
      <c r="E53" s="12"/>
      <c r="F53" s="11">
        <f t="shared" si="32"/>
        <v>0</v>
      </c>
      <c r="G53" s="11">
        <f t="shared" si="33"/>
        <v>0</v>
      </c>
      <c r="H53" s="11">
        <f t="shared" si="34"/>
        <v>0</v>
      </c>
      <c r="I53" s="11">
        <f t="shared" si="35"/>
        <v>0</v>
      </c>
      <c r="J53" s="11">
        <f t="shared" si="36"/>
        <v>0</v>
      </c>
      <c r="K53" s="11">
        <f t="shared" si="37"/>
        <v>0</v>
      </c>
      <c r="L53" s="11">
        <f t="shared" si="38"/>
        <v>0</v>
      </c>
      <c r="M53" s="13"/>
      <c r="N53" s="11"/>
      <c r="O53" s="11"/>
      <c r="P53" s="11"/>
      <c r="Q53" s="14"/>
      <c r="R53" s="11"/>
      <c r="S53" s="14"/>
      <c r="T53" s="14"/>
      <c r="U53" s="17"/>
      <c r="V53" s="18"/>
      <c r="W53" s="53"/>
    </row>
    <row r="54" spans="1:23" ht="21" customHeight="1" thickBot="1">
      <c r="A54" s="10"/>
      <c r="B54" s="11"/>
      <c r="C54" s="11"/>
      <c r="D54" s="11">
        <f t="shared" si="31"/>
        <v>0</v>
      </c>
      <c r="E54" s="12"/>
      <c r="F54" s="11">
        <f t="shared" si="32"/>
        <v>0</v>
      </c>
      <c r="G54" s="11">
        <f t="shared" si="33"/>
        <v>0</v>
      </c>
      <c r="H54" s="11">
        <f t="shared" si="34"/>
        <v>0</v>
      </c>
      <c r="I54" s="11">
        <f t="shared" si="35"/>
        <v>0</v>
      </c>
      <c r="J54" s="11">
        <f t="shared" si="36"/>
        <v>0</v>
      </c>
      <c r="K54" s="11">
        <f t="shared" si="37"/>
        <v>0</v>
      </c>
      <c r="L54" s="11">
        <f t="shared" si="38"/>
        <v>0</v>
      </c>
      <c r="M54" s="13"/>
      <c r="N54" s="11"/>
      <c r="O54" s="11"/>
      <c r="P54" s="11"/>
      <c r="Q54" s="14"/>
      <c r="R54" s="11"/>
      <c r="S54" s="14"/>
      <c r="T54" s="14"/>
      <c r="U54" s="17"/>
      <c r="V54" s="18"/>
      <c r="W54" s="58"/>
    </row>
    <row r="55" spans="1:23" ht="15" customHeight="1">
      <c r="A55" s="19" t="s">
        <v>368</v>
      </c>
      <c r="B55" s="2" t="s">
        <v>1</v>
      </c>
      <c r="C55" s="2" t="s">
        <v>2</v>
      </c>
      <c r="D55" s="2" t="s">
        <v>3</v>
      </c>
      <c r="E55" s="3" t="s">
        <v>4</v>
      </c>
      <c r="F55" s="2" t="s">
        <v>5</v>
      </c>
      <c r="G55" s="2" t="s">
        <v>6</v>
      </c>
      <c r="H55" s="2" t="s">
        <v>7</v>
      </c>
      <c r="I55" s="4" t="s">
        <v>8</v>
      </c>
      <c r="J55" s="2" t="s">
        <v>9</v>
      </c>
      <c r="K55" s="2" t="s">
        <v>10</v>
      </c>
      <c r="L55" s="2" t="s">
        <v>11</v>
      </c>
      <c r="M55" s="5" t="s">
        <v>12</v>
      </c>
      <c r="N55" s="6" t="s">
        <v>155</v>
      </c>
      <c r="O55" s="6" t="s">
        <v>14</v>
      </c>
      <c r="P55" s="6" t="s">
        <v>156</v>
      </c>
      <c r="Q55" s="22" t="s">
        <v>158</v>
      </c>
      <c r="R55" s="22" t="s">
        <v>153</v>
      </c>
      <c r="S55" s="8" t="s">
        <v>370</v>
      </c>
      <c r="T55" s="2" t="s">
        <v>384</v>
      </c>
      <c r="U55" s="2" t="s">
        <v>20</v>
      </c>
      <c r="V55" s="24" t="s">
        <v>22</v>
      </c>
      <c r="W55" s="57" t="s">
        <v>364</v>
      </c>
    </row>
    <row r="56" spans="1:23" ht="20.45" customHeight="1">
      <c r="A56" s="10" t="s">
        <v>84</v>
      </c>
      <c r="B56" s="11">
        <v>1.0416666666666666E-2</v>
      </c>
      <c r="C56" s="11">
        <v>2.9745370370370373E-3</v>
      </c>
      <c r="D56" s="11">
        <f t="shared" ref="D56:D93" si="39">B56*E56</f>
        <v>6.0604166666666662E-3</v>
      </c>
      <c r="E56" s="12">
        <v>0.58179999999999998</v>
      </c>
      <c r="F56" s="11">
        <f t="shared" ref="F56:F93" si="40">C56/4</f>
        <v>7.4363425925925931E-4</v>
      </c>
      <c r="G56" s="11">
        <f t="shared" ref="G56:G93" si="41">D56/7.5</f>
        <v>8.0805555555555546E-4</v>
      </c>
      <c r="H56" s="11">
        <f t="shared" ref="H56:H93" si="42">B56/12.5</f>
        <v>8.3333333333333328E-4</v>
      </c>
      <c r="I56" s="11">
        <f t="shared" ref="I56:I93" si="43">G56/0.93</f>
        <v>8.6887694145758646E-4</v>
      </c>
      <c r="J56" s="11">
        <f t="shared" ref="J56:J93" si="44">G56/0.92</f>
        <v>8.7832125603864715E-4</v>
      </c>
      <c r="K56" s="11">
        <f t="shared" ref="K56:K93" si="45">G56/0.88</f>
        <v>9.1824494949494938E-4</v>
      </c>
      <c r="L56" s="11">
        <f t="shared" ref="L56:L93" si="46">G56/0.84</f>
        <v>9.6197089947089938E-4</v>
      </c>
      <c r="M56" s="13"/>
      <c r="N56" s="11"/>
      <c r="O56" s="25"/>
      <c r="P56" s="11"/>
      <c r="Q56" s="25"/>
      <c r="R56" s="11"/>
      <c r="S56" s="25"/>
      <c r="T56" s="26"/>
      <c r="U56" s="11"/>
      <c r="V56" s="27" t="s">
        <v>26</v>
      </c>
      <c r="W56" s="53"/>
    </row>
    <row r="57" spans="1:23" ht="20.45" customHeight="1">
      <c r="A57" s="10" t="s">
        <v>91</v>
      </c>
      <c r="B57" s="11">
        <v>1.0763888888888889E-2</v>
      </c>
      <c r="C57" s="11">
        <v>3.1249999999999997E-3</v>
      </c>
      <c r="D57" s="11">
        <f t="shared" si="39"/>
        <v>6.2624305555555549E-3</v>
      </c>
      <c r="E57" s="12">
        <v>0.58179999999999998</v>
      </c>
      <c r="F57" s="11">
        <f t="shared" si="40"/>
        <v>7.8124999999999993E-4</v>
      </c>
      <c r="G57" s="11">
        <f t="shared" si="41"/>
        <v>8.3499074074074064E-4</v>
      </c>
      <c r="H57" s="11">
        <f t="shared" si="42"/>
        <v>8.611111111111111E-4</v>
      </c>
      <c r="I57" s="11">
        <f t="shared" si="43"/>
        <v>8.9783950617283931E-4</v>
      </c>
      <c r="J57" s="11">
        <f t="shared" si="44"/>
        <v>9.0759863123993545E-4</v>
      </c>
      <c r="K57" s="11">
        <f t="shared" si="45"/>
        <v>9.4885311447811432E-4</v>
      </c>
      <c r="L57" s="11">
        <f t="shared" si="46"/>
        <v>9.9403659611992947E-4</v>
      </c>
      <c r="M57" s="13"/>
      <c r="N57" s="11"/>
      <c r="O57" s="25"/>
      <c r="P57" s="11"/>
      <c r="Q57" s="25"/>
      <c r="R57" s="11"/>
      <c r="S57" s="11"/>
      <c r="T57" s="28"/>
      <c r="U57" s="25"/>
      <c r="V57" s="27" t="s">
        <v>26</v>
      </c>
      <c r="W57" s="53"/>
    </row>
    <row r="58" spans="1:23" ht="20.45" customHeight="1">
      <c r="A58" s="10" t="s">
        <v>385</v>
      </c>
      <c r="B58" s="11">
        <v>1.0069444444444445E-2</v>
      </c>
      <c r="C58" s="11">
        <v>2.8935185185185188E-3</v>
      </c>
      <c r="D58" s="11">
        <f t="shared" si="39"/>
        <v>5.8584027777777783E-3</v>
      </c>
      <c r="E58" s="12">
        <v>0.58179999999999998</v>
      </c>
      <c r="F58" s="11">
        <f t="shared" si="40"/>
        <v>7.233796296296297E-4</v>
      </c>
      <c r="G58" s="11">
        <f t="shared" si="41"/>
        <v>7.811203703703705E-4</v>
      </c>
      <c r="H58" s="11">
        <f t="shared" si="42"/>
        <v>8.0555555555555556E-4</v>
      </c>
      <c r="I58" s="11">
        <f t="shared" si="43"/>
        <v>8.3991437674233382E-4</v>
      </c>
      <c r="J58" s="11">
        <f t="shared" si="44"/>
        <v>8.4904388083735917E-4</v>
      </c>
      <c r="K58" s="11">
        <f t="shared" si="45"/>
        <v>8.8763678451178466E-4</v>
      </c>
      <c r="L58" s="11">
        <f t="shared" si="46"/>
        <v>9.2990520282186973E-4</v>
      </c>
      <c r="M58" s="13"/>
      <c r="N58" s="11"/>
      <c r="O58" s="11"/>
      <c r="P58" s="11"/>
      <c r="Q58" s="25"/>
      <c r="R58" s="11"/>
      <c r="S58" s="25"/>
      <c r="T58" s="25"/>
      <c r="U58" s="25"/>
      <c r="V58" s="27" t="s">
        <v>26</v>
      </c>
      <c r="W58" s="53"/>
    </row>
    <row r="59" spans="1:23" ht="20.45" customHeight="1">
      <c r="A59" s="10" t="s">
        <v>86</v>
      </c>
      <c r="B59" s="11">
        <v>1.0763888888888889E-2</v>
      </c>
      <c r="C59" s="11">
        <v>3.0671296296296297E-3</v>
      </c>
      <c r="D59" s="11">
        <f t="shared" si="39"/>
        <v>6.2624305555555549E-3</v>
      </c>
      <c r="E59" s="12">
        <v>0.58179999999999998</v>
      </c>
      <c r="F59" s="11">
        <f t="shared" si="40"/>
        <v>7.6678240740740743E-4</v>
      </c>
      <c r="G59" s="11">
        <f t="shared" si="41"/>
        <v>8.3499074074074064E-4</v>
      </c>
      <c r="H59" s="11">
        <f t="shared" si="42"/>
        <v>8.611111111111111E-4</v>
      </c>
      <c r="I59" s="11">
        <f t="shared" si="43"/>
        <v>8.9783950617283931E-4</v>
      </c>
      <c r="J59" s="11">
        <f t="shared" si="44"/>
        <v>9.0759863123993545E-4</v>
      </c>
      <c r="K59" s="11">
        <f t="shared" si="45"/>
        <v>9.4885311447811432E-4</v>
      </c>
      <c r="L59" s="11">
        <f t="shared" si="46"/>
        <v>9.9403659611992947E-4</v>
      </c>
      <c r="M59" s="13"/>
      <c r="N59" s="11"/>
      <c r="O59" s="25"/>
      <c r="P59" s="11"/>
      <c r="Q59" s="25"/>
      <c r="R59" s="11"/>
      <c r="S59" s="11"/>
      <c r="T59" s="28"/>
      <c r="U59" s="25"/>
      <c r="V59" s="27" t="s">
        <v>26</v>
      </c>
      <c r="W59" s="53"/>
    </row>
    <row r="60" spans="1:23" ht="20.45" customHeight="1">
      <c r="A60" s="10" t="s">
        <v>386</v>
      </c>
      <c r="B60" s="11">
        <v>1.0243055555555556E-2</v>
      </c>
      <c r="C60" s="11">
        <v>2.9745370370370373E-3</v>
      </c>
      <c r="D60" s="11">
        <f t="shared" si="39"/>
        <v>5.9594097222222218E-3</v>
      </c>
      <c r="E60" s="12">
        <v>0.58179999999999998</v>
      </c>
      <c r="F60" s="11">
        <f t="shared" si="40"/>
        <v>7.4363425925925931E-4</v>
      </c>
      <c r="G60" s="11">
        <f t="shared" si="41"/>
        <v>7.9458796296296287E-4</v>
      </c>
      <c r="H60" s="11">
        <f t="shared" si="42"/>
        <v>8.1944444444444447E-4</v>
      </c>
      <c r="I60" s="11">
        <f t="shared" si="43"/>
        <v>8.5439565909996003E-4</v>
      </c>
      <c r="J60" s="11">
        <f t="shared" si="44"/>
        <v>8.636825684380031E-4</v>
      </c>
      <c r="K60" s="11">
        <f t="shared" si="45"/>
        <v>9.0294086700336686E-4</v>
      </c>
      <c r="L60" s="11">
        <f t="shared" si="46"/>
        <v>9.4593805114638445E-4</v>
      </c>
      <c r="M60" s="13"/>
      <c r="N60" s="11"/>
      <c r="O60" s="25"/>
      <c r="P60" s="11"/>
      <c r="Q60" s="25"/>
      <c r="R60" s="11"/>
      <c r="S60" s="11"/>
      <c r="T60" s="28"/>
      <c r="U60" s="25"/>
      <c r="V60" s="27" t="s">
        <v>26</v>
      </c>
      <c r="W60" s="53"/>
    </row>
    <row r="61" spans="1:23" ht="20.45" customHeight="1">
      <c r="A61" s="10" t="s">
        <v>387</v>
      </c>
      <c r="B61" s="11">
        <v>9.9537037037037042E-3</v>
      </c>
      <c r="C61" s="11">
        <v>2.9513888888888888E-3</v>
      </c>
      <c r="D61" s="11">
        <f t="shared" si="39"/>
        <v>5.7910648148148149E-3</v>
      </c>
      <c r="E61" s="12">
        <v>0.58179999999999998</v>
      </c>
      <c r="F61" s="11">
        <f t="shared" si="40"/>
        <v>7.378472222222222E-4</v>
      </c>
      <c r="G61" s="11">
        <f t="shared" si="41"/>
        <v>7.7214197530864196E-4</v>
      </c>
      <c r="H61" s="11">
        <f t="shared" si="42"/>
        <v>7.9629629629629636E-4</v>
      </c>
      <c r="I61" s="11">
        <f t="shared" si="43"/>
        <v>8.3026018850391602E-4</v>
      </c>
      <c r="J61" s="11">
        <f t="shared" si="44"/>
        <v>8.3928475577026292E-4</v>
      </c>
      <c r="K61" s="11">
        <f t="shared" si="45"/>
        <v>8.7743406285072947E-4</v>
      </c>
      <c r="L61" s="11">
        <f t="shared" si="46"/>
        <v>9.1921663727219285E-4</v>
      </c>
      <c r="M61" s="13"/>
      <c r="N61" s="11"/>
      <c r="O61" s="11"/>
      <c r="P61" s="11"/>
      <c r="Q61" s="25"/>
      <c r="R61" s="11"/>
      <c r="S61" s="25"/>
      <c r="T61" s="28"/>
      <c r="U61" s="25"/>
      <c r="V61" s="27" t="s">
        <v>26</v>
      </c>
      <c r="W61" s="53"/>
    </row>
    <row r="62" spans="1:23" ht="20.45" customHeight="1">
      <c r="A62" s="10" t="s">
        <v>388</v>
      </c>
      <c r="B62" s="11">
        <v>1.0763888888888891E-2</v>
      </c>
      <c r="C62" s="11">
        <v>3.1249999999999997E-3</v>
      </c>
      <c r="D62" s="11">
        <f t="shared" si="39"/>
        <v>6.2624305555555567E-3</v>
      </c>
      <c r="E62" s="12">
        <v>0.58179999999999998</v>
      </c>
      <c r="F62" s="11">
        <f t="shared" si="40"/>
        <v>7.8124999999999993E-4</v>
      </c>
      <c r="G62" s="11">
        <f t="shared" si="41"/>
        <v>8.3499074074074085E-4</v>
      </c>
      <c r="H62" s="11">
        <f t="shared" si="42"/>
        <v>8.6111111111111121E-4</v>
      </c>
      <c r="I62" s="11">
        <f t="shared" si="43"/>
        <v>8.9783950617283953E-4</v>
      </c>
      <c r="J62" s="11">
        <f t="shared" si="44"/>
        <v>9.0759863123993567E-4</v>
      </c>
      <c r="K62" s="11">
        <f t="shared" si="45"/>
        <v>9.4885311447811464E-4</v>
      </c>
      <c r="L62" s="11">
        <f t="shared" si="46"/>
        <v>9.9403659611992969E-4</v>
      </c>
      <c r="M62" s="13"/>
      <c r="N62" s="11"/>
      <c r="O62" s="25"/>
      <c r="P62" s="11"/>
      <c r="Q62" s="25"/>
      <c r="R62" s="11"/>
      <c r="S62" s="11"/>
      <c r="T62" s="28"/>
      <c r="U62" s="25"/>
      <c r="V62" s="27" t="s">
        <v>26</v>
      </c>
      <c r="W62" s="53"/>
    </row>
    <row r="63" spans="1:23" ht="20.45" customHeight="1">
      <c r="A63" s="10" t="s">
        <v>79</v>
      </c>
      <c r="B63" s="11">
        <v>1.0243055555555556E-2</v>
      </c>
      <c r="C63" s="11">
        <v>3.0092592592592588E-3</v>
      </c>
      <c r="D63" s="11">
        <f t="shared" si="39"/>
        <v>5.9594097222222218E-3</v>
      </c>
      <c r="E63" s="12">
        <v>0.58179999999999998</v>
      </c>
      <c r="F63" s="11">
        <f t="shared" si="40"/>
        <v>7.5231481481481471E-4</v>
      </c>
      <c r="G63" s="11">
        <f t="shared" si="41"/>
        <v>7.9458796296296287E-4</v>
      </c>
      <c r="H63" s="11">
        <f t="shared" si="42"/>
        <v>8.1944444444444447E-4</v>
      </c>
      <c r="I63" s="11">
        <f t="shared" si="43"/>
        <v>8.5439565909996003E-4</v>
      </c>
      <c r="J63" s="11">
        <f t="shared" si="44"/>
        <v>8.636825684380031E-4</v>
      </c>
      <c r="K63" s="11">
        <f t="shared" si="45"/>
        <v>9.0294086700336686E-4</v>
      </c>
      <c r="L63" s="11">
        <f t="shared" si="46"/>
        <v>9.4593805114638445E-4</v>
      </c>
      <c r="M63" s="13"/>
      <c r="N63" s="11"/>
      <c r="O63" s="25"/>
      <c r="P63" s="11"/>
      <c r="Q63" s="25"/>
      <c r="R63" s="11"/>
      <c r="S63" s="11"/>
      <c r="T63" s="28"/>
      <c r="U63" s="25"/>
      <c r="V63" s="27" t="s">
        <v>26</v>
      </c>
      <c r="W63" s="53"/>
    </row>
    <row r="64" spans="1:23" ht="20.45" customHeight="1">
      <c r="A64" s="10" t="s">
        <v>81</v>
      </c>
      <c r="B64" s="11">
        <v>1.0243055555555556E-2</v>
      </c>
      <c r="C64" s="11">
        <v>3.0092592592592588E-3</v>
      </c>
      <c r="D64" s="11">
        <f t="shared" si="39"/>
        <v>5.9594097222222218E-3</v>
      </c>
      <c r="E64" s="12">
        <v>0.58179999999999998</v>
      </c>
      <c r="F64" s="11">
        <f t="shared" si="40"/>
        <v>7.5231481481481471E-4</v>
      </c>
      <c r="G64" s="11">
        <f t="shared" si="41"/>
        <v>7.9458796296296287E-4</v>
      </c>
      <c r="H64" s="11">
        <f t="shared" si="42"/>
        <v>8.1944444444444447E-4</v>
      </c>
      <c r="I64" s="11">
        <f t="shared" si="43"/>
        <v>8.5439565909996003E-4</v>
      </c>
      <c r="J64" s="11">
        <f t="shared" si="44"/>
        <v>8.636825684380031E-4</v>
      </c>
      <c r="K64" s="11">
        <f t="shared" si="45"/>
        <v>9.0294086700336686E-4</v>
      </c>
      <c r="L64" s="11">
        <f t="shared" si="46"/>
        <v>9.4593805114638445E-4</v>
      </c>
      <c r="M64" s="13"/>
      <c r="N64" s="11"/>
      <c r="O64" s="25"/>
      <c r="P64" s="11"/>
      <c r="Q64" s="25"/>
      <c r="R64" s="11"/>
      <c r="S64" s="25"/>
      <c r="T64" s="28"/>
      <c r="U64" s="25"/>
      <c r="V64" s="27" t="s">
        <v>26</v>
      </c>
      <c r="W64" s="53" t="s">
        <v>365</v>
      </c>
    </row>
    <row r="65" spans="1:23" ht="20.45" customHeight="1">
      <c r="A65" s="10" t="s">
        <v>389</v>
      </c>
      <c r="B65" s="11">
        <v>1.087962962962963E-2</v>
      </c>
      <c r="C65" s="11">
        <v>3.1249999999999997E-3</v>
      </c>
      <c r="D65" s="11">
        <f t="shared" si="39"/>
        <v>6.3297685185185184E-3</v>
      </c>
      <c r="E65" s="12">
        <v>0.58179999999999998</v>
      </c>
      <c r="F65" s="11">
        <f t="shared" si="40"/>
        <v>7.8124999999999993E-4</v>
      </c>
      <c r="G65" s="11">
        <f t="shared" si="41"/>
        <v>8.4396913580246917E-4</v>
      </c>
      <c r="H65" s="11">
        <f t="shared" si="42"/>
        <v>8.7037037037037042E-4</v>
      </c>
      <c r="I65" s="11">
        <f t="shared" si="43"/>
        <v>9.0749369441125711E-4</v>
      </c>
      <c r="J65" s="11">
        <f t="shared" si="44"/>
        <v>9.173577563070317E-4</v>
      </c>
      <c r="K65" s="11">
        <f t="shared" si="45"/>
        <v>9.5905583613916951E-4</v>
      </c>
      <c r="L65" s="11">
        <f t="shared" si="46"/>
        <v>1.0047251616696062E-3</v>
      </c>
      <c r="M65" s="13"/>
      <c r="N65" s="11"/>
      <c r="O65" s="25"/>
      <c r="P65" s="11"/>
      <c r="Q65" s="25"/>
      <c r="R65" s="11"/>
      <c r="S65" s="11"/>
      <c r="T65" s="28"/>
      <c r="U65" s="25"/>
      <c r="V65" s="27" t="s">
        <v>26</v>
      </c>
      <c r="W65" s="53"/>
    </row>
    <row r="66" spans="1:23" ht="20.45" customHeight="1">
      <c r="A66" s="10" t="s">
        <v>390</v>
      </c>
      <c r="B66" s="11">
        <v>1.064814814814815E-2</v>
      </c>
      <c r="C66" s="11">
        <v>3.1249999999999997E-3</v>
      </c>
      <c r="D66" s="11">
        <f t="shared" si="39"/>
        <v>6.1950925925925932E-3</v>
      </c>
      <c r="E66" s="12">
        <v>0.58179999999999998</v>
      </c>
      <c r="F66" s="11">
        <f t="shared" si="40"/>
        <v>7.8124999999999993E-4</v>
      </c>
      <c r="G66" s="11">
        <f t="shared" si="41"/>
        <v>8.2601234567901242E-4</v>
      </c>
      <c r="H66" s="11">
        <f t="shared" si="42"/>
        <v>8.5185185185185201E-4</v>
      </c>
      <c r="I66" s="11">
        <f t="shared" si="43"/>
        <v>8.8818531793442195E-4</v>
      </c>
      <c r="J66" s="11">
        <f t="shared" si="44"/>
        <v>8.9783950617283953E-4</v>
      </c>
      <c r="K66" s="11">
        <f t="shared" si="45"/>
        <v>9.3865039281705955E-4</v>
      </c>
      <c r="L66" s="11">
        <f t="shared" si="46"/>
        <v>9.8334803057025292E-4</v>
      </c>
      <c r="M66" s="13"/>
      <c r="N66" s="11"/>
      <c r="O66" s="25"/>
      <c r="P66" s="11"/>
      <c r="Q66" s="25"/>
      <c r="R66" s="11"/>
      <c r="S66" s="11"/>
      <c r="T66" s="28"/>
      <c r="U66" s="25"/>
      <c r="V66" s="27" t="s">
        <v>26</v>
      </c>
      <c r="W66" s="53"/>
    </row>
    <row r="67" spans="1:23" ht="20.45" customHeight="1">
      <c r="A67" s="10" t="s">
        <v>88</v>
      </c>
      <c r="B67" s="11">
        <v>1.064814814814815E-2</v>
      </c>
      <c r="C67" s="11">
        <v>3.0671296296296297E-3</v>
      </c>
      <c r="D67" s="11">
        <f t="shared" si="39"/>
        <v>6.1950925925925932E-3</v>
      </c>
      <c r="E67" s="12">
        <v>0.58179999999999998</v>
      </c>
      <c r="F67" s="11">
        <f t="shared" si="40"/>
        <v>7.6678240740740743E-4</v>
      </c>
      <c r="G67" s="11">
        <f t="shared" si="41"/>
        <v>8.2601234567901242E-4</v>
      </c>
      <c r="H67" s="11">
        <f t="shared" si="42"/>
        <v>8.5185185185185201E-4</v>
      </c>
      <c r="I67" s="11">
        <f t="shared" si="43"/>
        <v>8.8818531793442195E-4</v>
      </c>
      <c r="J67" s="11">
        <f t="shared" si="44"/>
        <v>8.9783950617283953E-4</v>
      </c>
      <c r="K67" s="11">
        <f t="shared" si="45"/>
        <v>9.3865039281705955E-4</v>
      </c>
      <c r="L67" s="11">
        <f t="shared" si="46"/>
        <v>9.8334803057025292E-4</v>
      </c>
      <c r="M67" s="13"/>
      <c r="N67" s="11"/>
      <c r="O67" s="25"/>
      <c r="P67" s="11"/>
      <c r="Q67" s="25"/>
      <c r="R67" s="11"/>
      <c r="S67" s="11"/>
      <c r="T67" s="28"/>
      <c r="U67" s="25"/>
      <c r="V67" s="27" t="s">
        <v>26</v>
      </c>
      <c r="W67" s="53"/>
    </row>
    <row r="68" spans="1:23" ht="20.45" customHeight="1">
      <c r="A68" s="10" t="s">
        <v>391</v>
      </c>
      <c r="B68" s="11">
        <v>1.0243055555555556E-2</v>
      </c>
      <c r="C68" s="11">
        <v>2.9745370370370373E-3</v>
      </c>
      <c r="D68" s="11">
        <f t="shared" si="39"/>
        <v>5.9594097222222218E-3</v>
      </c>
      <c r="E68" s="12">
        <v>0.58179999999999998</v>
      </c>
      <c r="F68" s="11">
        <f t="shared" si="40"/>
        <v>7.4363425925925931E-4</v>
      </c>
      <c r="G68" s="11">
        <f t="shared" si="41"/>
        <v>7.9458796296296287E-4</v>
      </c>
      <c r="H68" s="11">
        <f t="shared" si="42"/>
        <v>8.1944444444444447E-4</v>
      </c>
      <c r="I68" s="11">
        <f t="shared" si="43"/>
        <v>8.5439565909996003E-4</v>
      </c>
      <c r="J68" s="11">
        <f t="shared" si="44"/>
        <v>8.636825684380031E-4</v>
      </c>
      <c r="K68" s="11">
        <f t="shared" si="45"/>
        <v>9.0294086700336686E-4</v>
      </c>
      <c r="L68" s="11">
        <f t="shared" si="46"/>
        <v>9.4593805114638445E-4</v>
      </c>
      <c r="M68" s="13"/>
      <c r="N68" s="11"/>
      <c r="O68" s="11"/>
      <c r="P68" s="11"/>
      <c r="Q68" s="25"/>
      <c r="R68" s="11"/>
      <c r="S68" s="25"/>
      <c r="T68" s="28"/>
      <c r="U68" s="25"/>
      <c r="V68" s="27" t="s">
        <v>26</v>
      </c>
      <c r="W68" s="53"/>
    </row>
    <row r="69" spans="1:23" ht="20.45" customHeight="1">
      <c r="A69" s="10" t="s">
        <v>392</v>
      </c>
      <c r="B69" s="11">
        <v>1.064814814814815E-2</v>
      </c>
      <c r="C69" s="11">
        <v>3.0671296296296297E-3</v>
      </c>
      <c r="D69" s="11">
        <f t="shared" si="39"/>
        <v>6.1950925925925932E-3</v>
      </c>
      <c r="E69" s="12">
        <v>0.58179999999999998</v>
      </c>
      <c r="F69" s="11">
        <f t="shared" si="40"/>
        <v>7.6678240740740743E-4</v>
      </c>
      <c r="G69" s="11">
        <f t="shared" si="41"/>
        <v>8.2601234567901242E-4</v>
      </c>
      <c r="H69" s="11">
        <f t="shared" si="42"/>
        <v>8.5185185185185201E-4</v>
      </c>
      <c r="I69" s="11">
        <f t="shared" si="43"/>
        <v>8.8818531793442195E-4</v>
      </c>
      <c r="J69" s="11">
        <f t="shared" si="44"/>
        <v>8.9783950617283953E-4</v>
      </c>
      <c r="K69" s="11">
        <f t="shared" si="45"/>
        <v>9.3865039281705955E-4</v>
      </c>
      <c r="L69" s="11">
        <f t="shared" si="46"/>
        <v>9.8334803057025292E-4</v>
      </c>
      <c r="M69" s="13"/>
      <c r="N69" s="11"/>
      <c r="O69" s="25"/>
      <c r="P69" s="11"/>
      <c r="Q69" s="25"/>
      <c r="R69" s="11"/>
      <c r="S69" s="11"/>
      <c r="T69" s="28"/>
      <c r="U69" s="25"/>
      <c r="V69" s="27" t="s">
        <v>26</v>
      </c>
      <c r="W69" s="53"/>
    </row>
    <row r="70" spans="1:23" ht="20.45" customHeight="1">
      <c r="A70" s="10" t="s">
        <v>87</v>
      </c>
      <c r="B70" s="11">
        <v>1.0763888888888891E-2</v>
      </c>
      <c r="C70" s="11">
        <v>3.0092592592592593E-3</v>
      </c>
      <c r="D70" s="11">
        <f t="shared" si="39"/>
        <v>6.2624305555555567E-3</v>
      </c>
      <c r="E70" s="12">
        <v>0.58179999999999998</v>
      </c>
      <c r="F70" s="11">
        <f t="shared" si="40"/>
        <v>7.5231481481481482E-4</v>
      </c>
      <c r="G70" s="11">
        <f t="shared" si="41"/>
        <v>8.3499074074074085E-4</v>
      </c>
      <c r="H70" s="11">
        <f t="shared" si="42"/>
        <v>8.6111111111111121E-4</v>
      </c>
      <c r="I70" s="11">
        <f t="shared" si="43"/>
        <v>8.9783950617283953E-4</v>
      </c>
      <c r="J70" s="11">
        <f t="shared" si="44"/>
        <v>9.0759863123993567E-4</v>
      </c>
      <c r="K70" s="11">
        <f t="shared" si="45"/>
        <v>9.4885311447811464E-4</v>
      </c>
      <c r="L70" s="11">
        <f t="shared" si="46"/>
        <v>9.9403659611992969E-4</v>
      </c>
      <c r="M70" s="13"/>
      <c r="N70" s="11"/>
      <c r="O70" s="11"/>
      <c r="P70" s="11"/>
      <c r="Q70" s="25"/>
      <c r="R70" s="11"/>
      <c r="S70" s="11"/>
      <c r="T70" s="25"/>
      <c r="V70" s="27" t="s">
        <v>26</v>
      </c>
      <c r="W70" s="53"/>
    </row>
    <row r="71" spans="1:23" ht="20.45" customHeight="1">
      <c r="A71" s="10" t="s">
        <v>109</v>
      </c>
      <c r="B71" s="11">
        <v>9.8958333333333329E-3</v>
      </c>
      <c r="C71" s="11">
        <v>2.9745370370370373E-3</v>
      </c>
      <c r="D71" s="11">
        <f t="shared" si="39"/>
        <v>5.7573958333333331E-3</v>
      </c>
      <c r="E71" s="12">
        <v>0.58179999999999998</v>
      </c>
      <c r="F71" s="11">
        <f t="shared" si="40"/>
        <v>7.4363425925925931E-4</v>
      </c>
      <c r="G71" s="11">
        <f t="shared" si="41"/>
        <v>7.676527777777778E-4</v>
      </c>
      <c r="H71" s="11">
        <f t="shared" si="42"/>
        <v>7.9166666666666665E-4</v>
      </c>
      <c r="I71" s="11">
        <f t="shared" si="43"/>
        <v>8.2543309438470728E-4</v>
      </c>
      <c r="J71" s="11">
        <f t="shared" si="44"/>
        <v>8.3440519323671491E-4</v>
      </c>
      <c r="K71" s="11">
        <f t="shared" si="45"/>
        <v>8.7233270202020203E-4</v>
      </c>
      <c r="L71" s="11">
        <f t="shared" si="46"/>
        <v>9.1387235449735457E-4</v>
      </c>
      <c r="M71" s="13"/>
      <c r="N71" s="11"/>
      <c r="O71" s="11"/>
      <c r="P71" s="11"/>
      <c r="Q71" s="25"/>
      <c r="R71" s="11"/>
      <c r="S71" s="25"/>
      <c r="T71" s="28"/>
      <c r="U71" s="25"/>
      <c r="V71" s="27" t="s">
        <v>26</v>
      </c>
      <c r="W71" s="53"/>
    </row>
    <row r="72" spans="1:23" ht="20.45" customHeight="1">
      <c r="A72" s="10" t="s">
        <v>393</v>
      </c>
      <c r="B72" s="11">
        <v>1.0069444444444445E-2</v>
      </c>
      <c r="C72" s="11">
        <v>2.8935185185185188E-3</v>
      </c>
      <c r="D72" s="11">
        <f t="shared" si="39"/>
        <v>5.8584027777777783E-3</v>
      </c>
      <c r="E72" s="12">
        <v>0.58179999999999998</v>
      </c>
      <c r="F72" s="11">
        <f t="shared" si="40"/>
        <v>7.233796296296297E-4</v>
      </c>
      <c r="G72" s="11">
        <f t="shared" si="41"/>
        <v>7.811203703703705E-4</v>
      </c>
      <c r="H72" s="11">
        <f t="shared" si="42"/>
        <v>8.0555555555555556E-4</v>
      </c>
      <c r="I72" s="11">
        <f t="shared" si="43"/>
        <v>8.3991437674233382E-4</v>
      </c>
      <c r="J72" s="11">
        <f t="shared" si="44"/>
        <v>8.4904388083735917E-4</v>
      </c>
      <c r="K72" s="11">
        <f t="shared" si="45"/>
        <v>8.8763678451178466E-4</v>
      </c>
      <c r="L72" s="11">
        <f t="shared" si="46"/>
        <v>9.2990520282186973E-4</v>
      </c>
      <c r="M72" s="13"/>
      <c r="N72" s="11"/>
      <c r="O72" s="11"/>
      <c r="P72" s="11"/>
      <c r="Q72" s="25"/>
      <c r="R72" s="11"/>
      <c r="S72" s="25"/>
      <c r="T72" s="25"/>
      <c r="U72" s="25"/>
      <c r="V72" s="27" t="s">
        <v>26</v>
      </c>
      <c r="W72" s="53"/>
    </row>
    <row r="73" spans="1:23" ht="20.45" customHeight="1">
      <c r="A73" s="10" t="s">
        <v>80</v>
      </c>
      <c r="B73" s="11">
        <v>1.0127314814814815E-2</v>
      </c>
      <c r="C73" s="11">
        <v>2.8935185185185188E-3</v>
      </c>
      <c r="D73" s="11">
        <f t="shared" si="39"/>
        <v>5.8920717592592592E-3</v>
      </c>
      <c r="E73" s="12">
        <v>0.58179999999999998</v>
      </c>
      <c r="F73" s="11">
        <f t="shared" si="40"/>
        <v>7.233796296296297E-4</v>
      </c>
      <c r="G73" s="11">
        <f t="shared" si="41"/>
        <v>7.8560956790123455E-4</v>
      </c>
      <c r="H73" s="11">
        <f t="shared" si="42"/>
        <v>8.1018518518518516E-4</v>
      </c>
      <c r="I73" s="11">
        <f t="shared" si="43"/>
        <v>8.4474147086154245E-4</v>
      </c>
      <c r="J73" s="11">
        <f t="shared" si="44"/>
        <v>8.5392344337090708E-4</v>
      </c>
      <c r="K73" s="11">
        <f t="shared" si="45"/>
        <v>8.9273814534231199E-4</v>
      </c>
      <c r="L73" s="11">
        <f t="shared" si="46"/>
        <v>9.3524948559670779E-4</v>
      </c>
      <c r="M73" s="13"/>
      <c r="N73" s="11"/>
      <c r="O73" s="11"/>
      <c r="P73" s="11"/>
      <c r="Q73" s="25"/>
      <c r="R73" s="11"/>
      <c r="S73" s="14"/>
      <c r="T73" s="26"/>
      <c r="V73" s="27" t="s">
        <v>26</v>
      </c>
      <c r="W73" s="53" t="s">
        <v>394</v>
      </c>
    </row>
    <row r="74" spans="1:23" ht="20.45" customHeight="1">
      <c r="A74" s="10"/>
      <c r="B74" s="11"/>
      <c r="C74" s="11"/>
      <c r="D74" s="11">
        <f>B74*E74</f>
        <v>0</v>
      </c>
      <c r="E74" s="12"/>
      <c r="F74" s="11">
        <f>C74/4</f>
        <v>0</v>
      </c>
      <c r="G74" s="11">
        <f>D74/7.5</f>
        <v>0</v>
      </c>
      <c r="H74" s="11">
        <f>B74/12.5</f>
        <v>0</v>
      </c>
      <c r="I74" s="11">
        <f>G74/0.93</f>
        <v>0</v>
      </c>
      <c r="J74" s="11">
        <f>G74/0.92</f>
        <v>0</v>
      </c>
      <c r="K74" s="11">
        <f>G74/0.88</f>
        <v>0</v>
      </c>
      <c r="L74" s="17">
        <f>G74/0.84</f>
        <v>0</v>
      </c>
      <c r="M74" s="29"/>
      <c r="P74" s="26"/>
      <c r="Q74" s="26"/>
      <c r="R74" s="26"/>
      <c r="S74" s="14"/>
      <c r="U74" s="30"/>
      <c r="V74" s="31"/>
      <c r="W74" s="53"/>
    </row>
    <row r="75" spans="1:23" ht="20.45" customHeight="1">
      <c r="A75" s="19"/>
      <c r="B75" s="6"/>
      <c r="C75" s="6"/>
      <c r="D75" s="6">
        <f t="shared" ref="D75" si="47">B75*E75</f>
        <v>0</v>
      </c>
      <c r="E75" s="20"/>
      <c r="F75" s="6">
        <f t="shared" ref="F75" si="48">C75/4</f>
        <v>0</v>
      </c>
      <c r="G75" s="6">
        <f t="shared" ref="G75" si="49">D75/7.5</f>
        <v>0</v>
      </c>
      <c r="H75" s="6">
        <f t="shared" ref="H75" si="50">B75/12.5</f>
        <v>0</v>
      </c>
      <c r="I75" s="6">
        <f t="shared" ref="I75" si="51">G75/0.93</f>
        <v>0</v>
      </c>
      <c r="J75" s="6">
        <f t="shared" ref="J75" si="52">G75/0.92</f>
        <v>0</v>
      </c>
      <c r="K75" s="6">
        <f t="shared" ref="K75" si="53">G75/0.88</f>
        <v>0</v>
      </c>
      <c r="L75" s="21">
        <f t="shared" ref="L75" si="54">G75/0.84</f>
        <v>0</v>
      </c>
      <c r="M75" s="6"/>
      <c r="N75" s="6"/>
      <c r="O75" s="6"/>
      <c r="P75" s="6"/>
      <c r="Q75" s="22"/>
      <c r="R75" s="6"/>
      <c r="S75" s="6"/>
      <c r="T75" s="6"/>
      <c r="U75" s="21"/>
      <c r="V75" s="23"/>
      <c r="W75" s="53"/>
    </row>
    <row r="76" spans="1:23" ht="20.45" customHeight="1">
      <c r="A76" s="10" t="s">
        <v>395</v>
      </c>
      <c r="B76" s="11">
        <v>1.0416666666666666E-2</v>
      </c>
      <c r="C76" s="11">
        <v>2.8935185185185188E-3</v>
      </c>
      <c r="D76" s="11">
        <f t="shared" si="39"/>
        <v>6.0604166666666662E-3</v>
      </c>
      <c r="E76" s="12">
        <v>0.58179999999999998</v>
      </c>
      <c r="F76" s="11">
        <f t="shared" si="40"/>
        <v>7.233796296296297E-4</v>
      </c>
      <c r="G76" s="11">
        <f t="shared" si="41"/>
        <v>8.0805555555555546E-4</v>
      </c>
      <c r="H76" s="11">
        <f t="shared" si="42"/>
        <v>8.3333333333333328E-4</v>
      </c>
      <c r="I76" s="11">
        <f t="shared" si="43"/>
        <v>8.6887694145758646E-4</v>
      </c>
      <c r="J76" s="11">
        <f t="shared" si="44"/>
        <v>8.7832125603864715E-4</v>
      </c>
      <c r="K76" s="11">
        <f t="shared" si="45"/>
        <v>9.1824494949494938E-4</v>
      </c>
      <c r="L76" s="11">
        <f t="shared" si="46"/>
        <v>9.6197089947089938E-4</v>
      </c>
      <c r="M76" s="13"/>
      <c r="N76" s="11"/>
      <c r="O76" s="25"/>
      <c r="P76" s="11"/>
      <c r="Q76" s="25"/>
      <c r="R76" s="11"/>
      <c r="S76" s="25"/>
      <c r="T76" s="11"/>
      <c r="U76" s="11"/>
      <c r="V76" s="27" t="s">
        <v>35</v>
      </c>
      <c r="W76" s="53"/>
    </row>
    <row r="77" spans="1:23" ht="20.45" customHeight="1">
      <c r="A77" s="10" t="s">
        <v>95</v>
      </c>
      <c r="B77" s="11">
        <v>1.0243055555555556E-2</v>
      </c>
      <c r="C77" s="11">
        <v>2.9513888888888888E-3</v>
      </c>
      <c r="D77" s="11">
        <f t="shared" si="39"/>
        <v>5.9594097222222218E-3</v>
      </c>
      <c r="E77" s="12">
        <v>0.58179999999999998</v>
      </c>
      <c r="F77" s="11">
        <f t="shared" si="40"/>
        <v>7.378472222222222E-4</v>
      </c>
      <c r="G77" s="11">
        <f t="shared" si="41"/>
        <v>7.9458796296296287E-4</v>
      </c>
      <c r="H77" s="11">
        <f t="shared" si="42"/>
        <v>8.1944444444444447E-4</v>
      </c>
      <c r="I77" s="11">
        <f t="shared" si="43"/>
        <v>8.5439565909996003E-4</v>
      </c>
      <c r="J77" s="11">
        <f t="shared" si="44"/>
        <v>8.636825684380031E-4</v>
      </c>
      <c r="K77" s="11">
        <f t="shared" si="45"/>
        <v>9.0294086700336686E-4</v>
      </c>
      <c r="L77" s="11">
        <f t="shared" si="46"/>
        <v>9.4593805114638445E-4</v>
      </c>
      <c r="M77" s="13"/>
      <c r="N77" s="11"/>
      <c r="O77" s="25"/>
      <c r="P77" s="11"/>
      <c r="Q77" s="25"/>
      <c r="R77" s="11"/>
      <c r="S77" s="14"/>
      <c r="T77" s="26"/>
      <c r="V77" s="27" t="s">
        <v>35</v>
      </c>
      <c r="W77" s="53"/>
    </row>
    <row r="78" spans="1:23" ht="20.45" customHeight="1">
      <c r="A78" s="10" t="s">
        <v>129</v>
      </c>
      <c r="B78" s="11">
        <v>1.0532407407407407E-2</v>
      </c>
      <c r="C78" s="11">
        <v>3.0092592592592593E-3</v>
      </c>
      <c r="D78" s="11">
        <f t="shared" si="39"/>
        <v>6.1277546296296288E-3</v>
      </c>
      <c r="E78" s="12">
        <v>0.58179999999999998</v>
      </c>
      <c r="F78" s="11">
        <f t="shared" si="40"/>
        <v>7.5231481481481482E-4</v>
      </c>
      <c r="G78" s="11">
        <f t="shared" si="41"/>
        <v>8.1703395061728389E-4</v>
      </c>
      <c r="H78" s="11">
        <f t="shared" si="42"/>
        <v>8.4259259259259259E-4</v>
      </c>
      <c r="I78" s="11">
        <f t="shared" si="43"/>
        <v>8.7853112969600415E-4</v>
      </c>
      <c r="J78" s="11">
        <f t="shared" si="44"/>
        <v>8.8808038110574329E-4</v>
      </c>
      <c r="K78" s="11">
        <f t="shared" si="45"/>
        <v>9.2844767115600447E-4</v>
      </c>
      <c r="L78" s="11">
        <f t="shared" si="46"/>
        <v>9.7265946502057604E-4</v>
      </c>
      <c r="M78" s="13"/>
      <c r="N78" s="11"/>
      <c r="O78" s="11"/>
      <c r="P78" s="11"/>
      <c r="Q78" s="25"/>
      <c r="R78" s="11"/>
      <c r="S78" s="14"/>
      <c r="T78" s="26"/>
      <c r="V78" s="27" t="s">
        <v>35</v>
      </c>
      <c r="W78" s="53"/>
    </row>
    <row r="79" spans="1:23" ht="20.45" customHeight="1">
      <c r="A79" s="10" t="s">
        <v>111</v>
      </c>
      <c r="B79" s="11">
        <v>1.0416666666666666E-2</v>
      </c>
      <c r="C79" s="11">
        <v>3.0092592592592588E-3</v>
      </c>
      <c r="D79" s="11">
        <f t="shared" si="39"/>
        <v>6.0604166666666662E-3</v>
      </c>
      <c r="E79" s="12">
        <v>0.58179999999999998</v>
      </c>
      <c r="F79" s="11">
        <f t="shared" si="40"/>
        <v>7.5231481481481471E-4</v>
      </c>
      <c r="G79" s="11">
        <f t="shared" si="41"/>
        <v>8.0805555555555546E-4</v>
      </c>
      <c r="H79" s="11">
        <f t="shared" si="42"/>
        <v>8.3333333333333328E-4</v>
      </c>
      <c r="I79" s="11">
        <f t="shared" si="43"/>
        <v>8.6887694145758646E-4</v>
      </c>
      <c r="J79" s="11">
        <f t="shared" si="44"/>
        <v>8.7832125603864715E-4</v>
      </c>
      <c r="K79" s="11">
        <f t="shared" si="45"/>
        <v>9.1824494949494938E-4</v>
      </c>
      <c r="L79" s="11">
        <f t="shared" si="46"/>
        <v>9.6197089947089938E-4</v>
      </c>
      <c r="M79" s="13"/>
      <c r="N79" s="11"/>
      <c r="O79" s="25"/>
      <c r="P79" s="11"/>
      <c r="Q79" s="25"/>
      <c r="R79" s="11"/>
      <c r="S79" s="11"/>
      <c r="T79" s="28"/>
      <c r="U79" s="25"/>
      <c r="V79" s="27" t="s">
        <v>35</v>
      </c>
      <c r="W79" s="53"/>
    </row>
    <row r="80" spans="1:23" ht="20.45" customHeight="1">
      <c r="A80" s="10" t="s">
        <v>82</v>
      </c>
      <c r="B80" s="11">
        <v>1.0011574074074074E-2</v>
      </c>
      <c r="C80" s="11">
        <v>2.8935185185185188E-3</v>
      </c>
      <c r="D80" s="11">
        <f t="shared" si="39"/>
        <v>5.8247337962962957E-3</v>
      </c>
      <c r="E80" s="12">
        <v>0.58179999999999998</v>
      </c>
      <c r="F80" s="11">
        <f t="shared" si="40"/>
        <v>7.233796296296297E-4</v>
      </c>
      <c r="G80" s="11">
        <f t="shared" si="41"/>
        <v>7.7663117283950612E-4</v>
      </c>
      <c r="H80" s="11">
        <f t="shared" si="42"/>
        <v>8.0092592592592585E-4</v>
      </c>
      <c r="I80" s="11">
        <f t="shared" si="43"/>
        <v>8.3508728262312486E-4</v>
      </c>
      <c r="J80" s="11">
        <f t="shared" si="44"/>
        <v>8.4416431830381094E-4</v>
      </c>
      <c r="K80" s="11">
        <f t="shared" si="45"/>
        <v>8.825354236812569E-4</v>
      </c>
      <c r="L80" s="11">
        <f t="shared" si="46"/>
        <v>9.2456092004703113E-4</v>
      </c>
      <c r="M80" s="13"/>
      <c r="N80" s="11"/>
      <c r="O80" s="11"/>
      <c r="P80" s="11"/>
      <c r="Q80" s="25"/>
      <c r="R80" s="11"/>
      <c r="S80" s="25"/>
      <c r="T80" s="25"/>
      <c r="U80" s="25"/>
      <c r="V80" s="27" t="s">
        <v>35</v>
      </c>
      <c r="W80" s="53"/>
    </row>
    <row r="81" spans="1:23" ht="20.45" customHeight="1">
      <c r="A81" s="10" t="s">
        <v>92</v>
      </c>
      <c r="B81" s="11">
        <v>1.0416666666666666E-2</v>
      </c>
      <c r="C81" s="11">
        <v>2.9745370370370373E-3</v>
      </c>
      <c r="D81" s="11">
        <f t="shared" si="39"/>
        <v>6.0604166666666662E-3</v>
      </c>
      <c r="E81" s="12">
        <v>0.58179999999999998</v>
      </c>
      <c r="F81" s="11">
        <f t="shared" si="40"/>
        <v>7.4363425925925931E-4</v>
      </c>
      <c r="G81" s="11">
        <f t="shared" si="41"/>
        <v>8.0805555555555546E-4</v>
      </c>
      <c r="H81" s="11">
        <f t="shared" si="42"/>
        <v>8.3333333333333328E-4</v>
      </c>
      <c r="I81" s="11">
        <f t="shared" si="43"/>
        <v>8.6887694145758646E-4</v>
      </c>
      <c r="J81" s="11">
        <f t="shared" si="44"/>
        <v>8.7832125603864715E-4</v>
      </c>
      <c r="K81" s="11">
        <f t="shared" si="45"/>
        <v>9.1824494949494938E-4</v>
      </c>
      <c r="L81" s="11">
        <f t="shared" si="46"/>
        <v>9.6197089947089938E-4</v>
      </c>
      <c r="M81" s="13"/>
      <c r="N81" s="11"/>
      <c r="O81" s="11"/>
      <c r="P81" s="11"/>
      <c r="Q81" s="25"/>
      <c r="R81" s="11"/>
      <c r="S81" s="11"/>
      <c r="T81" s="25"/>
      <c r="U81" s="25"/>
      <c r="V81" s="27" t="s">
        <v>35</v>
      </c>
      <c r="W81" s="53"/>
    </row>
    <row r="82" spans="1:23" ht="20.45" customHeight="1" thickBot="1">
      <c r="A82" s="10" t="s">
        <v>396</v>
      </c>
      <c r="B82" s="11">
        <v>1.0243055555555556E-2</v>
      </c>
      <c r="C82" s="11">
        <v>3.0092592592592588E-3</v>
      </c>
      <c r="D82" s="11">
        <f t="shared" si="39"/>
        <v>5.9594097222222218E-3</v>
      </c>
      <c r="E82" s="12">
        <v>0.58179999999999998</v>
      </c>
      <c r="F82" s="11">
        <f t="shared" si="40"/>
        <v>7.5231481481481471E-4</v>
      </c>
      <c r="G82" s="11">
        <f t="shared" si="41"/>
        <v>7.9458796296296287E-4</v>
      </c>
      <c r="H82" s="11">
        <f t="shared" si="42"/>
        <v>8.1944444444444447E-4</v>
      </c>
      <c r="I82" s="11">
        <f t="shared" si="43"/>
        <v>8.5439565909996003E-4</v>
      </c>
      <c r="J82" s="11">
        <f t="shared" si="44"/>
        <v>8.636825684380031E-4</v>
      </c>
      <c r="K82" s="11">
        <f t="shared" si="45"/>
        <v>9.0294086700336686E-4</v>
      </c>
      <c r="L82" s="11">
        <f t="shared" si="46"/>
        <v>9.4593805114638445E-4</v>
      </c>
      <c r="M82" s="13"/>
      <c r="N82" s="11"/>
      <c r="O82" s="11"/>
      <c r="P82" s="11"/>
      <c r="Q82" s="25"/>
      <c r="R82" s="11"/>
      <c r="S82" s="25"/>
      <c r="T82" s="28"/>
      <c r="U82" s="25"/>
      <c r="V82" s="27" t="s">
        <v>35</v>
      </c>
      <c r="W82" s="58"/>
    </row>
    <row r="83" spans="1:23" ht="20.45" customHeight="1">
      <c r="A83" s="19" t="s">
        <v>368</v>
      </c>
      <c r="B83" s="6"/>
      <c r="C83" s="6"/>
      <c r="D83" s="6"/>
      <c r="E83" s="20"/>
      <c r="F83" s="6">
        <f>C83/4</f>
        <v>0</v>
      </c>
      <c r="G83" s="6">
        <f>D83/7.5</f>
        <v>0</v>
      </c>
      <c r="H83" s="6">
        <f>B83/12.5</f>
        <v>0</v>
      </c>
      <c r="I83" s="6">
        <f>G83/0.93</f>
        <v>0</v>
      </c>
      <c r="J83" s="6">
        <f>G83/0.92</f>
        <v>0</v>
      </c>
      <c r="K83" s="6">
        <f>G83/0.88</f>
        <v>0</v>
      </c>
      <c r="L83" s="21">
        <f>G83/0.84</f>
        <v>0</v>
      </c>
      <c r="M83" s="6"/>
      <c r="N83" s="6"/>
      <c r="O83" s="6"/>
      <c r="P83" s="6"/>
      <c r="Q83" s="22"/>
      <c r="R83" s="6"/>
      <c r="S83" s="6"/>
      <c r="T83" s="6"/>
      <c r="U83" s="21"/>
      <c r="V83" s="23"/>
      <c r="W83" s="57" t="s">
        <v>397</v>
      </c>
    </row>
    <row r="84" spans="1:23" ht="20.45" customHeight="1">
      <c r="A84" s="10" t="s">
        <v>94</v>
      </c>
      <c r="B84" s="11">
        <v>1.0532407407407407E-2</v>
      </c>
      <c r="C84" s="11">
        <v>2.9513888888888888E-3</v>
      </c>
      <c r="D84" s="11">
        <f t="shared" si="39"/>
        <v>6.1277546296296288E-3</v>
      </c>
      <c r="E84" s="12">
        <v>0.58179999999999998</v>
      </c>
      <c r="F84" s="11">
        <f t="shared" si="40"/>
        <v>7.378472222222222E-4</v>
      </c>
      <c r="G84" s="11">
        <f t="shared" si="41"/>
        <v>8.1703395061728389E-4</v>
      </c>
      <c r="H84" s="11">
        <f t="shared" si="42"/>
        <v>8.4259259259259259E-4</v>
      </c>
      <c r="I84" s="11">
        <f t="shared" si="43"/>
        <v>8.7853112969600415E-4</v>
      </c>
      <c r="J84" s="11">
        <f t="shared" si="44"/>
        <v>8.8808038110574329E-4</v>
      </c>
      <c r="K84" s="11">
        <f t="shared" si="45"/>
        <v>9.2844767115600447E-4</v>
      </c>
      <c r="L84" s="11">
        <f t="shared" si="46"/>
        <v>9.7265946502057604E-4</v>
      </c>
      <c r="M84" s="13"/>
      <c r="N84" s="11"/>
      <c r="O84" s="11"/>
      <c r="P84" s="11"/>
      <c r="Q84" s="25"/>
      <c r="R84" s="11"/>
      <c r="S84" s="25"/>
      <c r="T84" s="16"/>
      <c r="U84" s="11"/>
      <c r="V84" s="27" t="s">
        <v>35</v>
      </c>
      <c r="W84" s="53"/>
    </row>
    <row r="85" spans="1:23" ht="20.45" customHeight="1">
      <c r="A85" s="10" t="s">
        <v>398</v>
      </c>
      <c r="B85" s="11">
        <v>1.0763888888888891E-2</v>
      </c>
      <c r="C85" s="11">
        <v>3.1249999999999997E-3</v>
      </c>
      <c r="D85" s="11">
        <f t="shared" si="39"/>
        <v>6.2624305555555567E-3</v>
      </c>
      <c r="E85" s="12">
        <v>0.58179999999999998</v>
      </c>
      <c r="F85" s="11">
        <f t="shared" si="40"/>
        <v>7.8124999999999993E-4</v>
      </c>
      <c r="G85" s="11">
        <f t="shared" si="41"/>
        <v>8.3499074074074085E-4</v>
      </c>
      <c r="H85" s="11">
        <f t="shared" si="42"/>
        <v>8.6111111111111121E-4</v>
      </c>
      <c r="I85" s="11">
        <f t="shared" si="43"/>
        <v>8.9783950617283953E-4</v>
      </c>
      <c r="J85" s="11">
        <f t="shared" si="44"/>
        <v>9.0759863123993567E-4</v>
      </c>
      <c r="K85" s="11">
        <f t="shared" si="45"/>
        <v>9.4885311447811464E-4</v>
      </c>
      <c r="L85" s="11">
        <f t="shared" si="46"/>
        <v>9.9403659611992969E-4</v>
      </c>
      <c r="M85" s="13"/>
      <c r="N85" s="11"/>
      <c r="O85" s="25"/>
      <c r="P85" s="11"/>
      <c r="Q85" s="25"/>
      <c r="R85" s="11"/>
      <c r="S85" s="11"/>
      <c r="T85" s="28"/>
      <c r="V85" s="27" t="s">
        <v>35</v>
      </c>
      <c r="W85" s="53"/>
    </row>
    <row r="86" spans="1:23" ht="20.45" customHeight="1">
      <c r="A86" s="10" t="s">
        <v>105</v>
      </c>
      <c r="B86" s="11">
        <v>1.0763888888888891E-2</v>
      </c>
      <c r="C86" s="11">
        <v>3.0092592592592588E-3</v>
      </c>
      <c r="D86" s="11">
        <f t="shared" si="39"/>
        <v>6.2624305555555567E-3</v>
      </c>
      <c r="E86" s="12">
        <v>0.58179999999999998</v>
      </c>
      <c r="F86" s="11">
        <f t="shared" si="40"/>
        <v>7.5231481481481471E-4</v>
      </c>
      <c r="G86" s="11">
        <f t="shared" si="41"/>
        <v>8.3499074074074085E-4</v>
      </c>
      <c r="H86" s="11">
        <f t="shared" si="42"/>
        <v>8.6111111111111121E-4</v>
      </c>
      <c r="I86" s="11">
        <f t="shared" si="43"/>
        <v>8.9783950617283953E-4</v>
      </c>
      <c r="J86" s="11">
        <f t="shared" si="44"/>
        <v>9.0759863123993567E-4</v>
      </c>
      <c r="K86" s="11">
        <f t="shared" si="45"/>
        <v>9.4885311447811464E-4</v>
      </c>
      <c r="L86" s="11">
        <f t="shared" si="46"/>
        <v>9.9403659611992969E-4</v>
      </c>
      <c r="M86" s="13"/>
      <c r="N86" s="11"/>
      <c r="O86" s="11"/>
      <c r="P86" s="11"/>
      <c r="Q86" s="25"/>
      <c r="R86" s="11"/>
      <c r="S86" s="14"/>
      <c r="T86" s="26"/>
      <c r="V86" s="27" t="s">
        <v>35</v>
      </c>
      <c r="W86" s="53"/>
    </row>
    <row r="87" spans="1:23" ht="20.45" customHeight="1">
      <c r="A87" s="10" t="s">
        <v>90</v>
      </c>
      <c r="B87" s="11">
        <v>1.087962962962963E-2</v>
      </c>
      <c r="C87" s="11">
        <v>3.1249999999999997E-3</v>
      </c>
      <c r="D87" s="11">
        <f t="shared" si="39"/>
        <v>6.3297685185185184E-3</v>
      </c>
      <c r="E87" s="12">
        <v>0.58179999999999998</v>
      </c>
      <c r="F87" s="11">
        <f t="shared" si="40"/>
        <v>7.8124999999999993E-4</v>
      </c>
      <c r="G87" s="11">
        <f t="shared" si="41"/>
        <v>8.4396913580246917E-4</v>
      </c>
      <c r="H87" s="11">
        <f t="shared" si="42"/>
        <v>8.7037037037037042E-4</v>
      </c>
      <c r="I87" s="11">
        <f t="shared" si="43"/>
        <v>9.0749369441125711E-4</v>
      </c>
      <c r="J87" s="11">
        <f t="shared" si="44"/>
        <v>9.173577563070317E-4</v>
      </c>
      <c r="K87" s="11">
        <f t="shared" si="45"/>
        <v>9.5905583613916951E-4</v>
      </c>
      <c r="L87" s="11">
        <f t="shared" si="46"/>
        <v>1.0047251616696062E-3</v>
      </c>
      <c r="M87" s="13"/>
      <c r="N87" s="11"/>
      <c r="O87" s="11"/>
      <c r="P87" s="11"/>
      <c r="Q87" s="25"/>
      <c r="R87" s="11"/>
      <c r="S87" s="25"/>
      <c r="T87" s="25"/>
      <c r="U87" s="25"/>
      <c r="V87" s="27" t="s">
        <v>35</v>
      </c>
      <c r="W87" s="53"/>
    </row>
    <row r="88" spans="1:23" ht="20.45" customHeight="1">
      <c r="A88" s="10"/>
      <c r="B88" s="11"/>
      <c r="C88" s="11"/>
      <c r="D88" s="11">
        <f>B88*E88</f>
        <v>0</v>
      </c>
      <c r="E88" s="12"/>
      <c r="F88" s="11">
        <f>C88/4</f>
        <v>0</v>
      </c>
      <c r="G88" s="11">
        <f>D88/7.5</f>
        <v>0</v>
      </c>
      <c r="H88" s="11">
        <f>B88/12.5</f>
        <v>0</v>
      </c>
      <c r="I88" s="11">
        <f>G88/0.93</f>
        <v>0</v>
      </c>
      <c r="J88" s="11">
        <f>G88/0.92</f>
        <v>0</v>
      </c>
      <c r="K88" s="11">
        <f>G88/0.88</f>
        <v>0</v>
      </c>
      <c r="L88" s="17">
        <f>G88/0.84</f>
        <v>0</v>
      </c>
      <c r="M88" s="29"/>
      <c r="P88" s="26"/>
      <c r="Q88" s="26"/>
      <c r="R88" s="26"/>
      <c r="S88" s="14"/>
      <c r="U88" s="30"/>
      <c r="V88" s="31"/>
      <c r="W88" s="53"/>
    </row>
    <row r="89" spans="1:23" ht="20.45" customHeight="1">
      <c r="A89" s="19"/>
      <c r="B89" s="6"/>
      <c r="C89" s="6"/>
      <c r="D89" s="6">
        <f t="shared" ref="D89" si="55">B89*E89</f>
        <v>0</v>
      </c>
      <c r="E89" s="20"/>
      <c r="F89" s="6">
        <f t="shared" ref="F89" si="56">C89/4</f>
        <v>0</v>
      </c>
      <c r="G89" s="6">
        <f t="shared" ref="G89" si="57">D89/7.5</f>
        <v>0</v>
      </c>
      <c r="H89" s="6">
        <f t="shared" ref="H89" si="58">B89/12.5</f>
        <v>0</v>
      </c>
      <c r="I89" s="6">
        <f t="shared" ref="I89" si="59">G89/0.93</f>
        <v>0</v>
      </c>
      <c r="J89" s="6">
        <f t="shared" ref="J89" si="60">G89/0.92</f>
        <v>0</v>
      </c>
      <c r="K89" s="6">
        <f t="shared" ref="K89" si="61">G89/0.88</f>
        <v>0</v>
      </c>
      <c r="L89" s="21">
        <f t="shared" ref="L89" si="62">G89/0.84</f>
        <v>0</v>
      </c>
      <c r="M89" s="6"/>
      <c r="N89" s="6"/>
      <c r="O89" s="6"/>
      <c r="P89" s="6"/>
      <c r="Q89" s="22"/>
      <c r="R89" s="6"/>
      <c r="S89" s="6"/>
      <c r="T89" s="6"/>
      <c r="U89" s="21"/>
      <c r="V89" s="23"/>
      <c r="W89" s="53"/>
    </row>
    <row r="90" spans="1:23" ht="20.45" customHeight="1">
      <c r="A90" s="10" t="s">
        <v>399</v>
      </c>
      <c r="B90" s="11">
        <v>1.1805555555555555E-2</v>
      </c>
      <c r="C90" s="11">
        <v>3.414351851851852E-3</v>
      </c>
      <c r="D90" s="11">
        <f t="shared" si="39"/>
        <v>6.868472222222222E-3</v>
      </c>
      <c r="E90" s="12">
        <v>0.58179999999999998</v>
      </c>
      <c r="F90" s="11">
        <f t="shared" si="40"/>
        <v>8.53587962962963E-4</v>
      </c>
      <c r="G90" s="11">
        <f t="shared" si="41"/>
        <v>9.1579629629629628E-4</v>
      </c>
      <c r="H90" s="11">
        <f t="shared" si="42"/>
        <v>9.4444444444444437E-4</v>
      </c>
      <c r="I90" s="11">
        <f t="shared" si="43"/>
        <v>9.8472720031859799E-4</v>
      </c>
      <c r="J90" s="11">
        <f t="shared" si="44"/>
        <v>9.9543075684380036E-4</v>
      </c>
      <c r="K90" s="11">
        <f t="shared" si="45"/>
        <v>1.0406776094276093E-3</v>
      </c>
      <c r="L90" s="11">
        <f t="shared" si="46"/>
        <v>1.0902336860670195E-3</v>
      </c>
      <c r="M90" s="13"/>
      <c r="N90" s="11"/>
      <c r="O90" s="11"/>
      <c r="P90" s="11"/>
      <c r="Q90" s="25"/>
      <c r="R90" s="11"/>
      <c r="S90" s="25"/>
      <c r="T90" s="25"/>
      <c r="V90" s="27" t="s">
        <v>48</v>
      </c>
      <c r="W90" s="53"/>
    </row>
    <row r="91" spans="1:23" ht="20.45" customHeight="1">
      <c r="A91" s="10" t="s">
        <v>400</v>
      </c>
      <c r="B91" s="11">
        <v>1.087962962962963E-2</v>
      </c>
      <c r="C91" s="11">
        <v>3.0092592592592588E-3</v>
      </c>
      <c r="D91" s="11">
        <f t="shared" si="39"/>
        <v>6.3297685185185184E-3</v>
      </c>
      <c r="E91" s="12">
        <v>0.58179999999999998</v>
      </c>
      <c r="F91" s="11">
        <f t="shared" si="40"/>
        <v>7.5231481481481471E-4</v>
      </c>
      <c r="G91" s="11">
        <f t="shared" si="41"/>
        <v>8.4396913580246917E-4</v>
      </c>
      <c r="H91" s="11">
        <f t="shared" si="42"/>
        <v>8.7037037037037042E-4</v>
      </c>
      <c r="I91" s="11">
        <f t="shared" si="43"/>
        <v>9.0749369441125711E-4</v>
      </c>
      <c r="J91" s="11">
        <f t="shared" si="44"/>
        <v>9.173577563070317E-4</v>
      </c>
      <c r="K91" s="11">
        <f t="shared" si="45"/>
        <v>9.5905583613916951E-4</v>
      </c>
      <c r="L91" s="11">
        <f t="shared" si="46"/>
        <v>1.0047251616696062E-3</v>
      </c>
      <c r="M91" s="13"/>
      <c r="N91" s="11"/>
      <c r="O91" s="25"/>
      <c r="P91" s="11"/>
      <c r="Q91" s="25"/>
      <c r="R91" s="11"/>
      <c r="S91" s="25"/>
      <c r="T91" s="16"/>
      <c r="U91" s="11"/>
      <c r="V91" s="27" t="s">
        <v>48</v>
      </c>
      <c r="W91" s="53"/>
    </row>
    <row r="92" spans="1:23" ht="20.45" customHeight="1">
      <c r="A92" s="10" t="s">
        <v>96</v>
      </c>
      <c r="B92" s="11">
        <v>1.087962962962963E-2</v>
      </c>
      <c r="C92" s="11">
        <v>3.0092592592592588E-3</v>
      </c>
      <c r="D92" s="11">
        <f t="shared" si="39"/>
        <v>6.3297685185185184E-3</v>
      </c>
      <c r="E92" s="12">
        <v>0.58179999999999998</v>
      </c>
      <c r="F92" s="11">
        <f t="shared" si="40"/>
        <v>7.5231481481481471E-4</v>
      </c>
      <c r="G92" s="11">
        <f t="shared" si="41"/>
        <v>8.4396913580246917E-4</v>
      </c>
      <c r="H92" s="11">
        <f t="shared" si="42"/>
        <v>8.7037037037037042E-4</v>
      </c>
      <c r="I92" s="11">
        <f t="shared" si="43"/>
        <v>9.0749369441125711E-4</v>
      </c>
      <c r="J92" s="11">
        <f t="shared" si="44"/>
        <v>9.173577563070317E-4</v>
      </c>
      <c r="K92" s="11">
        <f t="shared" si="45"/>
        <v>9.5905583613916951E-4</v>
      </c>
      <c r="L92" s="11">
        <f t="shared" si="46"/>
        <v>1.0047251616696062E-3</v>
      </c>
      <c r="M92" s="13"/>
      <c r="N92" s="11"/>
      <c r="O92" s="25"/>
      <c r="P92" s="11"/>
      <c r="Q92" s="25"/>
      <c r="R92" s="11"/>
      <c r="S92" s="25"/>
      <c r="T92" s="16"/>
      <c r="U92" s="11"/>
      <c r="V92" s="27" t="s">
        <v>48</v>
      </c>
      <c r="W92" s="53" t="s">
        <v>379</v>
      </c>
    </row>
    <row r="93" spans="1:23" ht="20.45" customHeight="1">
      <c r="A93" s="10" t="s">
        <v>97</v>
      </c>
      <c r="B93" s="11">
        <v>1.0416666666666666E-2</v>
      </c>
      <c r="C93" s="11">
        <v>2.9513888888888888E-3</v>
      </c>
      <c r="D93" s="11">
        <f t="shared" si="39"/>
        <v>6.0604166666666662E-3</v>
      </c>
      <c r="E93" s="12">
        <v>0.58179999999999998</v>
      </c>
      <c r="F93" s="11">
        <f t="shared" si="40"/>
        <v>7.378472222222222E-4</v>
      </c>
      <c r="G93" s="11">
        <f t="shared" si="41"/>
        <v>8.0805555555555546E-4</v>
      </c>
      <c r="H93" s="11">
        <f t="shared" si="42"/>
        <v>8.3333333333333328E-4</v>
      </c>
      <c r="I93" s="11">
        <f t="shared" si="43"/>
        <v>8.6887694145758646E-4</v>
      </c>
      <c r="J93" s="11">
        <f t="shared" si="44"/>
        <v>8.7832125603864715E-4</v>
      </c>
      <c r="K93" s="11">
        <f t="shared" si="45"/>
        <v>9.1824494949494938E-4</v>
      </c>
      <c r="L93" s="11">
        <f t="shared" si="46"/>
        <v>9.6197089947089938E-4</v>
      </c>
      <c r="M93" s="13"/>
      <c r="N93" s="11"/>
      <c r="O93" s="25"/>
      <c r="P93" s="11"/>
      <c r="Q93" s="25"/>
      <c r="R93" s="11"/>
      <c r="S93" s="25"/>
      <c r="T93" s="16"/>
      <c r="U93" s="11"/>
      <c r="V93" s="27" t="s">
        <v>48</v>
      </c>
      <c r="W93" s="53"/>
    </row>
    <row r="94" spans="1:23" ht="20.45" customHeight="1">
      <c r="A94" s="10"/>
      <c r="B94" s="11"/>
      <c r="C94" s="11"/>
      <c r="D94" s="11">
        <f>B94*E94</f>
        <v>0</v>
      </c>
      <c r="E94" s="12"/>
      <c r="F94" s="11">
        <f>C94/4</f>
        <v>0</v>
      </c>
      <c r="G94" s="11">
        <f>D94/7.5</f>
        <v>0</v>
      </c>
      <c r="H94" s="11">
        <f>B94/12.5</f>
        <v>0</v>
      </c>
      <c r="I94" s="11">
        <f>G94/0.93</f>
        <v>0</v>
      </c>
      <c r="J94" s="11">
        <f>G94/0.92</f>
        <v>0</v>
      </c>
      <c r="K94" s="11">
        <f>G94/0.88</f>
        <v>0</v>
      </c>
      <c r="L94" s="17">
        <f>G94/0.84</f>
        <v>0</v>
      </c>
      <c r="M94" s="29"/>
      <c r="P94" s="26"/>
      <c r="Q94" s="26"/>
      <c r="R94" s="26"/>
      <c r="S94" s="14"/>
      <c r="U94" s="30"/>
      <c r="V94" s="31"/>
      <c r="W94" s="53"/>
    </row>
    <row r="95" spans="1:23" ht="20.45" customHeight="1">
      <c r="A95" s="19"/>
      <c r="B95" s="6"/>
      <c r="C95" s="6"/>
      <c r="D95" s="6">
        <f t="shared" ref="D95" si="63">B95*E95</f>
        <v>0</v>
      </c>
      <c r="E95" s="20"/>
      <c r="F95" s="6">
        <f t="shared" ref="F95" si="64">C95/4</f>
        <v>0</v>
      </c>
      <c r="G95" s="6">
        <f t="shared" ref="G95" si="65">D95/7.5</f>
        <v>0</v>
      </c>
      <c r="H95" s="6">
        <f t="shared" ref="H95" si="66">B95/12.5</f>
        <v>0</v>
      </c>
      <c r="I95" s="6">
        <f t="shared" ref="I95" si="67">G95/0.93</f>
        <v>0</v>
      </c>
      <c r="J95" s="6">
        <f t="shared" ref="J95" si="68">G95/0.92</f>
        <v>0</v>
      </c>
      <c r="K95" s="6">
        <f t="shared" ref="K95" si="69">G95/0.88</f>
        <v>0</v>
      </c>
      <c r="L95" s="21">
        <f t="shared" ref="L95" si="70">G95/0.84</f>
        <v>0</v>
      </c>
      <c r="M95" s="6"/>
      <c r="N95" s="6"/>
      <c r="O95" s="6"/>
      <c r="P95" s="6"/>
      <c r="Q95" s="22"/>
      <c r="R95" s="6"/>
      <c r="S95" s="6"/>
      <c r="T95" s="6"/>
      <c r="U95" s="21"/>
      <c r="V95" s="23"/>
      <c r="W95" s="53"/>
    </row>
    <row r="96" spans="1:23" ht="20.45" customHeight="1">
      <c r="A96" s="10" t="s">
        <v>93</v>
      </c>
      <c r="B96" s="11"/>
      <c r="C96" s="11"/>
      <c r="D96" s="11"/>
      <c r="E96" s="12"/>
      <c r="F96" s="11"/>
      <c r="G96" s="11"/>
      <c r="H96" s="11"/>
      <c r="I96" s="11"/>
      <c r="J96" s="11"/>
      <c r="K96" s="11"/>
      <c r="L96" s="11"/>
      <c r="M96" s="13"/>
      <c r="N96" s="11"/>
      <c r="O96" s="11"/>
      <c r="P96" s="11"/>
      <c r="Q96" s="25"/>
      <c r="R96" s="11"/>
      <c r="S96" s="14"/>
      <c r="T96" s="26"/>
      <c r="V96" s="27" t="s">
        <v>213</v>
      </c>
      <c r="W96" s="53"/>
    </row>
    <row r="97" spans="1:23" ht="20.45" customHeight="1">
      <c r="A97" s="10" t="s">
        <v>100</v>
      </c>
      <c r="B97" s="11"/>
      <c r="C97" s="11"/>
      <c r="D97" s="11"/>
      <c r="E97" s="12"/>
      <c r="F97" s="11">
        <f>C97/4</f>
        <v>0</v>
      </c>
      <c r="G97" s="11">
        <f>D97/7.5</f>
        <v>0</v>
      </c>
      <c r="H97" s="11">
        <f>B97/12.5</f>
        <v>0</v>
      </c>
      <c r="I97" s="11">
        <f>G97/0.93</f>
        <v>0</v>
      </c>
      <c r="J97" s="11">
        <f>G97/0.92</f>
        <v>0</v>
      </c>
      <c r="K97" s="11">
        <f>G97/0.88</f>
        <v>0</v>
      </c>
      <c r="L97" s="11">
        <f>G97/0.84</f>
        <v>0</v>
      </c>
      <c r="M97" s="13"/>
      <c r="N97" s="11"/>
      <c r="O97" s="25"/>
      <c r="P97" s="11"/>
      <c r="Q97" s="25"/>
      <c r="R97" s="11"/>
      <c r="S97" s="14"/>
      <c r="V97" s="27" t="s">
        <v>213</v>
      </c>
      <c r="W97" s="53"/>
    </row>
    <row r="98" spans="1:23" ht="20.45" customHeight="1">
      <c r="A98" s="10" t="s">
        <v>131</v>
      </c>
      <c r="B98" s="11">
        <v>1.0763888888888891E-2</v>
      </c>
      <c r="C98" s="11">
        <v>3.1828703703703702E-3</v>
      </c>
      <c r="D98" s="11">
        <f>B98*E98</f>
        <v>6.2624305555555567E-3</v>
      </c>
      <c r="E98" s="12">
        <v>0.58179999999999998</v>
      </c>
      <c r="F98" s="11">
        <f>C98/4</f>
        <v>7.9571759259259255E-4</v>
      </c>
      <c r="G98" s="11">
        <f>D98/7.5</f>
        <v>8.3499074074074085E-4</v>
      </c>
      <c r="H98" s="11">
        <f>B98/12.5</f>
        <v>8.6111111111111121E-4</v>
      </c>
      <c r="I98" s="11">
        <f>G98/0.93</f>
        <v>8.9783950617283953E-4</v>
      </c>
      <c r="J98" s="11">
        <f>G98/0.92</f>
        <v>9.0759863123993567E-4</v>
      </c>
      <c r="K98" s="11">
        <f>G98/0.88</f>
        <v>9.4885311447811464E-4</v>
      </c>
      <c r="L98" s="11">
        <f>G98/0.84</f>
        <v>9.9403659611992969E-4</v>
      </c>
      <c r="M98" s="13"/>
      <c r="N98" s="11"/>
      <c r="O98" s="25"/>
      <c r="P98" s="11"/>
      <c r="Q98" s="25"/>
      <c r="R98" s="11"/>
      <c r="S98" s="11"/>
      <c r="T98" s="25"/>
      <c r="U98" s="25"/>
      <c r="V98" s="27" t="s">
        <v>213</v>
      </c>
      <c r="W98" s="53"/>
    </row>
    <row r="99" spans="1:23" ht="20.45" customHeight="1">
      <c r="A99" s="10" t="s">
        <v>83</v>
      </c>
      <c r="B99" s="11"/>
      <c r="C99" s="11"/>
      <c r="D99" s="11"/>
      <c r="E99" s="12"/>
      <c r="F99" s="11"/>
      <c r="G99" s="11"/>
      <c r="H99" s="11"/>
      <c r="I99" s="11"/>
      <c r="J99" s="11"/>
      <c r="K99" s="11"/>
      <c r="L99" s="11"/>
      <c r="M99" s="13"/>
      <c r="N99" s="11"/>
      <c r="O99" s="11"/>
      <c r="P99" s="11"/>
      <c r="Q99" s="25"/>
      <c r="R99" s="11"/>
      <c r="S99" s="14"/>
      <c r="T99" s="26"/>
      <c r="V99" s="27" t="s">
        <v>213</v>
      </c>
      <c r="W99" s="53"/>
    </row>
    <row r="100" spans="1:23" ht="20.45" customHeight="1">
      <c r="A100" s="10" t="s">
        <v>101</v>
      </c>
      <c r="B100" s="11"/>
      <c r="C100" s="11"/>
      <c r="D100" s="11"/>
      <c r="E100" s="12"/>
      <c r="F100" s="11">
        <f>C100/4</f>
        <v>0</v>
      </c>
      <c r="G100" s="11">
        <f>D100/7.5</f>
        <v>0</v>
      </c>
      <c r="H100" s="11">
        <f>B100/12.5</f>
        <v>0</v>
      </c>
      <c r="I100" s="11">
        <f>G100/0.93</f>
        <v>0</v>
      </c>
      <c r="J100" s="11">
        <f>G100/0.92</f>
        <v>0</v>
      </c>
      <c r="K100" s="11">
        <f>G100/0.88</f>
        <v>0</v>
      </c>
      <c r="L100" s="11">
        <f>G100/0.84</f>
        <v>0</v>
      </c>
      <c r="M100" s="13"/>
      <c r="N100" s="11"/>
      <c r="O100" s="11"/>
      <c r="P100" s="11"/>
      <c r="Q100" s="25"/>
      <c r="R100" s="11"/>
      <c r="S100" s="14"/>
      <c r="T100" s="26"/>
      <c r="V100" s="27" t="s">
        <v>213</v>
      </c>
      <c r="W100" s="53"/>
    </row>
    <row r="101" spans="1:23" ht="20.45" customHeight="1">
      <c r="A101" s="10" t="s">
        <v>118</v>
      </c>
      <c r="B101" s="11"/>
      <c r="C101" s="11"/>
      <c r="D101" s="11"/>
      <c r="E101" s="12"/>
      <c r="F101" s="11"/>
      <c r="G101" s="11"/>
      <c r="H101" s="11"/>
      <c r="I101" s="11"/>
      <c r="J101" s="11"/>
      <c r="K101" s="11"/>
      <c r="L101" s="11"/>
      <c r="M101" s="13"/>
      <c r="N101" s="11"/>
      <c r="O101" s="11"/>
      <c r="P101" s="11"/>
      <c r="Q101" s="25"/>
      <c r="R101" s="11"/>
      <c r="S101" s="14"/>
      <c r="T101" s="26"/>
      <c r="V101" s="27" t="s">
        <v>213</v>
      </c>
      <c r="W101" s="52"/>
    </row>
    <row r="102" spans="1:23" ht="20.45" customHeight="1">
      <c r="A102" s="10" t="s">
        <v>112</v>
      </c>
      <c r="B102" s="11"/>
      <c r="C102" s="11"/>
      <c r="D102" s="11"/>
      <c r="E102" s="12"/>
      <c r="F102" s="11"/>
      <c r="G102" s="11"/>
      <c r="H102" s="11"/>
      <c r="I102" s="11"/>
      <c r="J102" s="11"/>
      <c r="K102" s="11"/>
      <c r="L102" s="11"/>
      <c r="M102" s="13"/>
      <c r="N102" s="11"/>
      <c r="O102" s="25"/>
      <c r="P102" s="11"/>
      <c r="Q102" s="25"/>
      <c r="R102" s="11"/>
      <c r="S102" s="25"/>
      <c r="T102" s="14"/>
      <c r="U102" s="11"/>
      <c r="V102" s="27" t="s">
        <v>213</v>
      </c>
      <c r="W102" s="52"/>
    </row>
    <row r="103" spans="1:23" ht="20.45" customHeight="1">
      <c r="A103" s="10" t="s">
        <v>108</v>
      </c>
      <c r="B103" s="11">
        <v>1.1226851851851854E-2</v>
      </c>
      <c r="C103" s="11">
        <v>3.0671296296296297E-3</v>
      </c>
      <c r="D103" s="11">
        <f>B103*E103</f>
        <v>6.5317824074074089E-3</v>
      </c>
      <c r="E103" s="12">
        <v>0.58179999999999998</v>
      </c>
      <c r="F103" s="11">
        <f>C103/4</f>
        <v>7.6678240740740743E-4</v>
      </c>
      <c r="G103" s="11">
        <f>D103/7.5</f>
        <v>8.7090432098765457E-4</v>
      </c>
      <c r="H103" s="11">
        <f>B103/12.5</f>
        <v>8.9814814814814835E-4</v>
      </c>
      <c r="I103" s="11">
        <f>G103/0.93</f>
        <v>9.3645625912651019E-4</v>
      </c>
      <c r="J103" s="11">
        <f>G103/0.92</f>
        <v>9.4663513150832011E-4</v>
      </c>
      <c r="K103" s="11">
        <f>G103/0.88</f>
        <v>9.8966400112233477E-4</v>
      </c>
      <c r="L103" s="11">
        <f>G103/0.84</f>
        <v>1.0367908583186363E-3</v>
      </c>
      <c r="M103" s="13"/>
      <c r="N103" s="11"/>
      <c r="O103" s="11"/>
      <c r="P103" s="11"/>
      <c r="Q103" s="25"/>
      <c r="R103" s="11"/>
      <c r="S103" s="14"/>
      <c r="T103" s="26"/>
      <c r="V103" s="27" t="s">
        <v>213</v>
      </c>
      <c r="W103" s="52"/>
    </row>
    <row r="104" spans="1:23" ht="20.45" customHeight="1">
      <c r="A104" s="10" t="s">
        <v>401</v>
      </c>
      <c r="B104" s="11"/>
      <c r="C104" s="11"/>
      <c r="D104" s="11"/>
      <c r="E104" s="12"/>
      <c r="F104" s="11"/>
      <c r="G104" s="11"/>
      <c r="H104" s="11"/>
      <c r="I104" s="11"/>
      <c r="J104" s="11"/>
      <c r="K104" s="11"/>
      <c r="L104" s="11"/>
      <c r="M104" s="13"/>
      <c r="N104" s="11"/>
      <c r="O104" s="25"/>
      <c r="P104" s="11"/>
      <c r="Q104" s="25"/>
      <c r="R104" s="11"/>
      <c r="S104" s="11"/>
      <c r="T104" s="28"/>
      <c r="U104" s="25"/>
      <c r="V104" s="27" t="s">
        <v>213</v>
      </c>
      <c r="W104" s="52"/>
    </row>
    <row r="105" spans="1:23" ht="20.45" customHeight="1">
      <c r="A105" s="10" t="s">
        <v>113</v>
      </c>
      <c r="B105" s="11"/>
      <c r="C105" s="11"/>
      <c r="D105" s="11"/>
      <c r="E105" s="12"/>
      <c r="F105" s="11"/>
      <c r="G105" s="11"/>
      <c r="H105" s="11"/>
      <c r="I105" s="11"/>
      <c r="J105" s="11"/>
      <c r="K105" s="11"/>
      <c r="L105" s="11"/>
      <c r="M105" s="13"/>
      <c r="N105" s="11"/>
      <c r="O105" s="11"/>
      <c r="P105" s="11"/>
      <c r="Q105" s="25"/>
      <c r="R105" s="11"/>
      <c r="S105" s="11"/>
      <c r="T105" s="25"/>
      <c r="U105" s="25"/>
      <c r="V105" s="27" t="s">
        <v>213</v>
      </c>
      <c r="W105" s="52"/>
    </row>
    <row r="106" spans="1:23" ht="20.45" customHeight="1">
      <c r="A106" s="10" t="s">
        <v>402</v>
      </c>
      <c r="B106" s="11"/>
      <c r="C106" s="11"/>
      <c r="D106" s="11"/>
      <c r="E106" s="12"/>
      <c r="F106" s="11"/>
      <c r="G106" s="11"/>
      <c r="H106" s="11"/>
      <c r="I106" s="11"/>
      <c r="J106" s="11"/>
      <c r="K106" s="11"/>
      <c r="L106" s="11"/>
      <c r="M106" s="13"/>
      <c r="N106" s="11"/>
      <c r="O106" s="25"/>
      <c r="P106" s="11"/>
      <c r="Q106" s="25"/>
      <c r="R106" s="11"/>
      <c r="S106" s="14"/>
      <c r="V106" s="27" t="s">
        <v>213</v>
      </c>
      <c r="W106" s="52"/>
    </row>
    <row r="107" spans="1:23" ht="20.45" customHeight="1">
      <c r="A107" s="10" t="s">
        <v>136</v>
      </c>
      <c r="B107" s="11">
        <v>1.1458333333333334E-2</v>
      </c>
      <c r="C107" s="11">
        <v>3.2407407407407406E-3</v>
      </c>
      <c r="D107" s="11">
        <f>B107*E107</f>
        <v>6.6664583333333333E-3</v>
      </c>
      <c r="E107" s="12">
        <v>0.58179999999999998</v>
      </c>
      <c r="F107" s="11">
        <f>C107/4</f>
        <v>8.1018518518518516E-4</v>
      </c>
      <c r="G107" s="11">
        <f>D107/7.5</f>
        <v>8.888611111111111E-4</v>
      </c>
      <c r="H107" s="11">
        <f>B107/12.5</f>
        <v>9.1666666666666676E-4</v>
      </c>
      <c r="I107" s="11">
        <f>G107/0.93</f>
        <v>9.5576463560334524E-4</v>
      </c>
      <c r="J107" s="11">
        <f>G107/0.92</f>
        <v>9.6615338164251206E-4</v>
      </c>
      <c r="K107" s="11">
        <f>G107/0.88</f>
        <v>1.0100694444444445E-3</v>
      </c>
      <c r="L107" s="11">
        <f>G107/0.84</f>
        <v>1.0581679894179894E-3</v>
      </c>
      <c r="M107" s="13"/>
      <c r="N107" s="11"/>
      <c r="O107" s="11"/>
      <c r="P107" s="11"/>
      <c r="Q107" s="25"/>
      <c r="R107" s="11"/>
      <c r="S107" s="14"/>
      <c r="V107" s="27" t="s">
        <v>213</v>
      </c>
      <c r="W107" s="52"/>
    </row>
    <row r="108" spans="1:23" ht="20.45" customHeight="1">
      <c r="A108" s="10" t="s">
        <v>403</v>
      </c>
      <c r="B108" s="11"/>
      <c r="C108" s="11"/>
      <c r="D108" s="11"/>
      <c r="E108" s="12"/>
      <c r="F108" s="11"/>
      <c r="G108" s="11"/>
      <c r="H108" s="11"/>
      <c r="I108" s="11"/>
      <c r="J108" s="11"/>
      <c r="K108" s="11"/>
      <c r="L108" s="11"/>
      <c r="M108" s="13"/>
      <c r="N108" s="11"/>
      <c r="O108" s="25"/>
      <c r="P108" s="11"/>
      <c r="Q108" s="25"/>
      <c r="R108" s="11"/>
      <c r="S108" s="14"/>
      <c r="T108" s="16"/>
      <c r="U108" s="11"/>
      <c r="V108" s="27" t="s">
        <v>213</v>
      </c>
      <c r="W108" s="52"/>
    </row>
    <row r="109" spans="1:23" ht="20.45" customHeight="1">
      <c r="A109" s="10" t="s">
        <v>123</v>
      </c>
      <c r="B109" s="11"/>
      <c r="C109" s="11"/>
      <c r="D109" s="11"/>
      <c r="E109" s="12"/>
      <c r="F109" s="11"/>
      <c r="G109" s="11"/>
      <c r="H109" s="11"/>
      <c r="I109" s="11"/>
      <c r="J109" s="11"/>
      <c r="K109" s="11"/>
      <c r="L109" s="11"/>
      <c r="M109" s="13"/>
      <c r="N109" s="11"/>
      <c r="O109" s="25"/>
      <c r="P109" s="11"/>
      <c r="Q109" s="25"/>
      <c r="R109" s="11"/>
      <c r="S109" s="25"/>
      <c r="T109" s="16"/>
      <c r="U109" s="11"/>
      <c r="V109" s="27" t="s">
        <v>213</v>
      </c>
      <c r="W109" s="52"/>
    </row>
    <row r="110" spans="1:23" ht="20.45" customHeight="1" thickBot="1">
      <c r="A110" s="10" t="s">
        <v>404</v>
      </c>
      <c r="B110" s="11"/>
      <c r="C110" s="11"/>
      <c r="D110" s="11"/>
      <c r="E110" s="12"/>
      <c r="F110" s="11"/>
      <c r="G110" s="11"/>
      <c r="H110" s="11"/>
      <c r="I110" s="11"/>
      <c r="J110" s="11"/>
      <c r="K110" s="11"/>
      <c r="L110" s="11"/>
      <c r="M110" s="13"/>
      <c r="N110" s="11"/>
      <c r="O110" s="25"/>
      <c r="P110" s="11"/>
      <c r="Q110" s="25"/>
      <c r="R110" s="11"/>
      <c r="S110" s="11"/>
      <c r="T110" s="28"/>
      <c r="U110" s="25"/>
      <c r="V110" s="27" t="s">
        <v>213</v>
      </c>
      <c r="W110" s="56"/>
    </row>
    <row r="111" spans="1:23" ht="20.45" customHeight="1">
      <c r="A111" s="19" t="s">
        <v>368</v>
      </c>
      <c r="B111" s="6"/>
      <c r="C111" s="6"/>
      <c r="D111" s="6"/>
      <c r="E111" s="20"/>
      <c r="F111" s="6">
        <f>C111/4</f>
        <v>0</v>
      </c>
      <c r="G111" s="6">
        <f>D111/7.5</f>
        <v>0</v>
      </c>
      <c r="H111" s="6">
        <f>B111/12.5</f>
        <v>0</v>
      </c>
      <c r="I111" s="6">
        <f>G111/0.93</f>
        <v>0</v>
      </c>
      <c r="J111" s="6">
        <f>G111/0.92</f>
        <v>0</v>
      </c>
      <c r="K111" s="6">
        <f>G111/0.88</f>
        <v>0</v>
      </c>
      <c r="L111" s="21">
        <f>G111/0.84</f>
        <v>0</v>
      </c>
      <c r="M111" s="6"/>
      <c r="N111" s="6"/>
      <c r="O111" s="6"/>
      <c r="P111" s="6"/>
      <c r="Q111" s="22"/>
      <c r="R111" s="6"/>
      <c r="S111" s="6"/>
      <c r="T111" s="6"/>
      <c r="U111" s="21"/>
      <c r="V111" s="23"/>
      <c r="W111" s="54"/>
    </row>
    <row r="112" spans="1:23" ht="20.45" customHeight="1">
      <c r="A112" s="10" t="s">
        <v>405</v>
      </c>
      <c r="B112" s="11"/>
      <c r="C112" s="11"/>
      <c r="D112" s="11"/>
      <c r="E112" s="12"/>
      <c r="F112" s="11"/>
      <c r="G112" s="11"/>
      <c r="H112" s="11"/>
      <c r="I112" s="11"/>
      <c r="J112" s="11"/>
      <c r="K112" s="11"/>
      <c r="L112" s="11"/>
      <c r="M112" s="13"/>
      <c r="P112" s="26"/>
      <c r="Q112" s="26"/>
      <c r="R112" s="26"/>
      <c r="S112" s="26"/>
      <c r="V112" s="27" t="s">
        <v>213</v>
      </c>
      <c r="W112" s="55"/>
    </row>
    <row r="113" spans="1:23" ht="20.45" customHeight="1">
      <c r="A113" s="10" t="s">
        <v>406</v>
      </c>
      <c r="B113" s="11"/>
      <c r="C113" s="11"/>
      <c r="D113" s="11"/>
      <c r="E113" s="12"/>
      <c r="F113" s="11"/>
      <c r="G113" s="11"/>
      <c r="H113" s="11"/>
      <c r="I113" s="11"/>
      <c r="J113" s="11"/>
      <c r="K113" s="11"/>
      <c r="L113" s="11"/>
      <c r="M113" s="13"/>
      <c r="P113" s="26"/>
      <c r="Q113" s="26"/>
      <c r="R113" s="26"/>
      <c r="S113" s="26"/>
      <c r="V113" s="27" t="s">
        <v>213</v>
      </c>
      <c r="W113" s="55"/>
    </row>
    <row r="114" spans="1:23" ht="20.45" customHeight="1">
      <c r="A114" s="10" t="s">
        <v>135</v>
      </c>
      <c r="B114" s="11">
        <v>1.1574074074074073E-2</v>
      </c>
      <c r="C114" s="11">
        <v>3.414351851851852E-3</v>
      </c>
      <c r="D114" s="11">
        <f>B114*E114</f>
        <v>6.7337962962962959E-3</v>
      </c>
      <c r="E114" s="12">
        <v>0.58179999999999998</v>
      </c>
      <c r="F114" s="11">
        <f>C114/4</f>
        <v>8.53587962962963E-4</v>
      </c>
      <c r="G114" s="11">
        <f>D114/7.5</f>
        <v>8.9783950617283942E-4</v>
      </c>
      <c r="H114" s="11">
        <f>B114/12.5</f>
        <v>9.2592592592592585E-4</v>
      </c>
      <c r="I114" s="11">
        <f>G114/0.93</f>
        <v>9.6541882384176272E-4</v>
      </c>
      <c r="J114" s="11">
        <f>G114/0.92</f>
        <v>9.7591250670960798E-4</v>
      </c>
      <c r="K114" s="11">
        <f>G114/0.88</f>
        <v>1.0202721661054994E-3</v>
      </c>
      <c r="L114" s="11">
        <f>G114/0.84</f>
        <v>1.068856554967666E-3</v>
      </c>
      <c r="M114" s="13"/>
      <c r="N114" s="11"/>
      <c r="O114" s="25"/>
      <c r="P114" s="11"/>
      <c r="Q114" s="25"/>
      <c r="R114" s="11"/>
      <c r="S114" s="11"/>
      <c r="T114" s="28"/>
      <c r="U114" s="25"/>
      <c r="V114" s="27" t="s">
        <v>213</v>
      </c>
      <c r="W114" s="55"/>
    </row>
    <row r="115" spans="1:23" ht="20.45" customHeight="1">
      <c r="A115" s="10" t="s">
        <v>122</v>
      </c>
      <c r="B115" s="11"/>
      <c r="C115" s="11"/>
      <c r="D115" s="11"/>
      <c r="E115" s="12"/>
      <c r="F115" s="11"/>
      <c r="G115" s="11"/>
      <c r="H115" s="11"/>
      <c r="I115" s="11"/>
      <c r="J115" s="11"/>
      <c r="K115" s="11"/>
      <c r="L115" s="11"/>
      <c r="M115" s="13"/>
      <c r="P115" s="26"/>
      <c r="Q115" s="26"/>
      <c r="R115" s="26"/>
      <c r="S115" s="26"/>
      <c r="V115" s="27" t="s">
        <v>213</v>
      </c>
      <c r="W115" s="55"/>
    </row>
    <row r="116" spans="1:23" ht="20.45" customHeight="1">
      <c r="A116" s="10" t="s">
        <v>85</v>
      </c>
      <c r="B116" s="11">
        <v>1.0763888888888889E-2</v>
      </c>
      <c r="C116" s="11">
        <v>3.1250000000000002E-3</v>
      </c>
      <c r="D116" s="11">
        <f>B116*E116</f>
        <v>6.2624305555555549E-3</v>
      </c>
      <c r="E116" s="12">
        <v>0.58179999999999998</v>
      </c>
      <c r="F116" s="11">
        <f>C116/4</f>
        <v>7.8125000000000004E-4</v>
      </c>
      <c r="G116" s="11">
        <f>D116/7.5</f>
        <v>8.3499074074074064E-4</v>
      </c>
      <c r="H116" s="11">
        <f>B116/12.5</f>
        <v>8.611111111111111E-4</v>
      </c>
      <c r="I116" s="11">
        <f>G116/0.93</f>
        <v>8.9783950617283931E-4</v>
      </c>
      <c r="J116" s="11">
        <f>G116/0.92</f>
        <v>9.0759863123993545E-4</v>
      </c>
      <c r="K116" s="11">
        <f>G116/0.88</f>
        <v>9.4885311447811432E-4</v>
      </c>
      <c r="L116" s="11">
        <f>G116/0.84</f>
        <v>9.9403659611992947E-4</v>
      </c>
      <c r="M116" s="13"/>
      <c r="N116" s="26"/>
      <c r="O116" s="26"/>
      <c r="P116" s="26"/>
      <c r="Q116" s="26"/>
      <c r="R116" s="26"/>
      <c r="S116" s="26"/>
      <c r="V116" s="27" t="s">
        <v>213</v>
      </c>
      <c r="W116" s="55"/>
    </row>
    <row r="117" spans="1:23" ht="20.45" customHeight="1">
      <c r="A117" s="10" t="s">
        <v>120</v>
      </c>
      <c r="B117" s="11"/>
      <c r="C117" s="11"/>
      <c r="D117" s="11"/>
      <c r="E117" s="12"/>
      <c r="F117" s="11"/>
      <c r="G117" s="11"/>
      <c r="H117" s="11"/>
      <c r="I117" s="11"/>
      <c r="J117" s="11"/>
      <c r="K117" s="11"/>
      <c r="L117" s="11"/>
      <c r="M117" s="13"/>
      <c r="P117" s="26"/>
      <c r="Q117" s="26"/>
      <c r="R117" s="26"/>
      <c r="S117" s="26"/>
      <c r="V117" s="27" t="s">
        <v>213</v>
      </c>
      <c r="W117" s="55"/>
    </row>
    <row r="118" spans="1:23" ht="20.45" customHeight="1">
      <c r="A118" s="10" t="s">
        <v>133</v>
      </c>
      <c r="B118" s="11"/>
      <c r="C118" s="11"/>
      <c r="D118" s="11"/>
      <c r="E118" s="12"/>
      <c r="F118" s="11">
        <f>C118/4</f>
        <v>0</v>
      </c>
      <c r="G118" s="11">
        <f>D118/7.5</f>
        <v>0</v>
      </c>
      <c r="H118" s="11">
        <f>B118/12.5</f>
        <v>0</v>
      </c>
      <c r="I118" s="11">
        <f>G118/0.93</f>
        <v>0</v>
      </c>
      <c r="J118" s="11">
        <f>G118/0.92</f>
        <v>0</v>
      </c>
      <c r="K118" s="11">
        <f>G118/0.88</f>
        <v>0</v>
      </c>
      <c r="L118" s="11">
        <f>G118/0.84</f>
        <v>0</v>
      </c>
      <c r="M118" s="13"/>
      <c r="P118" s="26"/>
      <c r="Q118" s="26"/>
      <c r="R118" s="26"/>
      <c r="S118" s="26"/>
      <c r="V118" s="27" t="s">
        <v>213</v>
      </c>
      <c r="W118" s="55"/>
    </row>
    <row r="119" spans="1:23" ht="20.45" customHeight="1">
      <c r="A119" s="10" t="s">
        <v>107</v>
      </c>
      <c r="B119" s="11"/>
      <c r="C119" s="11"/>
      <c r="D119" s="11"/>
      <c r="E119" s="12"/>
      <c r="F119" s="11"/>
      <c r="G119" s="11"/>
      <c r="H119" s="11"/>
      <c r="I119" s="11"/>
      <c r="J119" s="11"/>
      <c r="K119" s="11"/>
      <c r="L119" s="11"/>
      <c r="M119" s="13"/>
      <c r="N119" s="11"/>
      <c r="O119" s="25"/>
      <c r="P119" s="11"/>
      <c r="Q119" s="25"/>
      <c r="R119" s="11"/>
      <c r="S119" s="14"/>
      <c r="V119" s="27" t="s">
        <v>213</v>
      </c>
      <c r="W119" s="55"/>
    </row>
    <row r="120" spans="1:23" ht="20.45" customHeight="1">
      <c r="A120" s="10" t="s">
        <v>130</v>
      </c>
      <c r="B120" s="11">
        <v>1.1111111111111112E-2</v>
      </c>
      <c r="C120" s="11">
        <v>3.1828703703703702E-3</v>
      </c>
      <c r="D120" s="11">
        <f>B120*E120</f>
        <v>6.4644444444444445E-3</v>
      </c>
      <c r="E120" s="12">
        <v>0.58179999999999998</v>
      </c>
      <c r="F120" s="11">
        <f t="shared" ref="F120:F130" si="71">C120/4</f>
        <v>7.9571759259259255E-4</v>
      </c>
      <c r="G120" s="11">
        <f t="shared" ref="G120:G130" si="72">D120/7.5</f>
        <v>8.6192592592592592E-4</v>
      </c>
      <c r="H120" s="11">
        <f t="shared" ref="H120:H130" si="73">B120/12.5</f>
        <v>8.8888888888888893E-4</v>
      </c>
      <c r="I120" s="11">
        <f t="shared" ref="I120:I130" si="74">G120/0.93</f>
        <v>9.2680207088809239E-4</v>
      </c>
      <c r="J120" s="11">
        <f t="shared" ref="J120:J130" si="75">G120/0.92</f>
        <v>9.3687600644122375E-4</v>
      </c>
      <c r="K120" s="11">
        <f t="shared" ref="K120:K130" si="76">G120/0.88</f>
        <v>9.7946127946127947E-4</v>
      </c>
      <c r="L120" s="11">
        <f t="shared" ref="L120:L130" si="77">G120/0.84</f>
        <v>1.0261022927689596E-3</v>
      </c>
      <c r="M120" s="13"/>
      <c r="N120" s="11"/>
      <c r="O120" s="11"/>
      <c r="P120" s="11"/>
      <c r="Q120" s="25"/>
      <c r="R120" s="11"/>
      <c r="S120" s="14"/>
      <c r="T120" s="26"/>
      <c r="U120" s="32"/>
      <c r="V120" s="27" t="s">
        <v>213</v>
      </c>
      <c r="W120" s="53"/>
    </row>
    <row r="121" spans="1:23" ht="20.45" customHeight="1">
      <c r="A121" s="10" t="s">
        <v>104</v>
      </c>
      <c r="B121" s="11"/>
      <c r="C121" s="11"/>
      <c r="D121" s="11"/>
      <c r="E121" s="12"/>
      <c r="F121" s="11">
        <f t="shared" si="71"/>
        <v>0</v>
      </c>
      <c r="G121" s="11">
        <f t="shared" si="72"/>
        <v>0</v>
      </c>
      <c r="H121" s="11">
        <f t="shared" si="73"/>
        <v>0</v>
      </c>
      <c r="I121" s="11">
        <f t="shared" si="74"/>
        <v>0</v>
      </c>
      <c r="J121" s="11">
        <f t="shared" si="75"/>
        <v>0</v>
      </c>
      <c r="K121" s="11">
        <f t="shared" si="76"/>
        <v>0</v>
      </c>
      <c r="L121" s="11">
        <f t="shared" si="77"/>
        <v>0</v>
      </c>
      <c r="M121" s="13"/>
      <c r="P121" s="26"/>
      <c r="Q121" s="26"/>
      <c r="R121" s="26"/>
      <c r="S121" s="26"/>
      <c r="V121" s="27" t="s">
        <v>213</v>
      </c>
      <c r="W121" s="53"/>
    </row>
    <row r="122" spans="1:23" ht="20.45" customHeight="1">
      <c r="A122" s="10" t="s">
        <v>106</v>
      </c>
      <c r="B122" s="11"/>
      <c r="C122" s="11"/>
      <c r="D122" s="11"/>
      <c r="E122" s="12"/>
      <c r="F122" s="11">
        <f t="shared" si="71"/>
        <v>0</v>
      </c>
      <c r="G122" s="11">
        <f t="shared" si="72"/>
        <v>0</v>
      </c>
      <c r="H122" s="11">
        <f t="shared" si="73"/>
        <v>0</v>
      </c>
      <c r="I122" s="11">
        <f t="shared" si="74"/>
        <v>0</v>
      </c>
      <c r="J122" s="11">
        <f t="shared" si="75"/>
        <v>0</v>
      </c>
      <c r="K122" s="11">
        <f t="shared" si="76"/>
        <v>0</v>
      </c>
      <c r="L122" s="11">
        <f t="shared" si="77"/>
        <v>0</v>
      </c>
      <c r="M122" s="33"/>
      <c r="P122" s="26"/>
      <c r="Q122" s="26"/>
      <c r="R122" s="26"/>
      <c r="S122" s="14"/>
      <c r="V122" s="27" t="s">
        <v>213</v>
      </c>
      <c r="W122" s="53"/>
    </row>
    <row r="123" spans="1:23" ht="20.45" customHeight="1">
      <c r="A123" s="10" t="s">
        <v>110</v>
      </c>
      <c r="B123" s="11"/>
      <c r="C123" s="11"/>
      <c r="D123" s="11"/>
      <c r="E123" s="12"/>
      <c r="F123" s="11">
        <f t="shared" si="71"/>
        <v>0</v>
      </c>
      <c r="G123" s="11">
        <f t="shared" si="72"/>
        <v>0</v>
      </c>
      <c r="H123" s="11">
        <f t="shared" si="73"/>
        <v>0</v>
      </c>
      <c r="I123" s="11">
        <f t="shared" si="74"/>
        <v>0</v>
      </c>
      <c r="J123" s="11">
        <f t="shared" si="75"/>
        <v>0</v>
      </c>
      <c r="K123" s="11">
        <f t="shared" si="76"/>
        <v>0</v>
      </c>
      <c r="L123" s="11">
        <f t="shared" si="77"/>
        <v>0</v>
      </c>
      <c r="M123" s="33"/>
      <c r="P123" s="26"/>
      <c r="Q123" s="26"/>
      <c r="R123" s="26"/>
      <c r="S123" s="14"/>
      <c r="V123" s="27" t="s">
        <v>213</v>
      </c>
      <c r="W123" s="53"/>
    </row>
    <row r="124" spans="1:23" ht="20.45" customHeight="1">
      <c r="A124" s="10"/>
      <c r="B124" s="11"/>
      <c r="C124" s="11"/>
      <c r="D124" s="11">
        <f>B124*E124</f>
        <v>0</v>
      </c>
      <c r="E124" s="12"/>
      <c r="F124" s="11">
        <f>C124/4</f>
        <v>0</v>
      </c>
      <c r="G124" s="11">
        <f>D124/7.5</f>
        <v>0</v>
      </c>
      <c r="H124" s="11">
        <f>B124/12.5</f>
        <v>0</v>
      </c>
      <c r="I124" s="11">
        <f>G124/0.93</f>
        <v>0</v>
      </c>
      <c r="J124" s="11">
        <f>G124/0.92</f>
        <v>0</v>
      </c>
      <c r="K124" s="11">
        <f>G124/0.88</f>
        <v>0</v>
      </c>
      <c r="L124" s="17">
        <f>G124/0.84</f>
        <v>0</v>
      </c>
      <c r="M124" s="29"/>
      <c r="P124" s="26"/>
      <c r="Q124" s="26"/>
      <c r="R124" s="26"/>
      <c r="S124" s="14"/>
      <c r="U124" s="30"/>
      <c r="V124" s="31"/>
      <c r="W124" s="53"/>
    </row>
    <row r="125" spans="1:23" ht="20.45" customHeight="1">
      <c r="A125" s="19"/>
      <c r="B125" s="6"/>
      <c r="C125" s="6"/>
      <c r="D125" s="6">
        <f t="shared" ref="D125" si="78">B125*E125</f>
        <v>0</v>
      </c>
      <c r="E125" s="20"/>
      <c r="F125" s="6">
        <f t="shared" ref="F125" si="79">C125/4</f>
        <v>0</v>
      </c>
      <c r="G125" s="6">
        <f t="shared" ref="G125" si="80">D125/7.5</f>
        <v>0</v>
      </c>
      <c r="H125" s="6">
        <f t="shared" ref="H125" si="81">B125/12.5</f>
        <v>0</v>
      </c>
      <c r="I125" s="6">
        <f t="shared" ref="I125" si="82">G125/0.93</f>
        <v>0</v>
      </c>
      <c r="J125" s="6">
        <f t="shared" ref="J125" si="83">G125/0.92</f>
        <v>0</v>
      </c>
      <c r="K125" s="6">
        <f t="shared" ref="K125" si="84">G125/0.88</f>
        <v>0</v>
      </c>
      <c r="L125" s="21">
        <f t="shared" ref="L125" si="85">G125/0.84</f>
        <v>0</v>
      </c>
      <c r="M125" s="6"/>
      <c r="N125" s="6"/>
      <c r="O125" s="6"/>
      <c r="P125" s="6"/>
      <c r="Q125" s="22"/>
      <c r="R125" s="6"/>
      <c r="S125" s="6"/>
      <c r="T125" s="6"/>
      <c r="U125" s="21"/>
      <c r="V125" s="23"/>
      <c r="W125" s="53"/>
    </row>
    <row r="126" spans="1:23" ht="20.45" customHeight="1">
      <c r="A126" s="10" t="s">
        <v>164</v>
      </c>
      <c r="B126" s="11">
        <v>1.1111111111111112E-2</v>
      </c>
      <c r="C126" s="11">
        <v>3.2407407407407406E-3</v>
      </c>
      <c r="D126" s="11">
        <f>B126*E126</f>
        <v>6.4644444444444445E-3</v>
      </c>
      <c r="E126" s="12">
        <v>0.58179999999999998</v>
      </c>
      <c r="F126" s="11">
        <f t="shared" si="71"/>
        <v>8.1018518518518516E-4</v>
      </c>
      <c r="G126" s="11">
        <f t="shared" si="72"/>
        <v>8.6192592592592592E-4</v>
      </c>
      <c r="H126" s="11">
        <f t="shared" si="73"/>
        <v>8.8888888888888893E-4</v>
      </c>
      <c r="I126" s="11">
        <f t="shared" si="74"/>
        <v>9.2680207088809239E-4</v>
      </c>
      <c r="J126" s="11">
        <f t="shared" si="75"/>
        <v>9.3687600644122375E-4</v>
      </c>
      <c r="K126" s="11">
        <f t="shared" si="76"/>
        <v>9.7946127946127947E-4</v>
      </c>
      <c r="L126" s="11">
        <f t="shared" si="77"/>
        <v>1.0261022927689596E-3</v>
      </c>
      <c r="M126" s="13"/>
      <c r="N126" s="11"/>
      <c r="O126" s="11"/>
      <c r="P126" s="11"/>
      <c r="Q126" s="25"/>
      <c r="R126" s="11"/>
      <c r="S126" s="14"/>
      <c r="T126" s="26"/>
      <c r="V126" s="27" t="s">
        <v>52</v>
      </c>
      <c r="W126" s="53"/>
    </row>
    <row r="127" spans="1:23" ht="20.45" customHeight="1">
      <c r="A127" s="10" t="s">
        <v>407</v>
      </c>
      <c r="B127" s="11">
        <v>1.064814814814815E-2</v>
      </c>
      <c r="C127" s="11">
        <v>3.1249999999999997E-3</v>
      </c>
      <c r="D127" s="11">
        <f>B127*E127</f>
        <v>6.1950925925925932E-3</v>
      </c>
      <c r="E127" s="12">
        <v>0.58179999999999998</v>
      </c>
      <c r="F127" s="11">
        <f t="shared" si="71"/>
        <v>7.8124999999999993E-4</v>
      </c>
      <c r="G127" s="11">
        <f t="shared" si="72"/>
        <v>8.2601234567901242E-4</v>
      </c>
      <c r="H127" s="11">
        <f t="shared" si="73"/>
        <v>8.5185185185185201E-4</v>
      </c>
      <c r="I127" s="11">
        <f t="shared" si="74"/>
        <v>8.8818531793442195E-4</v>
      </c>
      <c r="J127" s="11">
        <f t="shared" si="75"/>
        <v>8.9783950617283953E-4</v>
      </c>
      <c r="K127" s="11">
        <f t="shared" si="76"/>
        <v>9.3865039281705955E-4</v>
      </c>
      <c r="L127" s="11">
        <f t="shared" si="77"/>
        <v>9.8334803057025292E-4</v>
      </c>
      <c r="M127" s="13"/>
      <c r="N127" s="11"/>
      <c r="O127" s="25"/>
      <c r="P127" s="11"/>
      <c r="Q127" s="25"/>
      <c r="R127" s="11"/>
      <c r="S127" s="11"/>
      <c r="T127" s="28"/>
      <c r="U127" s="25"/>
      <c r="V127" s="27" t="s">
        <v>52</v>
      </c>
      <c r="W127" s="53"/>
    </row>
    <row r="128" spans="1:23" ht="20.45" customHeight="1">
      <c r="A128" s="10" t="s">
        <v>117</v>
      </c>
      <c r="B128" s="11">
        <v>1.0416666666666666E-2</v>
      </c>
      <c r="C128" s="11">
        <v>3.0671296296296297E-3</v>
      </c>
      <c r="D128" s="11">
        <f>B128*E128</f>
        <v>6.0604166666666662E-3</v>
      </c>
      <c r="E128" s="12">
        <v>0.58179999999999998</v>
      </c>
      <c r="F128" s="11">
        <f t="shared" si="71"/>
        <v>7.6678240740740743E-4</v>
      </c>
      <c r="G128" s="11">
        <f t="shared" si="72"/>
        <v>8.0805555555555546E-4</v>
      </c>
      <c r="H128" s="11">
        <f t="shared" si="73"/>
        <v>8.3333333333333328E-4</v>
      </c>
      <c r="I128" s="11">
        <f t="shared" si="74"/>
        <v>8.6887694145758646E-4</v>
      </c>
      <c r="J128" s="11">
        <f t="shared" si="75"/>
        <v>8.7832125603864715E-4</v>
      </c>
      <c r="K128" s="11">
        <f t="shared" si="76"/>
        <v>9.1824494949494938E-4</v>
      </c>
      <c r="L128" s="11">
        <f t="shared" si="77"/>
        <v>9.6197089947089938E-4</v>
      </c>
      <c r="M128" s="13"/>
      <c r="N128" s="11"/>
      <c r="O128" s="25"/>
      <c r="P128" s="11"/>
      <c r="Q128" s="25"/>
      <c r="R128" s="11"/>
      <c r="S128" s="11"/>
      <c r="T128" s="28"/>
      <c r="U128" s="25"/>
      <c r="V128" s="27" t="s">
        <v>52</v>
      </c>
      <c r="W128" s="53"/>
    </row>
    <row r="129" spans="1:23" ht="20.45" customHeight="1">
      <c r="A129" s="10" t="s">
        <v>103</v>
      </c>
      <c r="B129" s="11">
        <v>1.1226851851851854E-2</v>
      </c>
      <c r="C129" s="11">
        <v>3.0671296296296297E-3</v>
      </c>
      <c r="D129" s="11">
        <f>B129*E129</f>
        <v>6.5317824074074089E-3</v>
      </c>
      <c r="E129" s="12">
        <v>0.58179999999999998</v>
      </c>
      <c r="F129" s="11">
        <f t="shared" si="71"/>
        <v>7.6678240740740743E-4</v>
      </c>
      <c r="G129" s="11">
        <f t="shared" si="72"/>
        <v>8.7090432098765457E-4</v>
      </c>
      <c r="H129" s="11">
        <f t="shared" si="73"/>
        <v>8.9814814814814835E-4</v>
      </c>
      <c r="I129" s="11">
        <f t="shared" si="74"/>
        <v>9.3645625912651019E-4</v>
      </c>
      <c r="J129" s="11">
        <f t="shared" si="75"/>
        <v>9.4663513150832011E-4</v>
      </c>
      <c r="K129" s="11">
        <f t="shared" si="76"/>
        <v>9.8966400112233477E-4</v>
      </c>
      <c r="L129" s="11">
        <f t="shared" si="77"/>
        <v>1.0367908583186363E-3</v>
      </c>
      <c r="M129" s="13"/>
      <c r="N129" s="11"/>
      <c r="O129" s="25"/>
      <c r="P129" s="11"/>
      <c r="Q129" s="25"/>
      <c r="R129" s="11"/>
      <c r="S129" s="25"/>
      <c r="T129" s="16"/>
      <c r="U129" s="11"/>
      <c r="V129" s="27" t="s">
        <v>52</v>
      </c>
      <c r="W129" s="52"/>
    </row>
    <row r="130" spans="1:23" ht="20.45" customHeight="1">
      <c r="A130" s="10" t="s">
        <v>408</v>
      </c>
      <c r="B130" s="11">
        <v>1.1921296296296298E-2</v>
      </c>
      <c r="C130" s="11">
        <v>3.2407407407407406E-3</v>
      </c>
      <c r="D130" s="11">
        <f>B130*E130</f>
        <v>6.9358101851851863E-3</v>
      </c>
      <c r="E130" s="12">
        <v>0.58179999999999998</v>
      </c>
      <c r="F130" s="11">
        <f t="shared" si="71"/>
        <v>8.1018518518518516E-4</v>
      </c>
      <c r="G130" s="11">
        <f t="shared" si="72"/>
        <v>9.2477469135802482E-4</v>
      </c>
      <c r="H130" s="11">
        <f t="shared" si="73"/>
        <v>9.5370370370370379E-4</v>
      </c>
      <c r="I130" s="11">
        <f t="shared" si="74"/>
        <v>9.943813885570159E-4</v>
      </c>
      <c r="J130" s="11">
        <f t="shared" si="75"/>
        <v>1.0051898819108964E-3</v>
      </c>
      <c r="K130" s="11">
        <f t="shared" si="76"/>
        <v>1.0508803310886646E-3</v>
      </c>
      <c r="L130" s="11">
        <f t="shared" si="77"/>
        <v>1.1009222516166963E-3</v>
      </c>
      <c r="M130" s="13"/>
      <c r="N130" s="11"/>
      <c r="O130" s="11"/>
      <c r="P130" s="11"/>
      <c r="Q130" s="25"/>
      <c r="R130" s="11"/>
      <c r="S130" s="14"/>
      <c r="T130" s="26"/>
      <c r="V130" s="27" t="s">
        <v>52</v>
      </c>
      <c r="W130" s="52"/>
    </row>
    <row r="131" spans="1:23" ht="20.45" customHeight="1">
      <c r="A131" s="10" t="s">
        <v>116</v>
      </c>
      <c r="B131" s="11"/>
      <c r="C131" s="11"/>
      <c r="D131" s="11"/>
      <c r="E131" s="12"/>
      <c r="F131" s="11"/>
      <c r="G131" s="11"/>
      <c r="H131" s="11"/>
      <c r="I131" s="11"/>
      <c r="J131" s="11"/>
      <c r="K131" s="11"/>
      <c r="L131" s="17"/>
      <c r="M131" s="14"/>
      <c r="P131" s="26"/>
      <c r="Q131" s="26"/>
      <c r="R131" s="26"/>
      <c r="S131" s="26"/>
      <c r="U131" s="30"/>
      <c r="V131" s="31"/>
      <c r="W131" s="52"/>
    </row>
    <row r="132" spans="1:23" ht="20.45" customHeight="1">
      <c r="A132" s="10"/>
      <c r="B132" s="11"/>
      <c r="C132" s="11"/>
      <c r="D132" s="11">
        <f t="shared" ref="D132:D138" si="86">B132*E132</f>
        <v>0</v>
      </c>
      <c r="E132" s="12"/>
      <c r="F132" s="11">
        <f t="shared" ref="F132:F138" si="87">C132/4</f>
        <v>0</v>
      </c>
      <c r="G132" s="11">
        <f t="shared" ref="G132:G138" si="88">D132/7.5</f>
        <v>0</v>
      </c>
      <c r="H132" s="11">
        <f t="shared" ref="H132:H138" si="89">B132/12.5</f>
        <v>0</v>
      </c>
      <c r="I132" s="11">
        <f t="shared" ref="I132:I138" si="90">G132/0.93</f>
        <v>0</v>
      </c>
      <c r="J132" s="11">
        <f t="shared" ref="J132:J138" si="91">G132/0.92</f>
        <v>0</v>
      </c>
      <c r="K132" s="11">
        <f t="shared" ref="K132:K138" si="92">G132/0.88</f>
        <v>0</v>
      </c>
      <c r="L132" s="17">
        <f t="shared" ref="L132:L138" si="93">G132/0.84</f>
        <v>0</v>
      </c>
      <c r="M132" s="29"/>
      <c r="P132" s="26"/>
      <c r="Q132" s="26"/>
      <c r="R132" s="26"/>
      <c r="S132" s="14"/>
      <c r="U132" s="30"/>
      <c r="V132" s="31"/>
      <c r="W132" s="52"/>
    </row>
    <row r="133" spans="1:23" ht="20.45" customHeight="1">
      <c r="A133" s="10"/>
      <c r="B133" s="11"/>
      <c r="C133" s="11"/>
      <c r="D133" s="11">
        <f t="shared" si="86"/>
        <v>0</v>
      </c>
      <c r="E133" s="12"/>
      <c r="F133" s="11">
        <f t="shared" si="87"/>
        <v>0</v>
      </c>
      <c r="G133" s="11">
        <f t="shared" si="88"/>
        <v>0</v>
      </c>
      <c r="H133" s="11">
        <f t="shared" si="89"/>
        <v>0</v>
      </c>
      <c r="I133" s="11">
        <f t="shared" si="90"/>
        <v>0</v>
      </c>
      <c r="J133" s="11">
        <f t="shared" si="91"/>
        <v>0</v>
      </c>
      <c r="K133" s="11">
        <f t="shared" si="92"/>
        <v>0</v>
      </c>
      <c r="L133" s="17">
        <f t="shared" si="93"/>
        <v>0</v>
      </c>
      <c r="M133" s="29"/>
      <c r="P133" s="26"/>
      <c r="Q133" s="26"/>
      <c r="R133" s="26"/>
      <c r="S133" s="14"/>
      <c r="U133" s="30"/>
      <c r="V133" s="31"/>
      <c r="W133" s="52"/>
    </row>
    <row r="134" spans="1:23" ht="20.45" customHeight="1">
      <c r="A134" s="10"/>
      <c r="B134" s="11"/>
      <c r="C134" s="11"/>
      <c r="D134" s="11">
        <f t="shared" si="86"/>
        <v>0</v>
      </c>
      <c r="E134" s="12"/>
      <c r="F134" s="11">
        <f t="shared" si="87"/>
        <v>0</v>
      </c>
      <c r="G134" s="11">
        <f t="shared" si="88"/>
        <v>0</v>
      </c>
      <c r="H134" s="11">
        <f t="shared" si="89"/>
        <v>0</v>
      </c>
      <c r="I134" s="11">
        <f t="shared" si="90"/>
        <v>0</v>
      </c>
      <c r="J134" s="11">
        <f t="shared" si="91"/>
        <v>0</v>
      </c>
      <c r="K134" s="11">
        <f t="shared" si="92"/>
        <v>0</v>
      </c>
      <c r="L134" s="17">
        <f t="shared" si="93"/>
        <v>0</v>
      </c>
      <c r="M134" s="29"/>
      <c r="P134" s="26"/>
      <c r="Q134" s="26"/>
      <c r="R134" s="26"/>
      <c r="S134" s="14"/>
      <c r="U134" s="30"/>
      <c r="V134" s="31"/>
      <c r="W134" s="52"/>
    </row>
    <row r="135" spans="1:23" ht="20.45" customHeight="1">
      <c r="A135" s="10"/>
      <c r="B135" s="11"/>
      <c r="C135" s="11"/>
      <c r="D135" s="11">
        <f t="shared" si="86"/>
        <v>0</v>
      </c>
      <c r="E135" s="12"/>
      <c r="F135" s="11">
        <f t="shared" si="87"/>
        <v>0</v>
      </c>
      <c r="G135" s="11">
        <f t="shared" si="88"/>
        <v>0</v>
      </c>
      <c r="H135" s="11">
        <f t="shared" si="89"/>
        <v>0</v>
      </c>
      <c r="I135" s="11">
        <f t="shared" si="90"/>
        <v>0</v>
      </c>
      <c r="J135" s="11">
        <f t="shared" si="91"/>
        <v>0</v>
      </c>
      <c r="K135" s="11">
        <f t="shared" si="92"/>
        <v>0</v>
      </c>
      <c r="L135" s="17">
        <f t="shared" si="93"/>
        <v>0</v>
      </c>
      <c r="M135" s="29"/>
      <c r="P135" s="26"/>
      <c r="Q135" s="26"/>
      <c r="R135" s="26"/>
      <c r="S135" s="14"/>
      <c r="U135" s="30"/>
      <c r="V135" s="31"/>
      <c r="W135" s="52"/>
    </row>
    <row r="136" spans="1:23" ht="20.45" customHeight="1">
      <c r="A136" s="10"/>
      <c r="B136" s="11"/>
      <c r="C136" s="11"/>
      <c r="D136" s="11">
        <f t="shared" si="86"/>
        <v>0</v>
      </c>
      <c r="E136" s="12"/>
      <c r="F136" s="11">
        <f t="shared" si="87"/>
        <v>0</v>
      </c>
      <c r="G136" s="11">
        <f t="shared" si="88"/>
        <v>0</v>
      </c>
      <c r="H136" s="11">
        <f t="shared" si="89"/>
        <v>0</v>
      </c>
      <c r="I136" s="11">
        <f t="shared" si="90"/>
        <v>0</v>
      </c>
      <c r="J136" s="11">
        <f t="shared" si="91"/>
        <v>0</v>
      </c>
      <c r="K136" s="11">
        <f t="shared" si="92"/>
        <v>0</v>
      </c>
      <c r="L136" s="17">
        <f t="shared" si="93"/>
        <v>0</v>
      </c>
      <c r="M136" s="29"/>
      <c r="P136" s="26"/>
      <c r="Q136" s="26"/>
      <c r="R136" s="26"/>
      <c r="S136" s="14"/>
      <c r="U136" s="30"/>
      <c r="V136" s="31"/>
      <c r="W136" s="52"/>
    </row>
    <row r="137" spans="1:23" ht="20.45" customHeight="1">
      <c r="A137" s="10"/>
      <c r="B137" s="11"/>
      <c r="C137" s="11"/>
      <c r="D137" s="11">
        <f t="shared" si="86"/>
        <v>0</v>
      </c>
      <c r="E137" s="12"/>
      <c r="F137" s="11">
        <f t="shared" si="87"/>
        <v>0</v>
      </c>
      <c r="G137" s="11">
        <f t="shared" si="88"/>
        <v>0</v>
      </c>
      <c r="H137" s="11">
        <f t="shared" si="89"/>
        <v>0</v>
      </c>
      <c r="I137" s="11">
        <f t="shared" si="90"/>
        <v>0</v>
      </c>
      <c r="J137" s="11">
        <f t="shared" si="91"/>
        <v>0</v>
      </c>
      <c r="K137" s="11">
        <f t="shared" si="92"/>
        <v>0</v>
      </c>
      <c r="L137" s="17">
        <f t="shared" si="93"/>
        <v>0</v>
      </c>
      <c r="M137" s="29"/>
      <c r="P137" s="26"/>
      <c r="Q137" s="26"/>
      <c r="R137" s="26"/>
      <c r="S137" s="14"/>
      <c r="U137" s="30"/>
      <c r="V137" s="31"/>
      <c r="W137" s="52"/>
    </row>
    <row r="138" spans="1:23" ht="20.45" customHeight="1" thickBot="1">
      <c r="A138" s="34"/>
      <c r="B138" s="11"/>
      <c r="C138" s="11"/>
      <c r="D138" s="11">
        <f t="shared" si="86"/>
        <v>0</v>
      </c>
      <c r="E138" s="12"/>
      <c r="F138" s="11">
        <f t="shared" si="87"/>
        <v>0</v>
      </c>
      <c r="G138" s="11">
        <f t="shared" si="88"/>
        <v>0</v>
      </c>
      <c r="H138" s="11">
        <f t="shared" si="89"/>
        <v>0</v>
      </c>
      <c r="I138" s="11">
        <f t="shared" si="90"/>
        <v>0</v>
      </c>
      <c r="J138" s="11">
        <f t="shared" si="91"/>
        <v>0</v>
      </c>
      <c r="K138" s="11">
        <f t="shared" si="92"/>
        <v>0</v>
      </c>
      <c r="L138" s="17">
        <f t="shared" si="93"/>
        <v>0</v>
      </c>
      <c r="M138" s="29"/>
      <c r="P138" s="26"/>
      <c r="Q138" s="26"/>
      <c r="R138" s="26"/>
      <c r="S138" s="14"/>
      <c r="U138" s="30"/>
      <c r="V138" s="31"/>
      <c r="W138" s="56"/>
    </row>
  </sheetData>
  <mergeCells count="15">
    <mergeCell ref="W46:W54"/>
    <mergeCell ref="W1:W9"/>
    <mergeCell ref="W10:W18"/>
    <mergeCell ref="W19:W27"/>
    <mergeCell ref="W28:W36"/>
    <mergeCell ref="W37:W45"/>
    <mergeCell ref="W111:W119"/>
    <mergeCell ref="W120:W128"/>
    <mergeCell ref="W129:W138"/>
    <mergeCell ref="W55:W63"/>
    <mergeCell ref="W64:W72"/>
    <mergeCell ref="W73:W82"/>
    <mergeCell ref="W83:W91"/>
    <mergeCell ref="W92:W100"/>
    <mergeCell ref="W101:W110"/>
  </mergeCells>
  <pageMargins left="0.25" right="0.25" top="0.25" bottom="0.25" header="0" footer="0"/>
  <pageSetup fitToHeight="0" orientation="landscape"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AF72C2E85617944A40F2FF337DFE4E9" ma:contentTypeVersion="17" ma:contentTypeDescription="Create a new document." ma:contentTypeScope="" ma:versionID="7257922ecea9c1614a5cce6092587b33">
  <xsd:schema xmlns:xsd="http://www.w3.org/2001/XMLSchema" xmlns:xs="http://www.w3.org/2001/XMLSchema" xmlns:p="http://schemas.microsoft.com/office/2006/metadata/properties" xmlns:ns1="http://schemas.microsoft.com/sharepoint/v3" xmlns:ns2="4fe04df2-ace4-48e4-aefd-fb7781d79850" xmlns:ns3="708f94e2-bc9d-47d3-91b0-462b2627b1ab" targetNamespace="http://schemas.microsoft.com/office/2006/metadata/properties" ma:root="true" ma:fieldsID="491f6758f9d4bab72c71ad639e010c10" ns1:_="" ns2:_="" ns3:_="">
    <xsd:import namespace="http://schemas.microsoft.com/sharepoint/v3"/>
    <xsd:import namespace="4fe04df2-ace4-48e4-aefd-fb7781d79850"/>
    <xsd:import namespace="708f94e2-bc9d-47d3-91b0-462b2627b1ab"/>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LengthInSeconds" minOccurs="0"/>
                <xsd:element ref="ns1:_ip_UnifiedCompliancePolicyProperties" minOccurs="0"/>
                <xsd:element ref="ns1:_ip_UnifiedCompliancePolicyUIActio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Unified Compliance Policy Properties" ma:hidden="true" ma:internalName="_ip_UnifiedCompliancePolicyProperties">
      <xsd:simpleType>
        <xsd:restriction base="dms:Note"/>
      </xsd:simpleType>
    </xsd:element>
    <xsd:element name="_ip_UnifiedCompliancePolicyUIAction" ma:index="2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fe04df2-ace4-48e4-aefd-fb7781d798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03b8e467-7805-44e2-a61c-311602010045"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4"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08f94e2-bc9d-47d3-91b0-462b2627b1ab"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bb9dec10-3fca-46a7-bff0-bd7c28642460}" ma:internalName="TaxCatchAll" ma:showField="CatchAllData" ma:web="708f94e2-bc9d-47d3-91b0-462b2627b1a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708f94e2-bc9d-47d3-91b0-462b2627b1ab" xsi:nil="true"/>
    <lcf76f155ced4ddcb4097134ff3c332f xmlns="4fe04df2-ace4-48e4-aefd-fb7781d79850">
      <Terms xmlns="http://schemas.microsoft.com/office/infopath/2007/PartnerControls"/>
    </lcf76f155ced4ddcb4097134ff3c332f>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7AC3DA6-EB38-4C47-B20E-547774C5A749}"/>
</file>

<file path=customXml/itemProps2.xml><?xml version="1.0" encoding="utf-8"?>
<ds:datastoreItem xmlns:ds="http://schemas.openxmlformats.org/officeDocument/2006/customXml" ds:itemID="{76DB9BFD-CC35-4261-B86E-E2C88A343EDF}"/>
</file>

<file path=customXml/itemProps3.xml><?xml version="1.0" encoding="utf-8"?>
<ds:datastoreItem xmlns:ds="http://schemas.openxmlformats.org/officeDocument/2006/customXml" ds:itemID="{0695639A-84A7-4BDF-B9F7-3639FEA3C51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Philip Spitzer</dc:creator>
  <cp:keywords/>
  <dc:description/>
  <cp:lastModifiedBy/>
  <cp:revision/>
  <dcterms:created xsi:type="dcterms:W3CDTF">2025-08-18T12:18:32Z</dcterms:created>
  <dcterms:modified xsi:type="dcterms:W3CDTF">2026-09-15T18:16:18Z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0x0101004AF72C2E85617944A40F2FF337DFE4E9</vt:lpwstr>
  </property>
  <property fmtid="{D5CDD505-2E9C-101B-9397-08002B2CF9AE}" pid="3" name="MediaServiceImageTags">
    <vt:lpwstr/>
  </property>
</Properties>
</file>